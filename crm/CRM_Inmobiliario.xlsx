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drawings/vmlDrawing3.vml" ContentType="application/vnd.openxmlformats-officedocument.vmlDrawing"/>
  <Override PartName="/xl/drawings/vmlDrawing4.vml" ContentType="application/vnd.openxmlformats-officedocument.vmlDrawing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_rels/workbook.xml.rels" ContentType="application/vnd.openxmlformats-package.relationship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Cómo usar" sheetId="1" state="visible" r:id="rId3"/>
    <sheet name="Panel" sheetId="2" state="visible" r:id="rId4"/>
    <sheet name="Leads" sheetId="3" state="visible" r:id="rId5"/>
    <sheet name="Seguimiento" sheetId="4" state="visible" r:id="rId6"/>
    <sheet name="Listas" sheetId="5" state="visible" r:id="rId7"/>
  </sheets>
  <definedNames>
    <definedName function="false" hidden="false" name="lst_canal" vbProcedure="false">OFFSET(Listas!$T$2,0,0,COUNTA(Listas!$T:$T)-1,1)</definedName>
    <definedName function="false" hidden="false" name="lst_etapa" vbProcedure="false">OFFSET(Listas!$L$2,0,0,COUNTA(Listas!$L:$L)-1,1)</definedName>
    <definedName function="false" hidden="false" name="lst_motivo" vbProcedure="false">OFFSET(Listas!$P$2,0,0,COUNTA(Listas!$P:$P)-1,1)</definedName>
    <definedName function="false" hidden="false" name="lst_origen" vbProcedure="false">OFFSET(Listas!$D$2,0,0,COUNTA(Listas!$D:$D)-1,1)</definedName>
    <definedName function="false" hidden="false" name="lst_pago" vbProcedure="false">OFFSET(Listas!$J$2,0,0,COUNTA(Listas!$J:$J)-1,1)</definedName>
    <definedName function="false" hidden="false" name="lst_plazo" vbProcedure="false">OFFSET(Listas!$H$2,0,0,COUNTA(Listas!$H:$H)-1,1)</definedName>
    <definedName function="false" hidden="false" name="lst_propiedad" vbProcedure="false">OFFSET(Listas!$F$2,0,0,COUNTA(Listas!$F:$F)-1,1)</definedName>
    <definedName function="false" hidden="false" name="lst_sino" vbProcedure="false">OFFSET(Listas!$R$2,0,0,COUNTA(Listas!$R:$R)-1,1)</definedName>
    <definedName function="false" hidden="false" name="lst_temp" vbProcedure="false">OFFSET(Listas!$N$2,0,0,COUNTA(Listas!$N:$N)-1,1)</definedName>
    <definedName function="false" hidden="false" name="lst_tipo" vbProcedure="false">OFFSET(Listas!$A$2,0,0,COUNTA(Listas!$A:$A)-1,1)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I18" authorId="0">
      <text>
        <r>
          <rPr>
            <sz val="10"/>
            <rFont val="Arial"/>
            <family val="2"/>
          </rPr>
          <t xml:space="preserve">Cargá cuánto gastaste en ese canal en el período (Meta y Google lo muestran en su panel). Pesos o dólares, pero siempre la misma moneda.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1" authorId="0">
      <text>
        <r>
          <rPr>
            <sz val="10"/>
            <rFont val="Arial"/>
            <family val="2"/>
          </rPr>
          <t xml:space="preserve">Número único del lead. No lo repitas ni lo cambies: Seguimiento lo usa para vincular. El próximo libre está en el Panel.</t>
        </r>
      </text>
    </comment>
    <comment ref="E1" authorId="0">
      <text>
        <r>
          <rPr>
            <sz val="10"/>
            <rFont val="Arial"/>
            <family val="2"/>
          </rPr>
          <t xml:space="preserve">Con código de país y área, ej. +54 9 11 5555-0101. Meta y Google lo usan para cruzar el lead con el anuncio.</t>
        </r>
      </text>
    </comment>
    <comment ref="G1" authorId="0">
      <text>
        <r>
          <rPr>
            <sz val="10"/>
            <rFont val="Arial"/>
            <family val="2"/>
          </rPr>
          <t xml:space="preserve">Si es un agente, elegí 'Colega inmobiliario' y pasá la etapa a 'Descartado'. Así el Panel te muestra qué canal trae más colegas.</t>
        </r>
      </text>
    </comment>
    <comment ref="H1" authorId="0">
      <text>
        <r>
          <rPr>
            <sz val="10"/>
            <rFont val="Arial"/>
            <family val="2"/>
          </rPr>
          <t xml:space="preserve">De dónde vino. Es lo que te permite saber qué canal trae clientes reales.</t>
        </r>
      </text>
    </comment>
    <comment ref="O1" authorId="0">
      <text>
        <r>
          <rPr>
            <sz val="10"/>
            <rFont val="Arial"/>
            <family val="2"/>
          </rPr>
          <t xml:space="preserve">Vendedor: precio pretendido o tasado. Comprador: presupuesto.</t>
        </r>
      </text>
    </comment>
    <comment ref="R1" authorId="0">
      <text>
        <r>
          <rPr>
            <sz val="10"/>
            <rFont val="Arial"/>
            <family val="2"/>
          </rPr>
          <t xml:space="preserve">1 a 8 = avance. 'Perdido' = era real pero no se dio. 'Descartado' = nunca fue un cliente posible (colega, spam, datos falsos).</t>
        </r>
      </text>
    </comment>
    <comment ref="W1" authorId="0">
      <text>
        <r>
          <rPr>
            <sz val="10"/>
            <rFont val="Arial"/>
            <family val="2"/>
          </rPr>
          <t xml:space="preserve">Automático: 'Vencida' si la fecha de próxima acción ya pasó, 'Hoy' si es hoy.</t>
        </r>
      </text>
    </comment>
    <comment ref="X1" authorId="0">
      <text>
        <r>
          <rPr>
            <sz val="10"/>
            <rFont val="Arial"/>
            <family val="2"/>
          </rPr>
          <t xml:space="preserve">Automático: la fecha más reciente cargada en la hoja Seguimiento para este N°.</t>
        </r>
      </text>
    </comment>
    <comment ref="Z1" authorId="0">
      <text>
        <r>
          <rPr>
            <sz val="10"/>
            <rFont val="Arial"/>
            <family val="2"/>
          </rPr>
          <t xml:space="preserve">Automático: Valor estimado x % de comisión del tipo de lead (hoja Listas).</t>
        </r>
      </text>
    </comment>
    <comment ref="AA1" authorId="0">
      <text>
        <r>
          <rPr>
            <sz val="10"/>
            <rFont val="Arial"/>
            <family val="2"/>
          </rPr>
          <t xml:space="preserve">¿La persona aceptó que la contactes (ej. tildó el consentimiento del formulario)? Ley 25.326 de datos personales.</t>
        </r>
      </text>
    </comment>
    <comment ref="AB1" authorId="0">
      <text>
        <r>
          <rPr>
            <sz val="10"/>
            <rFont val="Arial"/>
            <family val="2"/>
          </rPr>
          <t xml:space="preserve">El 'id' que trae cada lead al descargarlo de los formularios de Meta. Sirve para informarle a Meta qué leads avanzaron.</t>
        </r>
      </text>
    </comment>
    <comment ref="AC1" authorId="0">
      <text>
        <r>
          <rPr>
            <sz val="10"/>
            <rFont val="Arial"/>
            <family val="2"/>
          </rPr>
          <t xml:space="preserve">Identificador de clic de Google Ads. Se captura con un campo oculto en el formulario de tu web. Sirve para informarle a Google qué leads avanzaron.</t>
        </r>
      </text>
    </comment>
    <comment ref="AD1" authorId="0">
      <text>
        <r>
          <rPr>
            <sz val="10"/>
            <rFont val="Arial"/>
            <family val="2"/>
          </rPr>
          <t xml:space="preserve">Automático, solo para leads de Meta/Google: qué hito alcanzó. Subilo cada semana y marcá '¿Informado?' = Sí.</t>
        </r>
      </text>
    </comment>
    <comment ref="AG1" authorId="0">
      <text>
        <r>
          <rPr>
            <sz val="10"/>
            <rFont val="Arial"/>
            <family val="2"/>
          </rPr>
          <t xml:space="preserve">Columna auxiliar oculta para el Panel.</t>
        </r>
      </text>
    </comment>
  </commentList>
</comments>
</file>

<file path=xl/comments4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1" authorId="0">
      <text>
        <r>
          <rPr>
            <sz val="10"/>
            <rFont val="Arial"/>
            <family val="2"/>
          </rPr>
          <t xml:space="preserve">El N° de la hoja Leads. Con eso se completan Nombre y Tipo, y se actualiza 'Último contacto' en Leads.</t>
        </r>
      </text>
    </comment>
  </commentList>
</comments>
</file>

<file path=xl/comments5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2" authorId="0">
      <text>
        <r>
          <rPr>
            <sz val="10"/>
            <rFont val="Arial"/>
            <family val="2"/>
          </rPr>
          <t xml:space="preserve">Valores de ejemplo, no un dato oficial. Ajustá cada % a lo que cobrás y a lo que permite tu colegio/jurisdicción. En alquileres, cargá la comisión directo en 'Valor estimado' de Leads y poné 100% acá.</t>
        </r>
      </text>
    </comment>
  </commentList>
</comments>
</file>

<file path=xl/sharedStrings.xml><?xml version="1.0" encoding="utf-8"?>
<sst xmlns="http://schemas.openxmlformats.org/spreadsheetml/2006/main" count="283" uniqueCount="230">
  <si>
    <t xml:space="preserve">CRM Inmobiliario - Cómo usarlo</t>
  </si>
  <si>
    <t xml:space="preserve">Las hojas</t>
  </si>
  <si>
    <t xml:space="preserve">Panel</t>
  </si>
  <si>
    <t xml:space="preserve">Resumen: leads por canal, % de colegas, costo por lead calificado, acciones vencidas y embudo.</t>
  </si>
  <si>
    <t xml:space="preserve">Leads</t>
  </si>
  <si>
    <t xml:space="preserve">Una fila por persona que te consulta. Es la hoja principal.</t>
  </si>
  <si>
    <t xml:space="preserve">Seguimiento</t>
  </si>
  <si>
    <t xml:space="preserve">Una fila por cada contacto (WhatsApp, llamada, tasación). Actualiza solo el 'Último contacto' del lead.</t>
  </si>
  <si>
    <t xml:space="preserve">Listas</t>
  </si>
  <si>
    <t xml:space="preserve">Las opciones de los menús desplegables y el % de comisión por tipo de lead. Podés agregar opciones.</t>
  </si>
  <si>
    <t xml:space="preserve">Día a día</t>
  </si>
  <si>
    <t xml:space="preserve">1. Entra un lead</t>
  </si>
  <si>
    <t xml:space="preserve">Cargalo en Leads con el 'Próximo N° libre' que muestra el Panel. Completá sí o sí Fecha, Nombre, Teléfono, Tipo, Origen y Etapa.</t>
  </si>
  <si>
    <t xml:space="preserve">2. Lo contactás</t>
  </si>
  <si>
    <t xml:space="preserve">Anotalo en Seguimiento con el N° del lead. Actualizá Etapa, Próxima acción y su fecha en Leads.</t>
  </si>
  <si>
    <t xml:space="preserve">3. Es un colega</t>
  </si>
  <si>
    <t xml:space="preserve">Tipo = 'Colega inmobiliario', Etapa = 'Descartado', Motivo = 'Es colega inmobiliario'. El Panel calcula el % de colegas por canal.</t>
  </si>
  <si>
    <t xml:space="preserve">4. Cada mañana</t>
  </si>
  <si>
    <t xml:space="preserve">Filtrá la columna Alerta de Leads por 'Vencida' y 'Hoy'.</t>
  </si>
  <si>
    <t xml:space="preserve">Etapas</t>
  </si>
  <si>
    <t xml:space="preserve">1 a 8</t>
  </si>
  <si>
    <t xml:space="preserve">Avance real: Nuevo → Contactado → Calificado → Tasación/visita agendada → Tasación/visita hecha → Captada / oferta → Reservado → Cerrado.</t>
  </si>
  <si>
    <t xml:space="preserve">Calificado</t>
  </si>
  <si>
    <t xml:space="preserve">Definilo vos y respetalo. Sugerencia: es dueño o comprador real, está en tu zona y tiene un plazo de menos de 12 meses.</t>
  </si>
  <si>
    <t xml:space="preserve">Perdido</t>
  </si>
  <si>
    <t xml:space="preserve">Era un cliente posible pero no se dio (eligió a otro, no responde, etc.).</t>
  </si>
  <si>
    <t xml:space="preserve">Descartado</t>
  </si>
  <si>
    <t xml:space="preserve">Nunca fue un cliente posible: colega, spam, datos falsos.</t>
  </si>
  <si>
    <t xml:space="preserve">Una vez por semana: informarle a Meta y Google qué leads sirvieron</t>
  </si>
  <si>
    <t xml:space="preserve">Para qué</t>
  </si>
  <si>
    <t xml:space="preserve">Si Meta y Google saben qué leads llegaron a tasación o cierre, aprenden a buscar gente parecida y a evitar colegas y curiosos.</t>
  </si>
  <si>
    <t xml:space="preserve">Cómo</t>
  </si>
  <si>
    <t xml:space="preserve">En Leads, filtrá 'Evento a informar' (no vacío) y '¿Informado a Meta/Google?' = No. Subí esos leads (email, teléfono, nombre, ID lead Meta o GCLID, evento y fecha) en el Administrador de eventos de Meta y en Conversiones de Google Ads. Después marcá '¿Informado?' = Sí.</t>
  </si>
  <si>
    <t xml:space="preserve">Necesitás</t>
  </si>
  <si>
    <t xml:space="preserve">ID lead Meta: viene en la descarga de leads de los formularios de Meta. GCLID: tu web tiene que guardarlo en un campo oculto del formulario.</t>
  </si>
  <si>
    <t xml:space="preserve">Colores</t>
  </si>
  <si>
    <t xml:space="preserve">Celda amarilla</t>
  </si>
  <si>
    <t xml:space="preserve">Dato que cargás vos en Panel y Listas (fechas, inversión, % comisión).</t>
  </si>
  <si>
    <t xml:space="preserve">Columna gris</t>
  </si>
  <si>
    <t xml:space="preserve">Automática (fórmula). No la escribas encima.</t>
  </si>
  <si>
    <t xml:space="preserve">Alerta roja / amarilla</t>
  </si>
  <si>
    <t xml:space="preserve">Acción vencida / para hoy.</t>
  </si>
  <si>
    <t xml:space="preserve">Fila gris clara</t>
  </si>
  <si>
    <t xml:space="preserve">Lead perdido o descartado.</t>
  </si>
  <si>
    <t xml:space="preserve">Fila verde</t>
  </si>
  <si>
    <t xml:space="preserve">Operación cerrada.</t>
  </si>
  <si>
    <t xml:space="preserve">Antes de empezar</t>
  </si>
  <si>
    <t xml:space="preserve">Ejemplos</t>
  </si>
  <si>
    <t xml:space="preserve">Las filas 2 a 4 de Leads y de Seguimiento son ejemplos. Eliminalas (clic derecho → Eliminar → Filas de la tabla); no borres solo el contenido porque perderías las fórmulas.</t>
  </si>
  <si>
    <t xml:space="preserve">Comisión</t>
  </si>
  <si>
    <t xml:space="preserve">Los % de la hoja Listas son de ejemplo. Ajustalos a lo que cobrás.</t>
  </si>
  <si>
    <t xml:space="preserve">Capacidad</t>
  </si>
  <si>
    <t xml:space="preserve">Leads tiene fórmulas listas para 2.000 filas y Seguimiento para 1.000. Si te pasás, copiá la última fila hacia abajo.</t>
  </si>
  <si>
    <t xml:space="preserve">Datos personales</t>
  </si>
  <si>
    <t xml:space="preserve">Cargá solo datos que la persona te dio y registrá si aceptó que la contactes (Ley 25.326). No compartas el archivo con terceros.</t>
  </si>
  <si>
    <t xml:space="preserve">OneDrive</t>
  </si>
  <si>
    <t xml:space="preserve">Funciona en Excel de escritorio y en Excel online. Subilo a OneDrive y abrilo desde ahí.</t>
  </si>
  <si>
    <t xml:space="preserve">CRM Inmobiliario - Panel</t>
  </si>
  <si>
    <t xml:space="preserve">Cambiá las fechas (celdas amarillas) para ver otro período. Las tablas por canal y por tipo cuentan leads ingresados en ese período.</t>
  </si>
  <si>
    <t xml:space="preserve">Desde</t>
  </si>
  <si>
    <t xml:space="preserve">Próximo N° libre</t>
  </si>
  <si>
    <t xml:space="preserve">Hasta</t>
  </si>
  <si>
    <t xml:space="preserve">Resumen del período</t>
  </si>
  <si>
    <t xml:space="preserve">Hoy (todas las fechas)</t>
  </si>
  <si>
    <t xml:space="preserve">Leads ingresados</t>
  </si>
  <si>
    <t xml:space="preserve">Acciones vencidas</t>
  </si>
  <si>
    <t xml:space="preserve">Calificados (etapa 3 a 8)</t>
  </si>
  <si>
    <t xml:space="preserve">Acciones para hoy</t>
  </si>
  <si>
    <t xml:space="preserve">Tasaciones / visitas (etapa 4 a 8)</t>
  </si>
  <si>
    <t xml:space="preserve">Leads activos (etapa 1 a 7)</t>
  </si>
  <si>
    <t xml:space="preserve">Cierres</t>
  </si>
  <si>
    <t xml:space="preserve">Comisión estimada en juego (USD)</t>
  </si>
  <si>
    <t xml:space="preserve">Colegas inmobiliarios</t>
  </si>
  <si>
    <t xml:space="preserve">% colegas</t>
  </si>
  <si>
    <t xml:space="preserve">Inversión en anuncios</t>
  </si>
  <si>
    <t xml:space="preserve">Costo por lead calificado (anuncios)</t>
  </si>
  <si>
    <t xml:space="preserve">Por canal de origen (período)</t>
  </si>
  <si>
    <t xml:space="preserve">Origen</t>
  </si>
  <si>
    <t xml:space="preserve">Colegas</t>
  </si>
  <si>
    <t xml:space="preserve">Calificados</t>
  </si>
  <si>
    <t xml:space="preserve">Tasaciones / visitas</t>
  </si>
  <si>
    <t xml:space="preserve">Inversión ($)</t>
  </si>
  <si>
    <t xml:space="preserve">Costo por lead</t>
  </si>
  <si>
    <t xml:space="preserve">Costo por calificado</t>
  </si>
  <si>
    <t xml:space="preserve">Costo por tasación / visita</t>
  </si>
  <si>
    <t xml:space="preserve">% colegas en rojo = 20% o más (umbral orientativo). Si un canal trae muchos, revisá segmentación, anuncio y formulario de ese canal.</t>
  </si>
  <si>
    <t xml:space="preserve">Por tipo de lead (período)</t>
  </si>
  <si>
    <t xml:space="preserve">Tipo de lead</t>
  </si>
  <si>
    <t xml:space="preserve">Embudo actual (todos los leads, sin filtro de fecha)</t>
  </si>
  <si>
    <t xml:space="preserve">Etapa</t>
  </si>
  <si>
    <t xml:space="preserve">Cantidad</t>
  </si>
  <si>
    <t xml:space="preserve">Valor estimado (USD)</t>
  </si>
  <si>
    <t xml:space="preserve">Comisión estimada (USD)</t>
  </si>
  <si>
    <t xml:space="preserve">N°</t>
  </si>
  <si>
    <t xml:space="preserve">Fecha ingreso</t>
  </si>
  <si>
    <t xml:space="preserve">Nombre</t>
  </si>
  <si>
    <t xml:space="preserve">Apellido</t>
  </si>
  <si>
    <t xml:space="preserve">Teléfono / WhatsApp</t>
  </si>
  <si>
    <t xml:space="preserve">Email</t>
  </si>
  <si>
    <t xml:space="preserve">Campaña</t>
  </si>
  <si>
    <t xml:space="preserve">Anuncio / palabra clave</t>
  </si>
  <si>
    <t xml:space="preserve">Zona / barrio</t>
  </si>
  <si>
    <t xml:space="preserve">Tipo de propiedad</t>
  </si>
  <si>
    <t xml:space="preserve">Ambientes</t>
  </si>
  <si>
    <t xml:space="preserve">Dirección (vendedores)</t>
  </si>
  <si>
    <t xml:space="preserve">Plazo</t>
  </si>
  <si>
    <t xml:space="preserve">Forma de pago (compradores)</t>
  </si>
  <si>
    <t xml:space="preserve">Temperatura</t>
  </si>
  <si>
    <t xml:space="preserve">Motivo pérdida / descarte</t>
  </si>
  <si>
    <t xml:space="preserve">Próxima acción</t>
  </si>
  <si>
    <t xml:space="preserve">Fecha próxima acción</t>
  </si>
  <si>
    <t xml:space="preserve">Alerta</t>
  </si>
  <si>
    <t xml:space="preserve">Último contacto</t>
  </si>
  <si>
    <t xml:space="preserve">Días desde ingreso</t>
  </si>
  <si>
    <t xml:space="preserve">Consentimiento de contacto</t>
  </si>
  <si>
    <t xml:space="preserve">ID lead Meta</t>
  </si>
  <si>
    <t xml:space="preserve">GCLID (Google)</t>
  </si>
  <si>
    <t xml:space="preserve">Evento a informar</t>
  </si>
  <si>
    <t xml:space="preserve">¿Informado a Meta/Google?</t>
  </si>
  <si>
    <t xml:space="preserve">Notas</t>
  </si>
  <si>
    <t xml:space="preserve">N° etapa</t>
  </si>
  <si>
    <t xml:space="preserve">Laura</t>
  </si>
  <si>
    <t xml:space="preserve">Gómez</t>
  </si>
  <si>
    <t xml:space="preserve">+54 9 11 5555-0101</t>
  </si>
  <si>
    <t xml:space="preserve">laura.gomez@example.com</t>
  </si>
  <si>
    <t xml:space="preserve">Vendedor</t>
  </si>
  <si>
    <t xml:space="preserve">Meta Ads (formulario)</t>
  </si>
  <si>
    <t xml:space="preserve">Vendedores - Caballito</t>
  </si>
  <si>
    <t xml:space="preserve">Video tasación sin cargo</t>
  </si>
  <si>
    <t xml:space="preserve">Caballito</t>
  </si>
  <si>
    <t xml:space="preserve">Departamento</t>
  </si>
  <si>
    <t xml:space="preserve">Av. Ejemplo 1234 5°B</t>
  </si>
  <si>
    <t xml:space="preserve">3 a 6 meses</t>
  </si>
  <si>
    <t xml:space="preserve">4. Tasación/visita agendada</t>
  </si>
  <si>
    <t xml:space="preserve">Caliente</t>
  </si>
  <si>
    <t xml:space="preserve">Tasar el departamento</t>
  </si>
  <si>
    <t xml:space="preserve">Sí</t>
  </si>
  <si>
    <t xml:space="preserve">000000000000001</t>
  </si>
  <si>
    <t xml:space="preserve">No</t>
  </si>
  <si>
    <t xml:space="preserve">EJEMPLO - borrá esta fila</t>
  </si>
  <si>
    <t xml:space="preserve">Martín</t>
  </si>
  <si>
    <t xml:space="preserve">Pérez</t>
  </si>
  <si>
    <t xml:space="preserve">+54 9 11 5555-0202</t>
  </si>
  <si>
    <t xml:space="preserve">martin.perez@example.com</t>
  </si>
  <si>
    <t xml:space="preserve">Comprador</t>
  </si>
  <si>
    <t xml:space="preserve">Google Ads (búsqueda)</t>
  </si>
  <si>
    <t xml:space="preserve">Compradores - Palermo</t>
  </si>
  <si>
    <t xml:space="preserve">comprar departamento 2 ambientes palermo</t>
  </si>
  <si>
    <t xml:space="preserve">Palermo</t>
  </si>
  <si>
    <t xml:space="preserve">Inmediato (0-3 meses)</t>
  </si>
  <si>
    <t xml:space="preserve">Crédito hipotecario</t>
  </si>
  <si>
    <t xml:space="preserve">3. Calificado</t>
  </si>
  <si>
    <t xml:space="preserve">Tibio</t>
  </si>
  <si>
    <t xml:space="preserve">Mandar 3 opciones de 2 ambientes</t>
  </si>
  <si>
    <t xml:space="preserve">EJEMPLO-gclid-123</t>
  </si>
  <si>
    <t xml:space="preserve">Sofía</t>
  </si>
  <si>
    <t xml:space="preserve">Ruiz</t>
  </si>
  <si>
    <t xml:space="preserve">+54 9 11 5555-0303</t>
  </si>
  <si>
    <t xml:space="preserve">sofia.ruiz@example.com</t>
  </si>
  <si>
    <t xml:space="preserve">Colega inmobiliario</t>
  </si>
  <si>
    <t xml:space="preserve">Carrusel del barrio</t>
  </si>
  <si>
    <t xml:space="preserve">Es colega inmobiliario</t>
  </si>
  <si>
    <t xml:space="preserve">000000000000002</t>
  </si>
  <si>
    <t xml:space="preserve">EJEMPLO - es agente, dejó datos para ofrecer un servicio. Borrá esta fila</t>
  </si>
  <si>
    <t xml:space="preserve">Fecha</t>
  </si>
  <si>
    <t xml:space="preserve">N° lead</t>
  </si>
  <si>
    <t xml:space="preserve">Nombre (auto)</t>
  </si>
  <si>
    <t xml:space="preserve">Tipo (auto)</t>
  </si>
  <si>
    <t xml:space="preserve">Canal</t>
  </si>
  <si>
    <t xml:space="preserve">Qué pasó</t>
  </si>
  <si>
    <t xml:space="preserve">Próximo paso</t>
  </si>
  <si>
    <t xml:space="preserve">WhatsApp</t>
  </si>
  <si>
    <t xml:space="preserve">Primer contacto. Quiere vender en 2027 pero tasar ya.</t>
  </si>
  <si>
    <t xml:space="preserve">Agendar tasación</t>
  </si>
  <si>
    <t xml:space="preserve">Llamada</t>
  </si>
  <si>
    <t xml:space="preserve">Confirmó tasación para el 14/10.</t>
  </si>
  <si>
    <t xml:space="preserve">Ir a tasar</t>
  </si>
  <si>
    <t xml:space="preserve">Busca 2 ambientes con balcón, crédito preaprobado.</t>
  </si>
  <si>
    <t xml:space="preserve">Mandar opciones</t>
  </si>
  <si>
    <t xml:space="preserve">% comisión</t>
  </si>
  <si>
    <t xml:space="preserve">Forma de pago</t>
  </si>
  <si>
    <t xml:space="preserve">Sí / No</t>
  </si>
  <si>
    <t xml:space="preserve">Canal de contacto</t>
  </si>
  <si>
    <t xml:space="preserve">Cómo usar esta hoja</t>
  </si>
  <si>
    <t xml:space="preserve">Contado</t>
  </si>
  <si>
    <t xml:space="preserve">1. Nuevo</t>
  </si>
  <si>
    <t xml:space="preserve">Para sumar una opción, escribila debajo de la última de su lista.</t>
  </si>
  <si>
    <t xml:space="preserve">Meta Ads (WhatsApp/mensaje)</t>
  </si>
  <si>
    <t xml:space="preserve">Casa</t>
  </si>
  <si>
    <t xml:space="preserve">2. Contactado</t>
  </si>
  <si>
    <t xml:space="preserve">Datos falsos</t>
  </si>
  <si>
    <t xml:space="preserve">Los menús de Leads y Seguimiento la toman sola.</t>
  </si>
  <si>
    <t xml:space="preserve">Inversor</t>
  </si>
  <si>
    <t xml:space="preserve">PH</t>
  </si>
  <si>
    <t xml:space="preserve">6 a 12 meses</t>
  </si>
  <si>
    <t xml:space="preserve">Permuta</t>
  </si>
  <si>
    <t xml:space="preserve">Frío</t>
  </si>
  <si>
    <t xml:space="preserve">No responde</t>
  </si>
  <si>
    <t xml:space="preserve">No dejes celdas vacías en el medio de una lista.</t>
  </si>
  <si>
    <t xml:space="preserve">Propietario (alquiler)</t>
  </si>
  <si>
    <t xml:space="preserve">Instagram orgánico</t>
  </si>
  <si>
    <t xml:space="preserve">Terreno</t>
  </si>
  <si>
    <t xml:space="preserve">Más de 12 meses</t>
  </si>
  <si>
    <t xml:space="preserve">Necesita vender primero</t>
  </si>
  <si>
    <t xml:space="preserve">Solo curiosidad</t>
  </si>
  <si>
    <t xml:space="preserve">Reunión / tasación</t>
  </si>
  <si>
    <t xml:space="preserve">No cambies el orden de 'Etapa': el Panel usa la posición (1 a 8 = avance).</t>
  </si>
  <si>
    <t xml:space="preserve">Inquilino</t>
  </si>
  <si>
    <t xml:space="preserve">Facebook orgánico</t>
  </si>
  <si>
    <t xml:space="preserve">Local</t>
  </si>
  <si>
    <t xml:space="preserve">No sabe</t>
  </si>
  <si>
    <t xml:space="preserve">5. Tasación/visita hecha</t>
  </si>
  <si>
    <t xml:space="preserve">Fuera de zona</t>
  </si>
  <si>
    <t xml:space="preserve">Visita</t>
  </si>
  <si>
    <t xml:space="preserve">Portales (Zonaprop/Argenprop/ML)</t>
  </si>
  <si>
    <t xml:space="preserve">Oficina</t>
  </si>
  <si>
    <t xml:space="preserve">6. Captada / oferta</t>
  </si>
  <si>
    <t xml:space="preserve">Precio fuera de mercado</t>
  </si>
  <si>
    <t xml:space="preserve">Mensaje Instagram/Facebook</t>
  </si>
  <si>
    <t xml:space="preserve">Spam / datos falsos</t>
  </si>
  <si>
    <t xml:space="preserve">Web propia</t>
  </si>
  <si>
    <t xml:space="preserve">Cochera</t>
  </si>
  <si>
    <t xml:space="preserve">7. Reservado</t>
  </si>
  <si>
    <t xml:space="preserve">Eligió otra inmobiliaria</t>
  </si>
  <si>
    <t xml:space="preserve">Otro</t>
  </si>
  <si>
    <t xml:space="preserve">Referido</t>
  </si>
  <si>
    <t xml:space="preserve">8. Cerrado (ganado)</t>
  </si>
  <si>
    <t xml:space="preserve">Ya vendió / compró</t>
  </si>
  <si>
    <t xml:space="preserve">Cartel en propiedad</t>
  </si>
  <si>
    <t xml:space="preserve">Base propia / ex clientes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</si>
</sst>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dd/mm/yyyy"/>
    <numFmt numFmtId="166" formatCode="0"/>
    <numFmt numFmtId="167" formatCode="&quot;US$ &quot;#,##0;&quot;-US$ &quot;#,##0;\-"/>
    <numFmt numFmtId="168" formatCode="0.0%"/>
    <numFmt numFmtId="169" formatCode="&quot;$ &quot;#,##0;&quot;-$ &quot;#,##0;\-"/>
    <numFmt numFmtId="170" formatCode="0;\-0;;@"/>
    <numFmt numFmtId="171" formatCode="@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864"/>
      <name val="Arial"/>
      <family val="0"/>
      <charset val="1"/>
    </font>
    <font>
      <b val="true"/>
      <sz val="12"/>
      <color rgb="FF1F386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color rgb="FF9C0006"/>
      <name val="Arial"/>
      <family val="0"/>
      <charset val="1"/>
    </font>
    <font>
      <b val="true"/>
      <sz val="11"/>
      <color rgb="FFA6A6A6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rgb="FFFFF2CC"/>
        <bgColor rgb="FFF2F2F2"/>
      </patternFill>
    </fill>
    <fill>
      <patternFill patternType="solid">
        <fgColor rgb="FFF2F2F2"/>
        <bgColor rgb="FFE2EFDA"/>
      </patternFill>
    </fill>
    <fill>
      <patternFill patternType="solid">
        <fgColor rgb="FFF8CBAD"/>
        <bgColor rgb="FFFFEB9C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DEBF7"/>
      </patternFill>
    </fill>
    <fill>
      <patternFill patternType="solid">
        <fgColor rgb="FF1F4E79"/>
        <bgColor rgb="FF1F3864"/>
      </patternFill>
    </fill>
    <fill>
      <patternFill patternType="solid">
        <fgColor rgb="FFBF8F00"/>
        <bgColor rgb="FFC55A11"/>
      </patternFill>
    </fill>
    <fill>
      <patternFill patternType="solid">
        <fgColor rgb="FF548235"/>
        <bgColor rgb="FF339966"/>
      </patternFill>
    </fill>
    <fill>
      <patternFill patternType="solid">
        <fgColor rgb="FFC55A11"/>
        <bgColor rgb="FF9C5700"/>
      </patternFill>
    </fill>
    <fill>
      <patternFill patternType="solid">
        <fgColor rgb="FF7030A0"/>
        <bgColor rgb="FF993366"/>
      </patternFill>
    </fill>
    <fill>
      <patternFill patternType="solid">
        <fgColor rgb="FF7F7F7F"/>
        <bgColor rgb="FF548235"/>
      </patternFill>
    </fill>
    <fill>
      <patternFill patternType="solid">
        <fgColor rgb="FF203864"/>
        <bgColor rgb="FF1F3864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1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7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8" fontId="11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1">
    <dxf>
      <font>
        <name val="Arial"/>
        <charset val="1"/>
        <family val="0"/>
        <b val="1"/>
        <color rgb="FF9C0006"/>
      </font>
      <fill>
        <patternFill>
          <bgColor rgb="FFF8CBAD"/>
        </patternFill>
      </fill>
    </dxf>
    <dxf>
      <fill>
        <patternFill patternType="solid">
          <fgColor rgb="FF1F4E79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A6A6A6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7030A0"/>
          <bgColor rgb="FF000000"/>
        </patternFill>
      </fill>
    </dxf>
    <dxf>
      <fill>
        <patternFill patternType="solid">
          <fgColor rgb="FF548235"/>
          <bgColor rgb="FF000000"/>
        </patternFill>
      </fill>
    </dxf>
    <dxf>
      <fill>
        <patternFill patternType="solid">
          <fgColor rgb="FFC55A11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7F7F7F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9C0006"/>
          <bgColor rgb="FF000000"/>
        </patternFill>
      </fill>
    </dxf>
    <dxf>
      <fill>
        <patternFill patternType="solid">
          <fgColor rgb="FF203864"/>
          <bgColor rgb="FF000000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ill>
        <patternFill>
          <bgColor rgb="FFF8CBAD"/>
        </patternFill>
      </fill>
    </dxf>
    <dxf>
      <fill>
        <patternFill>
          <bgColor rgb="FFFFEB9C"/>
        </patternFill>
      </fill>
    </dxf>
    <dxf>
      <fill>
        <patternFill>
          <bgColor rgb="FFDDEBF7"/>
        </patternFill>
      </fill>
    </dxf>
    <dxf>
      <font>
        <name val="Arial"/>
        <charset val="1"/>
        <family val="0"/>
        <color rgb="FFA6A6A6"/>
      </font>
    </dxf>
    <dxf>
      <fill>
        <patternFill>
          <bgColor rgb="FFE2EFDA"/>
        </patternFill>
      </fill>
    </dxf>
    <dxf>
      <font>
        <name val="Arial"/>
        <charset val="1"/>
        <family val="0"/>
        <color rgb="FF9C0006"/>
      </font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548235"/>
      <rgbColor rgb="FF800080"/>
      <rgbColor rgb="FF008080"/>
      <rgbColor rgb="FFBFBFBF"/>
      <rgbColor rgb="FF7F7F7F"/>
      <rgbColor rgb="FF9999FF"/>
      <rgbColor rgb="FF7030A0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EB9C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BF8F00"/>
      <rgbColor rgb="FFC55A11"/>
      <rgbColor rgb="FF595959"/>
      <rgbColor rgb="FFA6A6A6"/>
      <rgbColor rgb="FF1F3864"/>
      <rgbColor rgb="FF339966"/>
      <rgbColor rgb="FF003300"/>
      <rgbColor rgb="FF333300"/>
      <rgbColor rgb="FF9C5700"/>
      <rgbColor rgb="FF993366"/>
      <rgbColor rgb="FF1F4E79"/>
      <rgbColor rgb="FF20386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tblLeads" displayName="tblLeads" ref="A1:AG2001" headerRowCount="1" totalsRowCount="0" totalsRowShown="0">
  <autoFilter ref="A1:AG2001"/>
  <tableColumns count="33">
    <tableColumn id="1" name="N°"/>
    <tableColumn id="2" name="Fecha ingreso"/>
    <tableColumn id="3" name="Nombre"/>
    <tableColumn id="4" name="Apellido"/>
    <tableColumn id="5" name="Teléfono / WhatsApp"/>
    <tableColumn id="6" name="Email"/>
    <tableColumn id="7" name="Tipo de lead"/>
    <tableColumn id="8" name="Origen"/>
    <tableColumn id="9" name="Campaña"/>
    <tableColumn id="10" name="Anuncio / palabra clave"/>
    <tableColumn id="11" name="Zona / barrio"/>
    <tableColumn id="12" name="Tipo de propiedad"/>
    <tableColumn id="13" name="Ambientes"/>
    <tableColumn id="14" name="Dirección (vendedores)"/>
    <tableColumn id="15" name="Valor estimado (USD)"/>
    <tableColumn id="16" name="Plazo"/>
    <tableColumn id="17" name="Forma de pago (compradores)"/>
    <tableColumn id="18" name="Etapa"/>
    <tableColumn id="19" name="Temperatura"/>
    <tableColumn id="20" name="Motivo pérdida / descarte"/>
    <tableColumn id="21" name="Próxima acción"/>
    <tableColumn id="22" name="Fecha próxima acción"/>
    <tableColumn id="23" name="Alerta"/>
    <tableColumn id="24" name="Último contacto"/>
    <tableColumn id="25" name="Días desde ingreso"/>
    <tableColumn id="26" name="Comisión estimada (USD)"/>
    <tableColumn id="27" name="Consentimiento de contacto"/>
    <tableColumn id="28" name="ID lead Meta"/>
    <tableColumn id="29" name="GCLID (Google)"/>
    <tableColumn id="30" name="Evento a informar"/>
    <tableColumn id="31" name="¿Informado a Meta/Google?"/>
    <tableColumn id="32" name="Notas"/>
    <tableColumn id="33" name="N° etapa"/>
  </tableColumns>
</table>
</file>

<file path=xl/tables/table2.xml><?xml version="1.0" encoding="utf-8"?>
<table xmlns="http://schemas.openxmlformats.org/spreadsheetml/2006/main" id="2" name="tblSeguimiento" displayName="tblSeguimiento" ref="A1:G1001" headerRowCount="1" totalsRowCount="0" totalsRowShown="0">
  <autoFilter ref="A1:G1001"/>
  <tableColumns count="7">
    <tableColumn id="1" name="Fecha"/>
    <tableColumn id="2" name="N° lead"/>
    <tableColumn id="3" name="Nombre (auto)"/>
    <tableColumn id="4" name="Tipo (auto)"/>
    <tableColumn id="5" name="Canal"/>
    <tableColumn id="6" name="Qué pasó"/>
    <tableColumn id="7" name="Próximo paso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<Relationship Id="rId3" Type="http://schemas.openxmlformats.org/officeDocument/2006/relationships/table" Target="../tables/table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3.vml"/><Relationship Id="rId3" Type="http://schemas.openxmlformats.org/officeDocument/2006/relationships/table" Target="../tables/table2.xm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vmlDrawing" Target="../drawings/vmlDrawing4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true"/>
  </sheetPr>
  <dimension ref="B1:C3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3" min="3" style="0" width="95"/>
  </cols>
  <sheetData>
    <row r="1" customFormat="false" ht="19.7" hidden="false" customHeight="false" outlineLevel="0" collapsed="false">
      <c r="B1" s="1" t="s">
        <v>0</v>
      </c>
    </row>
    <row r="4" customFormat="false" ht="15" hidden="false" customHeight="false" outlineLevel="0" collapsed="false">
      <c r="B4" s="2" t="s">
        <v>1</v>
      </c>
    </row>
    <row r="5" customFormat="false" ht="15.75" hidden="false" customHeight="true" outlineLevel="0" collapsed="false">
      <c r="B5" s="3" t="s">
        <v>2</v>
      </c>
      <c r="C5" s="4" t="s">
        <v>3</v>
      </c>
    </row>
    <row r="6" customFormat="false" ht="15.75" hidden="false" customHeight="true" outlineLevel="0" collapsed="false">
      <c r="B6" s="3" t="s">
        <v>4</v>
      </c>
      <c r="C6" s="4" t="s">
        <v>5</v>
      </c>
    </row>
    <row r="7" customFormat="false" ht="30" hidden="false" customHeight="true" outlineLevel="0" collapsed="false">
      <c r="B7" s="3" t="s">
        <v>6</v>
      </c>
      <c r="C7" s="4" t="s">
        <v>7</v>
      </c>
    </row>
    <row r="8" customFormat="false" ht="30" hidden="false" customHeight="true" outlineLevel="0" collapsed="false">
      <c r="B8" s="3" t="s">
        <v>8</v>
      </c>
      <c r="C8" s="4" t="s">
        <v>9</v>
      </c>
    </row>
    <row r="10" customFormat="false" ht="15" hidden="false" customHeight="false" outlineLevel="0" collapsed="false">
      <c r="B10" s="2" t="s">
        <v>10</v>
      </c>
    </row>
    <row r="11" customFormat="false" ht="30" hidden="false" customHeight="true" outlineLevel="0" collapsed="false">
      <c r="B11" s="3" t="s">
        <v>11</v>
      </c>
      <c r="C11" s="4" t="s">
        <v>12</v>
      </c>
    </row>
    <row r="12" customFormat="false" ht="15.75" hidden="false" customHeight="true" outlineLevel="0" collapsed="false">
      <c r="B12" s="3" t="s">
        <v>13</v>
      </c>
      <c r="C12" s="4" t="s">
        <v>14</v>
      </c>
    </row>
    <row r="13" customFormat="false" ht="30" hidden="false" customHeight="true" outlineLevel="0" collapsed="false">
      <c r="B13" s="3" t="s">
        <v>15</v>
      </c>
      <c r="C13" s="4" t="s">
        <v>16</v>
      </c>
    </row>
    <row r="14" customFormat="false" ht="15.75" hidden="false" customHeight="true" outlineLevel="0" collapsed="false">
      <c r="B14" s="3" t="s">
        <v>17</v>
      </c>
      <c r="C14" s="4" t="s">
        <v>18</v>
      </c>
    </row>
    <row r="16" customFormat="false" ht="15" hidden="false" customHeight="false" outlineLevel="0" collapsed="false">
      <c r="B16" s="2" t="s">
        <v>19</v>
      </c>
    </row>
    <row r="17" customFormat="false" ht="30" hidden="false" customHeight="true" outlineLevel="0" collapsed="false">
      <c r="B17" s="3" t="s">
        <v>20</v>
      </c>
      <c r="C17" s="4" t="s">
        <v>21</v>
      </c>
    </row>
    <row r="18" customFormat="false" ht="30" hidden="false" customHeight="true" outlineLevel="0" collapsed="false">
      <c r="B18" s="3" t="s">
        <v>22</v>
      </c>
      <c r="C18" s="4" t="s">
        <v>23</v>
      </c>
    </row>
    <row r="19" customFormat="false" ht="15.75" hidden="false" customHeight="true" outlineLevel="0" collapsed="false">
      <c r="B19" s="3" t="s">
        <v>24</v>
      </c>
      <c r="C19" s="4" t="s">
        <v>25</v>
      </c>
    </row>
    <row r="20" customFormat="false" ht="15.75" hidden="false" customHeight="true" outlineLevel="0" collapsed="false">
      <c r="B20" s="3" t="s">
        <v>26</v>
      </c>
      <c r="C20" s="4" t="s">
        <v>27</v>
      </c>
    </row>
    <row r="22" customFormat="false" ht="15" hidden="false" customHeight="false" outlineLevel="0" collapsed="false">
      <c r="B22" s="2" t="s">
        <v>28</v>
      </c>
    </row>
    <row r="23" customFormat="false" ht="30" hidden="false" customHeight="true" outlineLevel="0" collapsed="false">
      <c r="B23" s="3" t="s">
        <v>29</v>
      </c>
      <c r="C23" s="4" t="s">
        <v>30</v>
      </c>
    </row>
    <row r="24" customFormat="false" ht="43.5" hidden="false" customHeight="true" outlineLevel="0" collapsed="false">
      <c r="B24" s="3" t="s">
        <v>31</v>
      </c>
      <c r="C24" s="4" t="s">
        <v>32</v>
      </c>
    </row>
    <row r="25" customFormat="false" ht="30" hidden="false" customHeight="true" outlineLevel="0" collapsed="false">
      <c r="B25" s="3" t="s">
        <v>33</v>
      </c>
      <c r="C25" s="4" t="s">
        <v>34</v>
      </c>
    </row>
    <row r="27" customFormat="false" ht="15" hidden="false" customHeight="false" outlineLevel="0" collapsed="false">
      <c r="B27" s="2" t="s">
        <v>35</v>
      </c>
    </row>
    <row r="28" customFormat="false" ht="15.75" hidden="false" customHeight="true" outlineLevel="0" collapsed="false">
      <c r="B28" s="5" t="s">
        <v>36</v>
      </c>
      <c r="C28" s="4" t="s">
        <v>37</v>
      </c>
    </row>
    <row r="29" customFormat="false" ht="15.75" hidden="false" customHeight="true" outlineLevel="0" collapsed="false">
      <c r="B29" s="6" t="s">
        <v>38</v>
      </c>
      <c r="C29" s="4" t="s">
        <v>39</v>
      </c>
    </row>
    <row r="30" customFormat="false" ht="15.75" hidden="false" customHeight="true" outlineLevel="0" collapsed="false">
      <c r="B30" s="7" t="s">
        <v>40</v>
      </c>
      <c r="C30" s="4" t="s">
        <v>41</v>
      </c>
    </row>
    <row r="31" customFormat="false" ht="15.75" hidden="false" customHeight="true" outlineLevel="0" collapsed="false">
      <c r="B31" s="8" t="s">
        <v>42</v>
      </c>
      <c r="C31" s="4" t="s">
        <v>43</v>
      </c>
    </row>
    <row r="32" customFormat="false" ht="15.75" hidden="false" customHeight="true" outlineLevel="0" collapsed="false">
      <c r="B32" s="9" t="s">
        <v>44</v>
      </c>
      <c r="C32" s="4" t="s">
        <v>45</v>
      </c>
    </row>
    <row r="34" customFormat="false" ht="15" hidden="false" customHeight="false" outlineLevel="0" collapsed="false">
      <c r="B34" s="2" t="s">
        <v>46</v>
      </c>
    </row>
    <row r="35" customFormat="false" ht="30" hidden="false" customHeight="true" outlineLevel="0" collapsed="false">
      <c r="B35" s="3" t="s">
        <v>47</v>
      </c>
      <c r="C35" s="4" t="s">
        <v>48</v>
      </c>
    </row>
    <row r="36" customFormat="false" ht="15.75" hidden="false" customHeight="true" outlineLevel="0" collapsed="false">
      <c r="B36" s="3" t="s">
        <v>49</v>
      </c>
      <c r="C36" s="4" t="s">
        <v>50</v>
      </c>
    </row>
    <row r="37" customFormat="false" ht="30" hidden="false" customHeight="true" outlineLevel="0" collapsed="false">
      <c r="B37" s="3" t="s">
        <v>51</v>
      </c>
      <c r="C37" s="4" t="s">
        <v>52</v>
      </c>
    </row>
    <row r="38" customFormat="false" ht="30" hidden="false" customHeight="true" outlineLevel="0" collapsed="false">
      <c r="B38" s="3" t="s">
        <v>53</v>
      </c>
      <c r="C38" s="4" t="s">
        <v>54</v>
      </c>
    </row>
    <row r="39" customFormat="false" ht="15.75" hidden="false" customHeight="true" outlineLevel="0" collapsed="false">
      <c r="B39" s="3" t="s">
        <v>55</v>
      </c>
      <c r="C39" s="4" t="s">
        <v>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true"/>
  </sheetPr>
  <dimension ref="B1:L5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5" min="4" style="0" width="16"/>
    <col collapsed="false" customWidth="true" hidden="false" outlineLevel="0" max="7" min="6" style="0" width="13"/>
    <col collapsed="false" customWidth="true" hidden="false" outlineLevel="0" max="8" min="8" style="0" width="16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5"/>
    <col collapsed="false" customWidth="true" hidden="false" outlineLevel="0" max="12" min="12" style="0" width="16"/>
  </cols>
  <sheetData>
    <row r="1" customFormat="false" ht="19.7" hidden="false" customHeight="false" outlineLevel="0" collapsed="false">
      <c r="B1" s="1" t="s">
        <v>57</v>
      </c>
    </row>
    <row r="2" customFormat="false" ht="15" hidden="false" customHeight="false" outlineLevel="0" collapsed="false">
      <c r="B2" s="10" t="s">
        <v>58</v>
      </c>
    </row>
    <row r="4" customFormat="false" ht="15" hidden="false" customHeight="false" outlineLevel="0" collapsed="false">
      <c r="B4" s="11" t="s">
        <v>59</v>
      </c>
      <c r="C4" s="12" t="n">
        <v>46296</v>
      </c>
      <c r="E4" s="11" t="s">
        <v>60</v>
      </c>
      <c r="G4" s="2" t="n">
        <f aca="false">MAX(Leads!$A$2:$A$5001)+1</f>
        <v>4</v>
      </c>
    </row>
    <row r="5" customFormat="false" ht="15" hidden="false" customHeight="false" outlineLevel="0" collapsed="false">
      <c r="B5" s="11" t="s">
        <v>61</v>
      </c>
      <c r="C5" s="12" t="n">
        <v>46326</v>
      </c>
    </row>
    <row r="7" customFormat="false" ht="15" hidden="false" customHeight="false" outlineLevel="0" collapsed="false">
      <c r="B7" s="2" t="s">
        <v>62</v>
      </c>
      <c r="E7" s="2" t="s">
        <v>63</v>
      </c>
    </row>
    <row r="8" customFormat="false" ht="15" hidden="false" customHeight="false" outlineLevel="0" collapsed="false">
      <c r="B8" s="13" t="s">
        <v>64</v>
      </c>
      <c r="C8" s="14" t="n">
        <f aca="false">COUNTIFS(Leads!$B$2:$B$5001,"&gt;="&amp;$C$4,Leads!$B$2:$B$5001,"&lt;="&amp;$C$5)</f>
        <v>3</v>
      </c>
      <c r="E8" s="13" t="s">
        <v>65</v>
      </c>
      <c r="F8" s="13"/>
      <c r="G8" s="13"/>
      <c r="H8" s="14" t="n">
        <f aca="false">COUNTIF(Leads!$W$2:$W$5001,"Vencida")</f>
        <v>1</v>
      </c>
    </row>
    <row r="9" customFormat="false" ht="15" hidden="false" customHeight="false" outlineLevel="0" collapsed="false">
      <c r="B9" s="13" t="s">
        <v>66</v>
      </c>
      <c r="C9" s="14" t="n">
        <f aca="false">COUNTIFS(Leads!$B$2:$B$5001,"&gt;="&amp;$C$4,Leads!$B$2:$B$5001,"&lt;="&amp;$C$5,Leads!$AG$2:$AG$5001,"&gt;=3",Leads!$AG$2:$AG$5001,"&lt;=8")</f>
        <v>2</v>
      </c>
      <c r="E9" s="13" t="s">
        <v>67</v>
      </c>
      <c r="F9" s="13"/>
      <c r="G9" s="13"/>
      <c r="H9" s="14" t="n">
        <f aca="false">COUNTIF(Leads!$W$2:$W$5001,"Hoy")</f>
        <v>0</v>
      </c>
    </row>
    <row r="10" customFormat="false" ht="15" hidden="false" customHeight="false" outlineLevel="0" collapsed="false">
      <c r="B10" s="13" t="s">
        <v>68</v>
      </c>
      <c r="C10" s="14" t="n">
        <f aca="false">COUNTIFS(Leads!$B$2:$B$5001,"&gt;="&amp;$C$4,Leads!$B$2:$B$5001,"&lt;="&amp;$C$5,Leads!$AG$2:$AG$5001,"&gt;=4",Leads!$AG$2:$AG$5001,"&lt;=8")</f>
        <v>1</v>
      </c>
      <c r="E10" s="13" t="s">
        <v>69</v>
      </c>
      <c r="F10" s="13"/>
      <c r="G10" s="13"/>
      <c r="H10" s="14" t="n">
        <f aca="false">COUNTIFS(Leads!$AG$2:$AG$5001,"&gt;=1",Leads!$AG$2:$AG$5001,"&lt;=7")</f>
        <v>2</v>
      </c>
    </row>
    <row r="11" customFormat="false" ht="15" hidden="false" customHeight="false" outlineLevel="0" collapsed="false">
      <c r="B11" s="13" t="s">
        <v>70</v>
      </c>
      <c r="C11" s="14" t="n">
        <f aca="false">COUNTIFS(Leads!$B$2:$B$5001,"&gt;="&amp;$C$4,Leads!$B$2:$B$5001,"&lt;="&amp;$C$5,Leads!$AG$2:$AG$5001,8)</f>
        <v>0</v>
      </c>
      <c r="E11" s="13" t="s">
        <v>71</v>
      </c>
      <c r="F11" s="13"/>
      <c r="G11" s="13"/>
      <c r="H11" s="15" t="n">
        <f aca="false">SUMIFS(Leads!$Z$2:$Z$5001,Leads!$AG$2:$AG$5001,"&gt;=1",Leads!$AG$2:$AG$5001,"&lt;=7")</f>
        <v>9150</v>
      </c>
    </row>
    <row r="12" customFormat="false" ht="15" hidden="false" customHeight="false" outlineLevel="0" collapsed="false">
      <c r="B12" s="13" t="s">
        <v>72</v>
      </c>
      <c r="C12" s="14" t="n">
        <f aca="false">COUNTIFS(Leads!$B$2:$B$5001,"&gt;="&amp;$C$4,Leads!$B$2:$B$5001,"&lt;="&amp;$C$5,Leads!$G$2:$G$5001,"Colega inmobiliario")</f>
        <v>1</v>
      </c>
    </row>
    <row r="13" customFormat="false" ht="15" hidden="false" customHeight="false" outlineLevel="0" collapsed="false">
      <c r="B13" s="13" t="s">
        <v>73</v>
      </c>
      <c r="C13" s="16" t="n">
        <f aca="false">IF(C8=0,"",C12/C8)</f>
        <v>0.333333333333333</v>
      </c>
    </row>
    <row r="14" customFormat="false" ht="15" hidden="false" customHeight="false" outlineLevel="0" collapsed="false">
      <c r="B14" s="13" t="s">
        <v>74</v>
      </c>
      <c r="C14" s="17" t="n">
        <f aca="false">SUM(I19:I30)</f>
        <v>0</v>
      </c>
    </row>
    <row r="15" customFormat="false" ht="15" hidden="false" customHeight="false" outlineLevel="0" collapsed="false">
      <c r="B15" s="13" t="s">
        <v>75</v>
      </c>
      <c r="C15" s="17" t="str">
        <f aca="false">IF(C14=0,"",IFERROR(C14/SUMIFS(F19:F30,I19:I30,"&gt;0"),""))</f>
        <v/>
      </c>
    </row>
    <row r="17" customFormat="false" ht="15" hidden="false" customHeight="false" outlineLevel="0" collapsed="false">
      <c r="B17" s="2" t="s">
        <v>76</v>
      </c>
    </row>
    <row r="18" customFormat="false" ht="31.5" hidden="false" customHeight="true" outlineLevel="0" collapsed="false">
      <c r="B18" s="18" t="s">
        <v>77</v>
      </c>
      <c r="C18" s="18" t="s">
        <v>4</v>
      </c>
      <c r="D18" s="18" t="s">
        <v>78</v>
      </c>
      <c r="E18" s="18" t="s">
        <v>73</v>
      </c>
      <c r="F18" s="18" t="s">
        <v>79</v>
      </c>
      <c r="G18" s="18" t="s">
        <v>80</v>
      </c>
      <c r="H18" s="18" t="s">
        <v>70</v>
      </c>
      <c r="I18" s="19" t="s">
        <v>81</v>
      </c>
      <c r="J18" s="18" t="s">
        <v>82</v>
      </c>
      <c r="K18" s="18" t="s">
        <v>83</v>
      </c>
      <c r="L18" s="18" t="s">
        <v>84</v>
      </c>
    </row>
    <row r="19" customFormat="false" ht="15" hidden="false" customHeight="false" outlineLevel="0" collapsed="false">
      <c r="B19" s="13" t="str">
        <f aca="false">IF(INDEX(Listas!$D$2:$D$50,1)="","",INDEX(Listas!$D$2:$D$50,1))</f>
        <v>Meta Ads (formulario)</v>
      </c>
      <c r="C19" s="20" t="n">
        <f aca="false">IF($B19="","",COUNTIFS(Leads!$B$2:$B$5001,"&gt;="&amp;$C$4,Leads!$B$2:$B$5001,"&lt;="&amp;$C$5,Leads!$H$2:$H$5001,$B19))</f>
        <v>2</v>
      </c>
      <c r="D19" s="20" t="n">
        <f aca="false">IF($B19="","",COUNTIFS(Leads!$B$2:$B$5001,"&gt;="&amp;$C$4,Leads!$B$2:$B$5001,"&lt;="&amp;$C$5,Leads!$H$2:$H$5001,$B19,Leads!$G$2:$G$5001,"Colega inmobiliario"))</f>
        <v>1</v>
      </c>
      <c r="E19" s="21" t="n">
        <f aca="false">IF(OR($B19="",N(C19)=0),"",D19/C19)</f>
        <v>0.5</v>
      </c>
      <c r="F19" s="20" t="n">
        <f aca="false">IF($B19="","",COUNTIFS(Leads!$B$2:$B$5001,"&gt;="&amp;$C$4,Leads!$B$2:$B$5001,"&lt;="&amp;$C$5,Leads!$H$2:$H$5001,$B19,Leads!$AG$2:$AG$5001,"&gt;=3",Leads!$AG$2:$AG$5001,"&lt;=8"))</f>
        <v>1</v>
      </c>
      <c r="G19" s="20" t="n">
        <f aca="false">IF($B19="","",COUNTIFS(Leads!$B$2:$B$5001,"&gt;="&amp;$C$4,Leads!$B$2:$B$5001,"&lt;="&amp;$C$5,Leads!$H$2:$H$5001,$B19,Leads!$AG$2:$AG$5001,"&gt;=4",Leads!$AG$2:$AG$5001,"&lt;=8"))</f>
        <v>1</v>
      </c>
      <c r="H19" s="20" t="n">
        <f aca="false">IF($B19="","",COUNTIFS(Leads!$B$2:$B$5001,"&gt;="&amp;$C$4,Leads!$B$2:$B$5001,"&lt;="&amp;$C$5,Leads!$H$2:$H$5001,$B19,Leads!$AG$2:$AG$5001,8))</f>
        <v>0</v>
      </c>
      <c r="I19" s="22"/>
      <c r="J19" s="23" t="str">
        <f aca="false">IF(OR(N(I19)=0,N(C19)=0),"",I19/C19)</f>
        <v/>
      </c>
      <c r="K19" s="23" t="str">
        <f aca="false">IF(OR(N(I19)=0,N(F19)=0),"",I19/F19)</f>
        <v/>
      </c>
      <c r="L19" s="23" t="str">
        <f aca="false">IF(OR(N(I19)=0,N(G19)=0),"",I19/G19)</f>
        <v/>
      </c>
    </row>
    <row r="20" customFormat="false" ht="15" hidden="false" customHeight="false" outlineLevel="0" collapsed="false">
      <c r="B20" s="13" t="str">
        <f aca="false">IF(INDEX(Listas!$D$2:$D$50,2)="","",INDEX(Listas!$D$2:$D$50,2))</f>
        <v>Meta Ads (WhatsApp/mensaje)</v>
      </c>
      <c r="C20" s="20" t="n">
        <f aca="false">IF($B20="","",COUNTIFS(Leads!$B$2:$B$5001,"&gt;="&amp;$C$4,Leads!$B$2:$B$5001,"&lt;="&amp;$C$5,Leads!$H$2:$H$5001,$B20))</f>
        <v>0</v>
      </c>
      <c r="D20" s="20" t="n">
        <f aca="false">IF($B20="","",COUNTIFS(Leads!$B$2:$B$5001,"&gt;="&amp;$C$4,Leads!$B$2:$B$5001,"&lt;="&amp;$C$5,Leads!$H$2:$H$5001,$B20,Leads!$G$2:$G$5001,"Colega inmobiliario"))</f>
        <v>0</v>
      </c>
      <c r="E20" s="21" t="str">
        <f aca="false">IF(OR($B20="",N(C20)=0),"",D20/C20)</f>
        <v/>
      </c>
      <c r="F20" s="20" t="n">
        <f aca="false">IF($B20="","",COUNTIFS(Leads!$B$2:$B$5001,"&gt;="&amp;$C$4,Leads!$B$2:$B$5001,"&lt;="&amp;$C$5,Leads!$H$2:$H$5001,$B20,Leads!$AG$2:$AG$5001,"&gt;=3",Leads!$AG$2:$AG$5001,"&lt;=8"))</f>
        <v>0</v>
      </c>
      <c r="G20" s="20" t="n">
        <f aca="false">IF($B20="","",COUNTIFS(Leads!$B$2:$B$5001,"&gt;="&amp;$C$4,Leads!$B$2:$B$5001,"&lt;="&amp;$C$5,Leads!$H$2:$H$5001,$B20,Leads!$AG$2:$AG$5001,"&gt;=4",Leads!$AG$2:$AG$5001,"&lt;=8"))</f>
        <v>0</v>
      </c>
      <c r="H20" s="20" t="n">
        <f aca="false">IF($B20="","",COUNTIFS(Leads!$B$2:$B$5001,"&gt;="&amp;$C$4,Leads!$B$2:$B$5001,"&lt;="&amp;$C$5,Leads!$H$2:$H$5001,$B20,Leads!$AG$2:$AG$5001,8))</f>
        <v>0</v>
      </c>
      <c r="I20" s="22"/>
      <c r="J20" s="23" t="str">
        <f aca="false">IF(OR(N(I20)=0,N(C20)=0),"",I20/C20)</f>
        <v/>
      </c>
      <c r="K20" s="23" t="str">
        <f aca="false">IF(OR(N(I20)=0,N(F20)=0),"",I20/F20)</f>
        <v/>
      </c>
      <c r="L20" s="23" t="str">
        <f aca="false">IF(OR(N(I20)=0,N(G20)=0),"",I20/G20)</f>
        <v/>
      </c>
    </row>
    <row r="21" customFormat="false" ht="15" hidden="false" customHeight="false" outlineLevel="0" collapsed="false">
      <c r="B21" s="13" t="str">
        <f aca="false">IF(INDEX(Listas!$D$2:$D$50,3)="","",INDEX(Listas!$D$2:$D$50,3))</f>
        <v>Google Ads (búsqueda)</v>
      </c>
      <c r="C21" s="20" t="n">
        <f aca="false">IF($B21="","",COUNTIFS(Leads!$B$2:$B$5001,"&gt;="&amp;$C$4,Leads!$B$2:$B$5001,"&lt;="&amp;$C$5,Leads!$H$2:$H$5001,$B21))</f>
        <v>1</v>
      </c>
      <c r="D21" s="20" t="n">
        <f aca="false">IF($B21="","",COUNTIFS(Leads!$B$2:$B$5001,"&gt;="&amp;$C$4,Leads!$B$2:$B$5001,"&lt;="&amp;$C$5,Leads!$H$2:$H$5001,$B21,Leads!$G$2:$G$5001,"Colega inmobiliario"))</f>
        <v>0</v>
      </c>
      <c r="E21" s="21" t="n">
        <f aca="false">IF(OR($B21="",N(C21)=0),"",D21/C21)</f>
        <v>0</v>
      </c>
      <c r="F21" s="20" t="n">
        <f aca="false">IF($B21="","",COUNTIFS(Leads!$B$2:$B$5001,"&gt;="&amp;$C$4,Leads!$B$2:$B$5001,"&lt;="&amp;$C$5,Leads!$H$2:$H$5001,$B21,Leads!$AG$2:$AG$5001,"&gt;=3",Leads!$AG$2:$AG$5001,"&lt;=8"))</f>
        <v>1</v>
      </c>
      <c r="G21" s="20" t="n">
        <f aca="false">IF($B21="","",COUNTIFS(Leads!$B$2:$B$5001,"&gt;="&amp;$C$4,Leads!$B$2:$B$5001,"&lt;="&amp;$C$5,Leads!$H$2:$H$5001,$B21,Leads!$AG$2:$AG$5001,"&gt;=4",Leads!$AG$2:$AG$5001,"&lt;=8"))</f>
        <v>0</v>
      </c>
      <c r="H21" s="20" t="n">
        <f aca="false">IF($B21="","",COUNTIFS(Leads!$B$2:$B$5001,"&gt;="&amp;$C$4,Leads!$B$2:$B$5001,"&lt;="&amp;$C$5,Leads!$H$2:$H$5001,$B21,Leads!$AG$2:$AG$5001,8))</f>
        <v>0</v>
      </c>
      <c r="I21" s="22"/>
      <c r="J21" s="23" t="str">
        <f aca="false">IF(OR(N(I21)=0,N(C21)=0),"",I21/C21)</f>
        <v/>
      </c>
      <c r="K21" s="23" t="str">
        <f aca="false">IF(OR(N(I21)=0,N(F21)=0),"",I21/F21)</f>
        <v/>
      </c>
      <c r="L21" s="23" t="str">
        <f aca="false">IF(OR(N(I21)=0,N(G21)=0),"",I21/G21)</f>
        <v/>
      </c>
    </row>
    <row r="22" customFormat="false" ht="15" hidden="false" customHeight="false" outlineLevel="0" collapsed="false">
      <c r="B22" s="13" t="str">
        <f aca="false">IF(INDEX(Listas!$D$2:$D$50,4)="","",INDEX(Listas!$D$2:$D$50,4))</f>
        <v>Instagram orgánico</v>
      </c>
      <c r="C22" s="20" t="n">
        <f aca="false">IF($B22="","",COUNTIFS(Leads!$B$2:$B$5001,"&gt;="&amp;$C$4,Leads!$B$2:$B$5001,"&lt;="&amp;$C$5,Leads!$H$2:$H$5001,$B22))</f>
        <v>0</v>
      </c>
      <c r="D22" s="20" t="n">
        <f aca="false">IF($B22="","",COUNTIFS(Leads!$B$2:$B$5001,"&gt;="&amp;$C$4,Leads!$B$2:$B$5001,"&lt;="&amp;$C$5,Leads!$H$2:$H$5001,$B22,Leads!$G$2:$G$5001,"Colega inmobiliario"))</f>
        <v>0</v>
      </c>
      <c r="E22" s="21" t="str">
        <f aca="false">IF(OR($B22="",N(C22)=0),"",D22/C22)</f>
        <v/>
      </c>
      <c r="F22" s="20" t="n">
        <f aca="false">IF($B22="","",COUNTIFS(Leads!$B$2:$B$5001,"&gt;="&amp;$C$4,Leads!$B$2:$B$5001,"&lt;="&amp;$C$5,Leads!$H$2:$H$5001,$B22,Leads!$AG$2:$AG$5001,"&gt;=3",Leads!$AG$2:$AG$5001,"&lt;=8"))</f>
        <v>0</v>
      </c>
      <c r="G22" s="20" t="n">
        <f aca="false">IF($B22="","",COUNTIFS(Leads!$B$2:$B$5001,"&gt;="&amp;$C$4,Leads!$B$2:$B$5001,"&lt;="&amp;$C$5,Leads!$H$2:$H$5001,$B22,Leads!$AG$2:$AG$5001,"&gt;=4",Leads!$AG$2:$AG$5001,"&lt;=8"))</f>
        <v>0</v>
      </c>
      <c r="H22" s="20" t="n">
        <f aca="false">IF($B22="","",COUNTIFS(Leads!$B$2:$B$5001,"&gt;="&amp;$C$4,Leads!$B$2:$B$5001,"&lt;="&amp;$C$5,Leads!$H$2:$H$5001,$B22,Leads!$AG$2:$AG$5001,8))</f>
        <v>0</v>
      </c>
      <c r="I22" s="22"/>
      <c r="J22" s="23" t="str">
        <f aca="false">IF(OR(N(I22)=0,N(C22)=0),"",I22/C22)</f>
        <v/>
      </c>
      <c r="K22" s="23" t="str">
        <f aca="false">IF(OR(N(I22)=0,N(F22)=0),"",I22/F22)</f>
        <v/>
      </c>
      <c r="L22" s="23" t="str">
        <f aca="false">IF(OR(N(I22)=0,N(G22)=0),"",I22/G22)</f>
        <v/>
      </c>
    </row>
    <row r="23" customFormat="false" ht="15" hidden="false" customHeight="false" outlineLevel="0" collapsed="false">
      <c r="B23" s="13" t="str">
        <f aca="false">IF(INDEX(Listas!$D$2:$D$50,5)="","",INDEX(Listas!$D$2:$D$50,5))</f>
        <v>Facebook orgánico</v>
      </c>
      <c r="C23" s="20" t="n">
        <f aca="false">IF($B23="","",COUNTIFS(Leads!$B$2:$B$5001,"&gt;="&amp;$C$4,Leads!$B$2:$B$5001,"&lt;="&amp;$C$5,Leads!$H$2:$H$5001,$B23))</f>
        <v>0</v>
      </c>
      <c r="D23" s="20" t="n">
        <f aca="false">IF($B23="","",COUNTIFS(Leads!$B$2:$B$5001,"&gt;="&amp;$C$4,Leads!$B$2:$B$5001,"&lt;="&amp;$C$5,Leads!$H$2:$H$5001,$B23,Leads!$G$2:$G$5001,"Colega inmobiliario"))</f>
        <v>0</v>
      </c>
      <c r="E23" s="21" t="str">
        <f aca="false">IF(OR($B23="",N(C23)=0),"",D23/C23)</f>
        <v/>
      </c>
      <c r="F23" s="20" t="n">
        <f aca="false">IF($B23="","",COUNTIFS(Leads!$B$2:$B$5001,"&gt;="&amp;$C$4,Leads!$B$2:$B$5001,"&lt;="&amp;$C$5,Leads!$H$2:$H$5001,$B23,Leads!$AG$2:$AG$5001,"&gt;=3",Leads!$AG$2:$AG$5001,"&lt;=8"))</f>
        <v>0</v>
      </c>
      <c r="G23" s="20" t="n">
        <f aca="false">IF($B23="","",COUNTIFS(Leads!$B$2:$B$5001,"&gt;="&amp;$C$4,Leads!$B$2:$B$5001,"&lt;="&amp;$C$5,Leads!$H$2:$H$5001,$B23,Leads!$AG$2:$AG$5001,"&gt;=4",Leads!$AG$2:$AG$5001,"&lt;=8"))</f>
        <v>0</v>
      </c>
      <c r="H23" s="20" t="n">
        <f aca="false">IF($B23="","",COUNTIFS(Leads!$B$2:$B$5001,"&gt;="&amp;$C$4,Leads!$B$2:$B$5001,"&lt;="&amp;$C$5,Leads!$H$2:$H$5001,$B23,Leads!$AG$2:$AG$5001,8))</f>
        <v>0</v>
      </c>
      <c r="I23" s="22"/>
      <c r="J23" s="23" t="str">
        <f aca="false">IF(OR(N(I23)=0,N(C23)=0),"",I23/C23)</f>
        <v/>
      </c>
      <c r="K23" s="23" t="str">
        <f aca="false">IF(OR(N(I23)=0,N(F23)=0),"",I23/F23)</f>
        <v/>
      </c>
      <c r="L23" s="23" t="str">
        <f aca="false">IF(OR(N(I23)=0,N(G23)=0),"",I23/G23)</f>
        <v/>
      </c>
    </row>
    <row r="24" customFormat="false" ht="15" hidden="false" customHeight="false" outlineLevel="0" collapsed="false">
      <c r="B24" s="13" t="str">
        <f aca="false">IF(INDEX(Listas!$D$2:$D$50,6)="","",INDEX(Listas!$D$2:$D$50,6))</f>
        <v>Portales (Zonaprop/Argenprop/ML)</v>
      </c>
      <c r="C24" s="20" t="n">
        <f aca="false">IF($B24="","",COUNTIFS(Leads!$B$2:$B$5001,"&gt;="&amp;$C$4,Leads!$B$2:$B$5001,"&lt;="&amp;$C$5,Leads!$H$2:$H$5001,$B24))</f>
        <v>0</v>
      </c>
      <c r="D24" s="20" t="n">
        <f aca="false">IF($B24="","",COUNTIFS(Leads!$B$2:$B$5001,"&gt;="&amp;$C$4,Leads!$B$2:$B$5001,"&lt;="&amp;$C$5,Leads!$H$2:$H$5001,$B24,Leads!$G$2:$G$5001,"Colega inmobiliario"))</f>
        <v>0</v>
      </c>
      <c r="E24" s="21" t="str">
        <f aca="false">IF(OR($B24="",N(C24)=0),"",D24/C24)</f>
        <v/>
      </c>
      <c r="F24" s="20" t="n">
        <f aca="false">IF($B24="","",COUNTIFS(Leads!$B$2:$B$5001,"&gt;="&amp;$C$4,Leads!$B$2:$B$5001,"&lt;="&amp;$C$5,Leads!$H$2:$H$5001,$B24,Leads!$AG$2:$AG$5001,"&gt;=3",Leads!$AG$2:$AG$5001,"&lt;=8"))</f>
        <v>0</v>
      </c>
      <c r="G24" s="20" t="n">
        <f aca="false">IF($B24="","",COUNTIFS(Leads!$B$2:$B$5001,"&gt;="&amp;$C$4,Leads!$B$2:$B$5001,"&lt;="&amp;$C$5,Leads!$H$2:$H$5001,$B24,Leads!$AG$2:$AG$5001,"&gt;=4",Leads!$AG$2:$AG$5001,"&lt;=8"))</f>
        <v>0</v>
      </c>
      <c r="H24" s="20" t="n">
        <f aca="false">IF($B24="","",COUNTIFS(Leads!$B$2:$B$5001,"&gt;="&amp;$C$4,Leads!$B$2:$B$5001,"&lt;="&amp;$C$5,Leads!$H$2:$H$5001,$B24,Leads!$AG$2:$AG$5001,8))</f>
        <v>0</v>
      </c>
      <c r="I24" s="22"/>
      <c r="J24" s="23" t="str">
        <f aca="false">IF(OR(N(I24)=0,N(C24)=0),"",I24/C24)</f>
        <v/>
      </c>
      <c r="K24" s="23" t="str">
        <f aca="false">IF(OR(N(I24)=0,N(F24)=0),"",I24/F24)</f>
        <v/>
      </c>
      <c r="L24" s="23" t="str">
        <f aca="false">IF(OR(N(I24)=0,N(G24)=0),"",I24/G24)</f>
        <v/>
      </c>
    </row>
    <row r="25" customFormat="false" ht="15" hidden="false" customHeight="false" outlineLevel="0" collapsed="false">
      <c r="B25" s="13" t="str">
        <f aca="false">IF(INDEX(Listas!$D$2:$D$50,7)="","",INDEX(Listas!$D$2:$D$50,7))</f>
        <v>Web propia</v>
      </c>
      <c r="C25" s="20" t="n">
        <f aca="false">IF($B25="","",COUNTIFS(Leads!$B$2:$B$5001,"&gt;="&amp;$C$4,Leads!$B$2:$B$5001,"&lt;="&amp;$C$5,Leads!$H$2:$H$5001,$B25))</f>
        <v>0</v>
      </c>
      <c r="D25" s="20" t="n">
        <f aca="false">IF($B25="","",COUNTIFS(Leads!$B$2:$B$5001,"&gt;="&amp;$C$4,Leads!$B$2:$B$5001,"&lt;="&amp;$C$5,Leads!$H$2:$H$5001,$B25,Leads!$G$2:$G$5001,"Colega inmobiliario"))</f>
        <v>0</v>
      </c>
      <c r="E25" s="21" t="str">
        <f aca="false">IF(OR($B25="",N(C25)=0),"",D25/C25)</f>
        <v/>
      </c>
      <c r="F25" s="20" t="n">
        <f aca="false">IF($B25="","",COUNTIFS(Leads!$B$2:$B$5001,"&gt;="&amp;$C$4,Leads!$B$2:$B$5001,"&lt;="&amp;$C$5,Leads!$H$2:$H$5001,$B25,Leads!$AG$2:$AG$5001,"&gt;=3",Leads!$AG$2:$AG$5001,"&lt;=8"))</f>
        <v>0</v>
      </c>
      <c r="G25" s="20" t="n">
        <f aca="false">IF($B25="","",COUNTIFS(Leads!$B$2:$B$5001,"&gt;="&amp;$C$4,Leads!$B$2:$B$5001,"&lt;="&amp;$C$5,Leads!$H$2:$H$5001,$B25,Leads!$AG$2:$AG$5001,"&gt;=4",Leads!$AG$2:$AG$5001,"&lt;=8"))</f>
        <v>0</v>
      </c>
      <c r="H25" s="20" t="n">
        <f aca="false">IF($B25="","",COUNTIFS(Leads!$B$2:$B$5001,"&gt;="&amp;$C$4,Leads!$B$2:$B$5001,"&lt;="&amp;$C$5,Leads!$H$2:$H$5001,$B25,Leads!$AG$2:$AG$5001,8))</f>
        <v>0</v>
      </c>
      <c r="I25" s="22"/>
      <c r="J25" s="23" t="str">
        <f aca="false">IF(OR(N(I25)=0,N(C25)=0),"",I25/C25)</f>
        <v/>
      </c>
      <c r="K25" s="23" t="str">
        <f aca="false">IF(OR(N(I25)=0,N(F25)=0),"",I25/F25)</f>
        <v/>
      </c>
      <c r="L25" s="23" t="str">
        <f aca="false">IF(OR(N(I25)=0,N(G25)=0),"",I25/G25)</f>
        <v/>
      </c>
    </row>
    <row r="26" customFormat="false" ht="15" hidden="false" customHeight="false" outlineLevel="0" collapsed="false">
      <c r="B26" s="13" t="str">
        <f aca="false">IF(INDEX(Listas!$D$2:$D$50,8)="","",INDEX(Listas!$D$2:$D$50,8))</f>
        <v>Referido</v>
      </c>
      <c r="C26" s="20" t="n">
        <f aca="false">IF($B26="","",COUNTIFS(Leads!$B$2:$B$5001,"&gt;="&amp;$C$4,Leads!$B$2:$B$5001,"&lt;="&amp;$C$5,Leads!$H$2:$H$5001,$B26))</f>
        <v>0</v>
      </c>
      <c r="D26" s="20" t="n">
        <f aca="false">IF($B26="","",COUNTIFS(Leads!$B$2:$B$5001,"&gt;="&amp;$C$4,Leads!$B$2:$B$5001,"&lt;="&amp;$C$5,Leads!$H$2:$H$5001,$B26,Leads!$G$2:$G$5001,"Colega inmobiliario"))</f>
        <v>0</v>
      </c>
      <c r="E26" s="21" t="str">
        <f aca="false">IF(OR($B26="",N(C26)=0),"",D26/C26)</f>
        <v/>
      </c>
      <c r="F26" s="20" t="n">
        <f aca="false">IF($B26="","",COUNTIFS(Leads!$B$2:$B$5001,"&gt;="&amp;$C$4,Leads!$B$2:$B$5001,"&lt;="&amp;$C$5,Leads!$H$2:$H$5001,$B26,Leads!$AG$2:$AG$5001,"&gt;=3",Leads!$AG$2:$AG$5001,"&lt;=8"))</f>
        <v>0</v>
      </c>
      <c r="G26" s="20" t="n">
        <f aca="false">IF($B26="","",COUNTIFS(Leads!$B$2:$B$5001,"&gt;="&amp;$C$4,Leads!$B$2:$B$5001,"&lt;="&amp;$C$5,Leads!$H$2:$H$5001,$B26,Leads!$AG$2:$AG$5001,"&gt;=4",Leads!$AG$2:$AG$5001,"&lt;=8"))</f>
        <v>0</v>
      </c>
      <c r="H26" s="20" t="n">
        <f aca="false">IF($B26="","",COUNTIFS(Leads!$B$2:$B$5001,"&gt;="&amp;$C$4,Leads!$B$2:$B$5001,"&lt;="&amp;$C$5,Leads!$H$2:$H$5001,$B26,Leads!$AG$2:$AG$5001,8))</f>
        <v>0</v>
      </c>
      <c r="I26" s="22"/>
      <c r="J26" s="23" t="str">
        <f aca="false">IF(OR(N(I26)=0,N(C26)=0),"",I26/C26)</f>
        <v/>
      </c>
      <c r="K26" s="23" t="str">
        <f aca="false">IF(OR(N(I26)=0,N(F26)=0),"",I26/F26)</f>
        <v/>
      </c>
      <c r="L26" s="23" t="str">
        <f aca="false">IF(OR(N(I26)=0,N(G26)=0),"",I26/G26)</f>
        <v/>
      </c>
    </row>
    <row r="27" customFormat="false" ht="15" hidden="false" customHeight="false" outlineLevel="0" collapsed="false">
      <c r="B27" s="13" t="str">
        <f aca="false">IF(INDEX(Listas!$D$2:$D$50,9)="","",INDEX(Listas!$D$2:$D$50,9))</f>
        <v>Cartel en propiedad</v>
      </c>
      <c r="C27" s="20" t="n">
        <f aca="false">IF($B27="","",COUNTIFS(Leads!$B$2:$B$5001,"&gt;="&amp;$C$4,Leads!$B$2:$B$5001,"&lt;="&amp;$C$5,Leads!$H$2:$H$5001,$B27))</f>
        <v>0</v>
      </c>
      <c r="D27" s="20" t="n">
        <f aca="false">IF($B27="","",COUNTIFS(Leads!$B$2:$B$5001,"&gt;="&amp;$C$4,Leads!$B$2:$B$5001,"&lt;="&amp;$C$5,Leads!$H$2:$H$5001,$B27,Leads!$G$2:$G$5001,"Colega inmobiliario"))</f>
        <v>0</v>
      </c>
      <c r="E27" s="21" t="str">
        <f aca="false">IF(OR($B27="",N(C27)=0),"",D27/C27)</f>
        <v/>
      </c>
      <c r="F27" s="20" t="n">
        <f aca="false">IF($B27="","",COUNTIFS(Leads!$B$2:$B$5001,"&gt;="&amp;$C$4,Leads!$B$2:$B$5001,"&lt;="&amp;$C$5,Leads!$H$2:$H$5001,$B27,Leads!$AG$2:$AG$5001,"&gt;=3",Leads!$AG$2:$AG$5001,"&lt;=8"))</f>
        <v>0</v>
      </c>
      <c r="G27" s="20" t="n">
        <f aca="false">IF($B27="","",COUNTIFS(Leads!$B$2:$B$5001,"&gt;="&amp;$C$4,Leads!$B$2:$B$5001,"&lt;="&amp;$C$5,Leads!$H$2:$H$5001,$B27,Leads!$AG$2:$AG$5001,"&gt;=4",Leads!$AG$2:$AG$5001,"&lt;=8"))</f>
        <v>0</v>
      </c>
      <c r="H27" s="20" t="n">
        <f aca="false">IF($B27="","",COUNTIFS(Leads!$B$2:$B$5001,"&gt;="&amp;$C$4,Leads!$B$2:$B$5001,"&lt;="&amp;$C$5,Leads!$H$2:$H$5001,$B27,Leads!$AG$2:$AG$5001,8))</f>
        <v>0</v>
      </c>
      <c r="I27" s="22"/>
      <c r="J27" s="23" t="str">
        <f aca="false">IF(OR(N(I27)=0,N(C27)=0),"",I27/C27)</f>
        <v/>
      </c>
      <c r="K27" s="23" t="str">
        <f aca="false">IF(OR(N(I27)=0,N(F27)=0),"",I27/F27)</f>
        <v/>
      </c>
      <c r="L27" s="23" t="str">
        <f aca="false">IF(OR(N(I27)=0,N(G27)=0),"",I27/G27)</f>
        <v/>
      </c>
    </row>
    <row r="28" customFormat="false" ht="15" hidden="false" customHeight="false" outlineLevel="0" collapsed="false">
      <c r="B28" s="13" t="str">
        <f aca="false">IF(INDEX(Listas!$D$2:$D$50,10)="","",INDEX(Listas!$D$2:$D$50,10))</f>
        <v>Base propia / ex clientes</v>
      </c>
      <c r="C28" s="20" t="n">
        <f aca="false">IF($B28="","",COUNTIFS(Leads!$B$2:$B$5001,"&gt;="&amp;$C$4,Leads!$B$2:$B$5001,"&lt;="&amp;$C$5,Leads!$H$2:$H$5001,$B28))</f>
        <v>0</v>
      </c>
      <c r="D28" s="20" t="n">
        <f aca="false">IF($B28="","",COUNTIFS(Leads!$B$2:$B$5001,"&gt;="&amp;$C$4,Leads!$B$2:$B$5001,"&lt;="&amp;$C$5,Leads!$H$2:$H$5001,$B28,Leads!$G$2:$G$5001,"Colega inmobiliario"))</f>
        <v>0</v>
      </c>
      <c r="E28" s="21" t="str">
        <f aca="false">IF(OR($B28="",N(C28)=0),"",D28/C28)</f>
        <v/>
      </c>
      <c r="F28" s="20" t="n">
        <f aca="false">IF($B28="","",COUNTIFS(Leads!$B$2:$B$5001,"&gt;="&amp;$C$4,Leads!$B$2:$B$5001,"&lt;="&amp;$C$5,Leads!$H$2:$H$5001,$B28,Leads!$AG$2:$AG$5001,"&gt;=3",Leads!$AG$2:$AG$5001,"&lt;=8"))</f>
        <v>0</v>
      </c>
      <c r="G28" s="20" t="n">
        <f aca="false">IF($B28="","",COUNTIFS(Leads!$B$2:$B$5001,"&gt;="&amp;$C$4,Leads!$B$2:$B$5001,"&lt;="&amp;$C$5,Leads!$H$2:$H$5001,$B28,Leads!$AG$2:$AG$5001,"&gt;=4",Leads!$AG$2:$AG$5001,"&lt;=8"))</f>
        <v>0</v>
      </c>
      <c r="H28" s="20" t="n">
        <f aca="false">IF($B28="","",COUNTIFS(Leads!$B$2:$B$5001,"&gt;="&amp;$C$4,Leads!$B$2:$B$5001,"&lt;="&amp;$C$5,Leads!$H$2:$H$5001,$B28,Leads!$AG$2:$AG$5001,8))</f>
        <v>0</v>
      </c>
      <c r="I28" s="22"/>
      <c r="J28" s="23" t="str">
        <f aca="false">IF(OR(N(I28)=0,N(C28)=0),"",I28/C28)</f>
        <v/>
      </c>
      <c r="K28" s="23" t="str">
        <f aca="false">IF(OR(N(I28)=0,N(F28)=0),"",I28/F28)</f>
        <v/>
      </c>
      <c r="L28" s="23" t="str">
        <f aca="false">IF(OR(N(I28)=0,N(G28)=0),"",I28/G28)</f>
        <v/>
      </c>
    </row>
    <row r="29" customFormat="false" ht="15" hidden="false" customHeight="false" outlineLevel="0" collapsed="false">
      <c r="B29" s="13" t="str">
        <f aca="false">IF(INDEX(Listas!$D$2:$D$50,11)="","",INDEX(Listas!$D$2:$D$50,11))</f>
        <v>Otro</v>
      </c>
      <c r="C29" s="20" t="n">
        <f aca="false">IF($B29="","",COUNTIFS(Leads!$B$2:$B$5001,"&gt;="&amp;$C$4,Leads!$B$2:$B$5001,"&lt;="&amp;$C$5,Leads!$H$2:$H$5001,$B29))</f>
        <v>0</v>
      </c>
      <c r="D29" s="20" t="n">
        <f aca="false">IF($B29="","",COUNTIFS(Leads!$B$2:$B$5001,"&gt;="&amp;$C$4,Leads!$B$2:$B$5001,"&lt;="&amp;$C$5,Leads!$H$2:$H$5001,$B29,Leads!$G$2:$G$5001,"Colega inmobiliario"))</f>
        <v>0</v>
      </c>
      <c r="E29" s="21" t="str">
        <f aca="false">IF(OR($B29="",N(C29)=0),"",D29/C29)</f>
        <v/>
      </c>
      <c r="F29" s="20" t="n">
        <f aca="false">IF($B29="","",COUNTIFS(Leads!$B$2:$B$5001,"&gt;="&amp;$C$4,Leads!$B$2:$B$5001,"&lt;="&amp;$C$5,Leads!$H$2:$H$5001,$B29,Leads!$AG$2:$AG$5001,"&gt;=3",Leads!$AG$2:$AG$5001,"&lt;=8"))</f>
        <v>0</v>
      </c>
      <c r="G29" s="20" t="n">
        <f aca="false">IF($B29="","",COUNTIFS(Leads!$B$2:$B$5001,"&gt;="&amp;$C$4,Leads!$B$2:$B$5001,"&lt;="&amp;$C$5,Leads!$H$2:$H$5001,$B29,Leads!$AG$2:$AG$5001,"&gt;=4",Leads!$AG$2:$AG$5001,"&lt;=8"))</f>
        <v>0</v>
      </c>
      <c r="H29" s="20" t="n">
        <f aca="false">IF($B29="","",COUNTIFS(Leads!$B$2:$B$5001,"&gt;="&amp;$C$4,Leads!$B$2:$B$5001,"&lt;="&amp;$C$5,Leads!$H$2:$H$5001,$B29,Leads!$AG$2:$AG$5001,8))</f>
        <v>0</v>
      </c>
      <c r="I29" s="22"/>
      <c r="J29" s="23" t="str">
        <f aca="false">IF(OR(N(I29)=0,N(C29)=0),"",I29/C29)</f>
        <v/>
      </c>
      <c r="K29" s="23" t="str">
        <f aca="false">IF(OR(N(I29)=0,N(F29)=0),"",I29/F29)</f>
        <v/>
      </c>
      <c r="L29" s="23" t="str">
        <f aca="false">IF(OR(N(I29)=0,N(G29)=0),"",I29/G29)</f>
        <v/>
      </c>
    </row>
    <row r="30" customFormat="false" ht="15" hidden="false" customHeight="false" outlineLevel="0" collapsed="false">
      <c r="B30" s="13" t="str">
        <f aca="false">IF(INDEX(Listas!$D$2:$D$50,12)="","",INDEX(Listas!$D$2:$D$50,12))</f>
        <v/>
      </c>
      <c r="C30" s="20" t="str">
        <f aca="false">IF($B30="","",COUNTIFS(Leads!$B$2:$B$5001,"&gt;="&amp;$C$4,Leads!$B$2:$B$5001,"&lt;="&amp;$C$5,Leads!$H$2:$H$5001,$B30))</f>
        <v/>
      </c>
      <c r="D30" s="20" t="str">
        <f aca="false">IF($B30="","",COUNTIFS(Leads!$B$2:$B$5001,"&gt;="&amp;$C$4,Leads!$B$2:$B$5001,"&lt;="&amp;$C$5,Leads!$H$2:$H$5001,$B30,Leads!$G$2:$G$5001,"Colega inmobiliario"))</f>
        <v/>
      </c>
      <c r="E30" s="21" t="str">
        <f aca="false">IF(OR($B30="",N(C30)=0),"",D30/C30)</f>
        <v/>
      </c>
      <c r="F30" s="20" t="str">
        <f aca="false">IF($B30="","",COUNTIFS(Leads!$B$2:$B$5001,"&gt;="&amp;$C$4,Leads!$B$2:$B$5001,"&lt;="&amp;$C$5,Leads!$H$2:$H$5001,$B30,Leads!$AG$2:$AG$5001,"&gt;=3",Leads!$AG$2:$AG$5001,"&lt;=8"))</f>
        <v/>
      </c>
      <c r="G30" s="20" t="str">
        <f aca="false">IF($B30="","",COUNTIFS(Leads!$B$2:$B$5001,"&gt;="&amp;$C$4,Leads!$B$2:$B$5001,"&lt;="&amp;$C$5,Leads!$H$2:$H$5001,$B30,Leads!$AG$2:$AG$5001,"&gt;=4",Leads!$AG$2:$AG$5001,"&lt;=8"))</f>
        <v/>
      </c>
      <c r="H30" s="20" t="str">
        <f aca="false">IF($B30="","",COUNTIFS(Leads!$B$2:$B$5001,"&gt;="&amp;$C$4,Leads!$B$2:$B$5001,"&lt;="&amp;$C$5,Leads!$H$2:$H$5001,$B30,Leads!$AG$2:$AG$5001,8))</f>
        <v/>
      </c>
      <c r="I30" s="22"/>
      <c r="J30" s="23" t="str">
        <f aca="false">IF(OR(N(I30)=0,N(C30)=0),"",I30/C30)</f>
        <v/>
      </c>
      <c r="K30" s="23" t="str">
        <f aca="false">IF(OR(N(I30)=0,N(F30)=0),"",I30/F30)</f>
        <v/>
      </c>
      <c r="L30" s="23" t="str">
        <f aca="false">IF(OR(N(I30)=0,N(G30)=0),"",I30/G30)</f>
        <v/>
      </c>
    </row>
    <row r="31" customFormat="false" ht="15" hidden="false" customHeight="false" outlineLevel="0" collapsed="false">
      <c r="B31" s="10" t="s">
        <v>85</v>
      </c>
    </row>
    <row r="33" customFormat="false" ht="15" hidden="false" customHeight="false" outlineLevel="0" collapsed="false">
      <c r="B33" s="2" t="s">
        <v>86</v>
      </c>
    </row>
    <row r="34" customFormat="false" ht="31.5" hidden="false" customHeight="true" outlineLevel="0" collapsed="false">
      <c r="B34" s="24" t="s">
        <v>87</v>
      </c>
      <c r="C34" s="24" t="s">
        <v>4</v>
      </c>
      <c r="D34" s="24" t="s">
        <v>79</v>
      </c>
      <c r="E34" s="24" t="s">
        <v>80</v>
      </c>
      <c r="F34" s="24" t="s">
        <v>70</v>
      </c>
    </row>
    <row r="35" customFormat="false" ht="15" hidden="false" customHeight="false" outlineLevel="0" collapsed="false">
      <c r="B35" s="13" t="str">
        <f aca="false">IF(INDEX(Listas!$A$2:$A$50,1)="","",INDEX(Listas!$A$2:$A$50,1))</f>
        <v>Vendedor</v>
      </c>
      <c r="C35" s="20" t="n">
        <f aca="false">IF($B35="","",COUNTIFS(Leads!$B$2:$B$5001,"&gt;="&amp;$C$4,Leads!$B$2:$B$5001,"&lt;="&amp;$C$5,Leads!$G$2:$G$5001,$B35))</f>
        <v>1</v>
      </c>
      <c r="D35" s="20" t="n">
        <f aca="false">IF($B35="","",COUNTIFS(Leads!$B$2:$B$5001,"&gt;="&amp;$C$4,Leads!$B$2:$B$5001,"&lt;="&amp;$C$5,Leads!$G$2:$G$5001,$B35,Leads!$AG$2:$AG$5001,"&gt;=3",Leads!$AG$2:$AG$5001,"&lt;=8"))</f>
        <v>1</v>
      </c>
      <c r="E35" s="20" t="n">
        <f aca="false">IF($B35="","",COUNTIFS(Leads!$B$2:$B$5001,"&gt;="&amp;$C$4,Leads!$B$2:$B$5001,"&lt;="&amp;$C$5,Leads!$G$2:$G$5001,$B35,Leads!$AG$2:$AG$5001,"&gt;=4",Leads!$AG$2:$AG$5001,"&lt;=8"))</f>
        <v>1</v>
      </c>
      <c r="F35" s="20" t="n">
        <f aca="false">IF($B35="","",COUNTIFS(Leads!$B$2:$B$5001,"&gt;="&amp;$C$4,Leads!$B$2:$B$5001,"&lt;="&amp;$C$5,Leads!$G$2:$G$5001,$B35,Leads!$AG$2:$AG$5001,8))</f>
        <v>0</v>
      </c>
    </row>
    <row r="36" customFormat="false" ht="15" hidden="false" customHeight="false" outlineLevel="0" collapsed="false">
      <c r="B36" s="13" t="str">
        <f aca="false">IF(INDEX(Listas!$A$2:$A$50,2)="","",INDEX(Listas!$A$2:$A$50,2))</f>
        <v>Comprador</v>
      </c>
      <c r="C36" s="20" t="n">
        <f aca="false">IF($B36="","",COUNTIFS(Leads!$B$2:$B$5001,"&gt;="&amp;$C$4,Leads!$B$2:$B$5001,"&lt;="&amp;$C$5,Leads!$G$2:$G$5001,$B36))</f>
        <v>1</v>
      </c>
      <c r="D36" s="20" t="n">
        <f aca="false">IF($B36="","",COUNTIFS(Leads!$B$2:$B$5001,"&gt;="&amp;$C$4,Leads!$B$2:$B$5001,"&lt;="&amp;$C$5,Leads!$G$2:$G$5001,$B36,Leads!$AG$2:$AG$5001,"&gt;=3",Leads!$AG$2:$AG$5001,"&lt;=8"))</f>
        <v>1</v>
      </c>
      <c r="E36" s="20" t="n">
        <f aca="false">IF($B36="","",COUNTIFS(Leads!$B$2:$B$5001,"&gt;="&amp;$C$4,Leads!$B$2:$B$5001,"&lt;="&amp;$C$5,Leads!$G$2:$G$5001,$B36,Leads!$AG$2:$AG$5001,"&gt;=4",Leads!$AG$2:$AG$5001,"&lt;=8"))</f>
        <v>0</v>
      </c>
      <c r="F36" s="20" t="n">
        <f aca="false">IF($B36="","",COUNTIFS(Leads!$B$2:$B$5001,"&gt;="&amp;$C$4,Leads!$B$2:$B$5001,"&lt;="&amp;$C$5,Leads!$G$2:$G$5001,$B36,Leads!$AG$2:$AG$5001,8))</f>
        <v>0</v>
      </c>
    </row>
    <row r="37" customFormat="false" ht="15" hidden="false" customHeight="false" outlineLevel="0" collapsed="false">
      <c r="B37" s="13" t="str">
        <f aca="false">IF(INDEX(Listas!$A$2:$A$50,3)="","",INDEX(Listas!$A$2:$A$50,3))</f>
        <v>Inversor</v>
      </c>
      <c r="C37" s="20" t="n">
        <f aca="false">IF($B37="","",COUNTIFS(Leads!$B$2:$B$5001,"&gt;="&amp;$C$4,Leads!$B$2:$B$5001,"&lt;="&amp;$C$5,Leads!$G$2:$G$5001,$B37))</f>
        <v>0</v>
      </c>
      <c r="D37" s="20" t="n">
        <f aca="false">IF($B37="","",COUNTIFS(Leads!$B$2:$B$5001,"&gt;="&amp;$C$4,Leads!$B$2:$B$5001,"&lt;="&amp;$C$5,Leads!$G$2:$G$5001,$B37,Leads!$AG$2:$AG$5001,"&gt;=3",Leads!$AG$2:$AG$5001,"&lt;=8"))</f>
        <v>0</v>
      </c>
      <c r="E37" s="20" t="n">
        <f aca="false">IF($B37="","",COUNTIFS(Leads!$B$2:$B$5001,"&gt;="&amp;$C$4,Leads!$B$2:$B$5001,"&lt;="&amp;$C$5,Leads!$G$2:$G$5001,$B37,Leads!$AG$2:$AG$5001,"&gt;=4",Leads!$AG$2:$AG$5001,"&lt;=8"))</f>
        <v>0</v>
      </c>
      <c r="F37" s="20" t="n">
        <f aca="false">IF($B37="","",COUNTIFS(Leads!$B$2:$B$5001,"&gt;="&amp;$C$4,Leads!$B$2:$B$5001,"&lt;="&amp;$C$5,Leads!$G$2:$G$5001,$B37,Leads!$AG$2:$AG$5001,8))</f>
        <v>0</v>
      </c>
    </row>
    <row r="38" customFormat="false" ht="15" hidden="false" customHeight="false" outlineLevel="0" collapsed="false">
      <c r="B38" s="13" t="str">
        <f aca="false">IF(INDEX(Listas!$A$2:$A$50,4)="","",INDEX(Listas!$A$2:$A$50,4))</f>
        <v>Propietario (alquiler)</v>
      </c>
      <c r="C38" s="20" t="n">
        <f aca="false">IF($B38="","",COUNTIFS(Leads!$B$2:$B$5001,"&gt;="&amp;$C$4,Leads!$B$2:$B$5001,"&lt;="&amp;$C$5,Leads!$G$2:$G$5001,$B38))</f>
        <v>0</v>
      </c>
      <c r="D38" s="20" t="n">
        <f aca="false">IF($B38="","",COUNTIFS(Leads!$B$2:$B$5001,"&gt;="&amp;$C$4,Leads!$B$2:$B$5001,"&lt;="&amp;$C$5,Leads!$G$2:$G$5001,$B38,Leads!$AG$2:$AG$5001,"&gt;=3",Leads!$AG$2:$AG$5001,"&lt;=8"))</f>
        <v>0</v>
      </c>
      <c r="E38" s="20" t="n">
        <f aca="false">IF($B38="","",COUNTIFS(Leads!$B$2:$B$5001,"&gt;="&amp;$C$4,Leads!$B$2:$B$5001,"&lt;="&amp;$C$5,Leads!$G$2:$G$5001,$B38,Leads!$AG$2:$AG$5001,"&gt;=4",Leads!$AG$2:$AG$5001,"&lt;=8"))</f>
        <v>0</v>
      </c>
      <c r="F38" s="20" t="n">
        <f aca="false">IF($B38="","",COUNTIFS(Leads!$B$2:$B$5001,"&gt;="&amp;$C$4,Leads!$B$2:$B$5001,"&lt;="&amp;$C$5,Leads!$G$2:$G$5001,$B38,Leads!$AG$2:$AG$5001,8))</f>
        <v>0</v>
      </c>
    </row>
    <row r="39" customFormat="false" ht="15" hidden="false" customHeight="false" outlineLevel="0" collapsed="false">
      <c r="B39" s="13" t="str">
        <f aca="false">IF(INDEX(Listas!$A$2:$A$50,5)="","",INDEX(Listas!$A$2:$A$50,5))</f>
        <v>Inquilino</v>
      </c>
      <c r="C39" s="20" t="n">
        <f aca="false">IF($B39="","",COUNTIFS(Leads!$B$2:$B$5001,"&gt;="&amp;$C$4,Leads!$B$2:$B$5001,"&lt;="&amp;$C$5,Leads!$G$2:$G$5001,$B39))</f>
        <v>0</v>
      </c>
      <c r="D39" s="20" t="n">
        <f aca="false">IF($B39="","",COUNTIFS(Leads!$B$2:$B$5001,"&gt;="&amp;$C$4,Leads!$B$2:$B$5001,"&lt;="&amp;$C$5,Leads!$G$2:$G$5001,$B39,Leads!$AG$2:$AG$5001,"&gt;=3",Leads!$AG$2:$AG$5001,"&lt;=8"))</f>
        <v>0</v>
      </c>
      <c r="E39" s="20" t="n">
        <f aca="false">IF($B39="","",COUNTIFS(Leads!$B$2:$B$5001,"&gt;="&amp;$C$4,Leads!$B$2:$B$5001,"&lt;="&amp;$C$5,Leads!$G$2:$G$5001,$B39,Leads!$AG$2:$AG$5001,"&gt;=4",Leads!$AG$2:$AG$5001,"&lt;=8"))</f>
        <v>0</v>
      </c>
      <c r="F39" s="20" t="n">
        <f aca="false">IF($B39="","",COUNTIFS(Leads!$B$2:$B$5001,"&gt;="&amp;$C$4,Leads!$B$2:$B$5001,"&lt;="&amp;$C$5,Leads!$G$2:$G$5001,$B39,Leads!$AG$2:$AG$5001,8))</f>
        <v>0</v>
      </c>
    </row>
    <row r="40" customFormat="false" ht="15" hidden="false" customHeight="false" outlineLevel="0" collapsed="false">
      <c r="B40" s="13" t="str">
        <f aca="false">IF(INDEX(Listas!$A$2:$A$50,6)="","",INDEX(Listas!$A$2:$A$50,6))</f>
        <v>Colega inmobiliario</v>
      </c>
      <c r="C40" s="20" t="n">
        <f aca="false">IF($B40="","",COUNTIFS(Leads!$B$2:$B$5001,"&gt;="&amp;$C$4,Leads!$B$2:$B$5001,"&lt;="&amp;$C$5,Leads!$G$2:$G$5001,$B40))</f>
        <v>1</v>
      </c>
      <c r="D40" s="20" t="n">
        <f aca="false">IF($B40="","",COUNTIFS(Leads!$B$2:$B$5001,"&gt;="&amp;$C$4,Leads!$B$2:$B$5001,"&lt;="&amp;$C$5,Leads!$G$2:$G$5001,$B40,Leads!$AG$2:$AG$5001,"&gt;=3",Leads!$AG$2:$AG$5001,"&lt;=8"))</f>
        <v>0</v>
      </c>
      <c r="E40" s="20" t="n">
        <f aca="false">IF($B40="","",COUNTIFS(Leads!$B$2:$B$5001,"&gt;="&amp;$C$4,Leads!$B$2:$B$5001,"&lt;="&amp;$C$5,Leads!$G$2:$G$5001,$B40,Leads!$AG$2:$AG$5001,"&gt;=4",Leads!$AG$2:$AG$5001,"&lt;=8"))</f>
        <v>0</v>
      </c>
      <c r="F40" s="20" t="n">
        <f aca="false">IF($B40="","",COUNTIFS(Leads!$B$2:$B$5001,"&gt;="&amp;$C$4,Leads!$B$2:$B$5001,"&lt;="&amp;$C$5,Leads!$G$2:$G$5001,$B40,Leads!$AG$2:$AG$5001,8))</f>
        <v>0</v>
      </c>
    </row>
    <row r="41" customFormat="false" ht="15" hidden="false" customHeight="false" outlineLevel="0" collapsed="false">
      <c r="B41" s="13" t="str">
        <f aca="false">IF(INDEX(Listas!$A$2:$A$50,7)="","",INDEX(Listas!$A$2:$A$50,7))</f>
        <v>Spam / datos falsos</v>
      </c>
      <c r="C41" s="20" t="n">
        <f aca="false">IF($B41="","",COUNTIFS(Leads!$B$2:$B$5001,"&gt;="&amp;$C$4,Leads!$B$2:$B$5001,"&lt;="&amp;$C$5,Leads!$G$2:$G$5001,$B41))</f>
        <v>0</v>
      </c>
      <c r="D41" s="20" t="n">
        <f aca="false">IF($B41="","",COUNTIFS(Leads!$B$2:$B$5001,"&gt;="&amp;$C$4,Leads!$B$2:$B$5001,"&lt;="&amp;$C$5,Leads!$G$2:$G$5001,$B41,Leads!$AG$2:$AG$5001,"&gt;=3",Leads!$AG$2:$AG$5001,"&lt;=8"))</f>
        <v>0</v>
      </c>
      <c r="E41" s="20" t="n">
        <f aca="false">IF($B41="","",COUNTIFS(Leads!$B$2:$B$5001,"&gt;="&amp;$C$4,Leads!$B$2:$B$5001,"&lt;="&amp;$C$5,Leads!$G$2:$G$5001,$B41,Leads!$AG$2:$AG$5001,"&gt;=4",Leads!$AG$2:$AG$5001,"&lt;=8"))</f>
        <v>0</v>
      </c>
      <c r="F41" s="20" t="n">
        <f aca="false">IF($B41="","",COUNTIFS(Leads!$B$2:$B$5001,"&gt;="&amp;$C$4,Leads!$B$2:$B$5001,"&lt;="&amp;$C$5,Leads!$G$2:$G$5001,$B41,Leads!$AG$2:$AG$5001,8))</f>
        <v>0</v>
      </c>
    </row>
    <row r="42" customFormat="false" ht="15" hidden="false" customHeight="false" outlineLevel="0" collapsed="false">
      <c r="B42" s="13" t="str">
        <f aca="false">IF(INDEX(Listas!$A$2:$A$50,8)="","",INDEX(Listas!$A$2:$A$50,8))</f>
        <v/>
      </c>
      <c r="C42" s="20" t="str">
        <f aca="false">IF($B42="","",COUNTIFS(Leads!$B$2:$B$5001,"&gt;="&amp;$C$4,Leads!$B$2:$B$5001,"&lt;="&amp;$C$5,Leads!$G$2:$G$5001,$B42))</f>
        <v/>
      </c>
      <c r="D42" s="20" t="str">
        <f aca="false">IF($B42="","",COUNTIFS(Leads!$B$2:$B$5001,"&gt;="&amp;$C$4,Leads!$B$2:$B$5001,"&lt;="&amp;$C$5,Leads!$G$2:$G$5001,$B42,Leads!$AG$2:$AG$5001,"&gt;=3",Leads!$AG$2:$AG$5001,"&lt;=8"))</f>
        <v/>
      </c>
      <c r="E42" s="20" t="str">
        <f aca="false">IF($B42="","",COUNTIFS(Leads!$B$2:$B$5001,"&gt;="&amp;$C$4,Leads!$B$2:$B$5001,"&lt;="&amp;$C$5,Leads!$G$2:$G$5001,$B42,Leads!$AG$2:$AG$5001,"&gt;=4",Leads!$AG$2:$AG$5001,"&lt;=8"))</f>
        <v/>
      </c>
      <c r="F42" s="20" t="str">
        <f aca="false">IF($B42="","",COUNTIFS(Leads!$B$2:$B$5001,"&gt;="&amp;$C$4,Leads!$B$2:$B$5001,"&lt;="&amp;$C$5,Leads!$G$2:$G$5001,$B42,Leads!$AG$2:$AG$5001,8))</f>
        <v/>
      </c>
    </row>
    <row r="43" customFormat="false" ht="15" hidden="false" customHeight="false" outlineLevel="0" collapsed="false">
      <c r="B43" s="13" t="str">
        <f aca="false">IF(INDEX(Listas!$A$2:$A$50,9)="","",INDEX(Listas!$A$2:$A$50,9))</f>
        <v/>
      </c>
      <c r="C43" s="20" t="str">
        <f aca="false">IF($B43="","",COUNTIFS(Leads!$B$2:$B$5001,"&gt;="&amp;$C$4,Leads!$B$2:$B$5001,"&lt;="&amp;$C$5,Leads!$G$2:$G$5001,$B43))</f>
        <v/>
      </c>
      <c r="D43" s="20" t="str">
        <f aca="false">IF($B43="","",COUNTIFS(Leads!$B$2:$B$5001,"&gt;="&amp;$C$4,Leads!$B$2:$B$5001,"&lt;="&amp;$C$5,Leads!$G$2:$G$5001,$B43,Leads!$AG$2:$AG$5001,"&gt;=3",Leads!$AG$2:$AG$5001,"&lt;=8"))</f>
        <v/>
      </c>
      <c r="E43" s="20" t="str">
        <f aca="false">IF($B43="","",COUNTIFS(Leads!$B$2:$B$5001,"&gt;="&amp;$C$4,Leads!$B$2:$B$5001,"&lt;="&amp;$C$5,Leads!$G$2:$G$5001,$B43,Leads!$AG$2:$AG$5001,"&gt;=4",Leads!$AG$2:$AG$5001,"&lt;=8"))</f>
        <v/>
      </c>
      <c r="F43" s="20" t="str">
        <f aca="false">IF($B43="","",COUNTIFS(Leads!$B$2:$B$5001,"&gt;="&amp;$C$4,Leads!$B$2:$B$5001,"&lt;="&amp;$C$5,Leads!$G$2:$G$5001,$B43,Leads!$AG$2:$AG$5001,8))</f>
        <v/>
      </c>
    </row>
    <row r="45" customFormat="false" ht="15" hidden="false" customHeight="false" outlineLevel="0" collapsed="false">
      <c r="B45" s="2" t="s">
        <v>88</v>
      </c>
    </row>
    <row r="46" customFormat="false" ht="31.5" hidden="false" customHeight="true" outlineLevel="0" collapsed="false">
      <c r="B46" s="25" t="s">
        <v>89</v>
      </c>
      <c r="C46" s="25" t="s">
        <v>90</v>
      </c>
      <c r="D46" s="25" t="s">
        <v>91</v>
      </c>
      <c r="E46" s="25" t="s">
        <v>92</v>
      </c>
    </row>
    <row r="47" customFormat="false" ht="15" hidden="false" customHeight="false" outlineLevel="0" collapsed="false">
      <c r="B47" s="13" t="str">
        <f aca="false">IF(INDEX(Listas!$L$2:$L$50,1)="","",INDEX(Listas!$L$2:$L$50,1))</f>
        <v>1. Nuevo</v>
      </c>
      <c r="C47" s="20" t="n">
        <f aca="false">IF($B47="","",COUNTIF(Leads!$R$2:$R$5001,$B47))</f>
        <v>0</v>
      </c>
      <c r="D47" s="26" t="n">
        <f aca="false">IF($B47="","",SUMIF(Leads!$R$2:$R$5001,$B47,Leads!$O$2:$O$5001))</f>
        <v>0</v>
      </c>
      <c r="E47" s="26" t="n">
        <f aca="false">IF($B47="","",SUMIF(Leads!$R$2:$R$5001,$B47,Leads!$Z$2:$Z$5001))</f>
        <v>0</v>
      </c>
    </row>
    <row r="48" customFormat="false" ht="15" hidden="false" customHeight="false" outlineLevel="0" collapsed="false">
      <c r="B48" s="13" t="str">
        <f aca="false">IF(INDEX(Listas!$L$2:$L$50,2)="","",INDEX(Listas!$L$2:$L$50,2))</f>
        <v>2. Contactado</v>
      </c>
      <c r="C48" s="20" t="n">
        <f aca="false">IF($B48="","",COUNTIF(Leads!$R$2:$R$5001,$B48))</f>
        <v>0</v>
      </c>
      <c r="D48" s="26" t="n">
        <f aca="false">IF($B48="","",SUMIF(Leads!$R$2:$R$5001,$B48,Leads!$O$2:$O$5001))</f>
        <v>0</v>
      </c>
      <c r="E48" s="26" t="n">
        <f aca="false">IF($B48="","",SUMIF(Leads!$R$2:$R$5001,$B48,Leads!$Z$2:$Z$5001))</f>
        <v>0</v>
      </c>
    </row>
    <row r="49" customFormat="false" ht="15" hidden="false" customHeight="false" outlineLevel="0" collapsed="false">
      <c r="B49" s="13" t="str">
        <f aca="false">IF(INDEX(Listas!$L$2:$L$50,3)="","",INDEX(Listas!$L$2:$L$50,3))</f>
        <v>3. Calificado</v>
      </c>
      <c r="C49" s="20" t="n">
        <f aca="false">IF($B49="","",COUNTIF(Leads!$R$2:$R$5001,$B49))</f>
        <v>1</v>
      </c>
      <c r="D49" s="26" t="n">
        <f aca="false">IF($B49="","",SUMIF(Leads!$R$2:$R$5001,$B49,Leads!$O$2:$O$5001))</f>
        <v>120000</v>
      </c>
      <c r="E49" s="26" t="n">
        <f aca="false">IF($B49="","",SUMIF(Leads!$R$2:$R$5001,$B49,Leads!$Z$2:$Z$5001))</f>
        <v>4800</v>
      </c>
    </row>
    <row r="50" customFormat="false" ht="15" hidden="false" customHeight="false" outlineLevel="0" collapsed="false">
      <c r="B50" s="13" t="str">
        <f aca="false">IF(INDEX(Listas!$L$2:$L$50,4)="","",INDEX(Listas!$L$2:$L$50,4))</f>
        <v>4. Tasación/visita agendada</v>
      </c>
      <c r="C50" s="20" t="n">
        <f aca="false">IF($B50="","",COUNTIF(Leads!$R$2:$R$5001,$B50))</f>
        <v>1</v>
      </c>
      <c r="D50" s="26" t="n">
        <f aca="false">IF($B50="","",SUMIF(Leads!$R$2:$R$5001,$B50,Leads!$O$2:$O$5001))</f>
        <v>145000</v>
      </c>
      <c r="E50" s="26" t="n">
        <f aca="false">IF($B50="","",SUMIF(Leads!$R$2:$R$5001,$B50,Leads!$Z$2:$Z$5001))</f>
        <v>4350</v>
      </c>
    </row>
    <row r="51" customFormat="false" ht="15" hidden="false" customHeight="false" outlineLevel="0" collapsed="false">
      <c r="B51" s="13" t="str">
        <f aca="false">IF(INDEX(Listas!$L$2:$L$50,5)="","",INDEX(Listas!$L$2:$L$50,5))</f>
        <v>5. Tasación/visita hecha</v>
      </c>
      <c r="C51" s="20" t="n">
        <f aca="false">IF($B51="","",COUNTIF(Leads!$R$2:$R$5001,$B51))</f>
        <v>0</v>
      </c>
      <c r="D51" s="26" t="n">
        <f aca="false">IF($B51="","",SUMIF(Leads!$R$2:$R$5001,$B51,Leads!$O$2:$O$5001))</f>
        <v>0</v>
      </c>
      <c r="E51" s="26" t="n">
        <f aca="false">IF($B51="","",SUMIF(Leads!$R$2:$R$5001,$B51,Leads!$Z$2:$Z$5001))</f>
        <v>0</v>
      </c>
    </row>
    <row r="52" customFormat="false" ht="15" hidden="false" customHeight="false" outlineLevel="0" collapsed="false">
      <c r="B52" s="13" t="str">
        <f aca="false">IF(INDEX(Listas!$L$2:$L$50,6)="","",INDEX(Listas!$L$2:$L$50,6))</f>
        <v>6. Captada / oferta</v>
      </c>
      <c r="C52" s="20" t="n">
        <f aca="false">IF($B52="","",COUNTIF(Leads!$R$2:$R$5001,$B52))</f>
        <v>0</v>
      </c>
      <c r="D52" s="26" t="n">
        <f aca="false">IF($B52="","",SUMIF(Leads!$R$2:$R$5001,$B52,Leads!$O$2:$O$5001))</f>
        <v>0</v>
      </c>
      <c r="E52" s="26" t="n">
        <f aca="false">IF($B52="","",SUMIF(Leads!$R$2:$R$5001,$B52,Leads!$Z$2:$Z$5001))</f>
        <v>0</v>
      </c>
    </row>
    <row r="53" customFormat="false" ht="15" hidden="false" customHeight="false" outlineLevel="0" collapsed="false">
      <c r="B53" s="13" t="str">
        <f aca="false">IF(INDEX(Listas!$L$2:$L$50,7)="","",INDEX(Listas!$L$2:$L$50,7))</f>
        <v>7. Reservado</v>
      </c>
      <c r="C53" s="20" t="n">
        <f aca="false">IF($B53="","",COUNTIF(Leads!$R$2:$R$5001,$B53))</f>
        <v>0</v>
      </c>
      <c r="D53" s="26" t="n">
        <f aca="false">IF($B53="","",SUMIF(Leads!$R$2:$R$5001,$B53,Leads!$O$2:$O$5001))</f>
        <v>0</v>
      </c>
      <c r="E53" s="26" t="n">
        <f aca="false">IF($B53="","",SUMIF(Leads!$R$2:$R$5001,$B53,Leads!$Z$2:$Z$5001))</f>
        <v>0</v>
      </c>
    </row>
    <row r="54" customFormat="false" ht="15" hidden="false" customHeight="false" outlineLevel="0" collapsed="false">
      <c r="B54" s="13" t="str">
        <f aca="false">IF(INDEX(Listas!$L$2:$L$50,8)="","",INDEX(Listas!$L$2:$L$50,8))</f>
        <v>8. Cerrado (ganado)</v>
      </c>
      <c r="C54" s="20" t="n">
        <f aca="false">IF($B54="","",COUNTIF(Leads!$R$2:$R$5001,$B54))</f>
        <v>0</v>
      </c>
      <c r="D54" s="26" t="n">
        <f aca="false">IF($B54="","",SUMIF(Leads!$R$2:$R$5001,$B54,Leads!$O$2:$O$5001))</f>
        <v>0</v>
      </c>
      <c r="E54" s="26" t="n">
        <f aca="false">IF($B54="","",SUMIF(Leads!$R$2:$R$5001,$B54,Leads!$Z$2:$Z$5001))</f>
        <v>0</v>
      </c>
    </row>
    <row r="55" customFormat="false" ht="15" hidden="false" customHeight="false" outlineLevel="0" collapsed="false">
      <c r="B55" s="13" t="str">
        <f aca="false">IF(INDEX(Listas!$L$2:$L$50,9)="","",INDEX(Listas!$L$2:$L$50,9))</f>
        <v>Perdido</v>
      </c>
      <c r="C55" s="20" t="n">
        <f aca="false">IF($B55="","",COUNTIF(Leads!$R$2:$R$5001,$B55))</f>
        <v>0</v>
      </c>
      <c r="D55" s="26" t="n">
        <f aca="false">IF($B55="","",SUMIF(Leads!$R$2:$R$5001,$B55,Leads!$O$2:$O$5001))</f>
        <v>0</v>
      </c>
      <c r="E55" s="26" t="n">
        <f aca="false">IF($B55="","",SUMIF(Leads!$R$2:$R$5001,$B55,Leads!$Z$2:$Z$5001))</f>
        <v>0</v>
      </c>
    </row>
    <row r="56" customFormat="false" ht="15" hidden="false" customHeight="false" outlineLevel="0" collapsed="false">
      <c r="B56" s="13" t="str">
        <f aca="false">IF(INDEX(Listas!$L$2:$L$50,10)="","",INDEX(Listas!$L$2:$L$50,10))</f>
        <v>Descartado</v>
      </c>
      <c r="C56" s="20" t="n">
        <f aca="false">IF($B56="","",COUNTIF(Leads!$R$2:$R$5001,$B56))</f>
        <v>1</v>
      </c>
      <c r="D56" s="26" t="n">
        <f aca="false">IF($B56="","",SUMIF(Leads!$R$2:$R$5001,$B56,Leads!$O$2:$O$5001))</f>
        <v>0</v>
      </c>
      <c r="E56" s="26" t="n">
        <f aca="false">IF($B56="","",SUMIF(Leads!$R$2:$R$5001,$B56,Leads!$Z$2:$Z$5001))</f>
        <v>0</v>
      </c>
    </row>
    <row r="57" customFormat="false" ht="15" hidden="false" customHeight="false" outlineLevel="0" collapsed="false">
      <c r="B57" s="13" t="str">
        <f aca="false">IF(INDEX(Listas!$L$2:$L$50,11)="","",INDEX(Listas!$L$2:$L$50,11))</f>
        <v/>
      </c>
      <c r="C57" s="20" t="str">
        <f aca="false">IF($B57="","",COUNTIF(Leads!$R$2:$R$5001,$B57))</f>
        <v/>
      </c>
      <c r="D57" s="26" t="str">
        <f aca="false">IF($B57="","",SUMIF(Leads!$R$2:$R$5001,$B57,Leads!$O$2:$O$5001))</f>
        <v/>
      </c>
      <c r="E57" s="26" t="str">
        <f aca="false">IF($B57="","",SUMIF(Leads!$R$2:$R$5001,$B57,Leads!$Z$2:$Z$5001))</f>
        <v/>
      </c>
    </row>
    <row r="58" customFormat="false" ht="15" hidden="false" customHeight="false" outlineLevel="0" collapsed="false">
      <c r="B58" s="13" t="str">
        <f aca="false">IF(INDEX(Listas!$L$2:$L$50,12)="","",INDEX(Listas!$L$2:$L$50,12))</f>
        <v/>
      </c>
      <c r="C58" s="20" t="str">
        <f aca="false">IF($B58="","",COUNTIF(Leads!$R$2:$R$5001,$B58))</f>
        <v/>
      </c>
      <c r="D58" s="26" t="str">
        <f aca="false">IF($B58="","",SUMIF(Leads!$R$2:$R$5001,$B58,Leads!$O$2:$O$5001))</f>
        <v/>
      </c>
      <c r="E58" s="26" t="str">
        <f aca="false">IF($B58="","",SUMIF(Leads!$R$2:$R$5001,$B58,Leads!$Z$2:$Z$5001))</f>
        <v/>
      </c>
    </row>
  </sheetData>
  <mergeCells count="4">
    <mergeCell ref="E8:G8"/>
    <mergeCell ref="E9:G9"/>
    <mergeCell ref="E10:G10"/>
    <mergeCell ref="E11:G11"/>
  </mergeCells>
  <conditionalFormatting sqref="E19:E30">
    <cfRule type="cellIs" priority="2" operator="greaterThanOrEqual" aboveAverage="0" equalAverage="0" bottom="0" percent="0" rank="0" text="" dxfId="0">
      <formula>0.2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G2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2"/>
    <col collapsed="false" customWidth="true" hidden="false" outlineLevel="0" max="4" min="3" style="0" width="14"/>
    <col collapsed="false" customWidth="true" hidden="false" outlineLevel="0" max="5" min="5" style="0" width="19"/>
    <col collapsed="false" customWidth="true" hidden="false" outlineLevel="0" max="6" min="6" style="0" width="26"/>
    <col collapsed="false" customWidth="true" hidden="false" outlineLevel="0" max="7" min="7" style="0" width="20"/>
    <col collapsed="false" customWidth="true" hidden="false" outlineLevel="0" max="8" min="8" style="0" width="27"/>
    <col collapsed="false" customWidth="true" hidden="false" outlineLevel="0" max="9" min="9" style="0" width="24"/>
    <col collapsed="false" customWidth="true" hidden="false" outlineLevel="0" max="10" min="10" style="0" width="26"/>
    <col collapsed="false" customWidth="true" hidden="false" outlineLevel="0" max="12" min="11" style="0" width="15"/>
    <col collapsed="false" customWidth="true" hidden="false" outlineLevel="0" max="13" min="13" style="0" width="10"/>
    <col collapsed="false" customWidth="true" hidden="false" outlineLevel="0" max="14" min="14" style="0" width="24"/>
    <col collapsed="false" customWidth="true" hidden="false" outlineLevel="0" max="15" min="15" style="0" width="15"/>
    <col collapsed="false" customWidth="true" hidden="false" outlineLevel="0" max="16" min="16" style="0" width="19"/>
    <col collapsed="false" customWidth="true" hidden="false" outlineLevel="0" max="17" min="17" style="0" width="20"/>
    <col collapsed="false" customWidth="true" hidden="false" outlineLevel="0" max="18" min="18" style="0" width="25"/>
    <col collapsed="false" customWidth="true" hidden="false" outlineLevel="0" max="19" min="19" style="0" width="12"/>
    <col collapsed="false" customWidth="true" hidden="false" outlineLevel="0" max="20" min="20" style="0" width="23"/>
    <col collapsed="false" customWidth="true" hidden="false" outlineLevel="0" max="21" min="21" style="0" width="28"/>
    <col collapsed="false" customWidth="true" hidden="false" outlineLevel="0" max="22" min="22" style="0" width="13"/>
    <col collapsed="false" customWidth="true" hidden="false" outlineLevel="0" max="23" min="23" style="0" width="10"/>
    <col collapsed="false" customWidth="true" hidden="false" outlineLevel="0" max="24" min="24" style="0" width="12"/>
    <col collapsed="false" customWidth="true" hidden="false" outlineLevel="0" max="25" min="25" style="0" width="10"/>
    <col collapsed="false" customWidth="true" hidden="false" outlineLevel="0" max="27" min="26" style="0" width="14"/>
    <col collapsed="false" customWidth="true" hidden="false" outlineLevel="0" max="30" min="28" style="0" width="18"/>
    <col collapsed="false" customWidth="true" hidden="false" outlineLevel="0" max="31" min="31" style="0" width="14"/>
    <col collapsed="false" customWidth="true" hidden="false" outlineLevel="0" max="32" min="32" style="0" width="40"/>
    <col collapsed="false" customWidth="true" hidden="true" outlineLevel="0" max="33" min="33" style="0" width="8"/>
  </cols>
  <sheetData>
    <row r="1" customFormat="false" ht="42" hidden="false" customHeight="true" outlineLevel="0" collapsed="false">
      <c r="A1" s="18" t="s">
        <v>93</v>
      </c>
      <c r="B1" s="18" t="s">
        <v>94</v>
      </c>
      <c r="C1" s="18" t="s">
        <v>95</v>
      </c>
      <c r="D1" s="18" t="s">
        <v>96</v>
      </c>
      <c r="E1" s="18" t="s">
        <v>97</v>
      </c>
      <c r="F1" s="18" t="s">
        <v>98</v>
      </c>
      <c r="G1" s="18" t="s">
        <v>87</v>
      </c>
      <c r="H1" s="27" t="s">
        <v>77</v>
      </c>
      <c r="I1" s="27" t="s">
        <v>99</v>
      </c>
      <c r="J1" s="27" t="s">
        <v>100</v>
      </c>
      <c r="K1" s="24" t="s">
        <v>101</v>
      </c>
      <c r="L1" s="24" t="s">
        <v>102</v>
      </c>
      <c r="M1" s="24" t="s">
        <v>103</v>
      </c>
      <c r="N1" s="24" t="s">
        <v>104</v>
      </c>
      <c r="O1" s="24" t="s">
        <v>91</v>
      </c>
      <c r="P1" s="24" t="s">
        <v>105</v>
      </c>
      <c r="Q1" s="24" t="s">
        <v>106</v>
      </c>
      <c r="R1" s="25" t="s">
        <v>89</v>
      </c>
      <c r="S1" s="25" t="s">
        <v>107</v>
      </c>
      <c r="T1" s="25" t="s">
        <v>108</v>
      </c>
      <c r="U1" s="25" t="s">
        <v>109</v>
      </c>
      <c r="V1" s="25" t="s">
        <v>110</v>
      </c>
      <c r="W1" s="28" t="s">
        <v>111</v>
      </c>
      <c r="X1" s="28" t="s">
        <v>112</v>
      </c>
      <c r="Y1" s="28" t="s">
        <v>113</v>
      </c>
      <c r="Z1" s="28" t="s">
        <v>92</v>
      </c>
      <c r="AA1" s="18" t="s">
        <v>114</v>
      </c>
      <c r="AB1" s="29" t="s">
        <v>115</v>
      </c>
      <c r="AC1" s="29" t="s">
        <v>116</v>
      </c>
      <c r="AD1" s="28" t="s">
        <v>117</v>
      </c>
      <c r="AE1" s="29" t="s">
        <v>118</v>
      </c>
      <c r="AF1" s="25" t="s">
        <v>119</v>
      </c>
      <c r="AG1" s="28" t="s">
        <v>120</v>
      </c>
    </row>
    <row r="2" customFormat="false" ht="15" hidden="false" customHeight="false" outlineLevel="0" collapsed="false">
      <c r="A2" s="30" t="n">
        <v>1</v>
      </c>
      <c r="B2" s="31" t="n">
        <v>46298</v>
      </c>
      <c r="C2" s="32" t="s">
        <v>121</v>
      </c>
      <c r="D2" s="32" t="s">
        <v>122</v>
      </c>
      <c r="E2" s="33" t="s">
        <v>123</v>
      </c>
      <c r="F2" s="32" t="s">
        <v>124</v>
      </c>
      <c r="G2" s="32" t="s">
        <v>125</v>
      </c>
      <c r="H2" s="32" t="s">
        <v>126</v>
      </c>
      <c r="I2" s="32" t="s">
        <v>127</v>
      </c>
      <c r="J2" s="32" t="s">
        <v>128</v>
      </c>
      <c r="K2" s="32" t="s">
        <v>129</v>
      </c>
      <c r="L2" s="32" t="s">
        <v>130</v>
      </c>
      <c r="M2" s="30" t="n">
        <v>3</v>
      </c>
      <c r="N2" s="32" t="s">
        <v>131</v>
      </c>
      <c r="O2" s="34" t="n">
        <v>145000</v>
      </c>
      <c r="P2" s="32" t="s">
        <v>132</v>
      </c>
      <c r="Q2" s="32"/>
      <c r="R2" s="32" t="s">
        <v>133</v>
      </c>
      <c r="S2" s="32" t="s">
        <v>134</v>
      </c>
      <c r="T2" s="32"/>
      <c r="U2" s="32" t="s">
        <v>135</v>
      </c>
      <c r="V2" s="31" t="n">
        <v>46309</v>
      </c>
      <c r="W2" s="35" t="str">
        <f aca="true">IF(OR(V2="",AG2&gt;=8),"",IF(V2&lt;TODAY(),"Vencida",IF(V2=TODAY(),"Hoy","")))</f>
        <v/>
      </c>
      <c r="X2" s="36" t="n">
        <f aca="false">IF(A2="","",IF(COUNTIF(Seguimiento!$B$2:$B$5001,A2)=0,"",_xlfn.MAXIFS(Seguimiento!$A$2:$A$5001,Seguimiento!$B$2:$B$5001,A2)))</f>
        <v>46300</v>
      </c>
      <c r="Y2" s="37" t="n">
        <f aca="true">IF(B2="","",TODAY()-B2)</f>
        <v>7</v>
      </c>
      <c r="Z2" s="38" t="n">
        <f aca="false">IF(OR(O2="",G2=""),"",O2*IFERROR(INDEX(Listas!$B$2:$B$50,MATCH(G2,Listas!$A$2:$A$50,0)),0))</f>
        <v>4350</v>
      </c>
      <c r="AA2" s="32" t="s">
        <v>136</v>
      </c>
      <c r="AB2" s="32" t="s">
        <v>137</v>
      </c>
      <c r="AC2" s="32"/>
      <c r="AD2" s="35" t="str">
        <f aca="false">IF(OR(LEFT(H2,4)="Meta",LEFT(H2,6)="Google"),IF(AG2=3,"Lead calificado",IF(OR(AG2=4,AG2=5),"Tasación/visita",IF(OR(AG2=6,AG2=7),"Captación/oferta",IF(AG2=8,"Cierre","")))),"")</f>
        <v>Tasación/visita</v>
      </c>
      <c r="AE2" s="32" t="s">
        <v>138</v>
      </c>
      <c r="AF2" s="32" t="s">
        <v>139</v>
      </c>
      <c r="AG2" s="37" t="n">
        <f aca="false">IF(R2="",0,IFERROR(MATCH(R2,Listas!$L$2:$L$50,0),0))</f>
        <v>4</v>
      </c>
    </row>
    <row r="3" customFormat="false" ht="15" hidden="false" customHeight="false" outlineLevel="0" collapsed="false">
      <c r="A3" s="30" t="n">
        <v>2</v>
      </c>
      <c r="B3" s="31" t="n">
        <v>46301</v>
      </c>
      <c r="C3" s="32" t="s">
        <v>140</v>
      </c>
      <c r="D3" s="32" t="s">
        <v>141</v>
      </c>
      <c r="E3" s="33" t="s">
        <v>142</v>
      </c>
      <c r="F3" s="32" t="s">
        <v>143</v>
      </c>
      <c r="G3" s="32" t="s">
        <v>144</v>
      </c>
      <c r="H3" s="32" t="s">
        <v>145</v>
      </c>
      <c r="I3" s="32" t="s">
        <v>146</v>
      </c>
      <c r="J3" s="32" t="s">
        <v>147</v>
      </c>
      <c r="K3" s="32" t="s">
        <v>148</v>
      </c>
      <c r="L3" s="32" t="s">
        <v>130</v>
      </c>
      <c r="M3" s="30" t="n">
        <v>2</v>
      </c>
      <c r="N3" s="32"/>
      <c r="O3" s="34" t="n">
        <v>120000</v>
      </c>
      <c r="P3" s="32" t="s">
        <v>149</v>
      </c>
      <c r="Q3" s="32" t="s">
        <v>150</v>
      </c>
      <c r="R3" s="32" t="s">
        <v>151</v>
      </c>
      <c r="S3" s="32" t="s">
        <v>152</v>
      </c>
      <c r="T3" s="32"/>
      <c r="U3" s="32" t="s">
        <v>153</v>
      </c>
      <c r="V3" s="31" t="n">
        <v>46304</v>
      </c>
      <c r="W3" s="35" t="str">
        <f aca="true">IF(OR(V3="",AG3&gt;=8),"",IF(V3&lt;TODAY(),"Vencida",IF(V3=TODAY(),"Hoy","")))</f>
        <v>Vencida</v>
      </c>
      <c r="X3" s="36" t="n">
        <f aca="false">IF(A3="","",IF(COUNTIF(Seguimiento!$B$2:$B$5001,A3)=0,"",_xlfn.MAXIFS(Seguimiento!$A$2:$A$5001,Seguimiento!$B$2:$B$5001,A3)))</f>
        <v>46302</v>
      </c>
      <c r="Y3" s="37" t="n">
        <f aca="true">IF(B3="","",TODAY()-B3)</f>
        <v>4</v>
      </c>
      <c r="Z3" s="38" t="n">
        <f aca="false">IF(OR(O3="",G3=""),"",O3*IFERROR(INDEX(Listas!$B$2:$B$50,MATCH(G3,Listas!$A$2:$A$50,0)),0))</f>
        <v>4800</v>
      </c>
      <c r="AA3" s="32" t="s">
        <v>136</v>
      </c>
      <c r="AB3" s="32"/>
      <c r="AC3" s="32" t="s">
        <v>154</v>
      </c>
      <c r="AD3" s="35" t="str">
        <f aca="false">IF(OR(LEFT(H3,4)="Meta",LEFT(H3,6)="Google"),IF(AG3=3,"Lead calificado",IF(OR(AG3=4,AG3=5),"Tasación/visita",IF(OR(AG3=6,AG3=7),"Captación/oferta",IF(AG3=8,"Cierre","")))),"")</f>
        <v>Lead calificado</v>
      </c>
      <c r="AE3" s="32" t="s">
        <v>138</v>
      </c>
      <c r="AF3" s="32" t="s">
        <v>139</v>
      </c>
      <c r="AG3" s="37" t="n">
        <f aca="false">IF(R3="",0,IFERROR(MATCH(R3,Listas!$L$2:$L$50,0),0))</f>
        <v>3</v>
      </c>
    </row>
    <row r="4" customFormat="false" ht="15" hidden="false" customHeight="false" outlineLevel="0" collapsed="false">
      <c r="A4" s="30" t="n">
        <v>3</v>
      </c>
      <c r="B4" s="31" t="n">
        <v>46302</v>
      </c>
      <c r="C4" s="32" t="s">
        <v>155</v>
      </c>
      <c r="D4" s="32" t="s">
        <v>156</v>
      </c>
      <c r="E4" s="33" t="s">
        <v>157</v>
      </c>
      <c r="F4" s="32" t="s">
        <v>158</v>
      </c>
      <c r="G4" s="32" t="s">
        <v>159</v>
      </c>
      <c r="H4" s="32" t="s">
        <v>126</v>
      </c>
      <c r="I4" s="32" t="s">
        <v>127</v>
      </c>
      <c r="J4" s="32" t="s">
        <v>160</v>
      </c>
      <c r="K4" s="32" t="s">
        <v>129</v>
      </c>
      <c r="L4" s="32"/>
      <c r="M4" s="30"/>
      <c r="N4" s="32"/>
      <c r="O4" s="34"/>
      <c r="P4" s="32"/>
      <c r="Q4" s="32"/>
      <c r="R4" s="32" t="s">
        <v>26</v>
      </c>
      <c r="S4" s="32"/>
      <c r="T4" s="32" t="s">
        <v>161</v>
      </c>
      <c r="U4" s="32"/>
      <c r="V4" s="31"/>
      <c r="W4" s="35" t="str">
        <f aca="true">IF(OR(V4="",AG4&gt;=8),"",IF(V4&lt;TODAY(),"Vencida",IF(V4=TODAY(),"Hoy","")))</f>
        <v/>
      </c>
      <c r="X4" s="36" t="str">
        <f aca="false">IF(A4="","",IF(COUNTIF(Seguimiento!$B$2:$B$5001,A4)=0,"",_xlfn.MAXIFS(Seguimiento!$A$2:$A$5001,Seguimiento!$B$2:$B$5001,A4)))</f>
        <v/>
      </c>
      <c r="Y4" s="37" t="n">
        <f aca="true">IF(B4="","",TODAY()-B4)</f>
        <v>3</v>
      </c>
      <c r="Z4" s="38" t="str">
        <f aca="false">IF(OR(O4="",G4=""),"",O4*IFERROR(INDEX(Listas!$B$2:$B$50,MATCH(G4,Listas!$A$2:$A$50,0)),0))</f>
        <v/>
      </c>
      <c r="AA4" s="32"/>
      <c r="AB4" s="32" t="s">
        <v>162</v>
      </c>
      <c r="AC4" s="32"/>
      <c r="AD4" s="35" t="str">
        <f aca="false">IF(OR(LEFT(H4,4)="Meta",LEFT(H4,6)="Google"),IF(AG4=3,"Lead calificado",IF(OR(AG4=4,AG4=5),"Tasación/visita",IF(OR(AG4=6,AG4=7),"Captación/oferta",IF(AG4=8,"Cierre","")))),"")</f>
        <v/>
      </c>
      <c r="AE4" s="32"/>
      <c r="AF4" s="32" t="s">
        <v>163</v>
      </c>
      <c r="AG4" s="37" t="n">
        <f aca="false">IF(R4="",0,IFERROR(MATCH(R4,Listas!$L$2:$L$50,0),0))</f>
        <v>10</v>
      </c>
    </row>
    <row r="5" customFormat="false" ht="15" hidden="false" customHeight="false" outlineLevel="0" collapsed="false">
      <c r="A5" s="30"/>
      <c r="B5" s="31"/>
      <c r="C5" s="32"/>
      <c r="D5" s="32"/>
      <c r="E5" s="33"/>
      <c r="F5" s="32"/>
      <c r="G5" s="32"/>
      <c r="H5" s="32"/>
      <c r="I5" s="32"/>
      <c r="J5" s="32"/>
      <c r="K5" s="32"/>
      <c r="L5" s="32"/>
      <c r="M5" s="30"/>
      <c r="N5" s="32"/>
      <c r="O5" s="34"/>
      <c r="P5" s="32"/>
      <c r="Q5" s="32"/>
      <c r="R5" s="32"/>
      <c r="S5" s="32"/>
      <c r="T5" s="32"/>
      <c r="U5" s="32"/>
      <c r="V5" s="31"/>
      <c r="W5" s="35" t="str">
        <f aca="true">IF(OR(V5="",AG5&gt;=8),"",IF(V5&lt;TODAY(),"Vencida",IF(V5=TODAY(),"Hoy","")))</f>
        <v/>
      </c>
      <c r="X5" s="36" t="str">
        <f aca="false">IF(A5="","",IF(COUNTIF(Seguimiento!$B$2:$B$5001,A5)=0,"",_xlfn.MAXIFS(Seguimiento!$A$2:$A$5001,Seguimiento!$B$2:$B$5001,A5)))</f>
        <v/>
      </c>
      <c r="Y5" s="37" t="str">
        <f aca="true">IF(B5="","",TODAY()-B5)</f>
        <v/>
      </c>
      <c r="Z5" s="38" t="str">
        <f aca="false">IF(OR(O5="",G5=""),"",O5*IFERROR(INDEX(Listas!$B$2:$B$50,MATCH(G5,Listas!$A$2:$A$50,0)),0))</f>
        <v/>
      </c>
      <c r="AA5" s="32"/>
      <c r="AB5" s="32"/>
      <c r="AC5" s="32"/>
      <c r="AD5" s="35" t="str">
        <f aca="false">IF(OR(LEFT(H5,4)="Meta",LEFT(H5,6)="Google"),IF(AG5=3,"Lead calificado",IF(OR(AG5=4,AG5=5),"Tasación/visita",IF(OR(AG5=6,AG5=7),"Captación/oferta",IF(AG5=8,"Cierre","")))),"")</f>
        <v/>
      </c>
      <c r="AE5" s="32"/>
      <c r="AF5" s="32"/>
      <c r="AG5" s="37" t="n">
        <f aca="false">IF(R5="",0,IFERROR(MATCH(R5,Listas!$L$2:$L$50,0),0))</f>
        <v>0</v>
      </c>
    </row>
    <row r="6" customFormat="false" ht="15" hidden="false" customHeight="false" outlineLevel="0" collapsed="false">
      <c r="A6" s="30"/>
      <c r="B6" s="31"/>
      <c r="C6" s="32"/>
      <c r="D6" s="32"/>
      <c r="E6" s="33"/>
      <c r="F6" s="32"/>
      <c r="G6" s="32"/>
      <c r="H6" s="32"/>
      <c r="I6" s="32"/>
      <c r="J6" s="32"/>
      <c r="K6" s="32"/>
      <c r="L6" s="32"/>
      <c r="M6" s="30"/>
      <c r="N6" s="32"/>
      <c r="O6" s="34"/>
      <c r="P6" s="32"/>
      <c r="Q6" s="32"/>
      <c r="R6" s="32"/>
      <c r="S6" s="32"/>
      <c r="T6" s="32"/>
      <c r="U6" s="32"/>
      <c r="V6" s="31"/>
      <c r="W6" s="35" t="str">
        <f aca="true">IF(OR(V6="",AG6&gt;=8),"",IF(V6&lt;TODAY(),"Vencida",IF(V6=TODAY(),"Hoy","")))</f>
        <v/>
      </c>
      <c r="X6" s="36" t="str">
        <f aca="false">IF(A6="","",IF(COUNTIF(Seguimiento!$B$2:$B$5001,A6)=0,"",_xlfn.MAXIFS(Seguimiento!$A$2:$A$5001,Seguimiento!$B$2:$B$5001,A6)))</f>
        <v/>
      </c>
      <c r="Y6" s="37" t="str">
        <f aca="true">IF(B6="","",TODAY()-B6)</f>
        <v/>
      </c>
      <c r="Z6" s="38" t="str">
        <f aca="false">IF(OR(O6="",G6=""),"",O6*IFERROR(INDEX(Listas!$B$2:$B$50,MATCH(G6,Listas!$A$2:$A$50,0)),0))</f>
        <v/>
      </c>
      <c r="AA6" s="32"/>
      <c r="AB6" s="32"/>
      <c r="AC6" s="32"/>
      <c r="AD6" s="35" t="str">
        <f aca="false">IF(OR(LEFT(H6,4)="Meta",LEFT(H6,6)="Google"),IF(AG6=3,"Lead calificado",IF(OR(AG6=4,AG6=5),"Tasación/visita",IF(OR(AG6=6,AG6=7),"Captación/oferta",IF(AG6=8,"Cierre","")))),"")</f>
        <v/>
      </c>
      <c r="AE6" s="32"/>
      <c r="AF6" s="32"/>
      <c r="AG6" s="37" t="n">
        <f aca="false">IF(R6="",0,IFERROR(MATCH(R6,Listas!$L$2:$L$50,0),0))</f>
        <v>0</v>
      </c>
    </row>
    <row r="7" customFormat="false" ht="15" hidden="false" customHeight="false" outlineLevel="0" collapsed="false">
      <c r="A7" s="30"/>
      <c r="B7" s="31"/>
      <c r="C7" s="32"/>
      <c r="D7" s="32"/>
      <c r="E7" s="33"/>
      <c r="F7" s="32"/>
      <c r="G7" s="32"/>
      <c r="H7" s="32"/>
      <c r="I7" s="32"/>
      <c r="J7" s="32"/>
      <c r="K7" s="32"/>
      <c r="L7" s="32"/>
      <c r="M7" s="30"/>
      <c r="N7" s="32"/>
      <c r="O7" s="34"/>
      <c r="P7" s="32"/>
      <c r="Q7" s="32"/>
      <c r="R7" s="32"/>
      <c r="S7" s="32"/>
      <c r="T7" s="32"/>
      <c r="U7" s="32"/>
      <c r="V7" s="31"/>
      <c r="W7" s="35" t="str">
        <f aca="true">IF(OR(V7="",AG7&gt;=8),"",IF(V7&lt;TODAY(),"Vencida",IF(V7=TODAY(),"Hoy","")))</f>
        <v/>
      </c>
      <c r="X7" s="36" t="str">
        <f aca="false">IF(A7="","",IF(COUNTIF(Seguimiento!$B$2:$B$5001,A7)=0,"",_xlfn.MAXIFS(Seguimiento!$A$2:$A$5001,Seguimiento!$B$2:$B$5001,A7)))</f>
        <v/>
      </c>
      <c r="Y7" s="37" t="str">
        <f aca="true">IF(B7="","",TODAY()-B7)</f>
        <v/>
      </c>
      <c r="Z7" s="38" t="str">
        <f aca="false">IF(OR(O7="",G7=""),"",O7*IFERROR(INDEX(Listas!$B$2:$B$50,MATCH(G7,Listas!$A$2:$A$50,0)),0))</f>
        <v/>
      </c>
      <c r="AA7" s="32"/>
      <c r="AB7" s="32"/>
      <c r="AC7" s="32"/>
      <c r="AD7" s="35" t="str">
        <f aca="false">IF(OR(LEFT(H7,4)="Meta",LEFT(H7,6)="Google"),IF(AG7=3,"Lead calificado",IF(OR(AG7=4,AG7=5),"Tasación/visita",IF(OR(AG7=6,AG7=7),"Captación/oferta",IF(AG7=8,"Cierre","")))),"")</f>
        <v/>
      </c>
      <c r="AE7" s="32"/>
      <c r="AF7" s="32"/>
      <c r="AG7" s="37" t="n">
        <f aca="false">IF(R7="",0,IFERROR(MATCH(R7,Listas!$L$2:$L$50,0),0))</f>
        <v>0</v>
      </c>
    </row>
    <row r="8" customFormat="false" ht="15" hidden="false" customHeight="false" outlineLevel="0" collapsed="false">
      <c r="A8" s="30"/>
      <c r="B8" s="31"/>
      <c r="C8" s="32"/>
      <c r="D8" s="32"/>
      <c r="E8" s="33"/>
      <c r="F8" s="32"/>
      <c r="G8" s="32"/>
      <c r="H8" s="32"/>
      <c r="I8" s="32"/>
      <c r="J8" s="32"/>
      <c r="K8" s="32"/>
      <c r="L8" s="32"/>
      <c r="M8" s="30"/>
      <c r="N8" s="32"/>
      <c r="O8" s="34"/>
      <c r="P8" s="32"/>
      <c r="Q8" s="32"/>
      <c r="R8" s="32"/>
      <c r="S8" s="32"/>
      <c r="T8" s="32"/>
      <c r="U8" s="32"/>
      <c r="V8" s="31"/>
      <c r="W8" s="35" t="str">
        <f aca="true">IF(OR(V8="",AG8&gt;=8),"",IF(V8&lt;TODAY(),"Vencida",IF(V8=TODAY(),"Hoy","")))</f>
        <v/>
      </c>
      <c r="X8" s="36" t="str">
        <f aca="false">IF(A8="","",IF(COUNTIF(Seguimiento!$B$2:$B$5001,A8)=0,"",_xlfn.MAXIFS(Seguimiento!$A$2:$A$5001,Seguimiento!$B$2:$B$5001,A8)))</f>
        <v/>
      </c>
      <c r="Y8" s="37" t="str">
        <f aca="true">IF(B8="","",TODAY()-B8)</f>
        <v/>
      </c>
      <c r="Z8" s="38" t="str">
        <f aca="false">IF(OR(O8="",G8=""),"",O8*IFERROR(INDEX(Listas!$B$2:$B$50,MATCH(G8,Listas!$A$2:$A$50,0)),0))</f>
        <v/>
      </c>
      <c r="AA8" s="32"/>
      <c r="AB8" s="32"/>
      <c r="AC8" s="32"/>
      <c r="AD8" s="35" t="str">
        <f aca="false">IF(OR(LEFT(H8,4)="Meta",LEFT(H8,6)="Google"),IF(AG8=3,"Lead calificado",IF(OR(AG8=4,AG8=5),"Tasación/visita",IF(OR(AG8=6,AG8=7),"Captación/oferta",IF(AG8=8,"Cierre","")))),"")</f>
        <v/>
      </c>
      <c r="AE8" s="32"/>
      <c r="AF8" s="32"/>
      <c r="AG8" s="37" t="n">
        <f aca="false">IF(R8="",0,IFERROR(MATCH(R8,Listas!$L$2:$L$50,0),0))</f>
        <v>0</v>
      </c>
    </row>
    <row r="9" customFormat="false" ht="15" hidden="false" customHeight="false" outlineLevel="0" collapsed="false">
      <c r="A9" s="30"/>
      <c r="B9" s="31"/>
      <c r="C9" s="32"/>
      <c r="D9" s="32"/>
      <c r="E9" s="33"/>
      <c r="F9" s="32"/>
      <c r="G9" s="32"/>
      <c r="H9" s="32"/>
      <c r="I9" s="32"/>
      <c r="J9" s="32"/>
      <c r="K9" s="32"/>
      <c r="L9" s="32"/>
      <c r="M9" s="30"/>
      <c r="N9" s="32"/>
      <c r="O9" s="34"/>
      <c r="P9" s="32"/>
      <c r="Q9" s="32"/>
      <c r="R9" s="32"/>
      <c r="S9" s="32"/>
      <c r="T9" s="32"/>
      <c r="U9" s="32"/>
      <c r="V9" s="31"/>
      <c r="W9" s="35" t="str">
        <f aca="true">IF(OR(V9="",AG9&gt;=8),"",IF(V9&lt;TODAY(),"Vencida",IF(V9=TODAY(),"Hoy","")))</f>
        <v/>
      </c>
      <c r="X9" s="36" t="str">
        <f aca="false">IF(A9="","",IF(COUNTIF(Seguimiento!$B$2:$B$5001,A9)=0,"",_xlfn.MAXIFS(Seguimiento!$A$2:$A$5001,Seguimiento!$B$2:$B$5001,A9)))</f>
        <v/>
      </c>
      <c r="Y9" s="37" t="str">
        <f aca="true">IF(B9="","",TODAY()-B9)</f>
        <v/>
      </c>
      <c r="Z9" s="38" t="str">
        <f aca="false">IF(OR(O9="",G9=""),"",O9*IFERROR(INDEX(Listas!$B$2:$B$50,MATCH(G9,Listas!$A$2:$A$50,0)),0))</f>
        <v/>
      </c>
      <c r="AA9" s="32"/>
      <c r="AB9" s="32"/>
      <c r="AC9" s="32"/>
      <c r="AD9" s="35" t="str">
        <f aca="false">IF(OR(LEFT(H9,4)="Meta",LEFT(H9,6)="Google"),IF(AG9=3,"Lead calificado",IF(OR(AG9=4,AG9=5),"Tasación/visita",IF(OR(AG9=6,AG9=7),"Captación/oferta",IF(AG9=8,"Cierre","")))),"")</f>
        <v/>
      </c>
      <c r="AE9" s="32"/>
      <c r="AF9" s="32"/>
      <c r="AG9" s="37" t="n">
        <f aca="false">IF(R9="",0,IFERROR(MATCH(R9,Listas!$L$2:$L$50,0),0))</f>
        <v>0</v>
      </c>
    </row>
    <row r="10" customFormat="false" ht="15" hidden="false" customHeight="false" outlineLevel="0" collapsed="false">
      <c r="A10" s="30"/>
      <c r="B10" s="31"/>
      <c r="C10" s="32"/>
      <c r="D10" s="32"/>
      <c r="E10" s="33"/>
      <c r="F10" s="32"/>
      <c r="G10" s="32"/>
      <c r="H10" s="32"/>
      <c r="I10" s="32"/>
      <c r="J10" s="32"/>
      <c r="K10" s="32"/>
      <c r="L10" s="32"/>
      <c r="M10" s="30"/>
      <c r="N10" s="32"/>
      <c r="O10" s="34"/>
      <c r="P10" s="32"/>
      <c r="Q10" s="32"/>
      <c r="R10" s="32"/>
      <c r="S10" s="32"/>
      <c r="T10" s="32"/>
      <c r="U10" s="32"/>
      <c r="V10" s="31"/>
      <c r="W10" s="35" t="str">
        <f aca="true">IF(OR(V10="",AG10&gt;=8),"",IF(V10&lt;TODAY(),"Vencida",IF(V10=TODAY(),"Hoy","")))</f>
        <v/>
      </c>
      <c r="X10" s="36" t="str">
        <f aca="false">IF(A10="","",IF(COUNTIF(Seguimiento!$B$2:$B$5001,A10)=0,"",_xlfn.MAXIFS(Seguimiento!$A$2:$A$5001,Seguimiento!$B$2:$B$5001,A10)))</f>
        <v/>
      </c>
      <c r="Y10" s="37" t="str">
        <f aca="true">IF(B10="","",TODAY()-B10)</f>
        <v/>
      </c>
      <c r="Z10" s="38" t="str">
        <f aca="false">IF(OR(O10="",G10=""),"",O10*IFERROR(INDEX(Listas!$B$2:$B$50,MATCH(G10,Listas!$A$2:$A$50,0)),0))</f>
        <v/>
      </c>
      <c r="AA10" s="32"/>
      <c r="AB10" s="32"/>
      <c r="AC10" s="32"/>
      <c r="AD10" s="35" t="str">
        <f aca="false">IF(OR(LEFT(H10,4)="Meta",LEFT(H10,6)="Google"),IF(AG10=3,"Lead calificado",IF(OR(AG10=4,AG10=5),"Tasación/visita",IF(OR(AG10=6,AG10=7),"Captación/oferta",IF(AG10=8,"Cierre","")))),"")</f>
        <v/>
      </c>
      <c r="AE10" s="32"/>
      <c r="AF10" s="32"/>
      <c r="AG10" s="37" t="n">
        <f aca="false">IF(R10="",0,IFERROR(MATCH(R10,Listas!$L$2:$L$50,0),0))</f>
        <v>0</v>
      </c>
    </row>
    <row r="11" customFormat="false" ht="15" hidden="false" customHeight="false" outlineLevel="0" collapsed="false">
      <c r="A11" s="30"/>
      <c r="B11" s="31"/>
      <c r="C11" s="32"/>
      <c r="D11" s="32"/>
      <c r="E11" s="33"/>
      <c r="F11" s="32"/>
      <c r="G11" s="32"/>
      <c r="H11" s="32"/>
      <c r="I11" s="32"/>
      <c r="J11" s="32"/>
      <c r="K11" s="32"/>
      <c r="L11" s="32"/>
      <c r="M11" s="30"/>
      <c r="N11" s="32"/>
      <c r="O11" s="34"/>
      <c r="P11" s="32"/>
      <c r="Q11" s="32"/>
      <c r="R11" s="32"/>
      <c r="S11" s="32"/>
      <c r="T11" s="32"/>
      <c r="U11" s="32"/>
      <c r="V11" s="31"/>
      <c r="W11" s="35" t="str">
        <f aca="true">IF(OR(V11="",AG11&gt;=8),"",IF(V11&lt;TODAY(),"Vencida",IF(V11=TODAY(),"Hoy","")))</f>
        <v/>
      </c>
      <c r="X11" s="36" t="str">
        <f aca="false">IF(A11="","",IF(COUNTIF(Seguimiento!$B$2:$B$5001,A11)=0,"",_xlfn.MAXIFS(Seguimiento!$A$2:$A$5001,Seguimiento!$B$2:$B$5001,A11)))</f>
        <v/>
      </c>
      <c r="Y11" s="37" t="str">
        <f aca="true">IF(B11="","",TODAY()-B11)</f>
        <v/>
      </c>
      <c r="Z11" s="38" t="str">
        <f aca="false">IF(OR(O11="",G11=""),"",O11*IFERROR(INDEX(Listas!$B$2:$B$50,MATCH(G11,Listas!$A$2:$A$50,0)),0))</f>
        <v/>
      </c>
      <c r="AA11" s="32"/>
      <c r="AB11" s="32"/>
      <c r="AC11" s="32"/>
      <c r="AD11" s="35" t="str">
        <f aca="false">IF(OR(LEFT(H11,4)="Meta",LEFT(H11,6)="Google"),IF(AG11=3,"Lead calificado",IF(OR(AG11=4,AG11=5),"Tasación/visita",IF(OR(AG11=6,AG11=7),"Captación/oferta",IF(AG11=8,"Cierre","")))),"")</f>
        <v/>
      </c>
      <c r="AE11" s="32"/>
      <c r="AF11" s="32"/>
      <c r="AG11" s="37" t="n">
        <f aca="false">IF(R11="",0,IFERROR(MATCH(R11,Listas!$L$2:$L$50,0),0))</f>
        <v>0</v>
      </c>
    </row>
    <row r="12" customFormat="false" ht="15" hidden="false" customHeight="false" outlineLevel="0" collapsed="false">
      <c r="A12" s="30"/>
      <c r="B12" s="31"/>
      <c r="C12" s="32"/>
      <c r="D12" s="32"/>
      <c r="E12" s="33"/>
      <c r="F12" s="32"/>
      <c r="G12" s="32"/>
      <c r="H12" s="32"/>
      <c r="I12" s="32"/>
      <c r="J12" s="32"/>
      <c r="K12" s="32"/>
      <c r="L12" s="32"/>
      <c r="M12" s="30"/>
      <c r="N12" s="32"/>
      <c r="O12" s="34"/>
      <c r="P12" s="32"/>
      <c r="Q12" s="32"/>
      <c r="R12" s="32"/>
      <c r="S12" s="32"/>
      <c r="T12" s="32"/>
      <c r="U12" s="32"/>
      <c r="V12" s="31"/>
      <c r="W12" s="35" t="str">
        <f aca="true">IF(OR(V12="",AG12&gt;=8),"",IF(V12&lt;TODAY(),"Vencida",IF(V12=TODAY(),"Hoy","")))</f>
        <v/>
      </c>
      <c r="X12" s="36" t="str">
        <f aca="false">IF(A12="","",IF(COUNTIF(Seguimiento!$B$2:$B$5001,A12)=0,"",_xlfn.MAXIFS(Seguimiento!$A$2:$A$5001,Seguimiento!$B$2:$B$5001,A12)))</f>
        <v/>
      </c>
      <c r="Y12" s="37" t="str">
        <f aca="true">IF(B12="","",TODAY()-B12)</f>
        <v/>
      </c>
      <c r="Z12" s="38" t="str">
        <f aca="false">IF(OR(O12="",G12=""),"",O12*IFERROR(INDEX(Listas!$B$2:$B$50,MATCH(G12,Listas!$A$2:$A$50,0)),0))</f>
        <v/>
      </c>
      <c r="AA12" s="32"/>
      <c r="AB12" s="32"/>
      <c r="AC12" s="32"/>
      <c r="AD12" s="35" t="str">
        <f aca="false">IF(OR(LEFT(H12,4)="Meta",LEFT(H12,6)="Google"),IF(AG12=3,"Lead calificado",IF(OR(AG12=4,AG12=5),"Tasación/visita",IF(OR(AG12=6,AG12=7),"Captación/oferta",IF(AG12=8,"Cierre","")))),"")</f>
        <v/>
      </c>
      <c r="AE12" s="32"/>
      <c r="AF12" s="32"/>
      <c r="AG12" s="37" t="n">
        <f aca="false">IF(R12="",0,IFERROR(MATCH(R12,Listas!$L$2:$L$50,0),0))</f>
        <v>0</v>
      </c>
    </row>
    <row r="13" customFormat="false" ht="15" hidden="false" customHeight="false" outlineLevel="0" collapsed="false">
      <c r="A13" s="30"/>
      <c r="B13" s="31"/>
      <c r="C13" s="32"/>
      <c r="D13" s="32"/>
      <c r="E13" s="33"/>
      <c r="F13" s="32"/>
      <c r="G13" s="32"/>
      <c r="H13" s="32"/>
      <c r="I13" s="32"/>
      <c r="J13" s="32"/>
      <c r="K13" s="32"/>
      <c r="L13" s="32"/>
      <c r="M13" s="30"/>
      <c r="N13" s="32"/>
      <c r="O13" s="34"/>
      <c r="P13" s="32"/>
      <c r="Q13" s="32"/>
      <c r="R13" s="32"/>
      <c r="S13" s="32"/>
      <c r="T13" s="32"/>
      <c r="U13" s="32"/>
      <c r="V13" s="31"/>
      <c r="W13" s="35" t="str">
        <f aca="true">IF(OR(V13="",AG13&gt;=8),"",IF(V13&lt;TODAY(),"Vencida",IF(V13=TODAY(),"Hoy","")))</f>
        <v/>
      </c>
      <c r="X13" s="36" t="str">
        <f aca="false">IF(A13="","",IF(COUNTIF(Seguimiento!$B$2:$B$5001,A13)=0,"",_xlfn.MAXIFS(Seguimiento!$A$2:$A$5001,Seguimiento!$B$2:$B$5001,A13)))</f>
        <v/>
      </c>
      <c r="Y13" s="37" t="str">
        <f aca="true">IF(B13="","",TODAY()-B13)</f>
        <v/>
      </c>
      <c r="Z13" s="38" t="str">
        <f aca="false">IF(OR(O13="",G13=""),"",O13*IFERROR(INDEX(Listas!$B$2:$B$50,MATCH(G13,Listas!$A$2:$A$50,0)),0))</f>
        <v/>
      </c>
      <c r="AA13" s="32"/>
      <c r="AB13" s="32"/>
      <c r="AC13" s="32"/>
      <c r="AD13" s="35" t="str">
        <f aca="false">IF(OR(LEFT(H13,4)="Meta",LEFT(H13,6)="Google"),IF(AG13=3,"Lead calificado",IF(OR(AG13=4,AG13=5),"Tasación/visita",IF(OR(AG13=6,AG13=7),"Captación/oferta",IF(AG13=8,"Cierre","")))),"")</f>
        <v/>
      </c>
      <c r="AE13" s="32"/>
      <c r="AF13" s="32"/>
      <c r="AG13" s="37" t="n">
        <f aca="false">IF(R13="",0,IFERROR(MATCH(R13,Listas!$L$2:$L$50,0),0))</f>
        <v>0</v>
      </c>
    </row>
    <row r="14" customFormat="false" ht="15" hidden="false" customHeight="false" outlineLevel="0" collapsed="false">
      <c r="A14" s="30"/>
      <c r="B14" s="31"/>
      <c r="C14" s="32"/>
      <c r="D14" s="32"/>
      <c r="E14" s="33"/>
      <c r="F14" s="32"/>
      <c r="G14" s="32"/>
      <c r="H14" s="32"/>
      <c r="I14" s="32"/>
      <c r="J14" s="32"/>
      <c r="K14" s="32"/>
      <c r="L14" s="32"/>
      <c r="M14" s="30"/>
      <c r="N14" s="32"/>
      <c r="O14" s="34"/>
      <c r="P14" s="32"/>
      <c r="Q14" s="32"/>
      <c r="R14" s="32"/>
      <c r="S14" s="32"/>
      <c r="T14" s="32"/>
      <c r="U14" s="32"/>
      <c r="V14" s="31"/>
      <c r="W14" s="35" t="str">
        <f aca="true">IF(OR(V14="",AG14&gt;=8),"",IF(V14&lt;TODAY(),"Vencida",IF(V14=TODAY(),"Hoy","")))</f>
        <v/>
      </c>
      <c r="X14" s="36" t="str">
        <f aca="false">IF(A14="","",IF(COUNTIF(Seguimiento!$B$2:$B$5001,A14)=0,"",_xlfn.MAXIFS(Seguimiento!$A$2:$A$5001,Seguimiento!$B$2:$B$5001,A14)))</f>
        <v/>
      </c>
      <c r="Y14" s="37" t="str">
        <f aca="true">IF(B14="","",TODAY()-B14)</f>
        <v/>
      </c>
      <c r="Z14" s="38" t="str">
        <f aca="false">IF(OR(O14="",G14=""),"",O14*IFERROR(INDEX(Listas!$B$2:$B$50,MATCH(G14,Listas!$A$2:$A$50,0)),0))</f>
        <v/>
      </c>
      <c r="AA14" s="32"/>
      <c r="AB14" s="32"/>
      <c r="AC14" s="32"/>
      <c r="AD14" s="35" t="str">
        <f aca="false">IF(OR(LEFT(H14,4)="Meta",LEFT(H14,6)="Google"),IF(AG14=3,"Lead calificado",IF(OR(AG14=4,AG14=5),"Tasación/visita",IF(OR(AG14=6,AG14=7),"Captación/oferta",IF(AG14=8,"Cierre","")))),"")</f>
        <v/>
      </c>
      <c r="AE14" s="32"/>
      <c r="AF14" s="32"/>
      <c r="AG14" s="37" t="n">
        <f aca="false">IF(R14="",0,IFERROR(MATCH(R14,Listas!$L$2:$L$50,0),0))</f>
        <v>0</v>
      </c>
    </row>
    <row r="15" customFormat="false" ht="15" hidden="false" customHeight="false" outlineLevel="0" collapsed="false">
      <c r="A15" s="30"/>
      <c r="B15" s="31"/>
      <c r="C15" s="32"/>
      <c r="D15" s="32"/>
      <c r="E15" s="33"/>
      <c r="F15" s="32"/>
      <c r="G15" s="32"/>
      <c r="H15" s="32"/>
      <c r="I15" s="32"/>
      <c r="J15" s="32"/>
      <c r="K15" s="32"/>
      <c r="L15" s="32"/>
      <c r="M15" s="30"/>
      <c r="N15" s="32"/>
      <c r="O15" s="34"/>
      <c r="P15" s="32"/>
      <c r="Q15" s="32"/>
      <c r="R15" s="32"/>
      <c r="S15" s="32"/>
      <c r="T15" s="32"/>
      <c r="U15" s="32"/>
      <c r="V15" s="31"/>
      <c r="W15" s="35" t="str">
        <f aca="true">IF(OR(V15="",AG15&gt;=8),"",IF(V15&lt;TODAY(),"Vencida",IF(V15=TODAY(),"Hoy","")))</f>
        <v/>
      </c>
      <c r="X15" s="36" t="str">
        <f aca="false">IF(A15="","",IF(COUNTIF(Seguimiento!$B$2:$B$5001,A15)=0,"",_xlfn.MAXIFS(Seguimiento!$A$2:$A$5001,Seguimiento!$B$2:$B$5001,A15)))</f>
        <v/>
      </c>
      <c r="Y15" s="37" t="str">
        <f aca="true">IF(B15="","",TODAY()-B15)</f>
        <v/>
      </c>
      <c r="Z15" s="38" t="str">
        <f aca="false">IF(OR(O15="",G15=""),"",O15*IFERROR(INDEX(Listas!$B$2:$B$50,MATCH(G15,Listas!$A$2:$A$50,0)),0))</f>
        <v/>
      </c>
      <c r="AA15" s="32"/>
      <c r="AB15" s="32"/>
      <c r="AC15" s="32"/>
      <c r="AD15" s="35" t="str">
        <f aca="false">IF(OR(LEFT(H15,4)="Meta",LEFT(H15,6)="Google"),IF(AG15=3,"Lead calificado",IF(OR(AG15=4,AG15=5),"Tasación/visita",IF(OR(AG15=6,AG15=7),"Captación/oferta",IF(AG15=8,"Cierre","")))),"")</f>
        <v/>
      </c>
      <c r="AE15" s="32"/>
      <c r="AF15" s="32"/>
      <c r="AG15" s="37" t="n">
        <f aca="false">IF(R15="",0,IFERROR(MATCH(R15,Listas!$L$2:$L$50,0),0))</f>
        <v>0</v>
      </c>
    </row>
    <row r="16" customFormat="false" ht="15" hidden="false" customHeight="false" outlineLevel="0" collapsed="false">
      <c r="A16" s="30"/>
      <c r="B16" s="31"/>
      <c r="C16" s="32"/>
      <c r="D16" s="32"/>
      <c r="E16" s="33"/>
      <c r="F16" s="32"/>
      <c r="G16" s="32"/>
      <c r="H16" s="32"/>
      <c r="I16" s="32"/>
      <c r="J16" s="32"/>
      <c r="K16" s="32"/>
      <c r="L16" s="32"/>
      <c r="M16" s="30"/>
      <c r="N16" s="32"/>
      <c r="O16" s="34"/>
      <c r="P16" s="32"/>
      <c r="Q16" s="32"/>
      <c r="R16" s="32"/>
      <c r="S16" s="32"/>
      <c r="T16" s="32"/>
      <c r="U16" s="32"/>
      <c r="V16" s="31"/>
      <c r="W16" s="35" t="str">
        <f aca="true">IF(OR(V16="",AG16&gt;=8),"",IF(V16&lt;TODAY(),"Vencida",IF(V16=TODAY(),"Hoy","")))</f>
        <v/>
      </c>
      <c r="X16" s="36" t="str">
        <f aca="false">IF(A16="","",IF(COUNTIF(Seguimiento!$B$2:$B$5001,A16)=0,"",_xlfn.MAXIFS(Seguimiento!$A$2:$A$5001,Seguimiento!$B$2:$B$5001,A16)))</f>
        <v/>
      </c>
      <c r="Y16" s="37" t="str">
        <f aca="true">IF(B16="","",TODAY()-B16)</f>
        <v/>
      </c>
      <c r="Z16" s="38" t="str">
        <f aca="false">IF(OR(O16="",G16=""),"",O16*IFERROR(INDEX(Listas!$B$2:$B$50,MATCH(G16,Listas!$A$2:$A$50,0)),0))</f>
        <v/>
      </c>
      <c r="AA16" s="32"/>
      <c r="AB16" s="32"/>
      <c r="AC16" s="32"/>
      <c r="AD16" s="35" t="str">
        <f aca="false">IF(OR(LEFT(H16,4)="Meta",LEFT(H16,6)="Google"),IF(AG16=3,"Lead calificado",IF(OR(AG16=4,AG16=5),"Tasación/visita",IF(OR(AG16=6,AG16=7),"Captación/oferta",IF(AG16=8,"Cierre","")))),"")</f>
        <v/>
      </c>
      <c r="AE16" s="32"/>
      <c r="AF16" s="32"/>
      <c r="AG16" s="37" t="n">
        <f aca="false">IF(R16="",0,IFERROR(MATCH(R16,Listas!$L$2:$L$50,0),0))</f>
        <v>0</v>
      </c>
    </row>
    <row r="17" customFormat="false" ht="15" hidden="false" customHeight="false" outlineLevel="0" collapsed="false">
      <c r="A17" s="30"/>
      <c r="B17" s="31"/>
      <c r="C17" s="32"/>
      <c r="D17" s="32"/>
      <c r="E17" s="33"/>
      <c r="F17" s="32"/>
      <c r="G17" s="32"/>
      <c r="H17" s="32"/>
      <c r="I17" s="32"/>
      <c r="J17" s="32"/>
      <c r="K17" s="32"/>
      <c r="L17" s="32"/>
      <c r="M17" s="30"/>
      <c r="N17" s="32"/>
      <c r="O17" s="34"/>
      <c r="P17" s="32"/>
      <c r="Q17" s="32"/>
      <c r="R17" s="32"/>
      <c r="S17" s="32"/>
      <c r="T17" s="32"/>
      <c r="U17" s="32"/>
      <c r="V17" s="31"/>
      <c r="W17" s="35" t="str">
        <f aca="true">IF(OR(V17="",AG17&gt;=8),"",IF(V17&lt;TODAY(),"Vencida",IF(V17=TODAY(),"Hoy","")))</f>
        <v/>
      </c>
      <c r="X17" s="36" t="str">
        <f aca="false">IF(A17="","",IF(COUNTIF(Seguimiento!$B$2:$B$5001,A17)=0,"",_xlfn.MAXIFS(Seguimiento!$A$2:$A$5001,Seguimiento!$B$2:$B$5001,A17)))</f>
        <v/>
      </c>
      <c r="Y17" s="37" t="str">
        <f aca="true">IF(B17="","",TODAY()-B17)</f>
        <v/>
      </c>
      <c r="Z17" s="38" t="str">
        <f aca="false">IF(OR(O17="",G17=""),"",O17*IFERROR(INDEX(Listas!$B$2:$B$50,MATCH(G17,Listas!$A$2:$A$50,0)),0))</f>
        <v/>
      </c>
      <c r="AA17" s="32"/>
      <c r="AB17" s="32"/>
      <c r="AC17" s="32"/>
      <c r="AD17" s="35" t="str">
        <f aca="false">IF(OR(LEFT(H17,4)="Meta",LEFT(H17,6)="Google"),IF(AG17=3,"Lead calificado",IF(OR(AG17=4,AG17=5),"Tasación/visita",IF(OR(AG17=6,AG17=7),"Captación/oferta",IF(AG17=8,"Cierre","")))),"")</f>
        <v/>
      </c>
      <c r="AE17" s="32"/>
      <c r="AF17" s="32"/>
      <c r="AG17" s="37" t="n">
        <f aca="false">IF(R17="",0,IFERROR(MATCH(R17,Listas!$L$2:$L$50,0),0))</f>
        <v>0</v>
      </c>
    </row>
    <row r="18" customFormat="false" ht="15" hidden="false" customHeight="false" outlineLevel="0" collapsed="false">
      <c r="A18" s="30"/>
      <c r="B18" s="31"/>
      <c r="C18" s="32"/>
      <c r="D18" s="32"/>
      <c r="E18" s="33"/>
      <c r="F18" s="32"/>
      <c r="G18" s="32"/>
      <c r="H18" s="32"/>
      <c r="I18" s="32"/>
      <c r="J18" s="32"/>
      <c r="K18" s="32"/>
      <c r="L18" s="32"/>
      <c r="M18" s="30"/>
      <c r="N18" s="32"/>
      <c r="O18" s="34"/>
      <c r="P18" s="32"/>
      <c r="Q18" s="32"/>
      <c r="R18" s="32"/>
      <c r="S18" s="32"/>
      <c r="T18" s="32"/>
      <c r="U18" s="32"/>
      <c r="V18" s="31"/>
      <c r="W18" s="35" t="str">
        <f aca="true">IF(OR(V18="",AG18&gt;=8),"",IF(V18&lt;TODAY(),"Vencida",IF(V18=TODAY(),"Hoy","")))</f>
        <v/>
      </c>
      <c r="X18" s="36" t="str">
        <f aca="false">IF(A18="","",IF(COUNTIF(Seguimiento!$B$2:$B$5001,A18)=0,"",_xlfn.MAXIFS(Seguimiento!$A$2:$A$5001,Seguimiento!$B$2:$B$5001,A18)))</f>
        <v/>
      </c>
      <c r="Y18" s="37" t="str">
        <f aca="true">IF(B18="","",TODAY()-B18)</f>
        <v/>
      </c>
      <c r="Z18" s="38" t="str">
        <f aca="false">IF(OR(O18="",G18=""),"",O18*IFERROR(INDEX(Listas!$B$2:$B$50,MATCH(G18,Listas!$A$2:$A$50,0)),0))</f>
        <v/>
      </c>
      <c r="AA18" s="32"/>
      <c r="AB18" s="32"/>
      <c r="AC18" s="32"/>
      <c r="AD18" s="35" t="str">
        <f aca="false">IF(OR(LEFT(H18,4)="Meta",LEFT(H18,6)="Google"),IF(AG18=3,"Lead calificado",IF(OR(AG18=4,AG18=5),"Tasación/visita",IF(OR(AG18=6,AG18=7),"Captación/oferta",IF(AG18=8,"Cierre","")))),"")</f>
        <v/>
      </c>
      <c r="AE18" s="32"/>
      <c r="AF18" s="32"/>
      <c r="AG18" s="37" t="n">
        <f aca="false">IF(R18="",0,IFERROR(MATCH(R18,Listas!$L$2:$L$50,0),0))</f>
        <v>0</v>
      </c>
    </row>
    <row r="19" customFormat="false" ht="15" hidden="false" customHeight="false" outlineLevel="0" collapsed="false">
      <c r="A19" s="30"/>
      <c r="B19" s="31"/>
      <c r="C19" s="32"/>
      <c r="D19" s="32"/>
      <c r="E19" s="33"/>
      <c r="F19" s="32"/>
      <c r="G19" s="32"/>
      <c r="H19" s="32"/>
      <c r="I19" s="32"/>
      <c r="J19" s="32"/>
      <c r="K19" s="32"/>
      <c r="L19" s="32"/>
      <c r="M19" s="30"/>
      <c r="N19" s="32"/>
      <c r="O19" s="34"/>
      <c r="P19" s="32"/>
      <c r="Q19" s="32"/>
      <c r="R19" s="32"/>
      <c r="S19" s="32"/>
      <c r="T19" s="32"/>
      <c r="U19" s="32"/>
      <c r="V19" s="31"/>
      <c r="W19" s="35" t="str">
        <f aca="true">IF(OR(V19="",AG19&gt;=8),"",IF(V19&lt;TODAY(),"Vencida",IF(V19=TODAY(),"Hoy","")))</f>
        <v/>
      </c>
      <c r="X19" s="36" t="str">
        <f aca="false">IF(A19="","",IF(COUNTIF(Seguimiento!$B$2:$B$5001,A19)=0,"",_xlfn.MAXIFS(Seguimiento!$A$2:$A$5001,Seguimiento!$B$2:$B$5001,A19)))</f>
        <v/>
      </c>
      <c r="Y19" s="37" t="str">
        <f aca="true">IF(B19="","",TODAY()-B19)</f>
        <v/>
      </c>
      <c r="Z19" s="38" t="str">
        <f aca="false">IF(OR(O19="",G19=""),"",O19*IFERROR(INDEX(Listas!$B$2:$B$50,MATCH(G19,Listas!$A$2:$A$50,0)),0))</f>
        <v/>
      </c>
      <c r="AA19" s="32"/>
      <c r="AB19" s="32"/>
      <c r="AC19" s="32"/>
      <c r="AD19" s="35" t="str">
        <f aca="false">IF(OR(LEFT(H19,4)="Meta",LEFT(H19,6)="Google"),IF(AG19=3,"Lead calificado",IF(OR(AG19=4,AG19=5),"Tasación/visita",IF(OR(AG19=6,AG19=7),"Captación/oferta",IF(AG19=8,"Cierre","")))),"")</f>
        <v/>
      </c>
      <c r="AE19" s="32"/>
      <c r="AF19" s="32"/>
      <c r="AG19" s="37" t="n">
        <f aca="false">IF(R19="",0,IFERROR(MATCH(R19,Listas!$L$2:$L$50,0),0))</f>
        <v>0</v>
      </c>
    </row>
    <row r="20" customFormat="false" ht="15" hidden="false" customHeight="false" outlineLevel="0" collapsed="false">
      <c r="A20" s="30"/>
      <c r="B20" s="31"/>
      <c r="C20" s="32"/>
      <c r="D20" s="32"/>
      <c r="E20" s="33"/>
      <c r="F20" s="32"/>
      <c r="G20" s="32"/>
      <c r="H20" s="32"/>
      <c r="I20" s="32"/>
      <c r="J20" s="32"/>
      <c r="K20" s="32"/>
      <c r="L20" s="32"/>
      <c r="M20" s="30"/>
      <c r="N20" s="32"/>
      <c r="O20" s="34"/>
      <c r="P20" s="32"/>
      <c r="Q20" s="32"/>
      <c r="R20" s="32"/>
      <c r="S20" s="32"/>
      <c r="T20" s="32"/>
      <c r="U20" s="32"/>
      <c r="V20" s="31"/>
      <c r="W20" s="35" t="str">
        <f aca="true">IF(OR(V20="",AG20&gt;=8),"",IF(V20&lt;TODAY(),"Vencida",IF(V20=TODAY(),"Hoy","")))</f>
        <v/>
      </c>
      <c r="X20" s="36" t="str">
        <f aca="false">IF(A20="","",IF(COUNTIF(Seguimiento!$B$2:$B$5001,A20)=0,"",_xlfn.MAXIFS(Seguimiento!$A$2:$A$5001,Seguimiento!$B$2:$B$5001,A20)))</f>
        <v/>
      </c>
      <c r="Y20" s="37" t="str">
        <f aca="true">IF(B20="","",TODAY()-B20)</f>
        <v/>
      </c>
      <c r="Z20" s="38" t="str">
        <f aca="false">IF(OR(O20="",G20=""),"",O20*IFERROR(INDEX(Listas!$B$2:$B$50,MATCH(G20,Listas!$A$2:$A$50,0)),0))</f>
        <v/>
      </c>
      <c r="AA20" s="32"/>
      <c r="AB20" s="32"/>
      <c r="AC20" s="32"/>
      <c r="AD20" s="35" t="str">
        <f aca="false">IF(OR(LEFT(H20,4)="Meta",LEFT(H20,6)="Google"),IF(AG20=3,"Lead calificado",IF(OR(AG20=4,AG20=5),"Tasación/visita",IF(OR(AG20=6,AG20=7),"Captación/oferta",IF(AG20=8,"Cierre","")))),"")</f>
        <v/>
      </c>
      <c r="AE20" s="32"/>
      <c r="AF20" s="32"/>
      <c r="AG20" s="37" t="n">
        <f aca="false">IF(R20="",0,IFERROR(MATCH(R20,Listas!$L$2:$L$50,0),0))</f>
        <v>0</v>
      </c>
    </row>
    <row r="21" customFormat="false" ht="15" hidden="false" customHeight="false" outlineLevel="0" collapsed="false">
      <c r="A21" s="30"/>
      <c r="B21" s="31"/>
      <c r="C21" s="32"/>
      <c r="D21" s="32"/>
      <c r="E21" s="33"/>
      <c r="F21" s="32"/>
      <c r="G21" s="32"/>
      <c r="H21" s="32"/>
      <c r="I21" s="32"/>
      <c r="J21" s="32"/>
      <c r="K21" s="32"/>
      <c r="L21" s="32"/>
      <c r="M21" s="30"/>
      <c r="N21" s="32"/>
      <c r="O21" s="34"/>
      <c r="P21" s="32"/>
      <c r="Q21" s="32"/>
      <c r="R21" s="32"/>
      <c r="S21" s="32"/>
      <c r="T21" s="32"/>
      <c r="U21" s="32"/>
      <c r="V21" s="31"/>
      <c r="W21" s="35" t="str">
        <f aca="true">IF(OR(V21="",AG21&gt;=8),"",IF(V21&lt;TODAY(),"Vencida",IF(V21=TODAY(),"Hoy","")))</f>
        <v/>
      </c>
      <c r="X21" s="36" t="str">
        <f aca="false">IF(A21="","",IF(COUNTIF(Seguimiento!$B$2:$B$5001,A21)=0,"",_xlfn.MAXIFS(Seguimiento!$A$2:$A$5001,Seguimiento!$B$2:$B$5001,A21)))</f>
        <v/>
      </c>
      <c r="Y21" s="37" t="str">
        <f aca="true">IF(B21="","",TODAY()-B21)</f>
        <v/>
      </c>
      <c r="Z21" s="38" t="str">
        <f aca="false">IF(OR(O21="",G21=""),"",O21*IFERROR(INDEX(Listas!$B$2:$B$50,MATCH(G21,Listas!$A$2:$A$50,0)),0))</f>
        <v/>
      </c>
      <c r="AA21" s="32"/>
      <c r="AB21" s="32"/>
      <c r="AC21" s="32"/>
      <c r="AD21" s="35" t="str">
        <f aca="false">IF(OR(LEFT(H21,4)="Meta",LEFT(H21,6)="Google"),IF(AG21=3,"Lead calificado",IF(OR(AG21=4,AG21=5),"Tasación/visita",IF(OR(AG21=6,AG21=7),"Captación/oferta",IF(AG21=8,"Cierre","")))),"")</f>
        <v/>
      </c>
      <c r="AE21" s="32"/>
      <c r="AF21" s="32"/>
      <c r="AG21" s="37" t="n">
        <f aca="false">IF(R21="",0,IFERROR(MATCH(R21,Listas!$L$2:$L$50,0),0))</f>
        <v>0</v>
      </c>
    </row>
    <row r="22" customFormat="false" ht="15" hidden="false" customHeight="false" outlineLevel="0" collapsed="false">
      <c r="A22" s="30"/>
      <c r="B22" s="31"/>
      <c r="C22" s="32"/>
      <c r="D22" s="32"/>
      <c r="E22" s="33"/>
      <c r="F22" s="32"/>
      <c r="G22" s="32"/>
      <c r="H22" s="32"/>
      <c r="I22" s="32"/>
      <c r="J22" s="32"/>
      <c r="K22" s="32"/>
      <c r="L22" s="32"/>
      <c r="M22" s="30"/>
      <c r="N22" s="32"/>
      <c r="O22" s="34"/>
      <c r="P22" s="32"/>
      <c r="Q22" s="32"/>
      <c r="R22" s="32"/>
      <c r="S22" s="32"/>
      <c r="T22" s="32"/>
      <c r="U22" s="32"/>
      <c r="V22" s="31"/>
      <c r="W22" s="35" t="str">
        <f aca="true">IF(OR(V22="",AG22&gt;=8),"",IF(V22&lt;TODAY(),"Vencida",IF(V22=TODAY(),"Hoy","")))</f>
        <v/>
      </c>
      <c r="X22" s="36" t="str">
        <f aca="false">IF(A22="","",IF(COUNTIF(Seguimiento!$B$2:$B$5001,A22)=0,"",_xlfn.MAXIFS(Seguimiento!$A$2:$A$5001,Seguimiento!$B$2:$B$5001,A22)))</f>
        <v/>
      </c>
      <c r="Y22" s="37" t="str">
        <f aca="true">IF(B22="","",TODAY()-B22)</f>
        <v/>
      </c>
      <c r="Z22" s="38" t="str">
        <f aca="false">IF(OR(O22="",G22=""),"",O22*IFERROR(INDEX(Listas!$B$2:$B$50,MATCH(G22,Listas!$A$2:$A$50,0)),0))</f>
        <v/>
      </c>
      <c r="AA22" s="32"/>
      <c r="AB22" s="32"/>
      <c r="AC22" s="32"/>
      <c r="AD22" s="35" t="str">
        <f aca="false">IF(OR(LEFT(H22,4)="Meta",LEFT(H22,6)="Google"),IF(AG22=3,"Lead calificado",IF(OR(AG22=4,AG22=5),"Tasación/visita",IF(OR(AG22=6,AG22=7),"Captación/oferta",IF(AG22=8,"Cierre","")))),"")</f>
        <v/>
      </c>
      <c r="AE22" s="32"/>
      <c r="AF22" s="32"/>
      <c r="AG22" s="37" t="n">
        <f aca="false">IF(R22="",0,IFERROR(MATCH(R22,Listas!$L$2:$L$50,0),0))</f>
        <v>0</v>
      </c>
    </row>
    <row r="23" customFormat="false" ht="15" hidden="false" customHeight="false" outlineLevel="0" collapsed="false">
      <c r="A23" s="30"/>
      <c r="B23" s="31"/>
      <c r="C23" s="32"/>
      <c r="D23" s="32"/>
      <c r="E23" s="33"/>
      <c r="F23" s="32"/>
      <c r="G23" s="32"/>
      <c r="H23" s="32"/>
      <c r="I23" s="32"/>
      <c r="J23" s="32"/>
      <c r="K23" s="32"/>
      <c r="L23" s="32"/>
      <c r="M23" s="30"/>
      <c r="N23" s="32"/>
      <c r="O23" s="34"/>
      <c r="P23" s="32"/>
      <c r="Q23" s="32"/>
      <c r="R23" s="32"/>
      <c r="S23" s="32"/>
      <c r="T23" s="32"/>
      <c r="U23" s="32"/>
      <c r="V23" s="31"/>
      <c r="W23" s="35" t="str">
        <f aca="true">IF(OR(V23="",AG23&gt;=8),"",IF(V23&lt;TODAY(),"Vencida",IF(V23=TODAY(),"Hoy","")))</f>
        <v/>
      </c>
      <c r="X23" s="36" t="str">
        <f aca="false">IF(A23="","",IF(COUNTIF(Seguimiento!$B$2:$B$5001,A23)=0,"",_xlfn.MAXIFS(Seguimiento!$A$2:$A$5001,Seguimiento!$B$2:$B$5001,A23)))</f>
        <v/>
      </c>
      <c r="Y23" s="37" t="str">
        <f aca="true">IF(B23="","",TODAY()-B23)</f>
        <v/>
      </c>
      <c r="Z23" s="38" t="str">
        <f aca="false">IF(OR(O23="",G23=""),"",O23*IFERROR(INDEX(Listas!$B$2:$B$50,MATCH(G23,Listas!$A$2:$A$50,0)),0))</f>
        <v/>
      </c>
      <c r="AA23" s="32"/>
      <c r="AB23" s="32"/>
      <c r="AC23" s="32"/>
      <c r="AD23" s="35" t="str">
        <f aca="false">IF(OR(LEFT(H23,4)="Meta",LEFT(H23,6)="Google"),IF(AG23=3,"Lead calificado",IF(OR(AG23=4,AG23=5),"Tasación/visita",IF(OR(AG23=6,AG23=7),"Captación/oferta",IF(AG23=8,"Cierre","")))),"")</f>
        <v/>
      </c>
      <c r="AE23" s="32"/>
      <c r="AF23" s="32"/>
      <c r="AG23" s="37" t="n">
        <f aca="false">IF(R23="",0,IFERROR(MATCH(R23,Listas!$L$2:$L$50,0),0))</f>
        <v>0</v>
      </c>
    </row>
    <row r="24" customFormat="false" ht="15" hidden="false" customHeight="false" outlineLevel="0" collapsed="false">
      <c r="A24" s="30"/>
      <c r="B24" s="31"/>
      <c r="C24" s="32"/>
      <c r="D24" s="32"/>
      <c r="E24" s="33"/>
      <c r="F24" s="32"/>
      <c r="G24" s="32"/>
      <c r="H24" s="32"/>
      <c r="I24" s="32"/>
      <c r="J24" s="32"/>
      <c r="K24" s="32"/>
      <c r="L24" s="32"/>
      <c r="M24" s="30"/>
      <c r="N24" s="32"/>
      <c r="O24" s="34"/>
      <c r="P24" s="32"/>
      <c r="Q24" s="32"/>
      <c r="R24" s="32"/>
      <c r="S24" s="32"/>
      <c r="T24" s="32"/>
      <c r="U24" s="32"/>
      <c r="V24" s="31"/>
      <c r="W24" s="35" t="str">
        <f aca="true">IF(OR(V24="",AG24&gt;=8),"",IF(V24&lt;TODAY(),"Vencida",IF(V24=TODAY(),"Hoy","")))</f>
        <v/>
      </c>
      <c r="X24" s="36" t="str">
        <f aca="false">IF(A24="","",IF(COUNTIF(Seguimiento!$B$2:$B$5001,A24)=0,"",_xlfn.MAXIFS(Seguimiento!$A$2:$A$5001,Seguimiento!$B$2:$B$5001,A24)))</f>
        <v/>
      </c>
      <c r="Y24" s="37" t="str">
        <f aca="true">IF(B24="","",TODAY()-B24)</f>
        <v/>
      </c>
      <c r="Z24" s="38" t="str">
        <f aca="false">IF(OR(O24="",G24=""),"",O24*IFERROR(INDEX(Listas!$B$2:$B$50,MATCH(G24,Listas!$A$2:$A$50,0)),0))</f>
        <v/>
      </c>
      <c r="AA24" s="32"/>
      <c r="AB24" s="32"/>
      <c r="AC24" s="32"/>
      <c r="AD24" s="35" t="str">
        <f aca="false">IF(OR(LEFT(H24,4)="Meta",LEFT(H24,6)="Google"),IF(AG24=3,"Lead calificado",IF(OR(AG24=4,AG24=5),"Tasación/visita",IF(OR(AG24=6,AG24=7),"Captación/oferta",IF(AG24=8,"Cierre","")))),"")</f>
        <v/>
      </c>
      <c r="AE24" s="32"/>
      <c r="AF24" s="32"/>
      <c r="AG24" s="37" t="n">
        <f aca="false">IF(R24="",0,IFERROR(MATCH(R24,Listas!$L$2:$L$50,0),0))</f>
        <v>0</v>
      </c>
    </row>
    <row r="25" customFormat="false" ht="15" hidden="false" customHeight="false" outlineLevel="0" collapsed="false">
      <c r="A25" s="30"/>
      <c r="B25" s="31"/>
      <c r="C25" s="32"/>
      <c r="D25" s="32"/>
      <c r="E25" s="33"/>
      <c r="F25" s="32"/>
      <c r="G25" s="32"/>
      <c r="H25" s="32"/>
      <c r="I25" s="32"/>
      <c r="J25" s="32"/>
      <c r="K25" s="32"/>
      <c r="L25" s="32"/>
      <c r="M25" s="30"/>
      <c r="N25" s="32"/>
      <c r="O25" s="34"/>
      <c r="P25" s="32"/>
      <c r="Q25" s="32"/>
      <c r="R25" s="32"/>
      <c r="S25" s="32"/>
      <c r="T25" s="32"/>
      <c r="U25" s="32"/>
      <c r="V25" s="31"/>
      <c r="W25" s="35" t="str">
        <f aca="true">IF(OR(V25="",AG25&gt;=8),"",IF(V25&lt;TODAY(),"Vencida",IF(V25=TODAY(),"Hoy","")))</f>
        <v/>
      </c>
      <c r="X25" s="36" t="str">
        <f aca="false">IF(A25="","",IF(COUNTIF(Seguimiento!$B$2:$B$5001,A25)=0,"",_xlfn.MAXIFS(Seguimiento!$A$2:$A$5001,Seguimiento!$B$2:$B$5001,A25)))</f>
        <v/>
      </c>
      <c r="Y25" s="37" t="str">
        <f aca="true">IF(B25="","",TODAY()-B25)</f>
        <v/>
      </c>
      <c r="Z25" s="38" t="str">
        <f aca="false">IF(OR(O25="",G25=""),"",O25*IFERROR(INDEX(Listas!$B$2:$B$50,MATCH(G25,Listas!$A$2:$A$50,0)),0))</f>
        <v/>
      </c>
      <c r="AA25" s="32"/>
      <c r="AB25" s="32"/>
      <c r="AC25" s="32"/>
      <c r="AD25" s="35" t="str">
        <f aca="false">IF(OR(LEFT(H25,4)="Meta",LEFT(H25,6)="Google"),IF(AG25=3,"Lead calificado",IF(OR(AG25=4,AG25=5),"Tasación/visita",IF(OR(AG25=6,AG25=7),"Captación/oferta",IF(AG25=8,"Cierre","")))),"")</f>
        <v/>
      </c>
      <c r="AE25" s="32"/>
      <c r="AF25" s="32"/>
      <c r="AG25" s="37" t="n">
        <f aca="false">IF(R25="",0,IFERROR(MATCH(R25,Listas!$L$2:$L$50,0),0))</f>
        <v>0</v>
      </c>
    </row>
    <row r="26" customFormat="false" ht="15" hidden="false" customHeight="false" outlineLevel="0" collapsed="false">
      <c r="A26" s="30"/>
      <c r="B26" s="31"/>
      <c r="C26" s="32"/>
      <c r="D26" s="32"/>
      <c r="E26" s="33"/>
      <c r="F26" s="32"/>
      <c r="G26" s="32"/>
      <c r="H26" s="32"/>
      <c r="I26" s="32"/>
      <c r="J26" s="32"/>
      <c r="K26" s="32"/>
      <c r="L26" s="32"/>
      <c r="M26" s="30"/>
      <c r="N26" s="32"/>
      <c r="O26" s="34"/>
      <c r="P26" s="32"/>
      <c r="Q26" s="32"/>
      <c r="R26" s="32"/>
      <c r="S26" s="32"/>
      <c r="T26" s="32"/>
      <c r="U26" s="32"/>
      <c r="V26" s="31"/>
      <c r="W26" s="35" t="str">
        <f aca="true">IF(OR(V26="",AG26&gt;=8),"",IF(V26&lt;TODAY(),"Vencida",IF(V26=TODAY(),"Hoy","")))</f>
        <v/>
      </c>
      <c r="X26" s="36" t="str">
        <f aca="false">IF(A26="","",IF(COUNTIF(Seguimiento!$B$2:$B$5001,A26)=0,"",_xlfn.MAXIFS(Seguimiento!$A$2:$A$5001,Seguimiento!$B$2:$B$5001,A26)))</f>
        <v/>
      </c>
      <c r="Y26" s="37" t="str">
        <f aca="true">IF(B26="","",TODAY()-B26)</f>
        <v/>
      </c>
      <c r="Z26" s="38" t="str">
        <f aca="false">IF(OR(O26="",G26=""),"",O26*IFERROR(INDEX(Listas!$B$2:$B$50,MATCH(G26,Listas!$A$2:$A$50,0)),0))</f>
        <v/>
      </c>
      <c r="AA26" s="32"/>
      <c r="AB26" s="32"/>
      <c r="AC26" s="32"/>
      <c r="AD26" s="35" t="str">
        <f aca="false">IF(OR(LEFT(H26,4)="Meta",LEFT(H26,6)="Google"),IF(AG26=3,"Lead calificado",IF(OR(AG26=4,AG26=5),"Tasación/visita",IF(OR(AG26=6,AG26=7),"Captación/oferta",IF(AG26=8,"Cierre","")))),"")</f>
        <v/>
      </c>
      <c r="AE26" s="32"/>
      <c r="AF26" s="32"/>
      <c r="AG26" s="37" t="n">
        <f aca="false">IF(R26="",0,IFERROR(MATCH(R26,Listas!$L$2:$L$50,0),0))</f>
        <v>0</v>
      </c>
    </row>
    <row r="27" customFormat="false" ht="15" hidden="false" customHeight="false" outlineLevel="0" collapsed="false">
      <c r="A27" s="30"/>
      <c r="B27" s="31"/>
      <c r="C27" s="32"/>
      <c r="D27" s="32"/>
      <c r="E27" s="33"/>
      <c r="F27" s="32"/>
      <c r="G27" s="32"/>
      <c r="H27" s="32"/>
      <c r="I27" s="32"/>
      <c r="J27" s="32"/>
      <c r="K27" s="32"/>
      <c r="L27" s="32"/>
      <c r="M27" s="30"/>
      <c r="N27" s="32"/>
      <c r="O27" s="34"/>
      <c r="P27" s="32"/>
      <c r="Q27" s="32"/>
      <c r="R27" s="32"/>
      <c r="S27" s="32"/>
      <c r="T27" s="32"/>
      <c r="U27" s="32"/>
      <c r="V27" s="31"/>
      <c r="W27" s="35" t="str">
        <f aca="true">IF(OR(V27="",AG27&gt;=8),"",IF(V27&lt;TODAY(),"Vencida",IF(V27=TODAY(),"Hoy","")))</f>
        <v/>
      </c>
      <c r="X27" s="36" t="str">
        <f aca="false">IF(A27="","",IF(COUNTIF(Seguimiento!$B$2:$B$5001,A27)=0,"",_xlfn.MAXIFS(Seguimiento!$A$2:$A$5001,Seguimiento!$B$2:$B$5001,A27)))</f>
        <v/>
      </c>
      <c r="Y27" s="37" t="str">
        <f aca="true">IF(B27="","",TODAY()-B27)</f>
        <v/>
      </c>
      <c r="Z27" s="38" t="str">
        <f aca="false">IF(OR(O27="",G27=""),"",O27*IFERROR(INDEX(Listas!$B$2:$B$50,MATCH(G27,Listas!$A$2:$A$50,0)),0))</f>
        <v/>
      </c>
      <c r="AA27" s="32"/>
      <c r="AB27" s="32"/>
      <c r="AC27" s="32"/>
      <c r="AD27" s="35" t="str">
        <f aca="false">IF(OR(LEFT(H27,4)="Meta",LEFT(H27,6)="Google"),IF(AG27=3,"Lead calificado",IF(OR(AG27=4,AG27=5),"Tasación/visita",IF(OR(AG27=6,AG27=7),"Captación/oferta",IF(AG27=8,"Cierre","")))),"")</f>
        <v/>
      </c>
      <c r="AE27" s="32"/>
      <c r="AF27" s="32"/>
      <c r="AG27" s="37" t="n">
        <f aca="false">IF(R27="",0,IFERROR(MATCH(R27,Listas!$L$2:$L$50,0),0))</f>
        <v>0</v>
      </c>
    </row>
    <row r="28" customFormat="false" ht="15" hidden="false" customHeight="false" outlineLevel="0" collapsed="false">
      <c r="A28" s="30"/>
      <c r="B28" s="31"/>
      <c r="C28" s="32"/>
      <c r="D28" s="32"/>
      <c r="E28" s="33"/>
      <c r="F28" s="32"/>
      <c r="G28" s="32"/>
      <c r="H28" s="32"/>
      <c r="I28" s="32"/>
      <c r="J28" s="32"/>
      <c r="K28" s="32"/>
      <c r="L28" s="32"/>
      <c r="M28" s="30"/>
      <c r="N28" s="32"/>
      <c r="O28" s="34"/>
      <c r="P28" s="32"/>
      <c r="Q28" s="32"/>
      <c r="R28" s="32"/>
      <c r="S28" s="32"/>
      <c r="T28" s="32"/>
      <c r="U28" s="32"/>
      <c r="V28" s="31"/>
      <c r="W28" s="35" t="str">
        <f aca="true">IF(OR(V28="",AG28&gt;=8),"",IF(V28&lt;TODAY(),"Vencida",IF(V28=TODAY(),"Hoy","")))</f>
        <v/>
      </c>
      <c r="X28" s="36" t="str">
        <f aca="false">IF(A28="","",IF(COUNTIF(Seguimiento!$B$2:$B$5001,A28)=0,"",_xlfn.MAXIFS(Seguimiento!$A$2:$A$5001,Seguimiento!$B$2:$B$5001,A28)))</f>
        <v/>
      </c>
      <c r="Y28" s="37" t="str">
        <f aca="true">IF(B28="","",TODAY()-B28)</f>
        <v/>
      </c>
      <c r="Z28" s="38" t="str">
        <f aca="false">IF(OR(O28="",G28=""),"",O28*IFERROR(INDEX(Listas!$B$2:$B$50,MATCH(G28,Listas!$A$2:$A$50,0)),0))</f>
        <v/>
      </c>
      <c r="AA28" s="32"/>
      <c r="AB28" s="32"/>
      <c r="AC28" s="32"/>
      <c r="AD28" s="35" t="str">
        <f aca="false">IF(OR(LEFT(H28,4)="Meta",LEFT(H28,6)="Google"),IF(AG28=3,"Lead calificado",IF(OR(AG28=4,AG28=5),"Tasación/visita",IF(OR(AG28=6,AG28=7),"Captación/oferta",IF(AG28=8,"Cierre","")))),"")</f>
        <v/>
      </c>
      <c r="AE28" s="32"/>
      <c r="AF28" s="32"/>
      <c r="AG28" s="37" t="n">
        <f aca="false">IF(R28="",0,IFERROR(MATCH(R28,Listas!$L$2:$L$50,0),0))</f>
        <v>0</v>
      </c>
    </row>
    <row r="29" customFormat="false" ht="15" hidden="false" customHeight="false" outlineLevel="0" collapsed="false">
      <c r="A29" s="30"/>
      <c r="B29" s="31"/>
      <c r="C29" s="32"/>
      <c r="D29" s="32"/>
      <c r="E29" s="33"/>
      <c r="F29" s="32"/>
      <c r="G29" s="32"/>
      <c r="H29" s="32"/>
      <c r="I29" s="32"/>
      <c r="J29" s="32"/>
      <c r="K29" s="32"/>
      <c r="L29" s="32"/>
      <c r="M29" s="30"/>
      <c r="N29" s="32"/>
      <c r="O29" s="34"/>
      <c r="P29" s="32"/>
      <c r="Q29" s="32"/>
      <c r="R29" s="32"/>
      <c r="S29" s="32"/>
      <c r="T29" s="32"/>
      <c r="U29" s="32"/>
      <c r="V29" s="31"/>
      <c r="W29" s="35" t="str">
        <f aca="true">IF(OR(V29="",AG29&gt;=8),"",IF(V29&lt;TODAY(),"Vencida",IF(V29=TODAY(),"Hoy","")))</f>
        <v/>
      </c>
      <c r="X29" s="36" t="str">
        <f aca="false">IF(A29="","",IF(COUNTIF(Seguimiento!$B$2:$B$5001,A29)=0,"",_xlfn.MAXIFS(Seguimiento!$A$2:$A$5001,Seguimiento!$B$2:$B$5001,A29)))</f>
        <v/>
      </c>
      <c r="Y29" s="37" t="str">
        <f aca="true">IF(B29="","",TODAY()-B29)</f>
        <v/>
      </c>
      <c r="Z29" s="38" t="str">
        <f aca="false">IF(OR(O29="",G29=""),"",O29*IFERROR(INDEX(Listas!$B$2:$B$50,MATCH(G29,Listas!$A$2:$A$50,0)),0))</f>
        <v/>
      </c>
      <c r="AA29" s="32"/>
      <c r="AB29" s="32"/>
      <c r="AC29" s="32"/>
      <c r="AD29" s="35" t="str">
        <f aca="false">IF(OR(LEFT(H29,4)="Meta",LEFT(H29,6)="Google"),IF(AG29=3,"Lead calificado",IF(OR(AG29=4,AG29=5),"Tasación/visita",IF(OR(AG29=6,AG29=7),"Captación/oferta",IF(AG29=8,"Cierre","")))),"")</f>
        <v/>
      </c>
      <c r="AE29" s="32"/>
      <c r="AF29" s="32"/>
      <c r="AG29" s="37" t="n">
        <f aca="false">IF(R29="",0,IFERROR(MATCH(R29,Listas!$L$2:$L$50,0),0))</f>
        <v>0</v>
      </c>
    </row>
    <row r="30" customFormat="false" ht="15" hidden="false" customHeight="false" outlineLevel="0" collapsed="false">
      <c r="A30" s="30"/>
      <c r="B30" s="31"/>
      <c r="C30" s="32"/>
      <c r="D30" s="32"/>
      <c r="E30" s="33"/>
      <c r="F30" s="32"/>
      <c r="G30" s="32"/>
      <c r="H30" s="32"/>
      <c r="I30" s="32"/>
      <c r="J30" s="32"/>
      <c r="K30" s="32"/>
      <c r="L30" s="32"/>
      <c r="M30" s="30"/>
      <c r="N30" s="32"/>
      <c r="O30" s="34"/>
      <c r="P30" s="32"/>
      <c r="Q30" s="32"/>
      <c r="R30" s="32"/>
      <c r="S30" s="32"/>
      <c r="T30" s="32"/>
      <c r="U30" s="32"/>
      <c r="V30" s="31"/>
      <c r="W30" s="35" t="str">
        <f aca="true">IF(OR(V30="",AG30&gt;=8),"",IF(V30&lt;TODAY(),"Vencida",IF(V30=TODAY(),"Hoy","")))</f>
        <v/>
      </c>
      <c r="X30" s="36" t="str">
        <f aca="false">IF(A30="","",IF(COUNTIF(Seguimiento!$B$2:$B$5001,A30)=0,"",_xlfn.MAXIFS(Seguimiento!$A$2:$A$5001,Seguimiento!$B$2:$B$5001,A30)))</f>
        <v/>
      </c>
      <c r="Y30" s="37" t="str">
        <f aca="true">IF(B30="","",TODAY()-B30)</f>
        <v/>
      </c>
      <c r="Z30" s="38" t="str">
        <f aca="false">IF(OR(O30="",G30=""),"",O30*IFERROR(INDEX(Listas!$B$2:$B$50,MATCH(G30,Listas!$A$2:$A$50,0)),0))</f>
        <v/>
      </c>
      <c r="AA30" s="32"/>
      <c r="AB30" s="32"/>
      <c r="AC30" s="32"/>
      <c r="AD30" s="35" t="str">
        <f aca="false">IF(OR(LEFT(H30,4)="Meta",LEFT(H30,6)="Google"),IF(AG30=3,"Lead calificado",IF(OR(AG30=4,AG30=5),"Tasación/visita",IF(OR(AG30=6,AG30=7),"Captación/oferta",IF(AG30=8,"Cierre","")))),"")</f>
        <v/>
      </c>
      <c r="AE30" s="32"/>
      <c r="AF30" s="32"/>
      <c r="AG30" s="37" t="n">
        <f aca="false">IF(R30="",0,IFERROR(MATCH(R30,Listas!$L$2:$L$50,0),0))</f>
        <v>0</v>
      </c>
    </row>
    <row r="31" customFormat="false" ht="15" hidden="false" customHeight="false" outlineLevel="0" collapsed="false">
      <c r="A31" s="30"/>
      <c r="B31" s="31"/>
      <c r="C31" s="32"/>
      <c r="D31" s="32"/>
      <c r="E31" s="33"/>
      <c r="F31" s="32"/>
      <c r="G31" s="32"/>
      <c r="H31" s="32"/>
      <c r="I31" s="32"/>
      <c r="J31" s="32"/>
      <c r="K31" s="32"/>
      <c r="L31" s="32"/>
      <c r="M31" s="30"/>
      <c r="N31" s="32"/>
      <c r="O31" s="34"/>
      <c r="P31" s="32"/>
      <c r="Q31" s="32"/>
      <c r="R31" s="32"/>
      <c r="S31" s="32"/>
      <c r="T31" s="32"/>
      <c r="U31" s="32"/>
      <c r="V31" s="31"/>
      <c r="W31" s="35" t="str">
        <f aca="true">IF(OR(V31="",AG31&gt;=8),"",IF(V31&lt;TODAY(),"Vencida",IF(V31=TODAY(),"Hoy","")))</f>
        <v/>
      </c>
      <c r="X31" s="36" t="str">
        <f aca="false">IF(A31="","",IF(COUNTIF(Seguimiento!$B$2:$B$5001,A31)=0,"",_xlfn.MAXIFS(Seguimiento!$A$2:$A$5001,Seguimiento!$B$2:$B$5001,A31)))</f>
        <v/>
      </c>
      <c r="Y31" s="37" t="str">
        <f aca="true">IF(B31="","",TODAY()-B31)</f>
        <v/>
      </c>
      <c r="Z31" s="38" t="str">
        <f aca="false">IF(OR(O31="",G31=""),"",O31*IFERROR(INDEX(Listas!$B$2:$B$50,MATCH(G31,Listas!$A$2:$A$50,0)),0))</f>
        <v/>
      </c>
      <c r="AA31" s="32"/>
      <c r="AB31" s="32"/>
      <c r="AC31" s="32"/>
      <c r="AD31" s="35" t="str">
        <f aca="false">IF(OR(LEFT(H31,4)="Meta",LEFT(H31,6)="Google"),IF(AG31=3,"Lead calificado",IF(OR(AG31=4,AG31=5),"Tasación/visita",IF(OR(AG31=6,AG31=7),"Captación/oferta",IF(AG31=8,"Cierre","")))),"")</f>
        <v/>
      </c>
      <c r="AE31" s="32"/>
      <c r="AF31" s="32"/>
      <c r="AG31" s="37" t="n">
        <f aca="false">IF(R31="",0,IFERROR(MATCH(R31,Listas!$L$2:$L$50,0),0))</f>
        <v>0</v>
      </c>
    </row>
    <row r="32" customFormat="false" ht="15" hidden="false" customHeight="false" outlineLevel="0" collapsed="false">
      <c r="A32" s="30"/>
      <c r="B32" s="31"/>
      <c r="C32" s="32"/>
      <c r="D32" s="32"/>
      <c r="E32" s="33"/>
      <c r="F32" s="32"/>
      <c r="G32" s="32"/>
      <c r="H32" s="32"/>
      <c r="I32" s="32"/>
      <c r="J32" s="32"/>
      <c r="K32" s="32"/>
      <c r="L32" s="32"/>
      <c r="M32" s="30"/>
      <c r="N32" s="32"/>
      <c r="O32" s="34"/>
      <c r="P32" s="32"/>
      <c r="Q32" s="32"/>
      <c r="R32" s="32"/>
      <c r="S32" s="32"/>
      <c r="T32" s="32"/>
      <c r="U32" s="32"/>
      <c r="V32" s="31"/>
      <c r="W32" s="35" t="str">
        <f aca="true">IF(OR(V32="",AG32&gt;=8),"",IF(V32&lt;TODAY(),"Vencida",IF(V32=TODAY(),"Hoy","")))</f>
        <v/>
      </c>
      <c r="X32" s="36" t="str">
        <f aca="false">IF(A32="","",IF(COUNTIF(Seguimiento!$B$2:$B$5001,A32)=0,"",_xlfn.MAXIFS(Seguimiento!$A$2:$A$5001,Seguimiento!$B$2:$B$5001,A32)))</f>
        <v/>
      </c>
      <c r="Y32" s="37" t="str">
        <f aca="true">IF(B32="","",TODAY()-B32)</f>
        <v/>
      </c>
      <c r="Z32" s="38" t="str">
        <f aca="false">IF(OR(O32="",G32=""),"",O32*IFERROR(INDEX(Listas!$B$2:$B$50,MATCH(G32,Listas!$A$2:$A$50,0)),0))</f>
        <v/>
      </c>
      <c r="AA32" s="32"/>
      <c r="AB32" s="32"/>
      <c r="AC32" s="32"/>
      <c r="AD32" s="35" t="str">
        <f aca="false">IF(OR(LEFT(H32,4)="Meta",LEFT(H32,6)="Google"),IF(AG32=3,"Lead calificado",IF(OR(AG32=4,AG32=5),"Tasación/visita",IF(OR(AG32=6,AG32=7),"Captación/oferta",IF(AG32=8,"Cierre","")))),"")</f>
        <v/>
      </c>
      <c r="AE32" s="32"/>
      <c r="AF32" s="32"/>
      <c r="AG32" s="37" t="n">
        <f aca="false">IF(R32="",0,IFERROR(MATCH(R32,Listas!$L$2:$L$50,0),0))</f>
        <v>0</v>
      </c>
    </row>
    <row r="33" customFormat="false" ht="15" hidden="false" customHeight="false" outlineLevel="0" collapsed="false">
      <c r="A33" s="30"/>
      <c r="B33" s="31"/>
      <c r="C33" s="32"/>
      <c r="D33" s="32"/>
      <c r="E33" s="33"/>
      <c r="F33" s="32"/>
      <c r="G33" s="32"/>
      <c r="H33" s="32"/>
      <c r="I33" s="32"/>
      <c r="J33" s="32"/>
      <c r="K33" s="32"/>
      <c r="L33" s="32"/>
      <c r="M33" s="30"/>
      <c r="N33" s="32"/>
      <c r="O33" s="34"/>
      <c r="P33" s="32"/>
      <c r="Q33" s="32"/>
      <c r="R33" s="32"/>
      <c r="S33" s="32"/>
      <c r="T33" s="32"/>
      <c r="U33" s="32"/>
      <c r="V33" s="31"/>
      <c r="W33" s="35" t="str">
        <f aca="true">IF(OR(V33="",AG33&gt;=8),"",IF(V33&lt;TODAY(),"Vencida",IF(V33=TODAY(),"Hoy","")))</f>
        <v/>
      </c>
      <c r="X33" s="36" t="str">
        <f aca="false">IF(A33="","",IF(COUNTIF(Seguimiento!$B$2:$B$5001,A33)=0,"",_xlfn.MAXIFS(Seguimiento!$A$2:$A$5001,Seguimiento!$B$2:$B$5001,A33)))</f>
        <v/>
      </c>
      <c r="Y33" s="37" t="str">
        <f aca="true">IF(B33="","",TODAY()-B33)</f>
        <v/>
      </c>
      <c r="Z33" s="38" t="str">
        <f aca="false">IF(OR(O33="",G33=""),"",O33*IFERROR(INDEX(Listas!$B$2:$B$50,MATCH(G33,Listas!$A$2:$A$50,0)),0))</f>
        <v/>
      </c>
      <c r="AA33" s="32"/>
      <c r="AB33" s="32"/>
      <c r="AC33" s="32"/>
      <c r="AD33" s="35" t="str">
        <f aca="false">IF(OR(LEFT(H33,4)="Meta",LEFT(H33,6)="Google"),IF(AG33=3,"Lead calificado",IF(OR(AG33=4,AG33=5),"Tasación/visita",IF(OR(AG33=6,AG33=7),"Captación/oferta",IF(AG33=8,"Cierre","")))),"")</f>
        <v/>
      </c>
      <c r="AE33" s="32"/>
      <c r="AF33" s="32"/>
      <c r="AG33" s="37" t="n">
        <f aca="false">IF(R33="",0,IFERROR(MATCH(R33,Listas!$L$2:$L$50,0),0))</f>
        <v>0</v>
      </c>
    </row>
    <row r="34" customFormat="false" ht="15" hidden="false" customHeight="false" outlineLevel="0" collapsed="false">
      <c r="A34" s="30"/>
      <c r="B34" s="31"/>
      <c r="C34" s="32"/>
      <c r="D34" s="32"/>
      <c r="E34" s="33"/>
      <c r="F34" s="32"/>
      <c r="G34" s="32"/>
      <c r="H34" s="32"/>
      <c r="I34" s="32"/>
      <c r="J34" s="32"/>
      <c r="K34" s="32"/>
      <c r="L34" s="32"/>
      <c r="M34" s="30"/>
      <c r="N34" s="32"/>
      <c r="O34" s="34"/>
      <c r="P34" s="32"/>
      <c r="Q34" s="32"/>
      <c r="R34" s="32"/>
      <c r="S34" s="32"/>
      <c r="T34" s="32"/>
      <c r="U34" s="32"/>
      <c r="V34" s="31"/>
      <c r="W34" s="35" t="str">
        <f aca="true">IF(OR(V34="",AG34&gt;=8),"",IF(V34&lt;TODAY(),"Vencida",IF(V34=TODAY(),"Hoy","")))</f>
        <v/>
      </c>
      <c r="X34" s="36" t="str">
        <f aca="false">IF(A34="","",IF(COUNTIF(Seguimiento!$B$2:$B$5001,A34)=0,"",_xlfn.MAXIFS(Seguimiento!$A$2:$A$5001,Seguimiento!$B$2:$B$5001,A34)))</f>
        <v/>
      </c>
      <c r="Y34" s="37" t="str">
        <f aca="true">IF(B34="","",TODAY()-B34)</f>
        <v/>
      </c>
      <c r="Z34" s="38" t="str">
        <f aca="false">IF(OR(O34="",G34=""),"",O34*IFERROR(INDEX(Listas!$B$2:$B$50,MATCH(G34,Listas!$A$2:$A$50,0)),0))</f>
        <v/>
      </c>
      <c r="AA34" s="32"/>
      <c r="AB34" s="32"/>
      <c r="AC34" s="32"/>
      <c r="AD34" s="35" t="str">
        <f aca="false">IF(OR(LEFT(H34,4)="Meta",LEFT(H34,6)="Google"),IF(AG34=3,"Lead calificado",IF(OR(AG34=4,AG34=5),"Tasación/visita",IF(OR(AG34=6,AG34=7),"Captación/oferta",IF(AG34=8,"Cierre","")))),"")</f>
        <v/>
      </c>
      <c r="AE34" s="32"/>
      <c r="AF34" s="32"/>
      <c r="AG34" s="37" t="n">
        <f aca="false">IF(R34="",0,IFERROR(MATCH(R34,Listas!$L$2:$L$50,0),0))</f>
        <v>0</v>
      </c>
    </row>
    <row r="35" customFormat="false" ht="15" hidden="false" customHeight="false" outlineLevel="0" collapsed="false">
      <c r="A35" s="30"/>
      <c r="B35" s="31"/>
      <c r="C35" s="32"/>
      <c r="D35" s="32"/>
      <c r="E35" s="33"/>
      <c r="F35" s="32"/>
      <c r="G35" s="32"/>
      <c r="H35" s="32"/>
      <c r="I35" s="32"/>
      <c r="J35" s="32"/>
      <c r="K35" s="32"/>
      <c r="L35" s="32"/>
      <c r="M35" s="30"/>
      <c r="N35" s="32"/>
      <c r="O35" s="34"/>
      <c r="P35" s="32"/>
      <c r="Q35" s="32"/>
      <c r="R35" s="32"/>
      <c r="S35" s="32"/>
      <c r="T35" s="32"/>
      <c r="U35" s="32"/>
      <c r="V35" s="31"/>
      <c r="W35" s="35" t="str">
        <f aca="true">IF(OR(V35="",AG35&gt;=8),"",IF(V35&lt;TODAY(),"Vencida",IF(V35=TODAY(),"Hoy","")))</f>
        <v/>
      </c>
      <c r="X35" s="36" t="str">
        <f aca="false">IF(A35="","",IF(COUNTIF(Seguimiento!$B$2:$B$5001,A35)=0,"",_xlfn.MAXIFS(Seguimiento!$A$2:$A$5001,Seguimiento!$B$2:$B$5001,A35)))</f>
        <v/>
      </c>
      <c r="Y35" s="37" t="str">
        <f aca="true">IF(B35="","",TODAY()-B35)</f>
        <v/>
      </c>
      <c r="Z35" s="38" t="str">
        <f aca="false">IF(OR(O35="",G35=""),"",O35*IFERROR(INDEX(Listas!$B$2:$B$50,MATCH(G35,Listas!$A$2:$A$50,0)),0))</f>
        <v/>
      </c>
      <c r="AA35" s="32"/>
      <c r="AB35" s="32"/>
      <c r="AC35" s="32"/>
      <c r="AD35" s="35" t="str">
        <f aca="false">IF(OR(LEFT(H35,4)="Meta",LEFT(H35,6)="Google"),IF(AG35=3,"Lead calificado",IF(OR(AG35=4,AG35=5),"Tasación/visita",IF(OR(AG35=6,AG35=7),"Captación/oferta",IF(AG35=8,"Cierre","")))),"")</f>
        <v/>
      </c>
      <c r="AE35" s="32"/>
      <c r="AF35" s="32"/>
      <c r="AG35" s="37" t="n">
        <f aca="false">IF(R35="",0,IFERROR(MATCH(R35,Listas!$L$2:$L$50,0),0))</f>
        <v>0</v>
      </c>
    </row>
    <row r="36" customFormat="false" ht="15" hidden="false" customHeight="false" outlineLevel="0" collapsed="false">
      <c r="A36" s="30"/>
      <c r="B36" s="31"/>
      <c r="C36" s="32"/>
      <c r="D36" s="32"/>
      <c r="E36" s="33"/>
      <c r="F36" s="32"/>
      <c r="G36" s="32"/>
      <c r="H36" s="32"/>
      <c r="I36" s="32"/>
      <c r="J36" s="32"/>
      <c r="K36" s="32"/>
      <c r="L36" s="32"/>
      <c r="M36" s="30"/>
      <c r="N36" s="32"/>
      <c r="O36" s="34"/>
      <c r="P36" s="32"/>
      <c r="Q36" s="32"/>
      <c r="R36" s="32"/>
      <c r="S36" s="32"/>
      <c r="T36" s="32"/>
      <c r="U36" s="32"/>
      <c r="V36" s="31"/>
      <c r="W36" s="35" t="str">
        <f aca="true">IF(OR(V36="",AG36&gt;=8),"",IF(V36&lt;TODAY(),"Vencida",IF(V36=TODAY(),"Hoy","")))</f>
        <v/>
      </c>
      <c r="X36" s="36" t="str">
        <f aca="false">IF(A36="","",IF(COUNTIF(Seguimiento!$B$2:$B$5001,A36)=0,"",_xlfn.MAXIFS(Seguimiento!$A$2:$A$5001,Seguimiento!$B$2:$B$5001,A36)))</f>
        <v/>
      </c>
      <c r="Y36" s="37" t="str">
        <f aca="true">IF(B36="","",TODAY()-B36)</f>
        <v/>
      </c>
      <c r="Z36" s="38" t="str">
        <f aca="false">IF(OR(O36="",G36=""),"",O36*IFERROR(INDEX(Listas!$B$2:$B$50,MATCH(G36,Listas!$A$2:$A$50,0)),0))</f>
        <v/>
      </c>
      <c r="AA36" s="32"/>
      <c r="AB36" s="32"/>
      <c r="AC36" s="32"/>
      <c r="AD36" s="35" t="str">
        <f aca="false">IF(OR(LEFT(H36,4)="Meta",LEFT(H36,6)="Google"),IF(AG36=3,"Lead calificado",IF(OR(AG36=4,AG36=5),"Tasación/visita",IF(OR(AG36=6,AG36=7),"Captación/oferta",IF(AG36=8,"Cierre","")))),"")</f>
        <v/>
      </c>
      <c r="AE36" s="32"/>
      <c r="AF36" s="32"/>
      <c r="AG36" s="37" t="n">
        <f aca="false">IF(R36="",0,IFERROR(MATCH(R36,Listas!$L$2:$L$50,0),0))</f>
        <v>0</v>
      </c>
    </row>
    <row r="37" customFormat="false" ht="15" hidden="false" customHeight="false" outlineLevel="0" collapsed="false">
      <c r="A37" s="30"/>
      <c r="B37" s="31"/>
      <c r="C37" s="32"/>
      <c r="D37" s="32"/>
      <c r="E37" s="33"/>
      <c r="F37" s="32"/>
      <c r="G37" s="32"/>
      <c r="H37" s="32"/>
      <c r="I37" s="32"/>
      <c r="J37" s="32"/>
      <c r="K37" s="32"/>
      <c r="L37" s="32"/>
      <c r="M37" s="30"/>
      <c r="N37" s="32"/>
      <c r="O37" s="34"/>
      <c r="P37" s="32"/>
      <c r="Q37" s="32"/>
      <c r="R37" s="32"/>
      <c r="S37" s="32"/>
      <c r="T37" s="32"/>
      <c r="U37" s="32"/>
      <c r="V37" s="31"/>
      <c r="W37" s="35" t="str">
        <f aca="true">IF(OR(V37="",AG37&gt;=8),"",IF(V37&lt;TODAY(),"Vencida",IF(V37=TODAY(),"Hoy","")))</f>
        <v/>
      </c>
      <c r="X37" s="36" t="str">
        <f aca="false">IF(A37="","",IF(COUNTIF(Seguimiento!$B$2:$B$5001,A37)=0,"",_xlfn.MAXIFS(Seguimiento!$A$2:$A$5001,Seguimiento!$B$2:$B$5001,A37)))</f>
        <v/>
      </c>
      <c r="Y37" s="37" t="str">
        <f aca="true">IF(B37="","",TODAY()-B37)</f>
        <v/>
      </c>
      <c r="Z37" s="38" t="str">
        <f aca="false">IF(OR(O37="",G37=""),"",O37*IFERROR(INDEX(Listas!$B$2:$B$50,MATCH(G37,Listas!$A$2:$A$50,0)),0))</f>
        <v/>
      </c>
      <c r="AA37" s="32"/>
      <c r="AB37" s="32"/>
      <c r="AC37" s="32"/>
      <c r="AD37" s="35" t="str">
        <f aca="false">IF(OR(LEFT(H37,4)="Meta",LEFT(H37,6)="Google"),IF(AG37=3,"Lead calificado",IF(OR(AG37=4,AG37=5),"Tasación/visita",IF(OR(AG37=6,AG37=7),"Captación/oferta",IF(AG37=8,"Cierre","")))),"")</f>
        <v/>
      </c>
      <c r="AE37" s="32"/>
      <c r="AF37" s="32"/>
      <c r="AG37" s="37" t="n">
        <f aca="false">IF(R37="",0,IFERROR(MATCH(R37,Listas!$L$2:$L$50,0),0))</f>
        <v>0</v>
      </c>
    </row>
    <row r="38" customFormat="false" ht="15" hidden="false" customHeight="false" outlineLevel="0" collapsed="false">
      <c r="A38" s="30"/>
      <c r="B38" s="31"/>
      <c r="C38" s="32"/>
      <c r="D38" s="32"/>
      <c r="E38" s="33"/>
      <c r="F38" s="32"/>
      <c r="G38" s="32"/>
      <c r="H38" s="32"/>
      <c r="I38" s="32"/>
      <c r="J38" s="32"/>
      <c r="K38" s="32"/>
      <c r="L38" s="32"/>
      <c r="M38" s="30"/>
      <c r="N38" s="32"/>
      <c r="O38" s="34"/>
      <c r="P38" s="32"/>
      <c r="Q38" s="32"/>
      <c r="R38" s="32"/>
      <c r="S38" s="32"/>
      <c r="T38" s="32"/>
      <c r="U38" s="32"/>
      <c r="V38" s="31"/>
      <c r="W38" s="35" t="str">
        <f aca="true">IF(OR(V38="",AG38&gt;=8),"",IF(V38&lt;TODAY(),"Vencida",IF(V38=TODAY(),"Hoy","")))</f>
        <v/>
      </c>
      <c r="X38" s="36" t="str">
        <f aca="false">IF(A38="","",IF(COUNTIF(Seguimiento!$B$2:$B$5001,A38)=0,"",_xlfn.MAXIFS(Seguimiento!$A$2:$A$5001,Seguimiento!$B$2:$B$5001,A38)))</f>
        <v/>
      </c>
      <c r="Y38" s="37" t="str">
        <f aca="true">IF(B38="","",TODAY()-B38)</f>
        <v/>
      </c>
      <c r="Z38" s="38" t="str">
        <f aca="false">IF(OR(O38="",G38=""),"",O38*IFERROR(INDEX(Listas!$B$2:$B$50,MATCH(G38,Listas!$A$2:$A$50,0)),0))</f>
        <v/>
      </c>
      <c r="AA38" s="32"/>
      <c r="AB38" s="32"/>
      <c r="AC38" s="32"/>
      <c r="AD38" s="35" t="str">
        <f aca="false">IF(OR(LEFT(H38,4)="Meta",LEFT(H38,6)="Google"),IF(AG38=3,"Lead calificado",IF(OR(AG38=4,AG38=5),"Tasación/visita",IF(OR(AG38=6,AG38=7),"Captación/oferta",IF(AG38=8,"Cierre","")))),"")</f>
        <v/>
      </c>
      <c r="AE38" s="32"/>
      <c r="AF38" s="32"/>
      <c r="AG38" s="37" t="n">
        <f aca="false">IF(R38="",0,IFERROR(MATCH(R38,Listas!$L$2:$L$50,0),0))</f>
        <v>0</v>
      </c>
    </row>
    <row r="39" customFormat="false" ht="15" hidden="false" customHeight="false" outlineLevel="0" collapsed="false">
      <c r="A39" s="30"/>
      <c r="B39" s="31"/>
      <c r="C39" s="32"/>
      <c r="D39" s="32"/>
      <c r="E39" s="33"/>
      <c r="F39" s="32"/>
      <c r="G39" s="32"/>
      <c r="H39" s="32"/>
      <c r="I39" s="32"/>
      <c r="J39" s="32"/>
      <c r="K39" s="32"/>
      <c r="L39" s="32"/>
      <c r="M39" s="30"/>
      <c r="N39" s="32"/>
      <c r="O39" s="34"/>
      <c r="P39" s="32"/>
      <c r="Q39" s="32"/>
      <c r="R39" s="32"/>
      <c r="S39" s="32"/>
      <c r="T39" s="32"/>
      <c r="U39" s="32"/>
      <c r="V39" s="31"/>
      <c r="W39" s="35" t="str">
        <f aca="true">IF(OR(V39="",AG39&gt;=8),"",IF(V39&lt;TODAY(),"Vencida",IF(V39=TODAY(),"Hoy","")))</f>
        <v/>
      </c>
      <c r="X39" s="36" t="str">
        <f aca="false">IF(A39="","",IF(COUNTIF(Seguimiento!$B$2:$B$5001,A39)=0,"",_xlfn.MAXIFS(Seguimiento!$A$2:$A$5001,Seguimiento!$B$2:$B$5001,A39)))</f>
        <v/>
      </c>
      <c r="Y39" s="37" t="str">
        <f aca="true">IF(B39="","",TODAY()-B39)</f>
        <v/>
      </c>
      <c r="Z39" s="38" t="str">
        <f aca="false">IF(OR(O39="",G39=""),"",O39*IFERROR(INDEX(Listas!$B$2:$B$50,MATCH(G39,Listas!$A$2:$A$50,0)),0))</f>
        <v/>
      </c>
      <c r="AA39" s="32"/>
      <c r="AB39" s="32"/>
      <c r="AC39" s="32"/>
      <c r="AD39" s="35" t="str">
        <f aca="false">IF(OR(LEFT(H39,4)="Meta",LEFT(H39,6)="Google"),IF(AG39=3,"Lead calificado",IF(OR(AG39=4,AG39=5),"Tasación/visita",IF(OR(AG39=6,AG39=7),"Captación/oferta",IF(AG39=8,"Cierre","")))),"")</f>
        <v/>
      </c>
      <c r="AE39" s="32"/>
      <c r="AF39" s="32"/>
      <c r="AG39" s="37" t="n">
        <f aca="false">IF(R39="",0,IFERROR(MATCH(R39,Listas!$L$2:$L$50,0),0))</f>
        <v>0</v>
      </c>
    </row>
    <row r="40" customFormat="false" ht="15" hidden="false" customHeight="false" outlineLevel="0" collapsed="false">
      <c r="A40" s="30"/>
      <c r="B40" s="31"/>
      <c r="C40" s="32"/>
      <c r="D40" s="32"/>
      <c r="E40" s="33"/>
      <c r="F40" s="32"/>
      <c r="G40" s="32"/>
      <c r="H40" s="32"/>
      <c r="I40" s="32"/>
      <c r="J40" s="32"/>
      <c r="K40" s="32"/>
      <c r="L40" s="32"/>
      <c r="M40" s="30"/>
      <c r="N40" s="32"/>
      <c r="O40" s="34"/>
      <c r="P40" s="32"/>
      <c r="Q40" s="32"/>
      <c r="R40" s="32"/>
      <c r="S40" s="32"/>
      <c r="T40" s="32"/>
      <c r="U40" s="32"/>
      <c r="V40" s="31"/>
      <c r="W40" s="35" t="str">
        <f aca="true">IF(OR(V40="",AG40&gt;=8),"",IF(V40&lt;TODAY(),"Vencida",IF(V40=TODAY(),"Hoy","")))</f>
        <v/>
      </c>
      <c r="X40" s="36" t="str">
        <f aca="false">IF(A40="","",IF(COUNTIF(Seguimiento!$B$2:$B$5001,A40)=0,"",_xlfn.MAXIFS(Seguimiento!$A$2:$A$5001,Seguimiento!$B$2:$B$5001,A40)))</f>
        <v/>
      </c>
      <c r="Y40" s="37" t="str">
        <f aca="true">IF(B40="","",TODAY()-B40)</f>
        <v/>
      </c>
      <c r="Z40" s="38" t="str">
        <f aca="false">IF(OR(O40="",G40=""),"",O40*IFERROR(INDEX(Listas!$B$2:$B$50,MATCH(G40,Listas!$A$2:$A$50,0)),0))</f>
        <v/>
      </c>
      <c r="AA40" s="32"/>
      <c r="AB40" s="32"/>
      <c r="AC40" s="32"/>
      <c r="AD40" s="35" t="str">
        <f aca="false">IF(OR(LEFT(H40,4)="Meta",LEFT(H40,6)="Google"),IF(AG40=3,"Lead calificado",IF(OR(AG40=4,AG40=5),"Tasación/visita",IF(OR(AG40=6,AG40=7),"Captación/oferta",IF(AG40=8,"Cierre","")))),"")</f>
        <v/>
      </c>
      <c r="AE40" s="32"/>
      <c r="AF40" s="32"/>
      <c r="AG40" s="37" t="n">
        <f aca="false">IF(R40="",0,IFERROR(MATCH(R40,Listas!$L$2:$L$50,0),0))</f>
        <v>0</v>
      </c>
    </row>
    <row r="41" customFormat="false" ht="15" hidden="false" customHeight="false" outlineLevel="0" collapsed="false">
      <c r="A41" s="30"/>
      <c r="B41" s="31"/>
      <c r="C41" s="32"/>
      <c r="D41" s="32"/>
      <c r="E41" s="33"/>
      <c r="F41" s="32"/>
      <c r="G41" s="32"/>
      <c r="H41" s="32"/>
      <c r="I41" s="32"/>
      <c r="J41" s="32"/>
      <c r="K41" s="32"/>
      <c r="L41" s="32"/>
      <c r="M41" s="30"/>
      <c r="N41" s="32"/>
      <c r="O41" s="34"/>
      <c r="P41" s="32"/>
      <c r="Q41" s="32"/>
      <c r="R41" s="32"/>
      <c r="S41" s="32"/>
      <c r="T41" s="32"/>
      <c r="U41" s="32"/>
      <c r="V41" s="31"/>
      <c r="W41" s="35" t="str">
        <f aca="true">IF(OR(V41="",AG41&gt;=8),"",IF(V41&lt;TODAY(),"Vencida",IF(V41=TODAY(),"Hoy","")))</f>
        <v/>
      </c>
      <c r="X41" s="36" t="str">
        <f aca="false">IF(A41="","",IF(COUNTIF(Seguimiento!$B$2:$B$5001,A41)=0,"",_xlfn.MAXIFS(Seguimiento!$A$2:$A$5001,Seguimiento!$B$2:$B$5001,A41)))</f>
        <v/>
      </c>
      <c r="Y41" s="37" t="str">
        <f aca="true">IF(B41="","",TODAY()-B41)</f>
        <v/>
      </c>
      <c r="Z41" s="38" t="str">
        <f aca="false">IF(OR(O41="",G41=""),"",O41*IFERROR(INDEX(Listas!$B$2:$B$50,MATCH(G41,Listas!$A$2:$A$50,0)),0))</f>
        <v/>
      </c>
      <c r="AA41" s="32"/>
      <c r="AB41" s="32"/>
      <c r="AC41" s="32"/>
      <c r="AD41" s="35" t="str">
        <f aca="false">IF(OR(LEFT(H41,4)="Meta",LEFT(H41,6)="Google"),IF(AG41=3,"Lead calificado",IF(OR(AG41=4,AG41=5),"Tasación/visita",IF(OR(AG41=6,AG41=7),"Captación/oferta",IF(AG41=8,"Cierre","")))),"")</f>
        <v/>
      </c>
      <c r="AE41" s="32"/>
      <c r="AF41" s="32"/>
      <c r="AG41" s="37" t="n">
        <f aca="false">IF(R41="",0,IFERROR(MATCH(R41,Listas!$L$2:$L$50,0),0))</f>
        <v>0</v>
      </c>
    </row>
    <row r="42" customFormat="false" ht="15" hidden="false" customHeight="false" outlineLevel="0" collapsed="false">
      <c r="A42" s="30"/>
      <c r="B42" s="31"/>
      <c r="C42" s="32"/>
      <c r="D42" s="32"/>
      <c r="E42" s="33"/>
      <c r="F42" s="32"/>
      <c r="G42" s="32"/>
      <c r="H42" s="32"/>
      <c r="I42" s="32"/>
      <c r="J42" s="32"/>
      <c r="K42" s="32"/>
      <c r="L42" s="32"/>
      <c r="M42" s="30"/>
      <c r="N42" s="32"/>
      <c r="O42" s="34"/>
      <c r="P42" s="32"/>
      <c r="Q42" s="32"/>
      <c r="R42" s="32"/>
      <c r="S42" s="32"/>
      <c r="T42" s="32"/>
      <c r="U42" s="32"/>
      <c r="V42" s="31"/>
      <c r="W42" s="35" t="str">
        <f aca="true">IF(OR(V42="",AG42&gt;=8),"",IF(V42&lt;TODAY(),"Vencida",IF(V42=TODAY(),"Hoy","")))</f>
        <v/>
      </c>
      <c r="X42" s="36" t="str">
        <f aca="false">IF(A42="","",IF(COUNTIF(Seguimiento!$B$2:$B$5001,A42)=0,"",_xlfn.MAXIFS(Seguimiento!$A$2:$A$5001,Seguimiento!$B$2:$B$5001,A42)))</f>
        <v/>
      </c>
      <c r="Y42" s="37" t="str">
        <f aca="true">IF(B42="","",TODAY()-B42)</f>
        <v/>
      </c>
      <c r="Z42" s="38" t="str">
        <f aca="false">IF(OR(O42="",G42=""),"",O42*IFERROR(INDEX(Listas!$B$2:$B$50,MATCH(G42,Listas!$A$2:$A$50,0)),0))</f>
        <v/>
      </c>
      <c r="AA42" s="32"/>
      <c r="AB42" s="32"/>
      <c r="AC42" s="32"/>
      <c r="AD42" s="35" t="str">
        <f aca="false">IF(OR(LEFT(H42,4)="Meta",LEFT(H42,6)="Google"),IF(AG42=3,"Lead calificado",IF(OR(AG42=4,AG42=5),"Tasación/visita",IF(OR(AG42=6,AG42=7),"Captación/oferta",IF(AG42=8,"Cierre","")))),"")</f>
        <v/>
      </c>
      <c r="AE42" s="32"/>
      <c r="AF42" s="32"/>
      <c r="AG42" s="37" t="n">
        <f aca="false">IF(R42="",0,IFERROR(MATCH(R42,Listas!$L$2:$L$50,0),0))</f>
        <v>0</v>
      </c>
    </row>
    <row r="43" customFormat="false" ht="15" hidden="false" customHeight="false" outlineLevel="0" collapsed="false">
      <c r="A43" s="30"/>
      <c r="B43" s="31"/>
      <c r="C43" s="32"/>
      <c r="D43" s="32"/>
      <c r="E43" s="33"/>
      <c r="F43" s="32"/>
      <c r="G43" s="32"/>
      <c r="H43" s="32"/>
      <c r="I43" s="32"/>
      <c r="J43" s="32"/>
      <c r="K43" s="32"/>
      <c r="L43" s="32"/>
      <c r="M43" s="30"/>
      <c r="N43" s="32"/>
      <c r="O43" s="34"/>
      <c r="P43" s="32"/>
      <c r="Q43" s="32"/>
      <c r="R43" s="32"/>
      <c r="S43" s="32"/>
      <c r="T43" s="32"/>
      <c r="U43" s="32"/>
      <c r="V43" s="31"/>
      <c r="W43" s="35" t="str">
        <f aca="true">IF(OR(V43="",AG43&gt;=8),"",IF(V43&lt;TODAY(),"Vencida",IF(V43=TODAY(),"Hoy","")))</f>
        <v/>
      </c>
      <c r="X43" s="36" t="str">
        <f aca="false">IF(A43="","",IF(COUNTIF(Seguimiento!$B$2:$B$5001,A43)=0,"",_xlfn.MAXIFS(Seguimiento!$A$2:$A$5001,Seguimiento!$B$2:$B$5001,A43)))</f>
        <v/>
      </c>
      <c r="Y43" s="37" t="str">
        <f aca="true">IF(B43="","",TODAY()-B43)</f>
        <v/>
      </c>
      <c r="Z43" s="38" t="str">
        <f aca="false">IF(OR(O43="",G43=""),"",O43*IFERROR(INDEX(Listas!$B$2:$B$50,MATCH(G43,Listas!$A$2:$A$50,0)),0))</f>
        <v/>
      </c>
      <c r="AA43" s="32"/>
      <c r="AB43" s="32"/>
      <c r="AC43" s="32"/>
      <c r="AD43" s="35" t="str">
        <f aca="false">IF(OR(LEFT(H43,4)="Meta",LEFT(H43,6)="Google"),IF(AG43=3,"Lead calificado",IF(OR(AG43=4,AG43=5),"Tasación/visita",IF(OR(AG43=6,AG43=7),"Captación/oferta",IF(AG43=8,"Cierre","")))),"")</f>
        <v/>
      </c>
      <c r="AE43" s="32"/>
      <c r="AF43" s="32"/>
      <c r="AG43" s="37" t="n">
        <f aca="false">IF(R43="",0,IFERROR(MATCH(R43,Listas!$L$2:$L$50,0),0))</f>
        <v>0</v>
      </c>
    </row>
    <row r="44" customFormat="false" ht="15" hidden="false" customHeight="false" outlineLevel="0" collapsed="false">
      <c r="A44" s="30"/>
      <c r="B44" s="31"/>
      <c r="C44" s="32"/>
      <c r="D44" s="32"/>
      <c r="E44" s="33"/>
      <c r="F44" s="32"/>
      <c r="G44" s="32"/>
      <c r="H44" s="32"/>
      <c r="I44" s="32"/>
      <c r="J44" s="32"/>
      <c r="K44" s="32"/>
      <c r="L44" s="32"/>
      <c r="M44" s="30"/>
      <c r="N44" s="32"/>
      <c r="O44" s="34"/>
      <c r="P44" s="32"/>
      <c r="Q44" s="32"/>
      <c r="R44" s="32"/>
      <c r="S44" s="32"/>
      <c r="T44" s="32"/>
      <c r="U44" s="32"/>
      <c r="V44" s="31"/>
      <c r="W44" s="35" t="str">
        <f aca="true">IF(OR(V44="",AG44&gt;=8),"",IF(V44&lt;TODAY(),"Vencida",IF(V44=TODAY(),"Hoy","")))</f>
        <v/>
      </c>
      <c r="X44" s="36" t="str">
        <f aca="false">IF(A44="","",IF(COUNTIF(Seguimiento!$B$2:$B$5001,A44)=0,"",_xlfn.MAXIFS(Seguimiento!$A$2:$A$5001,Seguimiento!$B$2:$B$5001,A44)))</f>
        <v/>
      </c>
      <c r="Y44" s="37" t="str">
        <f aca="true">IF(B44="","",TODAY()-B44)</f>
        <v/>
      </c>
      <c r="Z44" s="38" t="str">
        <f aca="false">IF(OR(O44="",G44=""),"",O44*IFERROR(INDEX(Listas!$B$2:$B$50,MATCH(G44,Listas!$A$2:$A$50,0)),0))</f>
        <v/>
      </c>
      <c r="AA44" s="32"/>
      <c r="AB44" s="32"/>
      <c r="AC44" s="32"/>
      <c r="AD44" s="35" t="str">
        <f aca="false">IF(OR(LEFT(H44,4)="Meta",LEFT(H44,6)="Google"),IF(AG44=3,"Lead calificado",IF(OR(AG44=4,AG44=5),"Tasación/visita",IF(OR(AG44=6,AG44=7),"Captación/oferta",IF(AG44=8,"Cierre","")))),"")</f>
        <v/>
      </c>
      <c r="AE44" s="32"/>
      <c r="AF44" s="32"/>
      <c r="AG44" s="37" t="n">
        <f aca="false">IF(R44="",0,IFERROR(MATCH(R44,Listas!$L$2:$L$50,0),0))</f>
        <v>0</v>
      </c>
    </row>
    <row r="45" customFormat="false" ht="15" hidden="false" customHeight="false" outlineLevel="0" collapsed="false">
      <c r="A45" s="30"/>
      <c r="B45" s="31"/>
      <c r="C45" s="32"/>
      <c r="D45" s="32"/>
      <c r="E45" s="33"/>
      <c r="F45" s="32"/>
      <c r="G45" s="32"/>
      <c r="H45" s="32"/>
      <c r="I45" s="32"/>
      <c r="J45" s="32"/>
      <c r="K45" s="32"/>
      <c r="L45" s="32"/>
      <c r="M45" s="30"/>
      <c r="N45" s="32"/>
      <c r="O45" s="34"/>
      <c r="P45" s="32"/>
      <c r="Q45" s="32"/>
      <c r="R45" s="32"/>
      <c r="S45" s="32"/>
      <c r="T45" s="32"/>
      <c r="U45" s="32"/>
      <c r="V45" s="31"/>
      <c r="W45" s="35" t="str">
        <f aca="true">IF(OR(V45="",AG45&gt;=8),"",IF(V45&lt;TODAY(),"Vencida",IF(V45=TODAY(),"Hoy","")))</f>
        <v/>
      </c>
      <c r="X45" s="36" t="str">
        <f aca="false">IF(A45="","",IF(COUNTIF(Seguimiento!$B$2:$B$5001,A45)=0,"",_xlfn.MAXIFS(Seguimiento!$A$2:$A$5001,Seguimiento!$B$2:$B$5001,A45)))</f>
        <v/>
      </c>
      <c r="Y45" s="37" t="str">
        <f aca="true">IF(B45="","",TODAY()-B45)</f>
        <v/>
      </c>
      <c r="Z45" s="38" t="str">
        <f aca="false">IF(OR(O45="",G45=""),"",O45*IFERROR(INDEX(Listas!$B$2:$B$50,MATCH(G45,Listas!$A$2:$A$50,0)),0))</f>
        <v/>
      </c>
      <c r="AA45" s="32"/>
      <c r="AB45" s="32"/>
      <c r="AC45" s="32"/>
      <c r="AD45" s="35" t="str">
        <f aca="false">IF(OR(LEFT(H45,4)="Meta",LEFT(H45,6)="Google"),IF(AG45=3,"Lead calificado",IF(OR(AG45=4,AG45=5),"Tasación/visita",IF(OR(AG45=6,AG45=7),"Captación/oferta",IF(AG45=8,"Cierre","")))),"")</f>
        <v/>
      </c>
      <c r="AE45" s="32"/>
      <c r="AF45" s="32"/>
      <c r="AG45" s="37" t="n">
        <f aca="false">IF(R45="",0,IFERROR(MATCH(R45,Listas!$L$2:$L$50,0),0))</f>
        <v>0</v>
      </c>
    </row>
    <row r="46" customFormat="false" ht="15" hidden="false" customHeight="false" outlineLevel="0" collapsed="false">
      <c r="A46" s="30"/>
      <c r="B46" s="31"/>
      <c r="C46" s="32"/>
      <c r="D46" s="32"/>
      <c r="E46" s="33"/>
      <c r="F46" s="32"/>
      <c r="G46" s="32"/>
      <c r="H46" s="32"/>
      <c r="I46" s="32"/>
      <c r="J46" s="32"/>
      <c r="K46" s="32"/>
      <c r="L46" s="32"/>
      <c r="M46" s="30"/>
      <c r="N46" s="32"/>
      <c r="O46" s="34"/>
      <c r="P46" s="32"/>
      <c r="Q46" s="32"/>
      <c r="R46" s="32"/>
      <c r="S46" s="32"/>
      <c r="T46" s="32"/>
      <c r="U46" s="32"/>
      <c r="V46" s="31"/>
      <c r="W46" s="35" t="str">
        <f aca="true">IF(OR(V46="",AG46&gt;=8),"",IF(V46&lt;TODAY(),"Vencida",IF(V46=TODAY(),"Hoy","")))</f>
        <v/>
      </c>
      <c r="X46" s="36" t="str">
        <f aca="false">IF(A46="","",IF(COUNTIF(Seguimiento!$B$2:$B$5001,A46)=0,"",_xlfn.MAXIFS(Seguimiento!$A$2:$A$5001,Seguimiento!$B$2:$B$5001,A46)))</f>
        <v/>
      </c>
      <c r="Y46" s="37" t="str">
        <f aca="true">IF(B46="","",TODAY()-B46)</f>
        <v/>
      </c>
      <c r="Z46" s="38" t="str">
        <f aca="false">IF(OR(O46="",G46=""),"",O46*IFERROR(INDEX(Listas!$B$2:$B$50,MATCH(G46,Listas!$A$2:$A$50,0)),0))</f>
        <v/>
      </c>
      <c r="AA46" s="32"/>
      <c r="AB46" s="32"/>
      <c r="AC46" s="32"/>
      <c r="AD46" s="35" t="str">
        <f aca="false">IF(OR(LEFT(H46,4)="Meta",LEFT(H46,6)="Google"),IF(AG46=3,"Lead calificado",IF(OR(AG46=4,AG46=5),"Tasación/visita",IF(OR(AG46=6,AG46=7),"Captación/oferta",IF(AG46=8,"Cierre","")))),"")</f>
        <v/>
      </c>
      <c r="AE46" s="32"/>
      <c r="AF46" s="32"/>
      <c r="AG46" s="37" t="n">
        <f aca="false">IF(R46="",0,IFERROR(MATCH(R46,Listas!$L$2:$L$50,0),0))</f>
        <v>0</v>
      </c>
    </row>
    <row r="47" customFormat="false" ht="15" hidden="false" customHeight="false" outlineLevel="0" collapsed="false">
      <c r="A47" s="30"/>
      <c r="B47" s="31"/>
      <c r="C47" s="32"/>
      <c r="D47" s="32"/>
      <c r="E47" s="33"/>
      <c r="F47" s="32"/>
      <c r="G47" s="32"/>
      <c r="H47" s="32"/>
      <c r="I47" s="32"/>
      <c r="J47" s="32"/>
      <c r="K47" s="32"/>
      <c r="L47" s="32"/>
      <c r="M47" s="30"/>
      <c r="N47" s="32"/>
      <c r="O47" s="34"/>
      <c r="P47" s="32"/>
      <c r="Q47" s="32"/>
      <c r="R47" s="32"/>
      <c r="S47" s="32"/>
      <c r="T47" s="32"/>
      <c r="U47" s="32"/>
      <c r="V47" s="31"/>
      <c r="W47" s="35" t="str">
        <f aca="true">IF(OR(V47="",AG47&gt;=8),"",IF(V47&lt;TODAY(),"Vencida",IF(V47=TODAY(),"Hoy","")))</f>
        <v/>
      </c>
      <c r="X47" s="36" t="str">
        <f aca="false">IF(A47="","",IF(COUNTIF(Seguimiento!$B$2:$B$5001,A47)=0,"",_xlfn.MAXIFS(Seguimiento!$A$2:$A$5001,Seguimiento!$B$2:$B$5001,A47)))</f>
        <v/>
      </c>
      <c r="Y47" s="37" t="str">
        <f aca="true">IF(B47="","",TODAY()-B47)</f>
        <v/>
      </c>
      <c r="Z47" s="38" t="str">
        <f aca="false">IF(OR(O47="",G47=""),"",O47*IFERROR(INDEX(Listas!$B$2:$B$50,MATCH(G47,Listas!$A$2:$A$50,0)),0))</f>
        <v/>
      </c>
      <c r="AA47" s="32"/>
      <c r="AB47" s="32"/>
      <c r="AC47" s="32"/>
      <c r="AD47" s="35" t="str">
        <f aca="false">IF(OR(LEFT(H47,4)="Meta",LEFT(H47,6)="Google"),IF(AG47=3,"Lead calificado",IF(OR(AG47=4,AG47=5),"Tasación/visita",IF(OR(AG47=6,AG47=7),"Captación/oferta",IF(AG47=8,"Cierre","")))),"")</f>
        <v/>
      </c>
      <c r="AE47" s="32"/>
      <c r="AF47" s="32"/>
      <c r="AG47" s="37" t="n">
        <f aca="false">IF(R47="",0,IFERROR(MATCH(R47,Listas!$L$2:$L$50,0),0))</f>
        <v>0</v>
      </c>
    </row>
    <row r="48" customFormat="false" ht="15" hidden="false" customHeight="false" outlineLevel="0" collapsed="false">
      <c r="A48" s="30"/>
      <c r="B48" s="31"/>
      <c r="C48" s="32"/>
      <c r="D48" s="32"/>
      <c r="E48" s="33"/>
      <c r="F48" s="32"/>
      <c r="G48" s="32"/>
      <c r="H48" s="32"/>
      <c r="I48" s="32"/>
      <c r="J48" s="32"/>
      <c r="K48" s="32"/>
      <c r="L48" s="32"/>
      <c r="M48" s="30"/>
      <c r="N48" s="32"/>
      <c r="O48" s="34"/>
      <c r="P48" s="32"/>
      <c r="Q48" s="32"/>
      <c r="R48" s="32"/>
      <c r="S48" s="32"/>
      <c r="T48" s="32"/>
      <c r="U48" s="32"/>
      <c r="V48" s="31"/>
      <c r="W48" s="35" t="str">
        <f aca="true">IF(OR(V48="",AG48&gt;=8),"",IF(V48&lt;TODAY(),"Vencida",IF(V48=TODAY(),"Hoy","")))</f>
        <v/>
      </c>
      <c r="X48" s="36" t="str">
        <f aca="false">IF(A48="","",IF(COUNTIF(Seguimiento!$B$2:$B$5001,A48)=0,"",_xlfn.MAXIFS(Seguimiento!$A$2:$A$5001,Seguimiento!$B$2:$B$5001,A48)))</f>
        <v/>
      </c>
      <c r="Y48" s="37" t="str">
        <f aca="true">IF(B48="","",TODAY()-B48)</f>
        <v/>
      </c>
      <c r="Z48" s="38" t="str">
        <f aca="false">IF(OR(O48="",G48=""),"",O48*IFERROR(INDEX(Listas!$B$2:$B$50,MATCH(G48,Listas!$A$2:$A$50,0)),0))</f>
        <v/>
      </c>
      <c r="AA48" s="32"/>
      <c r="AB48" s="32"/>
      <c r="AC48" s="32"/>
      <c r="AD48" s="35" t="str">
        <f aca="false">IF(OR(LEFT(H48,4)="Meta",LEFT(H48,6)="Google"),IF(AG48=3,"Lead calificado",IF(OR(AG48=4,AG48=5),"Tasación/visita",IF(OR(AG48=6,AG48=7),"Captación/oferta",IF(AG48=8,"Cierre","")))),"")</f>
        <v/>
      </c>
      <c r="AE48" s="32"/>
      <c r="AF48" s="32"/>
      <c r="AG48" s="37" t="n">
        <f aca="false">IF(R48="",0,IFERROR(MATCH(R48,Listas!$L$2:$L$50,0),0))</f>
        <v>0</v>
      </c>
    </row>
    <row r="49" customFormat="false" ht="15" hidden="false" customHeight="false" outlineLevel="0" collapsed="false">
      <c r="A49" s="30"/>
      <c r="B49" s="31"/>
      <c r="C49" s="32"/>
      <c r="D49" s="32"/>
      <c r="E49" s="33"/>
      <c r="F49" s="32"/>
      <c r="G49" s="32"/>
      <c r="H49" s="32"/>
      <c r="I49" s="32"/>
      <c r="J49" s="32"/>
      <c r="K49" s="32"/>
      <c r="L49" s="32"/>
      <c r="M49" s="30"/>
      <c r="N49" s="32"/>
      <c r="O49" s="34"/>
      <c r="P49" s="32"/>
      <c r="Q49" s="32"/>
      <c r="R49" s="32"/>
      <c r="S49" s="32"/>
      <c r="T49" s="32"/>
      <c r="U49" s="32"/>
      <c r="V49" s="31"/>
      <c r="W49" s="35" t="str">
        <f aca="true">IF(OR(V49="",AG49&gt;=8),"",IF(V49&lt;TODAY(),"Vencida",IF(V49=TODAY(),"Hoy","")))</f>
        <v/>
      </c>
      <c r="X49" s="36" t="str">
        <f aca="false">IF(A49="","",IF(COUNTIF(Seguimiento!$B$2:$B$5001,A49)=0,"",_xlfn.MAXIFS(Seguimiento!$A$2:$A$5001,Seguimiento!$B$2:$B$5001,A49)))</f>
        <v/>
      </c>
      <c r="Y49" s="37" t="str">
        <f aca="true">IF(B49="","",TODAY()-B49)</f>
        <v/>
      </c>
      <c r="Z49" s="38" t="str">
        <f aca="false">IF(OR(O49="",G49=""),"",O49*IFERROR(INDEX(Listas!$B$2:$B$50,MATCH(G49,Listas!$A$2:$A$50,0)),0))</f>
        <v/>
      </c>
      <c r="AA49" s="32"/>
      <c r="AB49" s="32"/>
      <c r="AC49" s="32"/>
      <c r="AD49" s="35" t="str">
        <f aca="false">IF(OR(LEFT(H49,4)="Meta",LEFT(H49,6)="Google"),IF(AG49=3,"Lead calificado",IF(OR(AG49=4,AG49=5),"Tasación/visita",IF(OR(AG49=6,AG49=7),"Captación/oferta",IF(AG49=8,"Cierre","")))),"")</f>
        <v/>
      </c>
      <c r="AE49" s="32"/>
      <c r="AF49" s="32"/>
      <c r="AG49" s="37" t="n">
        <f aca="false">IF(R49="",0,IFERROR(MATCH(R49,Listas!$L$2:$L$50,0),0))</f>
        <v>0</v>
      </c>
    </row>
    <row r="50" customFormat="false" ht="15" hidden="false" customHeight="false" outlineLevel="0" collapsed="false">
      <c r="A50" s="30"/>
      <c r="B50" s="31"/>
      <c r="C50" s="32"/>
      <c r="D50" s="32"/>
      <c r="E50" s="33"/>
      <c r="F50" s="32"/>
      <c r="G50" s="32"/>
      <c r="H50" s="32"/>
      <c r="I50" s="32"/>
      <c r="J50" s="32"/>
      <c r="K50" s="32"/>
      <c r="L50" s="32"/>
      <c r="M50" s="30"/>
      <c r="N50" s="32"/>
      <c r="O50" s="34"/>
      <c r="P50" s="32"/>
      <c r="Q50" s="32"/>
      <c r="R50" s="32"/>
      <c r="S50" s="32"/>
      <c r="T50" s="32"/>
      <c r="U50" s="32"/>
      <c r="V50" s="31"/>
      <c r="W50" s="35" t="str">
        <f aca="true">IF(OR(V50="",AG50&gt;=8),"",IF(V50&lt;TODAY(),"Vencida",IF(V50=TODAY(),"Hoy","")))</f>
        <v/>
      </c>
      <c r="X50" s="36" t="str">
        <f aca="false">IF(A50="","",IF(COUNTIF(Seguimiento!$B$2:$B$5001,A50)=0,"",_xlfn.MAXIFS(Seguimiento!$A$2:$A$5001,Seguimiento!$B$2:$B$5001,A50)))</f>
        <v/>
      </c>
      <c r="Y50" s="37" t="str">
        <f aca="true">IF(B50="","",TODAY()-B50)</f>
        <v/>
      </c>
      <c r="Z50" s="38" t="str">
        <f aca="false">IF(OR(O50="",G50=""),"",O50*IFERROR(INDEX(Listas!$B$2:$B$50,MATCH(G50,Listas!$A$2:$A$50,0)),0))</f>
        <v/>
      </c>
      <c r="AA50" s="32"/>
      <c r="AB50" s="32"/>
      <c r="AC50" s="32"/>
      <c r="AD50" s="35" t="str">
        <f aca="false">IF(OR(LEFT(H50,4)="Meta",LEFT(H50,6)="Google"),IF(AG50=3,"Lead calificado",IF(OR(AG50=4,AG50=5),"Tasación/visita",IF(OR(AG50=6,AG50=7),"Captación/oferta",IF(AG50=8,"Cierre","")))),"")</f>
        <v/>
      </c>
      <c r="AE50" s="32"/>
      <c r="AF50" s="32"/>
      <c r="AG50" s="37" t="n">
        <f aca="false">IF(R50="",0,IFERROR(MATCH(R50,Listas!$L$2:$L$50,0),0))</f>
        <v>0</v>
      </c>
    </row>
    <row r="51" customFormat="false" ht="15" hidden="false" customHeight="false" outlineLevel="0" collapsed="false">
      <c r="A51" s="30"/>
      <c r="B51" s="31"/>
      <c r="C51" s="32"/>
      <c r="D51" s="32"/>
      <c r="E51" s="33"/>
      <c r="F51" s="32"/>
      <c r="G51" s="32"/>
      <c r="H51" s="32"/>
      <c r="I51" s="32"/>
      <c r="J51" s="32"/>
      <c r="K51" s="32"/>
      <c r="L51" s="32"/>
      <c r="M51" s="30"/>
      <c r="N51" s="32"/>
      <c r="O51" s="34"/>
      <c r="P51" s="32"/>
      <c r="Q51" s="32"/>
      <c r="R51" s="32"/>
      <c r="S51" s="32"/>
      <c r="T51" s="32"/>
      <c r="U51" s="32"/>
      <c r="V51" s="31"/>
      <c r="W51" s="35" t="str">
        <f aca="true">IF(OR(V51="",AG51&gt;=8),"",IF(V51&lt;TODAY(),"Vencida",IF(V51=TODAY(),"Hoy","")))</f>
        <v/>
      </c>
      <c r="X51" s="36" t="str">
        <f aca="false">IF(A51="","",IF(COUNTIF(Seguimiento!$B$2:$B$5001,A51)=0,"",_xlfn.MAXIFS(Seguimiento!$A$2:$A$5001,Seguimiento!$B$2:$B$5001,A51)))</f>
        <v/>
      </c>
      <c r="Y51" s="37" t="str">
        <f aca="true">IF(B51="","",TODAY()-B51)</f>
        <v/>
      </c>
      <c r="Z51" s="38" t="str">
        <f aca="false">IF(OR(O51="",G51=""),"",O51*IFERROR(INDEX(Listas!$B$2:$B$50,MATCH(G51,Listas!$A$2:$A$50,0)),0))</f>
        <v/>
      </c>
      <c r="AA51" s="32"/>
      <c r="AB51" s="32"/>
      <c r="AC51" s="32"/>
      <c r="AD51" s="35" t="str">
        <f aca="false">IF(OR(LEFT(H51,4)="Meta",LEFT(H51,6)="Google"),IF(AG51=3,"Lead calificado",IF(OR(AG51=4,AG51=5),"Tasación/visita",IF(OR(AG51=6,AG51=7),"Captación/oferta",IF(AG51=8,"Cierre","")))),"")</f>
        <v/>
      </c>
      <c r="AE51" s="32"/>
      <c r="AF51" s="32"/>
      <c r="AG51" s="37" t="n">
        <f aca="false">IF(R51="",0,IFERROR(MATCH(R51,Listas!$L$2:$L$50,0),0))</f>
        <v>0</v>
      </c>
    </row>
    <row r="52" customFormat="false" ht="15" hidden="false" customHeight="false" outlineLevel="0" collapsed="false">
      <c r="A52" s="30"/>
      <c r="B52" s="31"/>
      <c r="C52" s="32"/>
      <c r="D52" s="32"/>
      <c r="E52" s="33"/>
      <c r="F52" s="32"/>
      <c r="G52" s="32"/>
      <c r="H52" s="32"/>
      <c r="I52" s="32"/>
      <c r="J52" s="32"/>
      <c r="K52" s="32"/>
      <c r="L52" s="32"/>
      <c r="M52" s="30"/>
      <c r="N52" s="32"/>
      <c r="O52" s="34"/>
      <c r="P52" s="32"/>
      <c r="Q52" s="32"/>
      <c r="R52" s="32"/>
      <c r="S52" s="32"/>
      <c r="T52" s="32"/>
      <c r="U52" s="32"/>
      <c r="V52" s="31"/>
      <c r="W52" s="35" t="str">
        <f aca="true">IF(OR(V52="",AG52&gt;=8),"",IF(V52&lt;TODAY(),"Vencida",IF(V52=TODAY(),"Hoy","")))</f>
        <v/>
      </c>
      <c r="X52" s="36" t="str">
        <f aca="false">IF(A52="","",IF(COUNTIF(Seguimiento!$B$2:$B$5001,A52)=0,"",_xlfn.MAXIFS(Seguimiento!$A$2:$A$5001,Seguimiento!$B$2:$B$5001,A52)))</f>
        <v/>
      </c>
      <c r="Y52" s="37" t="str">
        <f aca="true">IF(B52="","",TODAY()-B52)</f>
        <v/>
      </c>
      <c r="Z52" s="38" t="str">
        <f aca="false">IF(OR(O52="",G52=""),"",O52*IFERROR(INDEX(Listas!$B$2:$B$50,MATCH(G52,Listas!$A$2:$A$50,0)),0))</f>
        <v/>
      </c>
      <c r="AA52" s="32"/>
      <c r="AB52" s="32"/>
      <c r="AC52" s="32"/>
      <c r="AD52" s="35" t="str">
        <f aca="false">IF(OR(LEFT(H52,4)="Meta",LEFT(H52,6)="Google"),IF(AG52=3,"Lead calificado",IF(OR(AG52=4,AG52=5),"Tasación/visita",IF(OR(AG52=6,AG52=7),"Captación/oferta",IF(AG52=8,"Cierre","")))),"")</f>
        <v/>
      </c>
      <c r="AE52" s="32"/>
      <c r="AF52" s="32"/>
      <c r="AG52" s="37" t="n">
        <f aca="false">IF(R52="",0,IFERROR(MATCH(R52,Listas!$L$2:$L$50,0),0))</f>
        <v>0</v>
      </c>
    </row>
    <row r="53" customFormat="false" ht="15" hidden="false" customHeight="false" outlineLevel="0" collapsed="false">
      <c r="A53" s="30"/>
      <c r="B53" s="31"/>
      <c r="C53" s="32"/>
      <c r="D53" s="32"/>
      <c r="E53" s="33"/>
      <c r="F53" s="32"/>
      <c r="G53" s="32"/>
      <c r="H53" s="32"/>
      <c r="I53" s="32"/>
      <c r="J53" s="32"/>
      <c r="K53" s="32"/>
      <c r="L53" s="32"/>
      <c r="M53" s="30"/>
      <c r="N53" s="32"/>
      <c r="O53" s="34"/>
      <c r="P53" s="32"/>
      <c r="Q53" s="32"/>
      <c r="R53" s="32"/>
      <c r="S53" s="32"/>
      <c r="T53" s="32"/>
      <c r="U53" s="32"/>
      <c r="V53" s="31"/>
      <c r="W53" s="35" t="str">
        <f aca="true">IF(OR(V53="",AG53&gt;=8),"",IF(V53&lt;TODAY(),"Vencida",IF(V53=TODAY(),"Hoy","")))</f>
        <v/>
      </c>
      <c r="X53" s="36" t="str">
        <f aca="false">IF(A53="","",IF(COUNTIF(Seguimiento!$B$2:$B$5001,A53)=0,"",_xlfn.MAXIFS(Seguimiento!$A$2:$A$5001,Seguimiento!$B$2:$B$5001,A53)))</f>
        <v/>
      </c>
      <c r="Y53" s="37" t="str">
        <f aca="true">IF(B53="","",TODAY()-B53)</f>
        <v/>
      </c>
      <c r="Z53" s="38" t="str">
        <f aca="false">IF(OR(O53="",G53=""),"",O53*IFERROR(INDEX(Listas!$B$2:$B$50,MATCH(G53,Listas!$A$2:$A$50,0)),0))</f>
        <v/>
      </c>
      <c r="AA53" s="32"/>
      <c r="AB53" s="32"/>
      <c r="AC53" s="32"/>
      <c r="AD53" s="35" t="str">
        <f aca="false">IF(OR(LEFT(H53,4)="Meta",LEFT(H53,6)="Google"),IF(AG53=3,"Lead calificado",IF(OR(AG53=4,AG53=5),"Tasación/visita",IF(OR(AG53=6,AG53=7),"Captación/oferta",IF(AG53=8,"Cierre","")))),"")</f>
        <v/>
      </c>
      <c r="AE53" s="32"/>
      <c r="AF53" s="32"/>
      <c r="AG53" s="37" t="n">
        <f aca="false">IF(R53="",0,IFERROR(MATCH(R53,Listas!$L$2:$L$50,0),0))</f>
        <v>0</v>
      </c>
    </row>
    <row r="54" customFormat="false" ht="15" hidden="false" customHeight="false" outlineLevel="0" collapsed="false">
      <c r="A54" s="30"/>
      <c r="B54" s="31"/>
      <c r="C54" s="32"/>
      <c r="D54" s="32"/>
      <c r="E54" s="33"/>
      <c r="F54" s="32"/>
      <c r="G54" s="32"/>
      <c r="H54" s="32"/>
      <c r="I54" s="32"/>
      <c r="J54" s="32"/>
      <c r="K54" s="32"/>
      <c r="L54" s="32"/>
      <c r="M54" s="30"/>
      <c r="N54" s="32"/>
      <c r="O54" s="34"/>
      <c r="P54" s="32"/>
      <c r="Q54" s="32"/>
      <c r="R54" s="32"/>
      <c r="S54" s="32"/>
      <c r="T54" s="32"/>
      <c r="U54" s="32"/>
      <c r="V54" s="31"/>
      <c r="W54" s="35" t="str">
        <f aca="true">IF(OR(V54="",AG54&gt;=8),"",IF(V54&lt;TODAY(),"Vencida",IF(V54=TODAY(),"Hoy","")))</f>
        <v/>
      </c>
      <c r="X54" s="36" t="str">
        <f aca="false">IF(A54="","",IF(COUNTIF(Seguimiento!$B$2:$B$5001,A54)=0,"",_xlfn.MAXIFS(Seguimiento!$A$2:$A$5001,Seguimiento!$B$2:$B$5001,A54)))</f>
        <v/>
      </c>
      <c r="Y54" s="37" t="str">
        <f aca="true">IF(B54="","",TODAY()-B54)</f>
        <v/>
      </c>
      <c r="Z54" s="38" t="str">
        <f aca="false">IF(OR(O54="",G54=""),"",O54*IFERROR(INDEX(Listas!$B$2:$B$50,MATCH(G54,Listas!$A$2:$A$50,0)),0))</f>
        <v/>
      </c>
      <c r="AA54" s="32"/>
      <c r="AB54" s="32"/>
      <c r="AC54" s="32"/>
      <c r="AD54" s="35" t="str">
        <f aca="false">IF(OR(LEFT(H54,4)="Meta",LEFT(H54,6)="Google"),IF(AG54=3,"Lead calificado",IF(OR(AG54=4,AG54=5),"Tasación/visita",IF(OR(AG54=6,AG54=7),"Captación/oferta",IF(AG54=8,"Cierre","")))),"")</f>
        <v/>
      </c>
      <c r="AE54" s="32"/>
      <c r="AF54" s="32"/>
      <c r="AG54" s="37" t="n">
        <f aca="false">IF(R54="",0,IFERROR(MATCH(R54,Listas!$L$2:$L$50,0),0))</f>
        <v>0</v>
      </c>
    </row>
    <row r="55" customFormat="false" ht="15" hidden="false" customHeight="false" outlineLevel="0" collapsed="false">
      <c r="A55" s="30"/>
      <c r="B55" s="31"/>
      <c r="C55" s="32"/>
      <c r="D55" s="32"/>
      <c r="E55" s="33"/>
      <c r="F55" s="32"/>
      <c r="G55" s="32"/>
      <c r="H55" s="32"/>
      <c r="I55" s="32"/>
      <c r="J55" s="32"/>
      <c r="K55" s="32"/>
      <c r="L55" s="32"/>
      <c r="M55" s="30"/>
      <c r="N55" s="32"/>
      <c r="O55" s="34"/>
      <c r="P55" s="32"/>
      <c r="Q55" s="32"/>
      <c r="R55" s="32"/>
      <c r="S55" s="32"/>
      <c r="T55" s="32"/>
      <c r="U55" s="32"/>
      <c r="V55" s="31"/>
      <c r="W55" s="35" t="str">
        <f aca="true">IF(OR(V55="",AG55&gt;=8),"",IF(V55&lt;TODAY(),"Vencida",IF(V55=TODAY(),"Hoy","")))</f>
        <v/>
      </c>
      <c r="X55" s="36" t="str">
        <f aca="false">IF(A55="","",IF(COUNTIF(Seguimiento!$B$2:$B$5001,A55)=0,"",_xlfn.MAXIFS(Seguimiento!$A$2:$A$5001,Seguimiento!$B$2:$B$5001,A55)))</f>
        <v/>
      </c>
      <c r="Y55" s="37" t="str">
        <f aca="true">IF(B55="","",TODAY()-B55)</f>
        <v/>
      </c>
      <c r="Z55" s="38" t="str">
        <f aca="false">IF(OR(O55="",G55=""),"",O55*IFERROR(INDEX(Listas!$B$2:$B$50,MATCH(G55,Listas!$A$2:$A$50,0)),0))</f>
        <v/>
      </c>
      <c r="AA55" s="32"/>
      <c r="AB55" s="32"/>
      <c r="AC55" s="32"/>
      <c r="AD55" s="35" t="str">
        <f aca="false">IF(OR(LEFT(H55,4)="Meta",LEFT(H55,6)="Google"),IF(AG55=3,"Lead calificado",IF(OR(AG55=4,AG55=5),"Tasación/visita",IF(OR(AG55=6,AG55=7),"Captación/oferta",IF(AG55=8,"Cierre","")))),"")</f>
        <v/>
      </c>
      <c r="AE55" s="32"/>
      <c r="AF55" s="32"/>
      <c r="AG55" s="37" t="n">
        <f aca="false">IF(R55="",0,IFERROR(MATCH(R55,Listas!$L$2:$L$50,0),0))</f>
        <v>0</v>
      </c>
    </row>
    <row r="56" customFormat="false" ht="15" hidden="false" customHeight="false" outlineLevel="0" collapsed="false">
      <c r="A56" s="30"/>
      <c r="B56" s="31"/>
      <c r="C56" s="32"/>
      <c r="D56" s="32"/>
      <c r="E56" s="33"/>
      <c r="F56" s="32"/>
      <c r="G56" s="32"/>
      <c r="H56" s="32"/>
      <c r="I56" s="32"/>
      <c r="J56" s="32"/>
      <c r="K56" s="32"/>
      <c r="L56" s="32"/>
      <c r="M56" s="30"/>
      <c r="N56" s="32"/>
      <c r="O56" s="34"/>
      <c r="P56" s="32"/>
      <c r="Q56" s="32"/>
      <c r="R56" s="32"/>
      <c r="S56" s="32"/>
      <c r="T56" s="32"/>
      <c r="U56" s="32"/>
      <c r="V56" s="31"/>
      <c r="W56" s="35" t="str">
        <f aca="true">IF(OR(V56="",AG56&gt;=8),"",IF(V56&lt;TODAY(),"Vencida",IF(V56=TODAY(),"Hoy","")))</f>
        <v/>
      </c>
      <c r="X56" s="36" t="str">
        <f aca="false">IF(A56="","",IF(COUNTIF(Seguimiento!$B$2:$B$5001,A56)=0,"",_xlfn.MAXIFS(Seguimiento!$A$2:$A$5001,Seguimiento!$B$2:$B$5001,A56)))</f>
        <v/>
      </c>
      <c r="Y56" s="37" t="str">
        <f aca="true">IF(B56="","",TODAY()-B56)</f>
        <v/>
      </c>
      <c r="Z56" s="38" t="str">
        <f aca="false">IF(OR(O56="",G56=""),"",O56*IFERROR(INDEX(Listas!$B$2:$B$50,MATCH(G56,Listas!$A$2:$A$50,0)),0))</f>
        <v/>
      </c>
      <c r="AA56" s="32"/>
      <c r="AB56" s="32"/>
      <c r="AC56" s="32"/>
      <c r="AD56" s="35" t="str">
        <f aca="false">IF(OR(LEFT(H56,4)="Meta",LEFT(H56,6)="Google"),IF(AG56=3,"Lead calificado",IF(OR(AG56=4,AG56=5),"Tasación/visita",IF(OR(AG56=6,AG56=7),"Captación/oferta",IF(AG56=8,"Cierre","")))),"")</f>
        <v/>
      </c>
      <c r="AE56" s="32"/>
      <c r="AF56" s="32"/>
      <c r="AG56" s="37" t="n">
        <f aca="false">IF(R56="",0,IFERROR(MATCH(R56,Listas!$L$2:$L$50,0),0))</f>
        <v>0</v>
      </c>
    </row>
    <row r="57" customFormat="false" ht="15" hidden="false" customHeight="false" outlineLevel="0" collapsed="false">
      <c r="A57" s="30"/>
      <c r="B57" s="31"/>
      <c r="C57" s="32"/>
      <c r="D57" s="32"/>
      <c r="E57" s="33"/>
      <c r="F57" s="32"/>
      <c r="G57" s="32"/>
      <c r="H57" s="32"/>
      <c r="I57" s="32"/>
      <c r="J57" s="32"/>
      <c r="K57" s="32"/>
      <c r="L57" s="32"/>
      <c r="M57" s="30"/>
      <c r="N57" s="32"/>
      <c r="O57" s="34"/>
      <c r="P57" s="32"/>
      <c r="Q57" s="32"/>
      <c r="R57" s="32"/>
      <c r="S57" s="32"/>
      <c r="T57" s="32"/>
      <c r="U57" s="32"/>
      <c r="V57" s="31"/>
      <c r="W57" s="35" t="str">
        <f aca="true">IF(OR(V57="",AG57&gt;=8),"",IF(V57&lt;TODAY(),"Vencida",IF(V57=TODAY(),"Hoy","")))</f>
        <v/>
      </c>
      <c r="X57" s="36" t="str">
        <f aca="false">IF(A57="","",IF(COUNTIF(Seguimiento!$B$2:$B$5001,A57)=0,"",_xlfn.MAXIFS(Seguimiento!$A$2:$A$5001,Seguimiento!$B$2:$B$5001,A57)))</f>
        <v/>
      </c>
      <c r="Y57" s="37" t="str">
        <f aca="true">IF(B57="","",TODAY()-B57)</f>
        <v/>
      </c>
      <c r="Z57" s="38" t="str">
        <f aca="false">IF(OR(O57="",G57=""),"",O57*IFERROR(INDEX(Listas!$B$2:$B$50,MATCH(G57,Listas!$A$2:$A$50,0)),0))</f>
        <v/>
      </c>
      <c r="AA57" s="32"/>
      <c r="AB57" s="32"/>
      <c r="AC57" s="32"/>
      <c r="AD57" s="35" t="str">
        <f aca="false">IF(OR(LEFT(H57,4)="Meta",LEFT(H57,6)="Google"),IF(AG57=3,"Lead calificado",IF(OR(AG57=4,AG57=5),"Tasación/visita",IF(OR(AG57=6,AG57=7),"Captación/oferta",IF(AG57=8,"Cierre","")))),"")</f>
        <v/>
      </c>
      <c r="AE57" s="32"/>
      <c r="AF57" s="32"/>
      <c r="AG57" s="37" t="n">
        <f aca="false">IF(R57="",0,IFERROR(MATCH(R57,Listas!$L$2:$L$50,0),0))</f>
        <v>0</v>
      </c>
    </row>
    <row r="58" customFormat="false" ht="15" hidden="false" customHeight="false" outlineLevel="0" collapsed="false">
      <c r="A58" s="30"/>
      <c r="B58" s="31"/>
      <c r="C58" s="32"/>
      <c r="D58" s="32"/>
      <c r="E58" s="33"/>
      <c r="F58" s="32"/>
      <c r="G58" s="32"/>
      <c r="H58" s="32"/>
      <c r="I58" s="32"/>
      <c r="J58" s="32"/>
      <c r="K58" s="32"/>
      <c r="L58" s="32"/>
      <c r="M58" s="30"/>
      <c r="N58" s="32"/>
      <c r="O58" s="34"/>
      <c r="P58" s="32"/>
      <c r="Q58" s="32"/>
      <c r="R58" s="32"/>
      <c r="S58" s="32"/>
      <c r="T58" s="32"/>
      <c r="U58" s="32"/>
      <c r="V58" s="31"/>
      <c r="W58" s="35" t="str">
        <f aca="true">IF(OR(V58="",AG58&gt;=8),"",IF(V58&lt;TODAY(),"Vencida",IF(V58=TODAY(),"Hoy","")))</f>
        <v/>
      </c>
      <c r="X58" s="36" t="str">
        <f aca="false">IF(A58="","",IF(COUNTIF(Seguimiento!$B$2:$B$5001,A58)=0,"",_xlfn.MAXIFS(Seguimiento!$A$2:$A$5001,Seguimiento!$B$2:$B$5001,A58)))</f>
        <v/>
      </c>
      <c r="Y58" s="37" t="str">
        <f aca="true">IF(B58="","",TODAY()-B58)</f>
        <v/>
      </c>
      <c r="Z58" s="38" t="str">
        <f aca="false">IF(OR(O58="",G58=""),"",O58*IFERROR(INDEX(Listas!$B$2:$B$50,MATCH(G58,Listas!$A$2:$A$50,0)),0))</f>
        <v/>
      </c>
      <c r="AA58" s="32"/>
      <c r="AB58" s="32"/>
      <c r="AC58" s="32"/>
      <c r="AD58" s="35" t="str">
        <f aca="false">IF(OR(LEFT(H58,4)="Meta",LEFT(H58,6)="Google"),IF(AG58=3,"Lead calificado",IF(OR(AG58=4,AG58=5),"Tasación/visita",IF(OR(AG58=6,AG58=7),"Captación/oferta",IF(AG58=8,"Cierre","")))),"")</f>
        <v/>
      </c>
      <c r="AE58" s="32"/>
      <c r="AF58" s="32"/>
      <c r="AG58" s="37" t="n">
        <f aca="false">IF(R58="",0,IFERROR(MATCH(R58,Listas!$L$2:$L$50,0),0))</f>
        <v>0</v>
      </c>
    </row>
    <row r="59" customFormat="false" ht="15" hidden="false" customHeight="false" outlineLevel="0" collapsed="false">
      <c r="A59" s="30"/>
      <c r="B59" s="31"/>
      <c r="C59" s="32"/>
      <c r="D59" s="32"/>
      <c r="E59" s="33"/>
      <c r="F59" s="32"/>
      <c r="G59" s="32"/>
      <c r="H59" s="32"/>
      <c r="I59" s="32"/>
      <c r="J59" s="32"/>
      <c r="K59" s="32"/>
      <c r="L59" s="32"/>
      <c r="M59" s="30"/>
      <c r="N59" s="32"/>
      <c r="O59" s="34"/>
      <c r="P59" s="32"/>
      <c r="Q59" s="32"/>
      <c r="R59" s="32"/>
      <c r="S59" s="32"/>
      <c r="T59" s="32"/>
      <c r="U59" s="32"/>
      <c r="V59" s="31"/>
      <c r="W59" s="35" t="str">
        <f aca="true">IF(OR(V59="",AG59&gt;=8),"",IF(V59&lt;TODAY(),"Vencida",IF(V59=TODAY(),"Hoy","")))</f>
        <v/>
      </c>
      <c r="X59" s="36" t="str">
        <f aca="false">IF(A59="","",IF(COUNTIF(Seguimiento!$B$2:$B$5001,A59)=0,"",_xlfn.MAXIFS(Seguimiento!$A$2:$A$5001,Seguimiento!$B$2:$B$5001,A59)))</f>
        <v/>
      </c>
      <c r="Y59" s="37" t="str">
        <f aca="true">IF(B59="","",TODAY()-B59)</f>
        <v/>
      </c>
      <c r="Z59" s="38" t="str">
        <f aca="false">IF(OR(O59="",G59=""),"",O59*IFERROR(INDEX(Listas!$B$2:$B$50,MATCH(G59,Listas!$A$2:$A$50,0)),0))</f>
        <v/>
      </c>
      <c r="AA59" s="32"/>
      <c r="AB59" s="32"/>
      <c r="AC59" s="32"/>
      <c r="AD59" s="35" t="str">
        <f aca="false">IF(OR(LEFT(H59,4)="Meta",LEFT(H59,6)="Google"),IF(AG59=3,"Lead calificado",IF(OR(AG59=4,AG59=5),"Tasación/visita",IF(OR(AG59=6,AG59=7),"Captación/oferta",IF(AG59=8,"Cierre","")))),"")</f>
        <v/>
      </c>
      <c r="AE59" s="32"/>
      <c r="AF59" s="32"/>
      <c r="AG59" s="37" t="n">
        <f aca="false">IF(R59="",0,IFERROR(MATCH(R59,Listas!$L$2:$L$50,0),0))</f>
        <v>0</v>
      </c>
    </row>
    <row r="60" customFormat="false" ht="15" hidden="false" customHeight="false" outlineLevel="0" collapsed="false">
      <c r="A60" s="30"/>
      <c r="B60" s="31"/>
      <c r="C60" s="32"/>
      <c r="D60" s="32"/>
      <c r="E60" s="33"/>
      <c r="F60" s="32"/>
      <c r="G60" s="32"/>
      <c r="H60" s="32"/>
      <c r="I60" s="32"/>
      <c r="J60" s="32"/>
      <c r="K60" s="32"/>
      <c r="L60" s="32"/>
      <c r="M60" s="30"/>
      <c r="N60" s="32"/>
      <c r="O60" s="34"/>
      <c r="P60" s="32"/>
      <c r="Q60" s="32"/>
      <c r="R60" s="32"/>
      <c r="S60" s="32"/>
      <c r="T60" s="32"/>
      <c r="U60" s="32"/>
      <c r="V60" s="31"/>
      <c r="W60" s="35" t="str">
        <f aca="true">IF(OR(V60="",AG60&gt;=8),"",IF(V60&lt;TODAY(),"Vencida",IF(V60=TODAY(),"Hoy","")))</f>
        <v/>
      </c>
      <c r="X60" s="36" t="str">
        <f aca="false">IF(A60="","",IF(COUNTIF(Seguimiento!$B$2:$B$5001,A60)=0,"",_xlfn.MAXIFS(Seguimiento!$A$2:$A$5001,Seguimiento!$B$2:$B$5001,A60)))</f>
        <v/>
      </c>
      <c r="Y60" s="37" t="str">
        <f aca="true">IF(B60="","",TODAY()-B60)</f>
        <v/>
      </c>
      <c r="Z60" s="38" t="str">
        <f aca="false">IF(OR(O60="",G60=""),"",O60*IFERROR(INDEX(Listas!$B$2:$B$50,MATCH(G60,Listas!$A$2:$A$50,0)),0))</f>
        <v/>
      </c>
      <c r="AA60" s="32"/>
      <c r="AB60" s="32"/>
      <c r="AC60" s="32"/>
      <c r="AD60" s="35" t="str">
        <f aca="false">IF(OR(LEFT(H60,4)="Meta",LEFT(H60,6)="Google"),IF(AG60=3,"Lead calificado",IF(OR(AG60=4,AG60=5),"Tasación/visita",IF(OR(AG60=6,AG60=7),"Captación/oferta",IF(AG60=8,"Cierre","")))),"")</f>
        <v/>
      </c>
      <c r="AE60" s="32"/>
      <c r="AF60" s="32"/>
      <c r="AG60" s="37" t="n">
        <f aca="false">IF(R60="",0,IFERROR(MATCH(R60,Listas!$L$2:$L$50,0),0))</f>
        <v>0</v>
      </c>
    </row>
    <row r="61" customFormat="false" ht="15" hidden="false" customHeight="false" outlineLevel="0" collapsed="false">
      <c r="A61" s="30"/>
      <c r="B61" s="31"/>
      <c r="C61" s="32"/>
      <c r="D61" s="32"/>
      <c r="E61" s="33"/>
      <c r="F61" s="32"/>
      <c r="G61" s="32"/>
      <c r="H61" s="32"/>
      <c r="I61" s="32"/>
      <c r="J61" s="32"/>
      <c r="K61" s="32"/>
      <c r="L61" s="32"/>
      <c r="M61" s="30"/>
      <c r="N61" s="32"/>
      <c r="O61" s="34"/>
      <c r="P61" s="32"/>
      <c r="Q61" s="32"/>
      <c r="R61" s="32"/>
      <c r="S61" s="32"/>
      <c r="T61" s="32"/>
      <c r="U61" s="32"/>
      <c r="V61" s="31"/>
      <c r="W61" s="35" t="str">
        <f aca="true">IF(OR(V61="",AG61&gt;=8),"",IF(V61&lt;TODAY(),"Vencida",IF(V61=TODAY(),"Hoy","")))</f>
        <v/>
      </c>
      <c r="X61" s="36" t="str">
        <f aca="false">IF(A61="","",IF(COUNTIF(Seguimiento!$B$2:$B$5001,A61)=0,"",_xlfn.MAXIFS(Seguimiento!$A$2:$A$5001,Seguimiento!$B$2:$B$5001,A61)))</f>
        <v/>
      </c>
      <c r="Y61" s="37" t="str">
        <f aca="true">IF(B61="","",TODAY()-B61)</f>
        <v/>
      </c>
      <c r="Z61" s="38" t="str">
        <f aca="false">IF(OR(O61="",G61=""),"",O61*IFERROR(INDEX(Listas!$B$2:$B$50,MATCH(G61,Listas!$A$2:$A$50,0)),0))</f>
        <v/>
      </c>
      <c r="AA61" s="32"/>
      <c r="AB61" s="32"/>
      <c r="AC61" s="32"/>
      <c r="AD61" s="35" t="str">
        <f aca="false">IF(OR(LEFT(H61,4)="Meta",LEFT(H61,6)="Google"),IF(AG61=3,"Lead calificado",IF(OR(AG61=4,AG61=5),"Tasación/visita",IF(OR(AG61=6,AG61=7),"Captación/oferta",IF(AG61=8,"Cierre","")))),"")</f>
        <v/>
      </c>
      <c r="AE61" s="32"/>
      <c r="AF61" s="32"/>
      <c r="AG61" s="37" t="n">
        <f aca="false">IF(R61="",0,IFERROR(MATCH(R61,Listas!$L$2:$L$50,0),0))</f>
        <v>0</v>
      </c>
    </row>
    <row r="62" customFormat="false" ht="15" hidden="false" customHeight="false" outlineLevel="0" collapsed="false">
      <c r="A62" s="30"/>
      <c r="B62" s="31"/>
      <c r="C62" s="32"/>
      <c r="D62" s="32"/>
      <c r="E62" s="33"/>
      <c r="F62" s="32"/>
      <c r="G62" s="32"/>
      <c r="H62" s="32"/>
      <c r="I62" s="32"/>
      <c r="J62" s="32"/>
      <c r="K62" s="32"/>
      <c r="L62" s="32"/>
      <c r="M62" s="30"/>
      <c r="N62" s="32"/>
      <c r="O62" s="34"/>
      <c r="P62" s="32"/>
      <c r="Q62" s="32"/>
      <c r="R62" s="32"/>
      <c r="S62" s="32"/>
      <c r="T62" s="32"/>
      <c r="U62" s="32"/>
      <c r="V62" s="31"/>
      <c r="W62" s="35" t="str">
        <f aca="true">IF(OR(V62="",AG62&gt;=8),"",IF(V62&lt;TODAY(),"Vencida",IF(V62=TODAY(),"Hoy","")))</f>
        <v/>
      </c>
      <c r="X62" s="36" t="str">
        <f aca="false">IF(A62="","",IF(COUNTIF(Seguimiento!$B$2:$B$5001,A62)=0,"",_xlfn.MAXIFS(Seguimiento!$A$2:$A$5001,Seguimiento!$B$2:$B$5001,A62)))</f>
        <v/>
      </c>
      <c r="Y62" s="37" t="str">
        <f aca="true">IF(B62="","",TODAY()-B62)</f>
        <v/>
      </c>
      <c r="Z62" s="38" t="str">
        <f aca="false">IF(OR(O62="",G62=""),"",O62*IFERROR(INDEX(Listas!$B$2:$B$50,MATCH(G62,Listas!$A$2:$A$50,0)),0))</f>
        <v/>
      </c>
      <c r="AA62" s="32"/>
      <c r="AB62" s="32"/>
      <c r="AC62" s="32"/>
      <c r="AD62" s="35" t="str">
        <f aca="false">IF(OR(LEFT(H62,4)="Meta",LEFT(H62,6)="Google"),IF(AG62=3,"Lead calificado",IF(OR(AG62=4,AG62=5),"Tasación/visita",IF(OR(AG62=6,AG62=7),"Captación/oferta",IF(AG62=8,"Cierre","")))),"")</f>
        <v/>
      </c>
      <c r="AE62" s="32"/>
      <c r="AF62" s="32"/>
      <c r="AG62" s="37" t="n">
        <f aca="false">IF(R62="",0,IFERROR(MATCH(R62,Listas!$L$2:$L$50,0),0))</f>
        <v>0</v>
      </c>
    </row>
    <row r="63" customFormat="false" ht="15" hidden="false" customHeight="false" outlineLevel="0" collapsed="false">
      <c r="A63" s="30"/>
      <c r="B63" s="31"/>
      <c r="C63" s="32"/>
      <c r="D63" s="32"/>
      <c r="E63" s="33"/>
      <c r="F63" s="32"/>
      <c r="G63" s="32"/>
      <c r="H63" s="32"/>
      <c r="I63" s="32"/>
      <c r="J63" s="32"/>
      <c r="K63" s="32"/>
      <c r="L63" s="32"/>
      <c r="M63" s="30"/>
      <c r="N63" s="32"/>
      <c r="O63" s="34"/>
      <c r="P63" s="32"/>
      <c r="Q63" s="32"/>
      <c r="R63" s="32"/>
      <c r="S63" s="32"/>
      <c r="T63" s="32"/>
      <c r="U63" s="32"/>
      <c r="V63" s="31"/>
      <c r="W63" s="35" t="str">
        <f aca="true">IF(OR(V63="",AG63&gt;=8),"",IF(V63&lt;TODAY(),"Vencida",IF(V63=TODAY(),"Hoy","")))</f>
        <v/>
      </c>
      <c r="X63" s="36" t="str">
        <f aca="false">IF(A63="","",IF(COUNTIF(Seguimiento!$B$2:$B$5001,A63)=0,"",_xlfn.MAXIFS(Seguimiento!$A$2:$A$5001,Seguimiento!$B$2:$B$5001,A63)))</f>
        <v/>
      </c>
      <c r="Y63" s="37" t="str">
        <f aca="true">IF(B63="","",TODAY()-B63)</f>
        <v/>
      </c>
      <c r="Z63" s="38" t="str">
        <f aca="false">IF(OR(O63="",G63=""),"",O63*IFERROR(INDEX(Listas!$B$2:$B$50,MATCH(G63,Listas!$A$2:$A$50,0)),0))</f>
        <v/>
      </c>
      <c r="AA63" s="32"/>
      <c r="AB63" s="32"/>
      <c r="AC63" s="32"/>
      <c r="AD63" s="35" t="str">
        <f aca="false">IF(OR(LEFT(H63,4)="Meta",LEFT(H63,6)="Google"),IF(AG63=3,"Lead calificado",IF(OR(AG63=4,AG63=5),"Tasación/visita",IF(OR(AG63=6,AG63=7),"Captación/oferta",IF(AG63=8,"Cierre","")))),"")</f>
        <v/>
      </c>
      <c r="AE63" s="32"/>
      <c r="AF63" s="32"/>
      <c r="AG63" s="37" t="n">
        <f aca="false">IF(R63="",0,IFERROR(MATCH(R63,Listas!$L$2:$L$50,0),0))</f>
        <v>0</v>
      </c>
    </row>
    <row r="64" customFormat="false" ht="15" hidden="false" customHeight="false" outlineLevel="0" collapsed="false">
      <c r="A64" s="30"/>
      <c r="B64" s="31"/>
      <c r="C64" s="32"/>
      <c r="D64" s="32"/>
      <c r="E64" s="33"/>
      <c r="F64" s="32"/>
      <c r="G64" s="32"/>
      <c r="H64" s="32"/>
      <c r="I64" s="32"/>
      <c r="J64" s="32"/>
      <c r="K64" s="32"/>
      <c r="L64" s="32"/>
      <c r="M64" s="30"/>
      <c r="N64" s="32"/>
      <c r="O64" s="34"/>
      <c r="P64" s="32"/>
      <c r="Q64" s="32"/>
      <c r="R64" s="32"/>
      <c r="S64" s="32"/>
      <c r="T64" s="32"/>
      <c r="U64" s="32"/>
      <c r="V64" s="31"/>
      <c r="W64" s="35" t="str">
        <f aca="true">IF(OR(V64="",AG64&gt;=8),"",IF(V64&lt;TODAY(),"Vencida",IF(V64=TODAY(),"Hoy","")))</f>
        <v/>
      </c>
      <c r="X64" s="36" t="str">
        <f aca="false">IF(A64="","",IF(COUNTIF(Seguimiento!$B$2:$B$5001,A64)=0,"",_xlfn.MAXIFS(Seguimiento!$A$2:$A$5001,Seguimiento!$B$2:$B$5001,A64)))</f>
        <v/>
      </c>
      <c r="Y64" s="37" t="str">
        <f aca="true">IF(B64="","",TODAY()-B64)</f>
        <v/>
      </c>
      <c r="Z64" s="38" t="str">
        <f aca="false">IF(OR(O64="",G64=""),"",O64*IFERROR(INDEX(Listas!$B$2:$B$50,MATCH(G64,Listas!$A$2:$A$50,0)),0))</f>
        <v/>
      </c>
      <c r="AA64" s="32"/>
      <c r="AB64" s="32"/>
      <c r="AC64" s="32"/>
      <c r="AD64" s="35" t="str">
        <f aca="false">IF(OR(LEFT(H64,4)="Meta",LEFT(H64,6)="Google"),IF(AG64=3,"Lead calificado",IF(OR(AG64=4,AG64=5),"Tasación/visita",IF(OR(AG64=6,AG64=7),"Captación/oferta",IF(AG64=8,"Cierre","")))),"")</f>
        <v/>
      </c>
      <c r="AE64" s="32"/>
      <c r="AF64" s="32"/>
      <c r="AG64" s="37" t="n">
        <f aca="false">IF(R64="",0,IFERROR(MATCH(R64,Listas!$L$2:$L$50,0),0))</f>
        <v>0</v>
      </c>
    </row>
    <row r="65" customFormat="false" ht="15" hidden="false" customHeight="false" outlineLevel="0" collapsed="false">
      <c r="A65" s="30"/>
      <c r="B65" s="31"/>
      <c r="C65" s="32"/>
      <c r="D65" s="32"/>
      <c r="E65" s="33"/>
      <c r="F65" s="32"/>
      <c r="G65" s="32"/>
      <c r="H65" s="32"/>
      <c r="I65" s="32"/>
      <c r="J65" s="32"/>
      <c r="K65" s="32"/>
      <c r="L65" s="32"/>
      <c r="M65" s="30"/>
      <c r="N65" s="32"/>
      <c r="O65" s="34"/>
      <c r="P65" s="32"/>
      <c r="Q65" s="32"/>
      <c r="R65" s="32"/>
      <c r="S65" s="32"/>
      <c r="T65" s="32"/>
      <c r="U65" s="32"/>
      <c r="V65" s="31"/>
      <c r="W65" s="35" t="str">
        <f aca="true">IF(OR(V65="",AG65&gt;=8),"",IF(V65&lt;TODAY(),"Vencida",IF(V65=TODAY(),"Hoy","")))</f>
        <v/>
      </c>
      <c r="X65" s="36" t="str">
        <f aca="false">IF(A65="","",IF(COUNTIF(Seguimiento!$B$2:$B$5001,A65)=0,"",_xlfn.MAXIFS(Seguimiento!$A$2:$A$5001,Seguimiento!$B$2:$B$5001,A65)))</f>
        <v/>
      </c>
      <c r="Y65" s="37" t="str">
        <f aca="true">IF(B65="","",TODAY()-B65)</f>
        <v/>
      </c>
      <c r="Z65" s="38" t="str">
        <f aca="false">IF(OR(O65="",G65=""),"",O65*IFERROR(INDEX(Listas!$B$2:$B$50,MATCH(G65,Listas!$A$2:$A$50,0)),0))</f>
        <v/>
      </c>
      <c r="AA65" s="32"/>
      <c r="AB65" s="32"/>
      <c r="AC65" s="32"/>
      <c r="AD65" s="35" t="str">
        <f aca="false">IF(OR(LEFT(H65,4)="Meta",LEFT(H65,6)="Google"),IF(AG65=3,"Lead calificado",IF(OR(AG65=4,AG65=5),"Tasación/visita",IF(OR(AG65=6,AG65=7),"Captación/oferta",IF(AG65=8,"Cierre","")))),"")</f>
        <v/>
      </c>
      <c r="AE65" s="32"/>
      <c r="AF65" s="32"/>
      <c r="AG65" s="37" t="n">
        <f aca="false">IF(R65="",0,IFERROR(MATCH(R65,Listas!$L$2:$L$50,0),0))</f>
        <v>0</v>
      </c>
    </row>
    <row r="66" customFormat="false" ht="15" hidden="false" customHeight="false" outlineLevel="0" collapsed="false">
      <c r="A66" s="30"/>
      <c r="B66" s="31"/>
      <c r="C66" s="32"/>
      <c r="D66" s="32"/>
      <c r="E66" s="33"/>
      <c r="F66" s="32"/>
      <c r="G66" s="32"/>
      <c r="H66" s="32"/>
      <c r="I66" s="32"/>
      <c r="J66" s="32"/>
      <c r="K66" s="32"/>
      <c r="L66" s="32"/>
      <c r="M66" s="30"/>
      <c r="N66" s="32"/>
      <c r="O66" s="34"/>
      <c r="P66" s="32"/>
      <c r="Q66" s="32"/>
      <c r="R66" s="32"/>
      <c r="S66" s="32"/>
      <c r="T66" s="32"/>
      <c r="U66" s="32"/>
      <c r="V66" s="31"/>
      <c r="W66" s="35" t="str">
        <f aca="true">IF(OR(V66="",AG66&gt;=8),"",IF(V66&lt;TODAY(),"Vencida",IF(V66=TODAY(),"Hoy","")))</f>
        <v/>
      </c>
      <c r="X66" s="36" t="str">
        <f aca="false">IF(A66="","",IF(COUNTIF(Seguimiento!$B$2:$B$5001,A66)=0,"",_xlfn.MAXIFS(Seguimiento!$A$2:$A$5001,Seguimiento!$B$2:$B$5001,A66)))</f>
        <v/>
      </c>
      <c r="Y66" s="37" t="str">
        <f aca="true">IF(B66="","",TODAY()-B66)</f>
        <v/>
      </c>
      <c r="Z66" s="38" t="str">
        <f aca="false">IF(OR(O66="",G66=""),"",O66*IFERROR(INDEX(Listas!$B$2:$B$50,MATCH(G66,Listas!$A$2:$A$50,0)),0))</f>
        <v/>
      </c>
      <c r="AA66" s="32"/>
      <c r="AB66" s="32"/>
      <c r="AC66" s="32"/>
      <c r="AD66" s="35" t="str">
        <f aca="false">IF(OR(LEFT(H66,4)="Meta",LEFT(H66,6)="Google"),IF(AG66=3,"Lead calificado",IF(OR(AG66=4,AG66=5),"Tasación/visita",IF(OR(AG66=6,AG66=7),"Captación/oferta",IF(AG66=8,"Cierre","")))),"")</f>
        <v/>
      </c>
      <c r="AE66" s="32"/>
      <c r="AF66" s="32"/>
      <c r="AG66" s="37" t="n">
        <f aca="false">IF(R66="",0,IFERROR(MATCH(R66,Listas!$L$2:$L$50,0),0))</f>
        <v>0</v>
      </c>
    </row>
    <row r="67" customFormat="false" ht="15" hidden="false" customHeight="false" outlineLevel="0" collapsed="false">
      <c r="A67" s="30"/>
      <c r="B67" s="31"/>
      <c r="C67" s="32"/>
      <c r="D67" s="32"/>
      <c r="E67" s="33"/>
      <c r="F67" s="32"/>
      <c r="G67" s="32"/>
      <c r="H67" s="32"/>
      <c r="I67" s="32"/>
      <c r="J67" s="32"/>
      <c r="K67" s="32"/>
      <c r="L67" s="32"/>
      <c r="M67" s="30"/>
      <c r="N67" s="32"/>
      <c r="O67" s="34"/>
      <c r="P67" s="32"/>
      <c r="Q67" s="32"/>
      <c r="R67" s="32"/>
      <c r="S67" s="32"/>
      <c r="T67" s="32"/>
      <c r="U67" s="32"/>
      <c r="V67" s="31"/>
      <c r="W67" s="35" t="str">
        <f aca="true">IF(OR(V67="",AG67&gt;=8),"",IF(V67&lt;TODAY(),"Vencida",IF(V67=TODAY(),"Hoy","")))</f>
        <v/>
      </c>
      <c r="X67" s="36" t="str">
        <f aca="false">IF(A67="","",IF(COUNTIF(Seguimiento!$B$2:$B$5001,A67)=0,"",_xlfn.MAXIFS(Seguimiento!$A$2:$A$5001,Seguimiento!$B$2:$B$5001,A67)))</f>
        <v/>
      </c>
      <c r="Y67" s="37" t="str">
        <f aca="true">IF(B67="","",TODAY()-B67)</f>
        <v/>
      </c>
      <c r="Z67" s="38" t="str">
        <f aca="false">IF(OR(O67="",G67=""),"",O67*IFERROR(INDEX(Listas!$B$2:$B$50,MATCH(G67,Listas!$A$2:$A$50,0)),0))</f>
        <v/>
      </c>
      <c r="AA67" s="32"/>
      <c r="AB67" s="32"/>
      <c r="AC67" s="32"/>
      <c r="AD67" s="35" t="str">
        <f aca="false">IF(OR(LEFT(H67,4)="Meta",LEFT(H67,6)="Google"),IF(AG67=3,"Lead calificado",IF(OR(AG67=4,AG67=5),"Tasación/visita",IF(OR(AG67=6,AG67=7),"Captación/oferta",IF(AG67=8,"Cierre","")))),"")</f>
        <v/>
      </c>
      <c r="AE67" s="32"/>
      <c r="AF67" s="32"/>
      <c r="AG67" s="37" t="n">
        <f aca="false">IF(R67="",0,IFERROR(MATCH(R67,Listas!$L$2:$L$50,0),0))</f>
        <v>0</v>
      </c>
    </row>
    <row r="68" customFormat="false" ht="15" hidden="false" customHeight="false" outlineLevel="0" collapsed="false">
      <c r="A68" s="30"/>
      <c r="B68" s="31"/>
      <c r="C68" s="32"/>
      <c r="D68" s="32"/>
      <c r="E68" s="33"/>
      <c r="F68" s="32"/>
      <c r="G68" s="32"/>
      <c r="H68" s="32"/>
      <c r="I68" s="32"/>
      <c r="J68" s="32"/>
      <c r="K68" s="32"/>
      <c r="L68" s="32"/>
      <c r="M68" s="30"/>
      <c r="N68" s="32"/>
      <c r="O68" s="34"/>
      <c r="P68" s="32"/>
      <c r="Q68" s="32"/>
      <c r="R68" s="32"/>
      <c r="S68" s="32"/>
      <c r="T68" s="32"/>
      <c r="U68" s="32"/>
      <c r="V68" s="31"/>
      <c r="W68" s="35" t="str">
        <f aca="true">IF(OR(V68="",AG68&gt;=8),"",IF(V68&lt;TODAY(),"Vencida",IF(V68=TODAY(),"Hoy","")))</f>
        <v/>
      </c>
      <c r="X68" s="36" t="str">
        <f aca="false">IF(A68="","",IF(COUNTIF(Seguimiento!$B$2:$B$5001,A68)=0,"",_xlfn.MAXIFS(Seguimiento!$A$2:$A$5001,Seguimiento!$B$2:$B$5001,A68)))</f>
        <v/>
      </c>
      <c r="Y68" s="37" t="str">
        <f aca="true">IF(B68="","",TODAY()-B68)</f>
        <v/>
      </c>
      <c r="Z68" s="38" t="str">
        <f aca="false">IF(OR(O68="",G68=""),"",O68*IFERROR(INDEX(Listas!$B$2:$B$50,MATCH(G68,Listas!$A$2:$A$50,0)),0))</f>
        <v/>
      </c>
      <c r="AA68" s="32"/>
      <c r="AB68" s="32"/>
      <c r="AC68" s="32"/>
      <c r="AD68" s="35" t="str">
        <f aca="false">IF(OR(LEFT(H68,4)="Meta",LEFT(H68,6)="Google"),IF(AG68=3,"Lead calificado",IF(OR(AG68=4,AG68=5),"Tasación/visita",IF(OR(AG68=6,AG68=7),"Captación/oferta",IF(AG68=8,"Cierre","")))),"")</f>
        <v/>
      </c>
      <c r="AE68" s="32"/>
      <c r="AF68" s="32"/>
      <c r="AG68" s="37" t="n">
        <f aca="false">IF(R68="",0,IFERROR(MATCH(R68,Listas!$L$2:$L$50,0),0))</f>
        <v>0</v>
      </c>
    </row>
    <row r="69" customFormat="false" ht="15" hidden="false" customHeight="false" outlineLevel="0" collapsed="false">
      <c r="A69" s="30"/>
      <c r="B69" s="31"/>
      <c r="C69" s="32"/>
      <c r="D69" s="32"/>
      <c r="E69" s="33"/>
      <c r="F69" s="32"/>
      <c r="G69" s="32"/>
      <c r="H69" s="32"/>
      <c r="I69" s="32"/>
      <c r="J69" s="32"/>
      <c r="K69" s="32"/>
      <c r="L69" s="32"/>
      <c r="M69" s="30"/>
      <c r="N69" s="32"/>
      <c r="O69" s="34"/>
      <c r="P69" s="32"/>
      <c r="Q69" s="32"/>
      <c r="R69" s="32"/>
      <c r="S69" s="32"/>
      <c r="T69" s="32"/>
      <c r="U69" s="32"/>
      <c r="V69" s="31"/>
      <c r="W69" s="35" t="str">
        <f aca="true">IF(OR(V69="",AG69&gt;=8),"",IF(V69&lt;TODAY(),"Vencida",IF(V69=TODAY(),"Hoy","")))</f>
        <v/>
      </c>
      <c r="X69" s="36" t="str">
        <f aca="false">IF(A69="","",IF(COUNTIF(Seguimiento!$B$2:$B$5001,A69)=0,"",_xlfn.MAXIFS(Seguimiento!$A$2:$A$5001,Seguimiento!$B$2:$B$5001,A69)))</f>
        <v/>
      </c>
      <c r="Y69" s="37" t="str">
        <f aca="true">IF(B69="","",TODAY()-B69)</f>
        <v/>
      </c>
      <c r="Z69" s="38" t="str">
        <f aca="false">IF(OR(O69="",G69=""),"",O69*IFERROR(INDEX(Listas!$B$2:$B$50,MATCH(G69,Listas!$A$2:$A$50,0)),0))</f>
        <v/>
      </c>
      <c r="AA69" s="32"/>
      <c r="AB69" s="32"/>
      <c r="AC69" s="32"/>
      <c r="AD69" s="35" t="str">
        <f aca="false">IF(OR(LEFT(H69,4)="Meta",LEFT(H69,6)="Google"),IF(AG69=3,"Lead calificado",IF(OR(AG69=4,AG69=5),"Tasación/visita",IF(OR(AG69=6,AG69=7),"Captación/oferta",IF(AG69=8,"Cierre","")))),"")</f>
        <v/>
      </c>
      <c r="AE69" s="32"/>
      <c r="AF69" s="32"/>
      <c r="AG69" s="37" t="n">
        <f aca="false">IF(R69="",0,IFERROR(MATCH(R69,Listas!$L$2:$L$50,0),0))</f>
        <v>0</v>
      </c>
    </row>
    <row r="70" customFormat="false" ht="15" hidden="false" customHeight="false" outlineLevel="0" collapsed="false">
      <c r="A70" s="30"/>
      <c r="B70" s="31"/>
      <c r="C70" s="32"/>
      <c r="D70" s="32"/>
      <c r="E70" s="33"/>
      <c r="F70" s="32"/>
      <c r="G70" s="32"/>
      <c r="H70" s="32"/>
      <c r="I70" s="32"/>
      <c r="J70" s="32"/>
      <c r="K70" s="32"/>
      <c r="L70" s="32"/>
      <c r="M70" s="30"/>
      <c r="N70" s="32"/>
      <c r="O70" s="34"/>
      <c r="P70" s="32"/>
      <c r="Q70" s="32"/>
      <c r="R70" s="32"/>
      <c r="S70" s="32"/>
      <c r="T70" s="32"/>
      <c r="U70" s="32"/>
      <c r="V70" s="31"/>
      <c r="W70" s="35" t="str">
        <f aca="true">IF(OR(V70="",AG70&gt;=8),"",IF(V70&lt;TODAY(),"Vencida",IF(V70=TODAY(),"Hoy","")))</f>
        <v/>
      </c>
      <c r="X70" s="36" t="str">
        <f aca="false">IF(A70="","",IF(COUNTIF(Seguimiento!$B$2:$B$5001,A70)=0,"",_xlfn.MAXIFS(Seguimiento!$A$2:$A$5001,Seguimiento!$B$2:$B$5001,A70)))</f>
        <v/>
      </c>
      <c r="Y70" s="37" t="str">
        <f aca="true">IF(B70="","",TODAY()-B70)</f>
        <v/>
      </c>
      <c r="Z70" s="38" t="str">
        <f aca="false">IF(OR(O70="",G70=""),"",O70*IFERROR(INDEX(Listas!$B$2:$B$50,MATCH(G70,Listas!$A$2:$A$50,0)),0))</f>
        <v/>
      </c>
      <c r="AA70" s="32"/>
      <c r="AB70" s="32"/>
      <c r="AC70" s="32"/>
      <c r="AD70" s="35" t="str">
        <f aca="false">IF(OR(LEFT(H70,4)="Meta",LEFT(H70,6)="Google"),IF(AG70=3,"Lead calificado",IF(OR(AG70=4,AG70=5),"Tasación/visita",IF(OR(AG70=6,AG70=7),"Captación/oferta",IF(AG70=8,"Cierre","")))),"")</f>
        <v/>
      </c>
      <c r="AE70" s="32"/>
      <c r="AF70" s="32"/>
      <c r="AG70" s="37" t="n">
        <f aca="false">IF(R70="",0,IFERROR(MATCH(R70,Listas!$L$2:$L$50,0),0))</f>
        <v>0</v>
      </c>
    </row>
    <row r="71" customFormat="false" ht="15" hidden="false" customHeight="false" outlineLevel="0" collapsed="false">
      <c r="A71" s="30"/>
      <c r="B71" s="31"/>
      <c r="C71" s="32"/>
      <c r="D71" s="32"/>
      <c r="E71" s="33"/>
      <c r="F71" s="32"/>
      <c r="G71" s="32"/>
      <c r="H71" s="32"/>
      <c r="I71" s="32"/>
      <c r="J71" s="32"/>
      <c r="K71" s="32"/>
      <c r="L71" s="32"/>
      <c r="M71" s="30"/>
      <c r="N71" s="32"/>
      <c r="O71" s="34"/>
      <c r="P71" s="32"/>
      <c r="Q71" s="32"/>
      <c r="R71" s="32"/>
      <c r="S71" s="32"/>
      <c r="T71" s="32"/>
      <c r="U71" s="32"/>
      <c r="V71" s="31"/>
      <c r="W71" s="35" t="str">
        <f aca="true">IF(OR(V71="",AG71&gt;=8),"",IF(V71&lt;TODAY(),"Vencida",IF(V71=TODAY(),"Hoy","")))</f>
        <v/>
      </c>
      <c r="X71" s="36" t="str">
        <f aca="false">IF(A71="","",IF(COUNTIF(Seguimiento!$B$2:$B$5001,A71)=0,"",_xlfn.MAXIFS(Seguimiento!$A$2:$A$5001,Seguimiento!$B$2:$B$5001,A71)))</f>
        <v/>
      </c>
      <c r="Y71" s="37" t="str">
        <f aca="true">IF(B71="","",TODAY()-B71)</f>
        <v/>
      </c>
      <c r="Z71" s="38" t="str">
        <f aca="false">IF(OR(O71="",G71=""),"",O71*IFERROR(INDEX(Listas!$B$2:$B$50,MATCH(G71,Listas!$A$2:$A$50,0)),0))</f>
        <v/>
      </c>
      <c r="AA71" s="32"/>
      <c r="AB71" s="32"/>
      <c r="AC71" s="32"/>
      <c r="AD71" s="35" t="str">
        <f aca="false">IF(OR(LEFT(H71,4)="Meta",LEFT(H71,6)="Google"),IF(AG71=3,"Lead calificado",IF(OR(AG71=4,AG71=5),"Tasación/visita",IF(OR(AG71=6,AG71=7),"Captación/oferta",IF(AG71=8,"Cierre","")))),"")</f>
        <v/>
      </c>
      <c r="AE71" s="32"/>
      <c r="AF71" s="32"/>
      <c r="AG71" s="37" t="n">
        <f aca="false">IF(R71="",0,IFERROR(MATCH(R71,Listas!$L$2:$L$50,0),0))</f>
        <v>0</v>
      </c>
    </row>
    <row r="72" customFormat="false" ht="15" hidden="false" customHeight="false" outlineLevel="0" collapsed="false">
      <c r="A72" s="30"/>
      <c r="B72" s="31"/>
      <c r="C72" s="32"/>
      <c r="D72" s="32"/>
      <c r="E72" s="33"/>
      <c r="F72" s="32"/>
      <c r="G72" s="32"/>
      <c r="H72" s="32"/>
      <c r="I72" s="32"/>
      <c r="J72" s="32"/>
      <c r="K72" s="32"/>
      <c r="L72" s="32"/>
      <c r="M72" s="30"/>
      <c r="N72" s="32"/>
      <c r="O72" s="34"/>
      <c r="P72" s="32"/>
      <c r="Q72" s="32"/>
      <c r="R72" s="32"/>
      <c r="S72" s="32"/>
      <c r="T72" s="32"/>
      <c r="U72" s="32"/>
      <c r="V72" s="31"/>
      <c r="W72" s="35" t="str">
        <f aca="true">IF(OR(V72="",AG72&gt;=8),"",IF(V72&lt;TODAY(),"Vencida",IF(V72=TODAY(),"Hoy","")))</f>
        <v/>
      </c>
      <c r="X72" s="36" t="str">
        <f aca="false">IF(A72="","",IF(COUNTIF(Seguimiento!$B$2:$B$5001,A72)=0,"",_xlfn.MAXIFS(Seguimiento!$A$2:$A$5001,Seguimiento!$B$2:$B$5001,A72)))</f>
        <v/>
      </c>
      <c r="Y72" s="37" t="str">
        <f aca="true">IF(B72="","",TODAY()-B72)</f>
        <v/>
      </c>
      <c r="Z72" s="38" t="str">
        <f aca="false">IF(OR(O72="",G72=""),"",O72*IFERROR(INDEX(Listas!$B$2:$B$50,MATCH(G72,Listas!$A$2:$A$50,0)),0))</f>
        <v/>
      </c>
      <c r="AA72" s="32"/>
      <c r="AB72" s="32"/>
      <c r="AC72" s="32"/>
      <c r="AD72" s="35" t="str">
        <f aca="false">IF(OR(LEFT(H72,4)="Meta",LEFT(H72,6)="Google"),IF(AG72=3,"Lead calificado",IF(OR(AG72=4,AG72=5),"Tasación/visita",IF(OR(AG72=6,AG72=7),"Captación/oferta",IF(AG72=8,"Cierre","")))),"")</f>
        <v/>
      </c>
      <c r="AE72" s="32"/>
      <c r="AF72" s="32"/>
      <c r="AG72" s="37" t="n">
        <f aca="false">IF(R72="",0,IFERROR(MATCH(R72,Listas!$L$2:$L$50,0),0))</f>
        <v>0</v>
      </c>
    </row>
    <row r="73" customFormat="false" ht="15" hidden="false" customHeight="false" outlineLevel="0" collapsed="false">
      <c r="A73" s="30"/>
      <c r="B73" s="31"/>
      <c r="C73" s="32"/>
      <c r="D73" s="32"/>
      <c r="E73" s="33"/>
      <c r="F73" s="32"/>
      <c r="G73" s="32"/>
      <c r="H73" s="32"/>
      <c r="I73" s="32"/>
      <c r="J73" s="32"/>
      <c r="K73" s="32"/>
      <c r="L73" s="32"/>
      <c r="M73" s="30"/>
      <c r="N73" s="32"/>
      <c r="O73" s="34"/>
      <c r="P73" s="32"/>
      <c r="Q73" s="32"/>
      <c r="R73" s="32"/>
      <c r="S73" s="32"/>
      <c r="T73" s="32"/>
      <c r="U73" s="32"/>
      <c r="V73" s="31"/>
      <c r="W73" s="35" t="str">
        <f aca="true">IF(OR(V73="",AG73&gt;=8),"",IF(V73&lt;TODAY(),"Vencida",IF(V73=TODAY(),"Hoy","")))</f>
        <v/>
      </c>
      <c r="X73" s="36" t="str">
        <f aca="false">IF(A73="","",IF(COUNTIF(Seguimiento!$B$2:$B$5001,A73)=0,"",_xlfn.MAXIFS(Seguimiento!$A$2:$A$5001,Seguimiento!$B$2:$B$5001,A73)))</f>
        <v/>
      </c>
      <c r="Y73" s="37" t="str">
        <f aca="true">IF(B73="","",TODAY()-B73)</f>
        <v/>
      </c>
      <c r="Z73" s="38" t="str">
        <f aca="false">IF(OR(O73="",G73=""),"",O73*IFERROR(INDEX(Listas!$B$2:$B$50,MATCH(G73,Listas!$A$2:$A$50,0)),0))</f>
        <v/>
      </c>
      <c r="AA73" s="32"/>
      <c r="AB73" s="32"/>
      <c r="AC73" s="32"/>
      <c r="AD73" s="35" t="str">
        <f aca="false">IF(OR(LEFT(H73,4)="Meta",LEFT(H73,6)="Google"),IF(AG73=3,"Lead calificado",IF(OR(AG73=4,AG73=5),"Tasación/visita",IF(OR(AG73=6,AG73=7),"Captación/oferta",IF(AG73=8,"Cierre","")))),"")</f>
        <v/>
      </c>
      <c r="AE73" s="32"/>
      <c r="AF73" s="32"/>
      <c r="AG73" s="37" t="n">
        <f aca="false">IF(R73="",0,IFERROR(MATCH(R73,Listas!$L$2:$L$50,0),0))</f>
        <v>0</v>
      </c>
    </row>
    <row r="74" customFormat="false" ht="15" hidden="false" customHeight="false" outlineLevel="0" collapsed="false">
      <c r="A74" s="30"/>
      <c r="B74" s="31"/>
      <c r="C74" s="32"/>
      <c r="D74" s="32"/>
      <c r="E74" s="33"/>
      <c r="F74" s="32"/>
      <c r="G74" s="32"/>
      <c r="H74" s="32"/>
      <c r="I74" s="32"/>
      <c r="J74" s="32"/>
      <c r="K74" s="32"/>
      <c r="L74" s="32"/>
      <c r="M74" s="30"/>
      <c r="N74" s="32"/>
      <c r="O74" s="34"/>
      <c r="P74" s="32"/>
      <c r="Q74" s="32"/>
      <c r="R74" s="32"/>
      <c r="S74" s="32"/>
      <c r="T74" s="32"/>
      <c r="U74" s="32"/>
      <c r="V74" s="31"/>
      <c r="W74" s="35" t="str">
        <f aca="true">IF(OR(V74="",AG74&gt;=8),"",IF(V74&lt;TODAY(),"Vencida",IF(V74=TODAY(),"Hoy","")))</f>
        <v/>
      </c>
      <c r="X74" s="36" t="str">
        <f aca="false">IF(A74="","",IF(COUNTIF(Seguimiento!$B$2:$B$5001,A74)=0,"",_xlfn.MAXIFS(Seguimiento!$A$2:$A$5001,Seguimiento!$B$2:$B$5001,A74)))</f>
        <v/>
      </c>
      <c r="Y74" s="37" t="str">
        <f aca="true">IF(B74="","",TODAY()-B74)</f>
        <v/>
      </c>
      <c r="Z74" s="38" t="str">
        <f aca="false">IF(OR(O74="",G74=""),"",O74*IFERROR(INDEX(Listas!$B$2:$B$50,MATCH(G74,Listas!$A$2:$A$50,0)),0))</f>
        <v/>
      </c>
      <c r="AA74" s="32"/>
      <c r="AB74" s="32"/>
      <c r="AC74" s="32"/>
      <c r="AD74" s="35" t="str">
        <f aca="false">IF(OR(LEFT(H74,4)="Meta",LEFT(H74,6)="Google"),IF(AG74=3,"Lead calificado",IF(OR(AG74=4,AG74=5),"Tasación/visita",IF(OR(AG74=6,AG74=7),"Captación/oferta",IF(AG74=8,"Cierre","")))),"")</f>
        <v/>
      </c>
      <c r="AE74" s="32"/>
      <c r="AF74" s="32"/>
      <c r="AG74" s="37" t="n">
        <f aca="false">IF(R74="",0,IFERROR(MATCH(R74,Listas!$L$2:$L$50,0),0))</f>
        <v>0</v>
      </c>
    </row>
    <row r="75" customFormat="false" ht="15" hidden="false" customHeight="false" outlineLevel="0" collapsed="false">
      <c r="A75" s="30"/>
      <c r="B75" s="31"/>
      <c r="C75" s="32"/>
      <c r="D75" s="32"/>
      <c r="E75" s="33"/>
      <c r="F75" s="32"/>
      <c r="G75" s="32"/>
      <c r="H75" s="32"/>
      <c r="I75" s="32"/>
      <c r="J75" s="32"/>
      <c r="K75" s="32"/>
      <c r="L75" s="32"/>
      <c r="M75" s="30"/>
      <c r="N75" s="32"/>
      <c r="O75" s="34"/>
      <c r="P75" s="32"/>
      <c r="Q75" s="32"/>
      <c r="R75" s="32"/>
      <c r="S75" s="32"/>
      <c r="T75" s="32"/>
      <c r="U75" s="32"/>
      <c r="V75" s="31"/>
      <c r="W75" s="35" t="str">
        <f aca="true">IF(OR(V75="",AG75&gt;=8),"",IF(V75&lt;TODAY(),"Vencida",IF(V75=TODAY(),"Hoy","")))</f>
        <v/>
      </c>
      <c r="X75" s="36" t="str">
        <f aca="false">IF(A75="","",IF(COUNTIF(Seguimiento!$B$2:$B$5001,A75)=0,"",_xlfn.MAXIFS(Seguimiento!$A$2:$A$5001,Seguimiento!$B$2:$B$5001,A75)))</f>
        <v/>
      </c>
      <c r="Y75" s="37" t="str">
        <f aca="true">IF(B75="","",TODAY()-B75)</f>
        <v/>
      </c>
      <c r="Z75" s="38" t="str">
        <f aca="false">IF(OR(O75="",G75=""),"",O75*IFERROR(INDEX(Listas!$B$2:$B$50,MATCH(G75,Listas!$A$2:$A$50,0)),0))</f>
        <v/>
      </c>
      <c r="AA75" s="32"/>
      <c r="AB75" s="32"/>
      <c r="AC75" s="32"/>
      <c r="AD75" s="35" t="str">
        <f aca="false">IF(OR(LEFT(H75,4)="Meta",LEFT(H75,6)="Google"),IF(AG75=3,"Lead calificado",IF(OR(AG75=4,AG75=5),"Tasación/visita",IF(OR(AG75=6,AG75=7),"Captación/oferta",IF(AG75=8,"Cierre","")))),"")</f>
        <v/>
      </c>
      <c r="AE75" s="32"/>
      <c r="AF75" s="32"/>
      <c r="AG75" s="37" t="n">
        <f aca="false">IF(R75="",0,IFERROR(MATCH(R75,Listas!$L$2:$L$50,0),0))</f>
        <v>0</v>
      </c>
    </row>
    <row r="76" customFormat="false" ht="15" hidden="false" customHeight="false" outlineLevel="0" collapsed="false">
      <c r="A76" s="30"/>
      <c r="B76" s="31"/>
      <c r="C76" s="32"/>
      <c r="D76" s="32"/>
      <c r="E76" s="33"/>
      <c r="F76" s="32"/>
      <c r="G76" s="32"/>
      <c r="H76" s="32"/>
      <c r="I76" s="32"/>
      <c r="J76" s="32"/>
      <c r="K76" s="32"/>
      <c r="L76" s="32"/>
      <c r="M76" s="30"/>
      <c r="N76" s="32"/>
      <c r="O76" s="34"/>
      <c r="P76" s="32"/>
      <c r="Q76" s="32"/>
      <c r="R76" s="32"/>
      <c r="S76" s="32"/>
      <c r="T76" s="32"/>
      <c r="U76" s="32"/>
      <c r="V76" s="31"/>
      <c r="W76" s="35" t="str">
        <f aca="true">IF(OR(V76="",AG76&gt;=8),"",IF(V76&lt;TODAY(),"Vencida",IF(V76=TODAY(),"Hoy","")))</f>
        <v/>
      </c>
      <c r="X76" s="36" t="str">
        <f aca="false">IF(A76="","",IF(COUNTIF(Seguimiento!$B$2:$B$5001,A76)=0,"",_xlfn.MAXIFS(Seguimiento!$A$2:$A$5001,Seguimiento!$B$2:$B$5001,A76)))</f>
        <v/>
      </c>
      <c r="Y76" s="37" t="str">
        <f aca="true">IF(B76="","",TODAY()-B76)</f>
        <v/>
      </c>
      <c r="Z76" s="38" t="str">
        <f aca="false">IF(OR(O76="",G76=""),"",O76*IFERROR(INDEX(Listas!$B$2:$B$50,MATCH(G76,Listas!$A$2:$A$50,0)),0))</f>
        <v/>
      </c>
      <c r="AA76" s="32"/>
      <c r="AB76" s="32"/>
      <c r="AC76" s="32"/>
      <c r="AD76" s="35" t="str">
        <f aca="false">IF(OR(LEFT(H76,4)="Meta",LEFT(H76,6)="Google"),IF(AG76=3,"Lead calificado",IF(OR(AG76=4,AG76=5),"Tasación/visita",IF(OR(AG76=6,AG76=7),"Captación/oferta",IF(AG76=8,"Cierre","")))),"")</f>
        <v/>
      </c>
      <c r="AE76" s="32"/>
      <c r="AF76" s="32"/>
      <c r="AG76" s="37" t="n">
        <f aca="false">IF(R76="",0,IFERROR(MATCH(R76,Listas!$L$2:$L$50,0),0))</f>
        <v>0</v>
      </c>
    </row>
    <row r="77" customFormat="false" ht="15" hidden="false" customHeight="false" outlineLevel="0" collapsed="false">
      <c r="A77" s="30"/>
      <c r="B77" s="31"/>
      <c r="C77" s="32"/>
      <c r="D77" s="32"/>
      <c r="E77" s="33"/>
      <c r="F77" s="32"/>
      <c r="G77" s="32"/>
      <c r="H77" s="32"/>
      <c r="I77" s="32"/>
      <c r="J77" s="32"/>
      <c r="K77" s="32"/>
      <c r="L77" s="32"/>
      <c r="M77" s="30"/>
      <c r="N77" s="32"/>
      <c r="O77" s="34"/>
      <c r="P77" s="32"/>
      <c r="Q77" s="32"/>
      <c r="R77" s="32"/>
      <c r="S77" s="32"/>
      <c r="T77" s="32"/>
      <c r="U77" s="32"/>
      <c r="V77" s="31"/>
      <c r="W77" s="35" t="str">
        <f aca="true">IF(OR(V77="",AG77&gt;=8),"",IF(V77&lt;TODAY(),"Vencida",IF(V77=TODAY(),"Hoy","")))</f>
        <v/>
      </c>
      <c r="X77" s="36" t="str">
        <f aca="false">IF(A77="","",IF(COUNTIF(Seguimiento!$B$2:$B$5001,A77)=0,"",_xlfn.MAXIFS(Seguimiento!$A$2:$A$5001,Seguimiento!$B$2:$B$5001,A77)))</f>
        <v/>
      </c>
      <c r="Y77" s="37" t="str">
        <f aca="true">IF(B77="","",TODAY()-B77)</f>
        <v/>
      </c>
      <c r="Z77" s="38" t="str">
        <f aca="false">IF(OR(O77="",G77=""),"",O77*IFERROR(INDEX(Listas!$B$2:$B$50,MATCH(G77,Listas!$A$2:$A$50,0)),0))</f>
        <v/>
      </c>
      <c r="AA77" s="32"/>
      <c r="AB77" s="32"/>
      <c r="AC77" s="32"/>
      <c r="AD77" s="35" t="str">
        <f aca="false">IF(OR(LEFT(H77,4)="Meta",LEFT(H77,6)="Google"),IF(AG77=3,"Lead calificado",IF(OR(AG77=4,AG77=5),"Tasación/visita",IF(OR(AG77=6,AG77=7),"Captación/oferta",IF(AG77=8,"Cierre","")))),"")</f>
        <v/>
      </c>
      <c r="AE77" s="32"/>
      <c r="AF77" s="32"/>
      <c r="AG77" s="37" t="n">
        <f aca="false">IF(R77="",0,IFERROR(MATCH(R77,Listas!$L$2:$L$50,0),0))</f>
        <v>0</v>
      </c>
    </row>
    <row r="78" customFormat="false" ht="15" hidden="false" customHeight="false" outlineLevel="0" collapsed="false">
      <c r="A78" s="30"/>
      <c r="B78" s="31"/>
      <c r="C78" s="32"/>
      <c r="D78" s="32"/>
      <c r="E78" s="33"/>
      <c r="F78" s="32"/>
      <c r="G78" s="32"/>
      <c r="H78" s="32"/>
      <c r="I78" s="32"/>
      <c r="J78" s="32"/>
      <c r="K78" s="32"/>
      <c r="L78" s="32"/>
      <c r="M78" s="30"/>
      <c r="N78" s="32"/>
      <c r="O78" s="34"/>
      <c r="P78" s="32"/>
      <c r="Q78" s="32"/>
      <c r="R78" s="32"/>
      <c r="S78" s="32"/>
      <c r="T78" s="32"/>
      <c r="U78" s="32"/>
      <c r="V78" s="31"/>
      <c r="W78" s="35" t="str">
        <f aca="true">IF(OR(V78="",AG78&gt;=8),"",IF(V78&lt;TODAY(),"Vencida",IF(V78=TODAY(),"Hoy","")))</f>
        <v/>
      </c>
      <c r="X78" s="36" t="str">
        <f aca="false">IF(A78="","",IF(COUNTIF(Seguimiento!$B$2:$B$5001,A78)=0,"",_xlfn.MAXIFS(Seguimiento!$A$2:$A$5001,Seguimiento!$B$2:$B$5001,A78)))</f>
        <v/>
      </c>
      <c r="Y78" s="37" t="str">
        <f aca="true">IF(B78="","",TODAY()-B78)</f>
        <v/>
      </c>
      <c r="Z78" s="38" t="str">
        <f aca="false">IF(OR(O78="",G78=""),"",O78*IFERROR(INDEX(Listas!$B$2:$B$50,MATCH(G78,Listas!$A$2:$A$50,0)),0))</f>
        <v/>
      </c>
      <c r="AA78" s="32"/>
      <c r="AB78" s="32"/>
      <c r="AC78" s="32"/>
      <c r="AD78" s="35" t="str">
        <f aca="false">IF(OR(LEFT(H78,4)="Meta",LEFT(H78,6)="Google"),IF(AG78=3,"Lead calificado",IF(OR(AG78=4,AG78=5),"Tasación/visita",IF(OR(AG78=6,AG78=7),"Captación/oferta",IF(AG78=8,"Cierre","")))),"")</f>
        <v/>
      </c>
      <c r="AE78" s="32"/>
      <c r="AF78" s="32"/>
      <c r="AG78" s="37" t="n">
        <f aca="false">IF(R78="",0,IFERROR(MATCH(R78,Listas!$L$2:$L$50,0),0))</f>
        <v>0</v>
      </c>
    </row>
    <row r="79" customFormat="false" ht="15" hidden="false" customHeight="false" outlineLevel="0" collapsed="false">
      <c r="A79" s="30"/>
      <c r="B79" s="31"/>
      <c r="C79" s="32"/>
      <c r="D79" s="32"/>
      <c r="E79" s="33"/>
      <c r="F79" s="32"/>
      <c r="G79" s="32"/>
      <c r="H79" s="32"/>
      <c r="I79" s="32"/>
      <c r="J79" s="32"/>
      <c r="K79" s="32"/>
      <c r="L79" s="32"/>
      <c r="M79" s="30"/>
      <c r="N79" s="32"/>
      <c r="O79" s="34"/>
      <c r="P79" s="32"/>
      <c r="Q79" s="32"/>
      <c r="R79" s="32"/>
      <c r="S79" s="32"/>
      <c r="T79" s="32"/>
      <c r="U79" s="32"/>
      <c r="V79" s="31"/>
      <c r="W79" s="35" t="str">
        <f aca="true">IF(OR(V79="",AG79&gt;=8),"",IF(V79&lt;TODAY(),"Vencida",IF(V79=TODAY(),"Hoy","")))</f>
        <v/>
      </c>
      <c r="X79" s="36" t="str">
        <f aca="false">IF(A79="","",IF(COUNTIF(Seguimiento!$B$2:$B$5001,A79)=0,"",_xlfn.MAXIFS(Seguimiento!$A$2:$A$5001,Seguimiento!$B$2:$B$5001,A79)))</f>
        <v/>
      </c>
      <c r="Y79" s="37" t="str">
        <f aca="true">IF(B79="","",TODAY()-B79)</f>
        <v/>
      </c>
      <c r="Z79" s="38" t="str">
        <f aca="false">IF(OR(O79="",G79=""),"",O79*IFERROR(INDEX(Listas!$B$2:$B$50,MATCH(G79,Listas!$A$2:$A$50,0)),0))</f>
        <v/>
      </c>
      <c r="AA79" s="32"/>
      <c r="AB79" s="32"/>
      <c r="AC79" s="32"/>
      <c r="AD79" s="35" t="str">
        <f aca="false">IF(OR(LEFT(H79,4)="Meta",LEFT(H79,6)="Google"),IF(AG79=3,"Lead calificado",IF(OR(AG79=4,AG79=5),"Tasación/visita",IF(OR(AG79=6,AG79=7),"Captación/oferta",IF(AG79=8,"Cierre","")))),"")</f>
        <v/>
      </c>
      <c r="AE79" s="32"/>
      <c r="AF79" s="32"/>
      <c r="AG79" s="37" t="n">
        <f aca="false">IF(R79="",0,IFERROR(MATCH(R79,Listas!$L$2:$L$50,0),0))</f>
        <v>0</v>
      </c>
    </row>
    <row r="80" customFormat="false" ht="15" hidden="false" customHeight="false" outlineLevel="0" collapsed="false">
      <c r="A80" s="30"/>
      <c r="B80" s="31"/>
      <c r="C80" s="32"/>
      <c r="D80" s="32"/>
      <c r="E80" s="33"/>
      <c r="F80" s="32"/>
      <c r="G80" s="32"/>
      <c r="H80" s="32"/>
      <c r="I80" s="32"/>
      <c r="J80" s="32"/>
      <c r="K80" s="32"/>
      <c r="L80" s="32"/>
      <c r="M80" s="30"/>
      <c r="N80" s="32"/>
      <c r="O80" s="34"/>
      <c r="P80" s="32"/>
      <c r="Q80" s="32"/>
      <c r="R80" s="32"/>
      <c r="S80" s="32"/>
      <c r="T80" s="32"/>
      <c r="U80" s="32"/>
      <c r="V80" s="31"/>
      <c r="W80" s="35" t="str">
        <f aca="true">IF(OR(V80="",AG80&gt;=8),"",IF(V80&lt;TODAY(),"Vencida",IF(V80=TODAY(),"Hoy","")))</f>
        <v/>
      </c>
      <c r="X80" s="36" t="str">
        <f aca="false">IF(A80="","",IF(COUNTIF(Seguimiento!$B$2:$B$5001,A80)=0,"",_xlfn.MAXIFS(Seguimiento!$A$2:$A$5001,Seguimiento!$B$2:$B$5001,A80)))</f>
        <v/>
      </c>
      <c r="Y80" s="37" t="str">
        <f aca="true">IF(B80="","",TODAY()-B80)</f>
        <v/>
      </c>
      <c r="Z80" s="38" t="str">
        <f aca="false">IF(OR(O80="",G80=""),"",O80*IFERROR(INDEX(Listas!$B$2:$B$50,MATCH(G80,Listas!$A$2:$A$50,0)),0))</f>
        <v/>
      </c>
      <c r="AA80" s="32"/>
      <c r="AB80" s="32"/>
      <c r="AC80" s="32"/>
      <c r="AD80" s="35" t="str">
        <f aca="false">IF(OR(LEFT(H80,4)="Meta",LEFT(H80,6)="Google"),IF(AG80=3,"Lead calificado",IF(OR(AG80=4,AG80=5),"Tasación/visita",IF(OR(AG80=6,AG80=7),"Captación/oferta",IF(AG80=8,"Cierre","")))),"")</f>
        <v/>
      </c>
      <c r="AE80" s="32"/>
      <c r="AF80" s="32"/>
      <c r="AG80" s="37" t="n">
        <f aca="false">IF(R80="",0,IFERROR(MATCH(R80,Listas!$L$2:$L$50,0),0))</f>
        <v>0</v>
      </c>
    </row>
    <row r="81" customFormat="false" ht="15" hidden="false" customHeight="false" outlineLevel="0" collapsed="false">
      <c r="A81" s="30"/>
      <c r="B81" s="31"/>
      <c r="C81" s="32"/>
      <c r="D81" s="32"/>
      <c r="E81" s="33"/>
      <c r="F81" s="32"/>
      <c r="G81" s="32"/>
      <c r="H81" s="32"/>
      <c r="I81" s="32"/>
      <c r="J81" s="32"/>
      <c r="K81" s="32"/>
      <c r="L81" s="32"/>
      <c r="M81" s="30"/>
      <c r="N81" s="32"/>
      <c r="O81" s="34"/>
      <c r="P81" s="32"/>
      <c r="Q81" s="32"/>
      <c r="R81" s="32"/>
      <c r="S81" s="32"/>
      <c r="T81" s="32"/>
      <c r="U81" s="32"/>
      <c r="V81" s="31"/>
      <c r="W81" s="35" t="str">
        <f aca="true">IF(OR(V81="",AG81&gt;=8),"",IF(V81&lt;TODAY(),"Vencida",IF(V81=TODAY(),"Hoy","")))</f>
        <v/>
      </c>
      <c r="X81" s="36" t="str">
        <f aca="false">IF(A81="","",IF(COUNTIF(Seguimiento!$B$2:$B$5001,A81)=0,"",_xlfn.MAXIFS(Seguimiento!$A$2:$A$5001,Seguimiento!$B$2:$B$5001,A81)))</f>
        <v/>
      </c>
      <c r="Y81" s="37" t="str">
        <f aca="true">IF(B81="","",TODAY()-B81)</f>
        <v/>
      </c>
      <c r="Z81" s="38" t="str">
        <f aca="false">IF(OR(O81="",G81=""),"",O81*IFERROR(INDEX(Listas!$B$2:$B$50,MATCH(G81,Listas!$A$2:$A$50,0)),0))</f>
        <v/>
      </c>
      <c r="AA81" s="32"/>
      <c r="AB81" s="32"/>
      <c r="AC81" s="32"/>
      <c r="AD81" s="35" t="str">
        <f aca="false">IF(OR(LEFT(H81,4)="Meta",LEFT(H81,6)="Google"),IF(AG81=3,"Lead calificado",IF(OR(AG81=4,AG81=5),"Tasación/visita",IF(OR(AG81=6,AG81=7),"Captación/oferta",IF(AG81=8,"Cierre","")))),"")</f>
        <v/>
      </c>
      <c r="AE81" s="32"/>
      <c r="AF81" s="32"/>
      <c r="AG81" s="37" t="n">
        <f aca="false">IF(R81="",0,IFERROR(MATCH(R81,Listas!$L$2:$L$50,0),0))</f>
        <v>0</v>
      </c>
    </row>
    <row r="82" customFormat="false" ht="15" hidden="false" customHeight="false" outlineLevel="0" collapsed="false">
      <c r="A82" s="30"/>
      <c r="B82" s="31"/>
      <c r="C82" s="32"/>
      <c r="D82" s="32"/>
      <c r="E82" s="33"/>
      <c r="F82" s="32"/>
      <c r="G82" s="32"/>
      <c r="H82" s="32"/>
      <c r="I82" s="32"/>
      <c r="J82" s="32"/>
      <c r="K82" s="32"/>
      <c r="L82" s="32"/>
      <c r="M82" s="30"/>
      <c r="N82" s="32"/>
      <c r="O82" s="34"/>
      <c r="P82" s="32"/>
      <c r="Q82" s="32"/>
      <c r="R82" s="32"/>
      <c r="S82" s="32"/>
      <c r="T82" s="32"/>
      <c r="U82" s="32"/>
      <c r="V82" s="31"/>
      <c r="W82" s="35" t="str">
        <f aca="true">IF(OR(V82="",AG82&gt;=8),"",IF(V82&lt;TODAY(),"Vencida",IF(V82=TODAY(),"Hoy","")))</f>
        <v/>
      </c>
      <c r="X82" s="36" t="str">
        <f aca="false">IF(A82="","",IF(COUNTIF(Seguimiento!$B$2:$B$5001,A82)=0,"",_xlfn.MAXIFS(Seguimiento!$A$2:$A$5001,Seguimiento!$B$2:$B$5001,A82)))</f>
        <v/>
      </c>
      <c r="Y82" s="37" t="str">
        <f aca="true">IF(B82="","",TODAY()-B82)</f>
        <v/>
      </c>
      <c r="Z82" s="38" t="str">
        <f aca="false">IF(OR(O82="",G82=""),"",O82*IFERROR(INDEX(Listas!$B$2:$B$50,MATCH(G82,Listas!$A$2:$A$50,0)),0))</f>
        <v/>
      </c>
      <c r="AA82" s="32"/>
      <c r="AB82" s="32"/>
      <c r="AC82" s="32"/>
      <c r="AD82" s="35" t="str">
        <f aca="false">IF(OR(LEFT(H82,4)="Meta",LEFT(H82,6)="Google"),IF(AG82=3,"Lead calificado",IF(OR(AG82=4,AG82=5),"Tasación/visita",IF(OR(AG82=6,AG82=7),"Captación/oferta",IF(AG82=8,"Cierre","")))),"")</f>
        <v/>
      </c>
      <c r="AE82" s="32"/>
      <c r="AF82" s="32"/>
      <c r="AG82" s="37" t="n">
        <f aca="false">IF(R82="",0,IFERROR(MATCH(R82,Listas!$L$2:$L$50,0),0))</f>
        <v>0</v>
      </c>
    </row>
    <row r="83" customFormat="false" ht="15" hidden="false" customHeight="false" outlineLevel="0" collapsed="false">
      <c r="A83" s="30"/>
      <c r="B83" s="31"/>
      <c r="C83" s="32"/>
      <c r="D83" s="32"/>
      <c r="E83" s="33"/>
      <c r="F83" s="32"/>
      <c r="G83" s="32"/>
      <c r="H83" s="32"/>
      <c r="I83" s="32"/>
      <c r="J83" s="32"/>
      <c r="K83" s="32"/>
      <c r="L83" s="32"/>
      <c r="M83" s="30"/>
      <c r="N83" s="32"/>
      <c r="O83" s="34"/>
      <c r="P83" s="32"/>
      <c r="Q83" s="32"/>
      <c r="R83" s="32"/>
      <c r="S83" s="32"/>
      <c r="T83" s="32"/>
      <c r="U83" s="32"/>
      <c r="V83" s="31"/>
      <c r="W83" s="35" t="str">
        <f aca="true">IF(OR(V83="",AG83&gt;=8),"",IF(V83&lt;TODAY(),"Vencida",IF(V83=TODAY(),"Hoy","")))</f>
        <v/>
      </c>
      <c r="X83" s="36" t="str">
        <f aca="false">IF(A83="","",IF(COUNTIF(Seguimiento!$B$2:$B$5001,A83)=0,"",_xlfn.MAXIFS(Seguimiento!$A$2:$A$5001,Seguimiento!$B$2:$B$5001,A83)))</f>
        <v/>
      </c>
      <c r="Y83" s="37" t="str">
        <f aca="true">IF(B83="","",TODAY()-B83)</f>
        <v/>
      </c>
      <c r="Z83" s="38" t="str">
        <f aca="false">IF(OR(O83="",G83=""),"",O83*IFERROR(INDEX(Listas!$B$2:$B$50,MATCH(G83,Listas!$A$2:$A$50,0)),0))</f>
        <v/>
      </c>
      <c r="AA83" s="32"/>
      <c r="AB83" s="32"/>
      <c r="AC83" s="32"/>
      <c r="AD83" s="35" t="str">
        <f aca="false">IF(OR(LEFT(H83,4)="Meta",LEFT(H83,6)="Google"),IF(AG83=3,"Lead calificado",IF(OR(AG83=4,AG83=5),"Tasación/visita",IF(OR(AG83=6,AG83=7),"Captación/oferta",IF(AG83=8,"Cierre","")))),"")</f>
        <v/>
      </c>
      <c r="AE83" s="32"/>
      <c r="AF83" s="32"/>
      <c r="AG83" s="37" t="n">
        <f aca="false">IF(R83="",0,IFERROR(MATCH(R83,Listas!$L$2:$L$50,0),0))</f>
        <v>0</v>
      </c>
    </row>
    <row r="84" customFormat="false" ht="15" hidden="false" customHeight="false" outlineLevel="0" collapsed="false">
      <c r="A84" s="30"/>
      <c r="B84" s="31"/>
      <c r="C84" s="32"/>
      <c r="D84" s="32"/>
      <c r="E84" s="33"/>
      <c r="F84" s="32"/>
      <c r="G84" s="32"/>
      <c r="H84" s="32"/>
      <c r="I84" s="32"/>
      <c r="J84" s="32"/>
      <c r="K84" s="32"/>
      <c r="L84" s="32"/>
      <c r="M84" s="30"/>
      <c r="N84" s="32"/>
      <c r="O84" s="34"/>
      <c r="P84" s="32"/>
      <c r="Q84" s="32"/>
      <c r="R84" s="32"/>
      <c r="S84" s="32"/>
      <c r="T84" s="32"/>
      <c r="U84" s="32"/>
      <c r="V84" s="31"/>
      <c r="W84" s="35" t="str">
        <f aca="true">IF(OR(V84="",AG84&gt;=8),"",IF(V84&lt;TODAY(),"Vencida",IF(V84=TODAY(),"Hoy","")))</f>
        <v/>
      </c>
      <c r="X84" s="36" t="str">
        <f aca="false">IF(A84="","",IF(COUNTIF(Seguimiento!$B$2:$B$5001,A84)=0,"",_xlfn.MAXIFS(Seguimiento!$A$2:$A$5001,Seguimiento!$B$2:$B$5001,A84)))</f>
        <v/>
      </c>
      <c r="Y84" s="37" t="str">
        <f aca="true">IF(B84="","",TODAY()-B84)</f>
        <v/>
      </c>
      <c r="Z84" s="38" t="str">
        <f aca="false">IF(OR(O84="",G84=""),"",O84*IFERROR(INDEX(Listas!$B$2:$B$50,MATCH(G84,Listas!$A$2:$A$50,0)),0))</f>
        <v/>
      </c>
      <c r="AA84" s="32"/>
      <c r="AB84" s="32"/>
      <c r="AC84" s="32"/>
      <c r="AD84" s="35" t="str">
        <f aca="false">IF(OR(LEFT(H84,4)="Meta",LEFT(H84,6)="Google"),IF(AG84=3,"Lead calificado",IF(OR(AG84=4,AG84=5),"Tasación/visita",IF(OR(AG84=6,AG84=7),"Captación/oferta",IF(AG84=8,"Cierre","")))),"")</f>
        <v/>
      </c>
      <c r="AE84" s="32"/>
      <c r="AF84" s="32"/>
      <c r="AG84" s="37" t="n">
        <f aca="false">IF(R84="",0,IFERROR(MATCH(R84,Listas!$L$2:$L$50,0),0))</f>
        <v>0</v>
      </c>
    </row>
    <row r="85" customFormat="false" ht="15" hidden="false" customHeight="false" outlineLevel="0" collapsed="false">
      <c r="A85" s="30"/>
      <c r="B85" s="31"/>
      <c r="C85" s="32"/>
      <c r="D85" s="32"/>
      <c r="E85" s="33"/>
      <c r="F85" s="32"/>
      <c r="G85" s="32"/>
      <c r="H85" s="32"/>
      <c r="I85" s="32"/>
      <c r="J85" s="32"/>
      <c r="K85" s="32"/>
      <c r="L85" s="32"/>
      <c r="M85" s="30"/>
      <c r="N85" s="32"/>
      <c r="O85" s="34"/>
      <c r="P85" s="32"/>
      <c r="Q85" s="32"/>
      <c r="R85" s="32"/>
      <c r="S85" s="32"/>
      <c r="T85" s="32"/>
      <c r="U85" s="32"/>
      <c r="V85" s="31"/>
      <c r="W85" s="35" t="str">
        <f aca="true">IF(OR(V85="",AG85&gt;=8),"",IF(V85&lt;TODAY(),"Vencida",IF(V85=TODAY(),"Hoy","")))</f>
        <v/>
      </c>
      <c r="X85" s="36" t="str">
        <f aca="false">IF(A85="","",IF(COUNTIF(Seguimiento!$B$2:$B$5001,A85)=0,"",_xlfn.MAXIFS(Seguimiento!$A$2:$A$5001,Seguimiento!$B$2:$B$5001,A85)))</f>
        <v/>
      </c>
      <c r="Y85" s="37" t="str">
        <f aca="true">IF(B85="","",TODAY()-B85)</f>
        <v/>
      </c>
      <c r="Z85" s="38" t="str">
        <f aca="false">IF(OR(O85="",G85=""),"",O85*IFERROR(INDEX(Listas!$B$2:$B$50,MATCH(G85,Listas!$A$2:$A$50,0)),0))</f>
        <v/>
      </c>
      <c r="AA85" s="32"/>
      <c r="AB85" s="32"/>
      <c r="AC85" s="32"/>
      <c r="AD85" s="35" t="str">
        <f aca="false">IF(OR(LEFT(H85,4)="Meta",LEFT(H85,6)="Google"),IF(AG85=3,"Lead calificado",IF(OR(AG85=4,AG85=5),"Tasación/visita",IF(OR(AG85=6,AG85=7),"Captación/oferta",IF(AG85=8,"Cierre","")))),"")</f>
        <v/>
      </c>
      <c r="AE85" s="32"/>
      <c r="AF85" s="32"/>
      <c r="AG85" s="37" t="n">
        <f aca="false">IF(R85="",0,IFERROR(MATCH(R85,Listas!$L$2:$L$50,0),0))</f>
        <v>0</v>
      </c>
    </row>
    <row r="86" customFormat="false" ht="15" hidden="false" customHeight="false" outlineLevel="0" collapsed="false">
      <c r="A86" s="30"/>
      <c r="B86" s="31"/>
      <c r="C86" s="32"/>
      <c r="D86" s="32"/>
      <c r="E86" s="33"/>
      <c r="F86" s="32"/>
      <c r="G86" s="32"/>
      <c r="H86" s="32"/>
      <c r="I86" s="32"/>
      <c r="J86" s="32"/>
      <c r="K86" s="32"/>
      <c r="L86" s="32"/>
      <c r="M86" s="30"/>
      <c r="N86" s="32"/>
      <c r="O86" s="34"/>
      <c r="P86" s="32"/>
      <c r="Q86" s="32"/>
      <c r="R86" s="32"/>
      <c r="S86" s="32"/>
      <c r="T86" s="32"/>
      <c r="U86" s="32"/>
      <c r="V86" s="31"/>
      <c r="W86" s="35" t="str">
        <f aca="true">IF(OR(V86="",AG86&gt;=8),"",IF(V86&lt;TODAY(),"Vencida",IF(V86=TODAY(),"Hoy","")))</f>
        <v/>
      </c>
      <c r="X86" s="36" t="str">
        <f aca="false">IF(A86="","",IF(COUNTIF(Seguimiento!$B$2:$B$5001,A86)=0,"",_xlfn.MAXIFS(Seguimiento!$A$2:$A$5001,Seguimiento!$B$2:$B$5001,A86)))</f>
        <v/>
      </c>
      <c r="Y86" s="37" t="str">
        <f aca="true">IF(B86="","",TODAY()-B86)</f>
        <v/>
      </c>
      <c r="Z86" s="38" t="str">
        <f aca="false">IF(OR(O86="",G86=""),"",O86*IFERROR(INDEX(Listas!$B$2:$B$50,MATCH(G86,Listas!$A$2:$A$50,0)),0))</f>
        <v/>
      </c>
      <c r="AA86" s="32"/>
      <c r="AB86" s="32"/>
      <c r="AC86" s="32"/>
      <c r="AD86" s="35" t="str">
        <f aca="false">IF(OR(LEFT(H86,4)="Meta",LEFT(H86,6)="Google"),IF(AG86=3,"Lead calificado",IF(OR(AG86=4,AG86=5),"Tasación/visita",IF(OR(AG86=6,AG86=7),"Captación/oferta",IF(AG86=8,"Cierre","")))),"")</f>
        <v/>
      </c>
      <c r="AE86" s="32"/>
      <c r="AF86" s="32"/>
      <c r="AG86" s="37" t="n">
        <f aca="false">IF(R86="",0,IFERROR(MATCH(R86,Listas!$L$2:$L$50,0),0))</f>
        <v>0</v>
      </c>
    </row>
    <row r="87" customFormat="false" ht="15" hidden="false" customHeight="false" outlineLevel="0" collapsed="false">
      <c r="A87" s="30"/>
      <c r="B87" s="31"/>
      <c r="C87" s="32"/>
      <c r="D87" s="32"/>
      <c r="E87" s="33"/>
      <c r="F87" s="32"/>
      <c r="G87" s="32"/>
      <c r="H87" s="32"/>
      <c r="I87" s="32"/>
      <c r="J87" s="32"/>
      <c r="K87" s="32"/>
      <c r="L87" s="32"/>
      <c r="M87" s="30"/>
      <c r="N87" s="32"/>
      <c r="O87" s="34"/>
      <c r="P87" s="32"/>
      <c r="Q87" s="32"/>
      <c r="R87" s="32"/>
      <c r="S87" s="32"/>
      <c r="T87" s="32"/>
      <c r="U87" s="32"/>
      <c r="V87" s="31"/>
      <c r="W87" s="35" t="str">
        <f aca="true">IF(OR(V87="",AG87&gt;=8),"",IF(V87&lt;TODAY(),"Vencida",IF(V87=TODAY(),"Hoy","")))</f>
        <v/>
      </c>
      <c r="X87" s="36" t="str">
        <f aca="false">IF(A87="","",IF(COUNTIF(Seguimiento!$B$2:$B$5001,A87)=0,"",_xlfn.MAXIFS(Seguimiento!$A$2:$A$5001,Seguimiento!$B$2:$B$5001,A87)))</f>
        <v/>
      </c>
      <c r="Y87" s="37" t="str">
        <f aca="true">IF(B87="","",TODAY()-B87)</f>
        <v/>
      </c>
      <c r="Z87" s="38" t="str">
        <f aca="false">IF(OR(O87="",G87=""),"",O87*IFERROR(INDEX(Listas!$B$2:$B$50,MATCH(G87,Listas!$A$2:$A$50,0)),0))</f>
        <v/>
      </c>
      <c r="AA87" s="32"/>
      <c r="AB87" s="32"/>
      <c r="AC87" s="32"/>
      <c r="AD87" s="35" t="str">
        <f aca="false">IF(OR(LEFT(H87,4)="Meta",LEFT(H87,6)="Google"),IF(AG87=3,"Lead calificado",IF(OR(AG87=4,AG87=5),"Tasación/visita",IF(OR(AG87=6,AG87=7),"Captación/oferta",IF(AG87=8,"Cierre","")))),"")</f>
        <v/>
      </c>
      <c r="AE87" s="32"/>
      <c r="AF87" s="32"/>
      <c r="AG87" s="37" t="n">
        <f aca="false">IF(R87="",0,IFERROR(MATCH(R87,Listas!$L$2:$L$50,0),0))</f>
        <v>0</v>
      </c>
    </row>
    <row r="88" customFormat="false" ht="15" hidden="false" customHeight="false" outlineLevel="0" collapsed="false">
      <c r="A88" s="30"/>
      <c r="B88" s="31"/>
      <c r="C88" s="32"/>
      <c r="D88" s="32"/>
      <c r="E88" s="33"/>
      <c r="F88" s="32"/>
      <c r="G88" s="32"/>
      <c r="H88" s="32"/>
      <c r="I88" s="32"/>
      <c r="J88" s="32"/>
      <c r="K88" s="32"/>
      <c r="L88" s="32"/>
      <c r="M88" s="30"/>
      <c r="N88" s="32"/>
      <c r="O88" s="34"/>
      <c r="P88" s="32"/>
      <c r="Q88" s="32"/>
      <c r="R88" s="32"/>
      <c r="S88" s="32"/>
      <c r="T88" s="32"/>
      <c r="U88" s="32"/>
      <c r="V88" s="31"/>
      <c r="W88" s="35" t="str">
        <f aca="true">IF(OR(V88="",AG88&gt;=8),"",IF(V88&lt;TODAY(),"Vencida",IF(V88=TODAY(),"Hoy","")))</f>
        <v/>
      </c>
      <c r="X88" s="36" t="str">
        <f aca="false">IF(A88="","",IF(COUNTIF(Seguimiento!$B$2:$B$5001,A88)=0,"",_xlfn.MAXIFS(Seguimiento!$A$2:$A$5001,Seguimiento!$B$2:$B$5001,A88)))</f>
        <v/>
      </c>
      <c r="Y88" s="37" t="str">
        <f aca="true">IF(B88="","",TODAY()-B88)</f>
        <v/>
      </c>
      <c r="Z88" s="38" t="str">
        <f aca="false">IF(OR(O88="",G88=""),"",O88*IFERROR(INDEX(Listas!$B$2:$B$50,MATCH(G88,Listas!$A$2:$A$50,0)),0))</f>
        <v/>
      </c>
      <c r="AA88" s="32"/>
      <c r="AB88" s="32"/>
      <c r="AC88" s="32"/>
      <c r="AD88" s="35" t="str">
        <f aca="false">IF(OR(LEFT(H88,4)="Meta",LEFT(H88,6)="Google"),IF(AG88=3,"Lead calificado",IF(OR(AG88=4,AG88=5),"Tasación/visita",IF(OR(AG88=6,AG88=7),"Captación/oferta",IF(AG88=8,"Cierre","")))),"")</f>
        <v/>
      </c>
      <c r="AE88" s="32"/>
      <c r="AF88" s="32"/>
      <c r="AG88" s="37" t="n">
        <f aca="false">IF(R88="",0,IFERROR(MATCH(R88,Listas!$L$2:$L$50,0),0))</f>
        <v>0</v>
      </c>
    </row>
    <row r="89" customFormat="false" ht="15" hidden="false" customHeight="false" outlineLevel="0" collapsed="false">
      <c r="A89" s="30"/>
      <c r="B89" s="31"/>
      <c r="C89" s="32"/>
      <c r="D89" s="32"/>
      <c r="E89" s="33"/>
      <c r="F89" s="32"/>
      <c r="G89" s="32"/>
      <c r="H89" s="32"/>
      <c r="I89" s="32"/>
      <c r="J89" s="32"/>
      <c r="K89" s="32"/>
      <c r="L89" s="32"/>
      <c r="M89" s="30"/>
      <c r="N89" s="32"/>
      <c r="O89" s="34"/>
      <c r="P89" s="32"/>
      <c r="Q89" s="32"/>
      <c r="R89" s="32"/>
      <c r="S89" s="32"/>
      <c r="T89" s="32"/>
      <c r="U89" s="32"/>
      <c r="V89" s="31"/>
      <c r="W89" s="35" t="str">
        <f aca="true">IF(OR(V89="",AG89&gt;=8),"",IF(V89&lt;TODAY(),"Vencida",IF(V89=TODAY(),"Hoy","")))</f>
        <v/>
      </c>
      <c r="X89" s="36" t="str">
        <f aca="false">IF(A89="","",IF(COUNTIF(Seguimiento!$B$2:$B$5001,A89)=0,"",_xlfn.MAXIFS(Seguimiento!$A$2:$A$5001,Seguimiento!$B$2:$B$5001,A89)))</f>
        <v/>
      </c>
      <c r="Y89" s="37" t="str">
        <f aca="true">IF(B89="","",TODAY()-B89)</f>
        <v/>
      </c>
      <c r="Z89" s="38" t="str">
        <f aca="false">IF(OR(O89="",G89=""),"",O89*IFERROR(INDEX(Listas!$B$2:$B$50,MATCH(G89,Listas!$A$2:$A$50,0)),0))</f>
        <v/>
      </c>
      <c r="AA89" s="32"/>
      <c r="AB89" s="32"/>
      <c r="AC89" s="32"/>
      <c r="AD89" s="35" t="str">
        <f aca="false">IF(OR(LEFT(H89,4)="Meta",LEFT(H89,6)="Google"),IF(AG89=3,"Lead calificado",IF(OR(AG89=4,AG89=5),"Tasación/visita",IF(OR(AG89=6,AG89=7),"Captación/oferta",IF(AG89=8,"Cierre","")))),"")</f>
        <v/>
      </c>
      <c r="AE89" s="32"/>
      <c r="AF89" s="32"/>
      <c r="AG89" s="37" t="n">
        <f aca="false">IF(R89="",0,IFERROR(MATCH(R89,Listas!$L$2:$L$50,0),0))</f>
        <v>0</v>
      </c>
    </row>
    <row r="90" customFormat="false" ht="15" hidden="false" customHeight="false" outlineLevel="0" collapsed="false">
      <c r="A90" s="30"/>
      <c r="B90" s="31"/>
      <c r="C90" s="32"/>
      <c r="D90" s="32"/>
      <c r="E90" s="33"/>
      <c r="F90" s="32"/>
      <c r="G90" s="32"/>
      <c r="H90" s="32"/>
      <c r="I90" s="32"/>
      <c r="J90" s="32"/>
      <c r="K90" s="32"/>
      <c r="L90" s="32"/>
      <c r="M90" s="30"/>
      <c r="N90" s="32"/>
      <c r="O90" s="34"/>
      <c r="P90" s="32"/>
      <c r="Q90" s="32"/>
      <c r="R90" s="32"/>
      <c r="S90" s="32"/>
      <c r="T90" s="32"/>
      <c r="U90" s="32"/>
      <c r="V90" s="31"/>
      <c r="W90" s="35" t="str">
        <f aca="true">IF(OR(V90="",AG90&gt;=8),"",IF(V90&lt;TODAY(),"Vencida",IF(V90=TODAY(),"Hoy","")))</f>
        <v/>
      </c>
      <c r="X90" s="36" t="str">
        <f aca="false">IF(A90="","",IF(COUNTIF(Seguimiento!$B$2:$B$5001,A90)=0,"",_xlfn.MAXIFS(Seguimiento!$A$2:$A$5001,Seguimiento!$B$2:$B$5001,A90)))</f>
        <v/>
      </c>
      <c r="Y90" s="37" t="str">
        <f aca="true">IF(B90="","",TODAY()-B90)</f>
        <v/>
      </c>
      <c r="Z90" s="38" t="str">
        <f aca="false">IF(OR(O90="",G90=""),"",O90*IFERROR(INDEX(Listas!$B$2:$B$50,MATCH(G90,Listas!$A$2:$A$50,0)),0))</f>
        <v/>
      </c>
      <c r="AA90" s="32"/>
      <c r="AB90" s="32"/>
      <c r="AC90" s="32"/>
      <c r="AD90" s="35" t="str">
        <f aca="false">IF(OR(LEFT(H90,4)="Meta",LEFT(H90,6)="Google"),IF(AG90=3,"Lead calificado",IF(OR(AG90=4,AG90=5),"Tasación/visita",IF(OR(AG90=6,AG90=7),"Captación/oferta",IF(AG90=8,"Cierre","")))),"")</f>
        <v/>
      </c>
      <c r="AE90" s="32"/>
      <c r="AF90" s="32"/>
      <c r="AG90" s="37" t="n">
        <f aca="false">IF(R90="",0,IFERROR(MATCH(R90,Listas!$L$2:$L$50,0),0))</f>
        <v>0</v>
      </c>
    </row>
    <row r="91" customFormat="false" ht="15" hidden="false" customHeight="false" outlineLevel="0" collapsed="false">
      <c r="A91" s="30"/>
      <c r="B91" s="31"/>
      <c r="C91" s="32"/>
      <c r="D91" s="32"/>
      <c r="E91" s="33"/>
      <c r="F91" s="32"/>
      <c r="G91" s="32"/>
      <c r="H91" s="32"/>
      <c r="I91" s="32"/>
      <c r="J91" s="32"/>
      <c r="K91" s="32"/>
      <c r="L91" s="32"/>
      <c r="M91" s="30"/>
      <c r="N91" s="32"/>
      <c r="O91" s="34"/>
      <c r="P91" s="32"/>
      <c r="Q91" s="32"/>
      <c r="R91" s="32"/>
      <c r="S91" s="32"/>
      <c r="T91" s="32"/>
      <c r="U91" s="32"/>
      <c r="V91" s="31"/>
      <c r="W91" s="35" t="str">
        <f aca="true">IF(OR(V91="",AG91&gt;=8),"",IF(V91&lt;TODAY(),"Vencida",IF(V91=TODAY(),"Hoy","")))</f>
        <v/>
      </c>
      <c r="X91" s="36" t="str">
        <f aca="false">IF(A91="","",IF(COUNTIF(Seguimiento!$B$2:$B$5001,A91)=0,"",_xlfn.MAXIFS(Seguimiento!$A$2:$A$5001,Seguimiento!$B$2:$B$5001,A91)))</f>
        <v/>
      </c>
      <c r="Y91" s="37" t="str">
        <f aca="true">IF(B91="","",TODAY()-B91)</f>
        <v/>
      </c>
      <c r="Z91" s="38" t="str">
        <f aca="false">IF(OR(O91="",G91=""),"",O91*IFERROR(INDEX(Listas!$B$2:$B$50,MATCH(G91,Listas!$A$2:$A$50,0)),0))</f>
        <v/>
      </c>
      <c r="AA91" s="32"/>
      <c r="AB91" s="32"/>
      <c r="AC91" s="32"/>
      <c r="AD91" s="35" t="str">
        <f aca="false">IF(OR(LEFT(H91,4)="Meta",LEFT(H91,6)="Google"),IF(AG91=3,"Lead calificado",IF(OR(AG91=4,AG91=5),"Tasación/visita",IF(OR(AG91=6,AG91=7),"Captación/oferta",IF(AG91=8,"Cierre","")))),"")</f>
        <v/>
      </c>
      <c r="AE91" s="32"/>
      <c r="AF91" s="32"/>
      <c r="AG91" s="37" t="n">
        <f aca="false">IF(R91="",0,IFERROR(MATCH(R91,Listas!$L$2:$L$50,0),0))</f>
        <v>0</v>
      </c>
    </row>
    <row r="92" customFormat="false" ht="15" hidden="false" customHeight="false" outlineLevel="0" collapsed="false">
      <c r="A92" s="30"/>
      <c r="B92" s="31"/>
      <c r="C92" s="32"/>
      <c r="D92" s="32"/>
      <c r="E92" s="33"/>
      <c r="F92" s="32"/>
      <c r="G92" s="32"/>
      <c r="H92" s="32"/>
      <c r="I92" s="32"/>
      <c r="J92" s="32"/>
      <c r="K92" s="32"/>
      <c r="L92" s="32"/>
      <c r="M92" s="30"/>
      <c r="N92" s="32"/>
      <c r="O92" s="34"/>
      <c r="P92" s="32"/>
      <c r="Q92" s="32"/>
      <c r="R92" s="32"/>
      <c r="S92" s="32"/>
      <c r="T92" s="32"/>
      <c r="U92" s="32"/>
      <c r="V92" s="31"/>
      <c r="W92" s="35" t="str">
        <f aca="true">IF(OR(V92="",AG92&gt;=8),"",IF(V92&lt;TODAY(),"Vencida",IF(V92=TODAY(),"Hoy","")))</f>
        <v/>
      </c>
      <c r="X92" s="36" t="str">
        <f aca="false">IF(A92="","",IF(COUNTIF(Seguimiento!$B$2:$B$5001,A92)=0,"",_xlfn.MAXIFS(Seguimiento!$A$2:$A$5001,Seguimiento!$B$2:$B$5001,A92)))</f>
        <v/>
      </c>
      <c r="Y92" s="37" t="str">
        <f aca="true">IF(B92="","",TODAY()-B92)</f>
        <v/>
      </c>
      <c r="Z92" s="38" t="str">
        <f aca="false">IF(OR(O92="",G92=""),"",O92*IFERROR(INDEX(Listas!$B$2:$B$50,MATCH(G92,Listas!$A$2:$A$50,0)),0))</f>
        <v/>
      </c>
      <c r="AA92" s="32"/>
      <c r="AB92" s="32"/>
      <c r="AC92" s="32"/>
      <c r="AD92" s="35" t="str">
        <f aca="false">IF(OR(LEFT(H92,4)="Meta",LEFT(H92,6)="Google"),IF(AG92=3,"Lead calificado",IF(OR(AG92=4,AG92=5),"Tasación/visita",IF(OR(AG92=6,AG92=7),"Captación/oferta",IF(AG92=8,"Cierre","")))),"")</f>
        <v/>
      </c>
      <c r="AE92" s="32"/>
      <c r="AF92" s="32"/>
      <c r="AG92" s="37" t="n">
        <f aca="false">IF(R92="",0,IFERROR(MATCH(R92,Listas!$L$2:$L$50,0),0))</f>
        <v>0</v>
      </c>
    </row>
    <row r="93" customFormat="false" ht="15" hidden="false" customHeight="false" outlineLevel="0" collapsed="false">
      <c r="A93" s="30"/>
      <c r="B93" s="31"/>
      <c r="C93" s="32"/>
      <c r="D93" s="32"/>
      <c r="E93" s="33"/>
      <c r="F93" s="32"/>
      <c r="G93" s="32"/>
      <c r="H93" s="32"/>
      <c r="I93" s="32"/>
      <c r="J93" s="32"/>
      <c r="K93" s="32"/>
      <c r="L93" s="32"/>
      <c r="M93" s="30"/>
      <c r="N93" s="32"/>
      <c r="O93" s="34"/>
      <c r="P93" s="32"/>
      <c r="Q93" s="32"/>
      <c r="R93" s="32"/>
      <c r="S93" s="32"/>
      <c r="T93" s="32"/>
      <c r="U93" s="32"/>
      <c r="V93" s="31"/>
      <c r="W93" s="35" t="str">
        <f aca="true">IF(OR(V93="",AG93&gt;=8),"",IF(V93&lt;TODAY(),"Vencida",IF(V93=TODAY(),"Hoy","")))</f>
        <v/>
      </c>
      <c r="X93" s="36" t="str">
        <f aca="false">IF(A93="","",IF(COUNTIF(Seguimiento!$B$2:$B$5001,A93)=0,"",_xlfn.MAXIFS(Seguimiento!$A$2:$A$5001,Seguimiento!$B$2:$B$5001,A93)))</f>
        <v/>
      </c>
      <c r="Y93" s="37" t="str">
        <f aca="true">IF(B93="","",TODAY()-B93)</f>
        <v/>
      </c>
      <c r="Z93" s="38" t="str">
        <f aca="false">IF(OR(O93="",G93=""),"",O93*IFERROR(INDEX(Listas!$B$2:$B$50,MATCH(G93,Listas!$A$2:$A$50,0)),0))</f>
        <v/>
      </c>
      <c r="AA93" s="32"/>
      <c r="AB93" s="32"/>
      <c r="AC93" s="32"/>
      <c r="AD93" s="35" t="str">
        <f aca="false">IF(OR(LEFT(H93,4)="Meta",LEFT(H93,6)="Google"),IF(AG93=3,"Lead calificado",IF(OR(AG93=4,AG93=5),"Tasación/visita",IF(OR(AG93=6,AG93=7),"Captación/oferta",IF(AG93=8,"Cierre","")))),"")</f>
        <v/>
      </c>
      <c r="AE93" s="32"/>
      <c r="AF93" s="32"/>
      <c r="AG93" s="37" t="n">
        <f aca="false">IF(R93="",0,IFERROR(MATCH(R93,Listas!$L$2:$L$50,0),0))</f>
        <v>0</v>
      </c>
    </row>
    <row r="94" customFormat="false" ht="15" hidden="false" customHeight="false" outlineLevel="0" collapsed="false">
      <c r="A94" s="30"/>
      <c r="B94" s="31"/>
      <c r="C94" s="32"/>
      <c r="D94" s="32"/>
      <c r="E94" s="33"/>
      <c r="F94" s="32"/>
      <c r="G94" s="32"/>
      <c r="H94" s="32"/>
      <c r="I94" s="32"/>
      <c r="J94" s="32"/>
      <c r="K94" s="32"/>
      <c r="L94" s="32"/>
      <c r="M94" s="30"/>
      <c r="N94" s="32"/>
      <c r="O94" s="34"/>
      <c r="P94" s="32"/>
      <c r="Q94" s="32"/>
      <c r="R94" s="32"/>
      <c r="S94" s="32"/>
      <c r="T94" s="32"/>
      <c r="U94" s="32"/>
      <c r="V94" s="31"/>
      <c r="W94" s="35" t="str">
        <f aca="true">IF(OR(V94="",AG94&gt;=8),"",IF(V94&lt;TODAY(),"Vencida",IF(V94=TODAY(),"Hoy","")))</f>
        <v/>
      </c>
      <c r="X94" s="36" t="str">
        <f aca="false">IF(A94="","",IF(COUNTIF(Seguimiento!$B$2:$B$5001,A94)=0,"",_xlfn.MAXIFS(Seguimiento!$A$2:$A$5001,Seguimiento!$B$2:$B$5001,A94)))</f>
        <v/>
      </c>
      <c r="Y94" s="37" t="str">
        <f aca="true">IF(B94="","",TODAY()-B94)</f>
        <v/>
      </c>
      <c r="Z94" s="38" t="str">
        <f aca="false">IF(OR(O94="",G94=""),"",O94*IFERROR(INDEX(Listas!$B$2:$B$50,MATCH(G94,Listas!$A$2:$A$50,0)),0))</f>
        <v/>
      </c>
      <c r="AA94" s="32"/>
      <c r="AB94" s="32"/>
      <c r="AC94" s="32"/>
      <c r="AD94" s="35" t="str">
        <f aca="false">IF(OR(LEFT(H94,4)="Meta",LEFT(H94,6)="Google"),IF(AG94=3,"Lead calificado",IF(OR(AG94=4,AG94=5),"Tasación/visita",IF(OR(AG94=6,AG94=7),"Captación/oferta",IF(AG94=8,"Cierre","")))),"")</f>
        <v/>
      </c>
      <c r="AE94" s="32"/>
      <c r="AF94" s="32"/>
      <c r="AG94" s="37" t="n">
        <f aca="false">IF(R94="",0,IFERROR(MATCH(R94,Listas!$L$2:$L$50,0),0))</f>
        <v>0</v>
      </c>
    </row>
    <row r="95" customFormat="false" ht="15" hidden="false" customHeight="false" outlineLevel="0" collapsed="false">
      <c r="A95" s="30"/>
      <c r="B95" s="31"/>
      <c r="C95" s="32"/>
      <c r="D95" s="32"/>
      <c r="E95" s="33"/>
      <c r="F95" s="32"/>
      <c r="G95" s="32"/>
      <c r="H95" s="32"/>
      <c r="I95" s="32"/>
      <c r="J95" s="32"/>
      <c r="K95" s="32"/>
      <c r="L95" s="32"/>
      <c r="M95" s="30"/>
      <c r="N95" s="32"/>
      <c r="O95" s="34"/>
      <c r="P95" s="32"/>
      <c r="Q95" s="32"/>
      <c r="R95" s="32"/>
      <c r="S95" s="32"/>
      <c r="T95" s="32"/>
      <c r="U95" s="32"/>
      <c r="V95" s="31"/>
      <c r="W95" s="35" t="str">
        <f aca="true">IF(OR(V95="",AG95&gt;=8),"",IF(V95&lt;TODAY(),"Vencida",IF(V95=TODAY(),"Hoy","")))</f>
        <v/>
      </c>
      <c r="X95" s="36" t="str">
        <f aca="false">IF(A95="","",IF(COUNTIF(Seguimiento!$B$2:$B$5001,A95)=0,"",_xlfn.MAXIFS(Seguimiento!$A$2:$A$5001,Seguimiento!$B$2:$B$5001,A95)))</f>
        <v/>
      </c>
      <c r="Y95" s="37" t="str">
        <f aca="true">IF(B95="","",TODAY()-B95)</f>
        <v/>
      </c>
      <c r="Z95" s="38" t="str">
        <f aca="false">IF(OR(O95="",G95=""),"",O95*IFERROR(INDEX(Listas!$B$2:$B$50,MATCH(G95,Listas!$A$2:$A$50,0)),0))</f>
        <v/>
      </c>
      <c r="AA95" s="32"/>
      <c r="AB95" s="32"/>
      <c r="AC95" s="32"/>
      <c r="AD95" s="35" t="str">
        <f aca="false">IF(OR(LEFT(H95,4)="Meta",LEFT(H95,6)="Google"),IF(AG95=3,"Lead calificado",IF(OR(AG95=4,AG95=5),"Tasación/visita",IF(OR(AG95=6,AG95=7),"Captación/oferta",IF(AG95=8,"Cierre","")))),"")</f>
        <v/>
      </c>
      <c r="AE95" s="32"/>
      <c r="AF95" s="32"/>
      <c r="AG95" s="37" t="n">
        <f aca="false">IF(R95="",0,IFERROR(MATCH(R95,Listas!$L$2:$L$50,0),0))</f>
        <v>0</v>
      </c>
    </row>
    <row r="96" customFormat="false" ht="15" hidden="false" customHeight="false" outlineLevel="0" collapsed="false">
      <c r="A96" s="30"/>
      <c r="B96" s="31"/>
      <c r="C96" s="32"/>
      <c r="D96" s="32"/>
      <c r="E96" s="33"/>
      <c r="F96" s="32"/>
      <c r="G96" s="32"/>
      <c r="H96" s="32"/>
      <c r="I96" s="32"/>
      <c r="J96" s="32"/>
      <c r="K96" s="32"/>
      <c r="L96" s="32"/>
      <c r="M96" s="30"/>
      <c r="N96" s="32"/>
      <c r="O96" s="34"/>
      <c r="P96" s="32"/>
      <c r="Q96" s="32"/>
      <c r="R96" s="32"/>
      <c r="S96" s="32"/>
      <c r="T96" s="32"/>
      <c r="U96" s="32"/>
      <c r="V96" s="31"/>
      <c r="W96" s="35" t="str">
        <f aca="true">IF(OR(V96="",AG96&gt;=8),"",IF(V96&lt;TODAY(),"Vencida",IF(V96=TODAY(),"Hoy","")))</f>
        <v/>
      </c>
      <c r="X96" s="36" t="str">
        <f aca="false">IF(A96="","",IF(COUNTIF(Seguimiento!$B$2:$B$5001,A96)=0,"",_xlfn.MAXIFS(Seguimiento!$A$2:$A$5001,Seguimiento!$B$2:$B$5001,A96)))</f>
        <v/>
      </c>
      <c r="Y96" s="37" t="str">
        <f aca="true">IF(B96="","",TODAY()-B96)</f>
        <v/>
      </c>
      <c r="Z96" s="38" t="str">
        <f aca="false">IF(OR(O96="",G96=""),"",O96*IFERROR(INDEX(Listas!$B$2:$B$50,MATCH(G96,Listas!$A$2:$A$50,0)),0))</f>
        <v/>
      </c>
      <c r="AA96" s="32"/>
      <c r="AB96" s="32"/>
      <c r="AC96" s="32"/>
      <c r="AD96" s="35" t="str">
        <f aca="false">IF(OR(LEFT(H96,4)="Meta",LEFT(H96,6)="Google"),IF(AG96=3,"Lead calificado",IF(OR(AG96=4,AG96=5),"Tasación/visita",IF(OR(AG96=6,AG96=7),"Captación/oferta",IF(AG96=8,"Cierre","")))),"")</f>
        <v/>
      </c>
      <c r="AE96" s="32"/>
      <c r="AF96" s="32"/>
      <c r="AG96" s="37" t="n">
        <f aca="false">IF(R96="",0,IFERROR(MATCH(R96,Listas!$L$2:$L$50,0),0))</f>
        <v>0</v>
      </c>
    </row>
    <row r="97" customFormat="false" ht="15" hidden="false" customHeight="false" outlineLevel="0" collapsed="false">
      <c r="A97" s="30"/>
      <c r="B97" s="31"/>
      <c r="C97" s="32"/>
      <c r="D97" s="32"/>
      <c r="E97" s="33"/>
      <c r="F97" s="32"/>
      <c r="G97" s="32"/>
      <c r="H97" s="32"/>
      <c r="I97" s="32"/>
      <c r="J97" s="32"/>
      <c r="K97" s="32"/>
      <c r="L97" s="32"/>
      <c r="M97" s="30"/>
      <c r="N97" s="32"/>
      <c r="O97" s="34"/>
      <c r="P97" s="32"/>
      <c r="Q97" s="32"/>
      <c r="R97" s="32"/>
      <c r="S97" s="32"/>
      <c r="T97" s="32"/>
      <c r="U97" s="32"/>
      <c r="V97" s="31"/>
      <c r="W97" s="35" t="str">
        <f aca="true">IF(OR(V97="",AG97&gt;=8),"",IF(V97&lt;TODAY(),"Vencida",IF(V97=TODAY(),"Hoy","")))</f>
        <v/>
      </c>
      <c r="X97" s="36" t="str">
        <f aca="false">IF(A97="","",IF(COUNTIF(Seguimiento!$B$2:$B$5001,A97)=0,"",_xlfn.MAXIFS(Seguimiento!$A$2:$A$5001,Seguimiento!$B$2:$B$5001,A97)))</f>
        <v/>
      </c>
      <c r="Y97" s="37" t="str">
        <f aca="true">IF(B97="","",TODAY()-B97)</f>
        <v/>
      </c>
      <c r="Z97" s="38" t="str">
        <f aca="false">IF(OR(O97="",G97=""),"",O97*IFERROR(INDEX(Listas!$B$2:$B$50,MATCH(G97,Listas!$A$2:$A$50,0)),0))</f>
        <v/>
      </c>
      <c r="AA97" s="32"/>
      <c r="AB97" s="32"/>
      <c r="AC97" s="32"/>
      <c r="AD97" s="35" t="str">
        <f aca="false">IF(OR(LEFT(H97,4)="Meta",LEFT(H97,6)="Google"),IF(AG97=3,"Lead calificado",IF(OR(AG97=4,AG97=5),"Tasación/visita",IF(OR(AG97=6,AG97=7),"Captación/oferta",IF(AG97=8,"Cierre","")))),"")</f>
        <v/>
      </c>
      <c r="AE97" s="32"/>
      <c r="AF97" s="32"/>
      <c r="AG97" s="37" t="n">
        <f aca="false">IF(R97="",0,IFERROR(MATCH(R97,Listas!$L$2:$L$50,0),0))</f>
        <v>0</v>
      </c>
    </row>
    <row r="98" customFormat="false" ht="15" hidden="false" customHeight="false" outlineLevel="0" collapsed="false">
      <c r="A98" s="30"/>
      <c r="B98" s="31"/>
      <c r="C98" s="32"/>
      <c r="D98" s="32"/>
      <c r="E98" s="33"/>
      <c r="F98" s="32"/>
      <c r="G98" s="32"/>
      <c r="H98" s="32"/>
      <c r="I98" s="32"/>
      <c r="J98" s="32"/>
      <c r="K98" s="32"/>
      <c r="L98" s="32"/>
      <c r="M98" s="30"/>
      <c r="N98" s="32"/>
      <c r="O98" s="34"/>
      <c r="P98" s="32"/>
      <c r="Q98" s="32"/>
      <c r="R98" s="32"/>
      <c r="S98" s="32"/>
      <c r="T98" s="32"/>
      <c r="U98" s="32"/>
      <c r="V98" s="31"/>
      <c r="W98" s="35" t="str">
        <f aca="true">IF(OR(V98="",AG98&gt;=8),"",IF(V98&lt;TODAY(),"Vencida",IF(V98=TODAY(),"Hoy","")))</f>
        <v/>
      </c>
      <c r="X98" s="36" t="str">
        <f aca="false">IF(A98="","",IF(COUNTIF(Seguimiento!$B$2:$B$5001,A98)=0,"",_xlfn.MAXIFS(Seguimiento!$A$2:$A$5001,Seguimiento!$B$2:$B$5001,A98)))</f>
        <v/>
      </c>
      <c r="Y98" s="37" t="str">
        <f aca="true">IF(B98="","",TODAY()-B98)</f>
        <v/>
      </c>
      <c r="Z98" s="38" t="str">
        <f aca="false">IF(OR(O98="",G98=""),"",O98*IFERROR(INDEX(Listas!$B$2:$B$50,MATCH(G98,Listas!$A$2:$A$50,0)),0))</f>
        <v/>
      </c>
      <c r="AA98" s="32"/>
      <c r="AB98" s="32"/>
      <c r="AC98" s="32"/>
      <c r="AD98" s="35" t="str">
        <f aca="false">IF(OR(LEFT(H98,4)="Meta",LEFT(H98,6)="Google"),IF(AG98=3,"Lead calificado",IF(OR(AG98=4,AG98=5),"Tasación/visita",IF(OR(AG98=6,AG98=7),"Captación/oferta",IF(AG98=8,"Cierre","")))),"")</f>
        <v/>
      </c>
      <c r="AE98" s="32"/>
      <c r="AF98" s="32"/>
      <c r="AG98" s="37" t="n">
        <f aca="false">IF(R98="",0,IFERROR(MATCH(R98,Listas!$L$2:$L$50,0),0))</f>
        <v>0</v>
      </c>
    </row>
    <row r="99" customFormat="false" ht="15" hidden="false" customHeight="false" outlineLevel="0" collapsed="false">
      <c r="A99" s="30"/>
      <c r="B99" s="31"/>
      <c r="C99" s="32"/>
      <c r="D99" s="32"/>
      <c r="E99" s="33"/>
      <c r="F99" s="32"/>
      <c r="G99" s="32"/>
      <c r="H99" s="32"/>
      <c r="I99" s="32"/>
      <c r="J99" s="32"/>
      <c r="K99" s="32"/>
      <c r="L99" s="32"/>
      <c r="M99" s="30"/>
      <c r="N99" s="32"/>
      <c r="O99" s="34"/>
      <c r="P99" s="32"/>
      <c r="Q99" s="32"/>
      <c r="R99" s="32"/>
      <c r="S99" s="32"/>
      <c r="T99" s="32"/>
      <c r="U99" s="32"/>
      <c r="V99" s="31"/>
      <c r="W99" s="35" t="str">
        <f aca="true">IF(OR(V99="",AG99&gt;=8),"",IF(V99&lt;TODAY(),"Vencida",IF(V99=TODAY(),"Hoy","")))</f>
        <v/>
      </c>
      <c r="X99" s="36" t="str">
        <f aca="false">IF(A99="","",IF(COUNTIF(Seguimiento!$B$2:$B$5001,A99)=0,"",_xlfn.MAXIFS(Seguimiento!$A$2:$A$5001,Seguimiento!$B$2:$B$5001,A99)))</f>
        <v/>
      </c>
      <c r="Y99" s="37" t="str">
        <f aca="true">IF(B99="","",TODAY()-B99)</f>
        <v/>
      </c>
      <c r="Z99" s="38" t="str">
        <f aca="false">IF(OR(O99="",G99=""),"",O99*IFERROR(INDEX(Listas!$B$2:$B$50,MATCH(G99,Listas!$A$2:$A$50,0)),0))</f>
        <v/>
      </c>
      <c r="AA99" s="32"/>
      <c r="AB99" s="32"/>
      <c r="AC99" s="32"/>
      <c r="AD99" s="35" t="str">
        <f aca="false">IF(OR(LEFT(H99,4)="Meta",LEFT(H99,6)="Google"),IF(AG99=3,"Lead calificado",IF(OR(AG99=4,AG99=5),"Tasación/visita",IF(OR(AG99=6,AG99=7),"Captación/oferta",IF(AG99=8,"Cierre","")))),"")</f>
        <v/>
      </c>
      <c r="AE99" s="32"/>
      <c r="AF99" s="32"/>
      <c r="AG99" s="37" t="n">
        <f aca="false">IF(R99="",0,IFERROR(MATCH(R99,Listas!$L$2:$L$50,0),0))</f>
        <v>0</v>
      </c>
    </row>
    <row r="100" customFormat="false" ht="15" hidden="false" customHeight="false" outlineLevel="0" collapsed="false">
      <c r="A100" s="30"/>
      <c r="B100" s="31"/>
      <c r="C100" s="32"/>
      <c r="D100" s="32"/>
      <c r="E100" s="33"/>
      <c r="F100" s="32"/>
      <c r="G100" s="32"/>
      <c r="H100" s="32"/>
      <c r="I100" s="32"/>
      <c r="J100" s="32"/>
      <c r="K100" s="32"/>
      <c r="L100" s="32"/>
      <c r="M100" s="30"/>
      <c r="N100" s="32"/>
      <c r="O100" s="34"/>
      <c r="P100" s="32"/>
      <c r="Q100" s="32"/>
      <c r="R100" s="32"/>
      <c r="S100" s="32"/>
      <c r="T100" s="32"/>
      <c r="U100" s="32"/>
      <c r="V100" s="31"/>
      <c r="W100" s="35" t="str">
        <f aca="true">IF(OR(V100="",AG100&gt;=8),"",IF(V100&lt;TODAY(),"Vencida",IF(V100=TODAY(),"Hoy","")))</f>
        <v/>
      </c>
      <c r="X100" s="36" t="str">
        <f aca="false">IF(A100="","",IF(COUNTIF(Seguimiento!$B$2:$B$5001,A100)=0,"",_xlfn.MAXIFS(Seguimiento!$A$2:$A$5001,Seguimiento!$B$2:$B$5001,A100)))</f>
        <v/>
      </c>
      <c r="Y100" s="37" t="str">
        <f aca="true">IF(B100="","",TODAY()-B100)</f>
        <v/>
      </c>
      <c r="Z100" s="38" t="str">
        <f aca="false">IF(OR(O100="",G100=""),"",O100*IFERROR(INDEX(Listas!$B$2:$B$50,MATCH(G100,Listas!$A$2:$A$50,0)),0))</f>
        <v/>
      </c>
      <c r="AA100" s="32"/>
      <c r="AB100" s="32"/>
      <c r="AC100" s="32"/>
      <c r="AD100" s="35" t="str">
        <f aca="false">IF(OR(LEFT(H100,4)="Meta",LEFT(H100,6)="Google"),IF(AG100=3,"Lead calificado",IF(OR(AG100=4,AG100=5),"Tasación/visita",IF(OR(AG100=6,AG100=7),"Captación/oferta",IF(AG100=8,"Cierre","")))),"")</f>
        <v/>
      </c>
      <c r="AE100" s="32"/>
      <c r="AF100" s="32"/>
      <c r="AG100" s="37" t="n">
        <f aca="false">IF(R100="",0,IFERROR(MATCH(R100,Listas!$L$2:$L$50,0),0))</f>
        <v>0</v>
      </c>
    </row>
    <row r="101" customFormat="false" ht="15" hidden="false" customHeight="false" outlineLevel="0" collapsed="false">
      <c r="A101" s="30"/>
      <c r="B101" s="31"/>
      <c r="C101" s="32"/>
      <c r="D101" s="32"/>
      <c r="E101" s="33"/>
      <c r="F101" s="32"/>
      <c r="G101" s="32"/>
      <c r="H101" s="32"/>
      <c r="I101" s="32"/>
      <c r="J101" s="32"/>
      <c r="K101" s="32"/>
      <c r="L101" s="32"/>
      <c r="M101" s="30"/>
      <c r="N101" s="32"/>
      <c r="O101" s="34"/>
      <c r="P101" s="32"/>
      <c r="Q101" s="32"/>
      <c r="R101" s="32"/>
      <c r="S101" s="32"/>
      <c r="T101" s="32"/>
      <c r="U101" s="32"/>
      <c r="V101" s="31"/>
      <c r="W101" s="35" t="str">
        <f aca="true">IF(OR(V101="",AG101&gt;=8),"",IF(V101&lt;TODAY(),"Vencida",IF(V101=TODAY(),"Hoy","")))</f>
        <v/>
      </c>
      <c r="X101" s="36" t="str">
        <f aca="false">IF(A101="","",IF(COUNTIF(Seguimiento!$B$2:$B$5001,A101)=0,"",_xlfn.MAXIFS(Seguimiento!$A$2:$A$5001,Seguimiento!$B$2:$B$5001,A101)))</f>
        <v/>
      </c>
      <c r="Y101" s="37" t="str">
        <f aca="true">IF(B101="","",TODAY()-B101)</f>
        <v/>
      </c>
      <c r="Z101" s="38" t="str">
        <f aca="false">IF(OR(O101="",G101=""),"",O101*IFERROR(INDEX(Listas!$B$2:$B$50,MATCH(G101,Listas!$A$2:$A$50,0)),0))</f>
        <v/>
      </c>
      <c r="AA101" s="32"/>
      <c r="AB101" s="32"/>
      <c r="AC101" s="32"/>
      <c r="AD101" s="35" t="str">
        <f aca="false">IF(OR(LEFT(H101,4)="Meta",LEFT(H101,6)="Google"),IF(AG101=3,"Lead calificado",IF(OR(AG101=4,AG101=5),"Tasación/visita",IF(OR(AG101=6,AG101=7),"Captación/oferta",IF(AG101=8,"Cierre","")))),"")</f>
        <v/>
      </c>
      <c r="AE101" s="32"/>
      <c r="AF101" s="32"/>
      <c r="AG101" s="37" t="n">
        <f aca="false">IF(R101="",0,IFERROR(MATCH(R101,Listas!$L$2:$L$50,0),0))</f>
        <v>0</v>
      </c>
    </row>
    <row r="102" customFormat="false" ht="15" hidden="false" customHeight="false" outlineLevel="0" collapsed="false">
      <c r="A102" s="30"/>
      <c r="B102" s="31"/>
      <c r="C102" s="32"/>
      <c r="D102" s="32"/>
      <c r="E102" s="33"/>
      <c r="F102" s="32"/>
      <c r="G102" s="32"/>
      <c r="H102" s="32"/>
      <c r="I102" s="32"/>
      <c r="J102" s="32"/>
      <c r="K102" s="32"/>
      <c r="L102" s="32"/>
      <c r="M102" s="30"/>
      <c r="N102" s="32"/>
      <c r="O102" s="34"/>
      <c r="P102" s="32"/>
      <c r="Q102" s="32"/>
      <c r="R102" s="32"/>
      <c r="S102" s="32"/>
      <c r="T102" s="32"/>
      <c r="U102" s="32"/>
      <c r="V102" s="31"/>
      <c r="W102" s="35" t="str">
        <f aca="true">IF(OR(V102="",AG102&gt;=8),"",IF(V102&lt;TODAY(),"Vencida",IF(V102=TODAY(),"Hoy","")))</f>
        <v/>
      </c>
      <c r="X102" s="36" t="str">
        <f aca="false">IF(A102="","",IF(COUNTIF(Seguimiento!$B$2:$B$5001,A102)=0,"",_xlfn.MAXIFS(Seguimiento!$A$2:$A$5001,Seguimiento!$B$2:$B$5001,A102)))</f>
        <v/>
      </c>
      <c r="Y102" s="37" t="str">
        <f aca="true">IF(B102="","",TODAY()-B102)</f>
        <v/>
      </c>
      <c r="Z102" s="38" t="str">
        <f aca="false">IF(OR(O102="",G102=""),"",O102*IFERROR(INDEX(Listas!$B$2:$B$50,MATCH(G102,Listas!$A$2:$A$50,0)),0))</f>
        <v/>
      </c>
      <c r="AA102" s="32"/>
      <c r="AB102" s="32"/>
      <c r="AC102" s="32"/>
      <c r="AD102" s="35" t="str">
        <f aca="false">IF(OR(LEFT(H102,4)="Meta",LEFT(H102,6)="Google"),IF(AG102=3,"Lead calificado",IF(OR(AG102=4,AG102=5),"Tasación/visita",IF(OR(AG102=6,AG102=7),"Captación/oferta",IF(AG102=8,"Cierre","")))),"")</f>
        <v/>
      </c>
      <c r="AE102" s="32"/>
      <c r="AF102" s="32"/>
      <c r="AG102" s="37" t="n">
        <f aca="false">IF(R102="",0,IFERROR(MATCH(R102,Listas!$L$2:$L$50,0),0))</f>
        <v>0</v>
      </c>
    </row>
    <row r="103" customFormat="false" ht="15" hidden="false" customHeight="false" outlineLevel="0" collapsed="false">
      <c r="A103" s="30"/>
      <c r="B103" s="31"/>
      <c r="C103" s="32"/>
      <c r="D103" s="32"/>
      <c r="E103" s="33"/>
      <c r="F103" s="32"/>
      <c r="G103" s="32"/>
      <c r="H103" s="32"/>
      <c r="I103" s="32"/>
      <c r="J103" s="32"/>
      <c r="K103" s="32"/>
      <c r="L103" s="32"/>
      <c r="M103" s="30"/>
      <c r="N103" s="32"/>
      <c r="O103" s="34"/>
      <c r="P103" s="32"/>
      <c r="Q103" s="32"/>
      <c r="R103" s="32"/>
      <c r="S103" s="32"/>
      <c r="T103" s="32"/>
      <c r="U103" s="32"/>
      <c r="V103" s="31"/>
      <c r="W103" s="35" t="str">
        <f aca="true">IF(OR(V103="",AG103&gt;=8),"",IF(V103&lt;TODAY(),"Vencida",IF(V103=TODAY(),"Hoy","")))</f>
        <v/>
      </c>
      <c r="X103" s="36" t="str">
        <f aca="false">IF(A103="","",IF(COUNTIF(Seguimiento!$B$2:$B$5001,A103)=0,"",_xlfn.MAXIFS(Seguimiento!$A$2:$A$5001,Seguimiento!$B$2:$B$5001,A103)))</f>
        <v/>
      </c>
      <c r="Y103" s="37" t="str">
        <f aca="true">IF(B103="","",TODAY()-B103)</f>
        <v/>
      </c>
      <c r="Z103" s="38" t="str">
        <f aca="false">IF(OR(O103="",G103=""),"",O103*IFERROR(INDEX(Listas!$B$2:$B$50,MATCH(G103,Listas!$A$2:$A$50,0)),0))</f>
        <v/>
      </c>
      <c r="AA103" s="32"/>
      <c r="AB103" s="32"/>
      <c r="AC103" s="32"/>
      <c r="AD103" s="35" t="str">
        <f aca="false">IF(OR(LEFT(H103,4)="Meta",LEFT(H103,6)="Google"),IF(AG103=3,"Lead calificado",IF(OR(AG103=4,AG103=5),"Tasación/visita",IF(OR(AG103=6,AG103=7),"Captación/oferta",IF(AG103=8,"Cierre","")))),"")</f>
        <v/>
      </c>
      <c r="AE103" s="32"/>
      <c r="AF103" s="32"/>
      <c r="AG103" s="37" t="n">
        <f aca="false">IF(R103="",0,IFERROR(MATCH(R103,Listas!$L$2:$L$50,0),0))</f>
        <v>0</v>
      </c>
    </row>
    <row r="104" customFormat="false" ht="15" hidden="false" customHeight="false" outlineLevel="0" collapsed="false">
      <c r="A104" s="30"/>
      <c r="B104" s="31"/>
      <c r="C104" s="32"/>
      <c r="D104" s="32"/>
      <c r="E104" s="33"/>
      <c r="F104" s="32"/>
      <c r="G104" s="32"/>
      <c r="H104" s="32"/>
      <c r="I104" s="32"/>
      <c r="J104" s="32"/>
      <c r="K104" s="32"/>
      <c r="L104" s="32"/>
      <c r="M104" s="30"/>
      <c r="N104" s="32"/>
      <c r="O104" s="34"/>
      <c r="P104" s="32"/>
      <c r="Q104" s="32"/>
      <c r="R104" s="32"/>
      <c r="S104" s="32"/>
      <c r="T104" s="32"/>
      <c r="U104" s="32"/>
      <c r="V104" s="31"/>
      <c r="W104" s="35" t="str">
        <f aca="true">IF(OR(V104="",AG104&gt;=8),"",IF(V104&lt;TODAY(),"Vencida",IF(V104=TODAY(),"Hoy","")))</f>
        <v/>
      </c>
      <c r="X104" s="36" t="str">
        <f aca="false">IF(A104="","",IF(COUNTIF(Seguimiento!$B$2:$B$5001,A104)=0,"",_xlfn.MAXIFS(Seguimiento!$A$2:$A$5001,Seguimiento!$B$2:$B$5001,A104)))</f>
        <v/>
      </c>
      <c r="Y104" s="37" t="str">
        <f aca="true">IF(B104="","",TODAY()-B104)</f>
        <v/>
      </c>
      <c r="Z104" s="38" t="str">
        <f aca="false">IF(OR(O104="",G104=""),"",O104*IFERROR(INDEX(Listas!$B$2:$B$50,MATCH(G104,Listas!$A$2:$A$50,0)),0))</f>
        <v/>
      </c>
      <c r="AA104" s="32"/>
      <c r="AB104" s="32"/>
      <c r="AC104" s="32"/>
      <c r="AD104" s="35" t="str">
        <f aca="false">IF(OR(LEFT(H104,4)="Meta",LEFT(H104,6)="Google"),IF(AG104=3,"Lead calificado",IF(OR(AG104=4,AG104=5),"Tasación/visita",IF(OR(AG104=6,AG104=7),"Captación/oferta",IF(AG104=8,"Cierre","")))),"")</f>
        <v/>
      </c>
      <c r="AE104" s="32"/>
      <c r="AF104" s="32"/>
      <c r="AG104" s="37" t="n">
        <f aca="false">IF(R104="",0,IFERROR(MATCH(R104,Listas!$L$2:$L$50,0),0))</f>
        <v>0</v>
      </c>
    </row>
    <row r="105" customFormat="false" ht="15" hidden="false" customHeight="false" outlineLevel="0" collapsed="false">
      <c r="A105" s="30"/>
      <c r="B105" s="31"/>
      <c r="C105" s="32"/>
      <c r="D105" s="32"/>
      <c r="E105" s="33"/>
      <c r="F105" s="32"/>
      <c r="G105" s="32"/>
      <c r="H105" s="32"/>
      <c r="I105" s="32"/>
      <c r="J105" s="32"/>
      <c r="K105" s="32"/>
      <c r="L105" s="32"/>
      <c r="M105" s="30"/>
      <c r="N105" s="32"/>
      <c r="O105" s="34"/>
      <c r="P105" s="32"/>
      <c r="Q105" s="32"/>
      <c r="R105" s="32"/>
      <c r="S105" s="32"/>
      <c r="T105" s="32"/>
      <c r="U105" s="32"/>
      <c r="V105" s="31"/>
      <c r="W105" s="35" t="str">
        <f aca="true">IF(OR(V105="",AG105&gt;=8),"",IF(V105&lt;TODAY(),"Vencida",IF(V105=TODAY(),"Hoy","")))</f>
        <v/>
      </c>
      <c r="X105" s="36" t="str">
        <f aca="false">IF(A105="","",IF(COUNTIF(Seguimiento!$B$2:$B$5001,A105)=0,"",_xlfn.MAXIFS(Seguimiento!$A$2:$A$5001,Seguimiento!$B$2:$B$5001,A105)))</f>
        <v/>
      </c>
      <c r="Y105" s="37" t="str">
        <f aca="true">IF(B105="","",TODAY()-B105)</f>
        <v/>
      </c>
      <c r="Z105" s="38" t="str">
        <f aca="false">IF(OR(O105="",G105=""),"",O105*IFERROR(INDEX(Listas!$B$2:$B$50,MATCH(G105,Listas!$A$2:$A$50,0)),0))</f>
        <v/>
      </c>
      <c r="AA105" s="32"/>
      <c r="AB105" s="32"/>
      <c r="AC105" s="32"/>
      <c r="AD105" s="35" t="str">
        <f aca="false">IF(OR(LEFT(H105,4)="Meta",LEFT(H105,6)="Google"),IF(AG105=3,"Lead calificado",IF(OR(AG105=4,AG105=5),"Tasación/visita",IF(OR(AG105=6,AG105=7),"Captación/oferta",IF(AG105=8,"Cierre","")))),"")</f>
        <v/>
      </c>
      <c r="AE105" s="32"/>
      <c r="AF105" s="32"/>
      <c r="AG105" s="37" t="n">
        <f aca="false">IF(R105="",0,IFERROR(MATCH(R105,Listas!$L$2:$L$50,0),0))</f>
        <v>0</v>
      </c>
    </row>
    <row r="106" customFormat="false" ht="15" hidden="false" customHeight="false" outlineLevel="0" collapsed="false">
      <c r="A106" s="30"/>
      <c r="B106" s="31"/>
      <c r="C106" s="32"/>
      <c r="D106" s="32"/>
      <c r="E106" s="33"/>
      <c r="F106" s="32"/>
      <c r="G106" s="32"/>
      <c r="H106" s="32"/>
      <c r="I106" s="32"/>
      <c r="J106" s="32"/>
      <c r="K106" s="32"/>
      <c r="L106" s="32"/>
      <c r="M106" s="30"/>
      <c r="N106" s="32"/>
      <c r="O106" s="34"/>
      <c r="P106" s="32"/>
      <c r="Q106" s="32"/>
      <c r="R106" s="32"/>
      <c r="S106" s="32"/>
      <c r="T106" s="32"/>
      <c r="U106" s="32"/>
      <c r="V106" s="31"/>
      <c r="W106" s="35" t="str">
        <f aca="true">IF(OR(V106="",AG106&gt;=8),"",IF(V106&lt;TODAY(),"Vencida",IF(V106=TODAY(),"Hoy","")))</f>
        <v/>
      </c>
      <c r="X106" s="36" t="str">
        <f aca="false">IF(A106="","",IF(COUNTIF(Seguimiento!$B$2:$B$5001,A106)=0,"",_xlfn.MAXIFS(Seguimiento!$A$2:$A$5001,Seguimiento!$B$2:$B$5001,A106)))</f>
        <v/>
      </c>
      <c r="Y106" s="37" t="str">
        <f aca="true">IF(B106="","",TODAY()-B106)</f>
        <v/>
      </c>
      <c r="Z106" s="38" t="str">
        <f aca="false">IF(OR(O106="",G106=""),"",O106*IFERROR(INDEX(Listas!$B$2:$B$50,MATCH(G106,Listas!$A$2:$A$50,0)),0))</f>
        <v/>
      </c>
      <c r="AA106" s="32"/>
      <c r="AB106" s="32"/>
      <c r="AC106" s="32"/>
      <c r="AD106" s="35" t="str">
        <f aca="false">IF(OR(LEFT(H106,4)="Meta",LEFT(H106,6)="Google"),IF(AG106=3,"Lead calificado",IF(OR(AG106=4,AG106=5),"Tasación/visita",IF(OR(AG106=6,AG106=7),"Captación/oferta",IF(AG106=8,"Cierre","")))),"")</f>
        <v/>
      </c>
      <c r="AE106" s="32"/>
      <c r="AF106" s="32"/>
      <c r="AG106" s="37" t="n">
        <f aca="false">IF(R106="",0,IFERROR(MATCH(R106,Listas!$L$2:$L$50,0),0))</f>
        <v>0</v>
      </c>
    </row>
    <row r="107" customFormat="false" ht="15" hidden="false" customHeight="false" outlineLevel="0" collapsed="false">
      <c r="A107" s="30"/>
      <c r="B107" s="31"/>
      <c r="C107" s="32"/>
      <c r="D107" s="32"/>
      <c r="E107" s="33"/>
      <c r="F107" s="32"/>
      <c r="G107" s="32"/>
      <c r="H107" s="32"/>
      <c r="I107" s="32"/>
      <c r="J107" s="32"/>
      <c r="K107" s="32"/>
      <c r="L107" s="32"/>
      <c r="M107" s="30"/>
      <c r="N107" s="32"/>
      <c r="O107" s="34"/>
      <c r="P107" s="32"/>
      <c r="Q107" s="32"/>
      <c r="R107" s="32"/>
      <c r="S107" s="32"/>
      <c r="T107" s="32"/>
      <c r="U107" s="32"/>
      <c r="V107" s="31"/>
      <c r="W107" s="35" t="str">
        <f aca="true">IF(OR(V107="",AG107&gt;=8),"",IF(V107&lt;TODAY(),"Vencida",IF(V107=TODAY(),"Hoy","")))</f>
        <v/>
      </c>
      <c r="X107" s="36" t="str">
        <f aca="false">IF(A107="","",IF(COUNTIF(Seguimiento!$B$2:$B$5001,A107)=0,"",_xlfn.MAXIFS(Seguimiento!$A$2:$A$5001,Seguimiento!$B$2:$B$5001,A107)))</f>
        <v/>
      </c>
      <c r="Y107" s="37" t="str">
        <f aca="true">IF(B107="","",TODAY()-B107)</f>
        <v/>
      </c>
      <c r="Z107" s="38" t="str">
        <f aca="false">IF(OR(O107="",G107=""),"",O107*IFERROR(INDEX(Listas!$B$2:$B$50,MATCH(G107,Listas!$A$2:$A$50,0)),0))</f>
        <v/>
      </c>
      <c r="AA107" s="32"/>
      <c r="AB107" s="32"/>
      <c r="AC107" s="32"/>
      <c r="AD107" s="35" t="str">
        <f aca="false">IF(OR(LEFT(H107,4)="Meta",LEFT(H107,6)="Google"),IF(AG107=3,"Lead calificado",IF(OR(AG107=4,AG107=5),"Tasación/visita",IF(OR(AG107=6,AG107=7),"Captación/oferta",IF(AG107=8,"Cierre","")))),"")</f>
        <v/>
      </c>
      <c r="AE107" s="32"/>
      <c r="AF107" s="32"/>
      <c r="AG107" s="37" t="n">
        <f aca="false">IF(R107="",0,IFERROR(MATCH(R107,Listas!$L$2:$L$50,0),0))</f>
        <v>0</v>
      </c>
    </row>
    <row r="108" customFormat="false" ht="15" hidden="false" customHeight="false" outlineLevel="0" collapsed="false">
      <c r="A108" s="30"/>
      <c r="B108" s="31"/>
      <c r="C108" s="32"/>
      <c r="D108" s="32"/>
      <c r="E108" s="33"/>
      <c r="F108" s="32"/>
      <c r="G108" s="32"/>
      <c r="H108" s="32"/>
      <c r="I108" s="32"/>
      <c r="J108" s="32"/>
      <c r="K108" s="32"/>
      <c r="L108" s="32"/>
      <c r="M108" s="30"/>
      <c r="N108" s="32"/>
      <c r="O108" s="34"/>
      <c r="P108" s="32"/>
      <c r="Q108" s="32"/>
      <c r="R108" s="32"/>
      <c r="S108" s="32"/>
      <c r="T108" s="32"/>
      <c r="U108" s="32"/>
      <c r="V108" s="31"/>
      <c r="W108" s="35" t="str">
        <f aca="true">IF(OR(V108="",AG108&gt;=8),"",IF(V108&lt;TODAY(),"Vencida",IF(V108=TODAY(),"Hoy","")))</f>
        <v/>
      </c>
      <c r="X108" s="36" t="str">
        <f aca="false">IF(A108="","",IF(COUNTIF(Seguimiento!$B$2:$B$5001,A108)=0,"",_xlfn.MAXIFS(Seguimiento!$A$2:$A$5001,Seguimiento!$B$2:$B$5001,A108)))</f>
        <v/>
      </c>
      <c r="Y108" s="37" t="str">
        <f aca="true">IF(B108="","",TODAY()-B108)</f>
        <v/>
      </c>
      <c r="Z108" s="38" t="str">
        <f aca="false">IF(OR(O108="",G108=""),"",O108*IFERROR(INDEX(Listas!$B$2:$B$50,MATCH(G108,Listas!$A$2:$A$50,0)),0))</f>
        <v/>
      </c>
      <c r="AA108" s="32"/>
      <c r="AB108" s="32"/>
      <c r="AC108" s="32"/>
      <c r="AD108" s="35" t="str">
        <f aca="false">IF(OR(LEFT(H108,4)="Meta",LEFT(H108,6)="Google"),IF(AG108=3,"Lead calificado",IF(OR(AG108=4,AG108=5),"Tasación/visita",IF(OR(AG108=6,AG108=7),"Captación/oferta",IF(AG108=8,"Cierre","")))),"")</f>
        <v/>
      </c>
      <c r="AE108" s="32"/>
      <c r="AF108" s="32"/>
      <c r="AG108" s="37" t="n">
        <f aca="false">IF(R108="",0,IFERROR(MATCH(R108,Listas!$L$2:$L$50,0),0))</f>
        <v>0</v>
      </c>
    </row>
    <row r="109" customFormat="false" ht="15" hidden="false" customHeight="false" outlineLevel="0" collapsed="false">
      <c r="A109" s="30"/>
      <c r="B109" s="31"/>
      <c r="C109" s="32"/>
      <c r="D109" s="32"/>
      <c r="E109" s="33"/>
      <c r="F109" s="32"/>
      <c r="G109" s="32"/>
      <c r="H109" s="32"/>
      <c r="I109" s="32"/>
      <c r="J109" s="32"/>
      <c r="K109" s="32"/>
      <c r="L109" s="32"/>
      <c r="M109" s="30"/>
      <c r="N109" s="32"/>
      <c r="O109" s="34"/>
      <c r="P109" s="32"/>
      <c r="Q109" s="32"/>
      <c r="R109" s="32"/>
      <c r="S109" s="32"/>
      <c r="T109" s="32"/>
      <c r="U109" s="32"/>
      <c r="V109" s="31"/>
      <c r="W109" s="35" t="str">
        <f aca="true">IF(OR(V109="",AG109&gt;=8),"",IF(V109&lt;TODAY(),"Vencida",IF(V109=TODAY(),"Hoy","")))</f>
        <v/>
      </c>
      <c r="X109" s="36" t="str">
        <f aca="false">IF(A109="","",IF(COUNTIF(Seguimiento!$B$2:$B$5001,A109)=0,"",_xlfn.MAXIFS(Seguimiento!$A$2:$A$5001,Seguimiento!$B$2:$B$5001,A109)))</f>
        <v/>
      </c>
      <c r="Y109" s="37" t="str">
        <f aca="true">IF(B109="","",TODAY()-B109)</f>
        <v/>
      </c>
      <c r="Z109" s="38" t="str">
        <f aca="false">IF(OR(O109="",G109=""),"",O109*IFERROR(INDEX(Listas!$B$2:$B$50,MATCH(G109,Listas!$A$2:$A$50,0)),0))</f>
        <v/>
      </c>
      <c r="AA109" s="32"/>
      <c r="AB109" s="32"/>
      <c r="AC109" s="32"/>
      <c r="AD109" s="35" t="str">
        <f aca="false">IF(OR(LEFT(H109,4)="Meta",LEFT(H109,6)="Google"),IF(AG109=3,"Lead calificado",IF(OR(AG109=4,AG109=5),"Tasación/visita",IF(OR(AG109=6,AG109=7),"Captación/oferta",IF(AG109=8,"Cierre","")))),"")</f>
        <v/>
      </c>
      <c r="AE109" s="32"/>
      <c r="AF109" s="32"/>
      <c r="AG109" s="37" t="n">
        <f aca="false">IF(R109="",0,IFERROR(MATCH(R109,Listas!$L$2:$L$50,0),0))</f>
        <v>0</v>
      </c>
    </row>
    <row r="110" customFormat="false" ht="15" hidden="false" customHeight="false" outlineLevel="0" collapsed="false">
      <c r="A110" s="30"/>
      <c r="B110" s="31"/>
      <c r="C110" s="32"/>
      <c r="D110" s="32"/>
      <c r="E110" s="33"/>
      <c r="F110" s="32"/>
      <c r="G110" s="32"/>
      <c r="H110" s="32"/>
      <c r="I110" s="32"/>
      <c r="J110" s="32"/>
      <c r="K110" s="32"/>
      <c r="L110" s="32"/>
      <c r="M110" s="30"/>
      <c r="N110" s="32"/>
      <c r="O110" s="34"/>
      <c r="P110" s="32"/>
      <c r="Q110" s="32"/>
      <c r="R110" s="32"/>
      <c r="S110" s="32"/>
      <c r="T110" s="32"/>
      <c r="U110" s="32"/>
      <c r="V110" s="31"/>
      <c r="W110" s="35" t="str">
        <f aca="true">IF(OR(V110="",AG110&gt;=8),"",IF(V110&lt;TODAY(),"Vencida",IF(V110=TODAY(),"Hoy","")))</f>
        <v/>
      </c>
      <c r="X110" s="36" t="str">
        <f aca="false">IF(A110="","",IF(COUNTIF(Seguimiento!$B$2:$B$5001,A110)=0,"",_xlfn.MAXIFS(Seguimiento!$A$2:$A$5001,Seguimiento!$B$2:$B$5001,A110)))</f>
        <v/>
      </c>
      <c r="Y110" s="37" t="str">
        <f aca="true">IF(B110="","",TODAY()-B110)</f>
        <v/>
      </c>
      <c r="Z110" s="38" t="str">
        <f aca="false">IF(OR(O110="",G110=""),"",O110*IFERROR(INDEX(Listas!$B$2:$B$50,MATCH(G110,Listas!$A$2:$A$50,0)),0))</f>
        <v/>
      </c>
      <c r="AA110" s="32"/>
      <c r="AB110" s="32"/>
      <c r="AC110" s="32"/>
      <c r="AD110" s="35" t="str">
        <f aca="false">IF(OR(LEFT(H110,4)="Meta",LEFT(H110,6)="Google"),IF(AG110=3,"Lead calificado",IF(OR(AG110=4,AG110=5),"Tasación/visita",IF(OR(AG110=6,AG110=7),"Captación/oferta",IF(AG110=8,"Cierre","")))),"")</f>
        <v/>
      </c>
      <c r="AE110" s="32"/>
      <c r="AF110" s="32"/>
      <c r="AG110" s="37" t="n">
        <f aca="false">IF(R110="",0,IFERROR(MATCH(R110,Listas!$L$2:$L$50,0),0))</f>
        <v>0</v>
      </c>
    </row>
    <row r="111" customFormat="false" ht="15" hidden="false" customHeight="false" outlineLevel="0" collapsed="false">
      <c r="A111" s="30"/>
      <c r="B111" s="31"/>
      <c r="C111" s="32"/>
      <c r="D111" s="32"/>
      <c r="E111" s="33"/>
      <c r="F111" s="32"/>
      <c r="G111" s="32"/>
      <c r="H111" s="32"/>
      <c r="I111" s="32"/>
      <c r="J111" s="32"/>
      <c r="K111" s="32"/>
      <c r="L111" s="32"/>
      <c r="M111" s="30"/>
      <c r="N111" s="32"/>
      <c r="O111" s="34"/>
      <c r="P111" s="32"/>
      <c r="Q111" s="32"/>
      <c r="R111" s="32"/>
      <c r="S111" s="32"/>
      <c r="T111" s="32"/>
      <c r="U111" s="32"/>
      <c r="V111" s="31"/>
      <c r="W111" s="35" t="str">
        <f aca="true">IF(OR(V111="",AG111&gt;=8),"",IF(V111&lt;TODAY(),"Vencida",IF(V111=TODAY(),"Hoy","")))</f>
        <v/>
      </c>
      <c r="X111" s="36" t="str">
        <f aca="false">IF(A111="","",IF(COUNTIF(Seguimiento!$B$2:$B$5001,A111)=0,"",_xlfn.MAXIFS(Seguimiento!$A$2:$A$5001,Seguimiento!$B$2:$B$5001,A111)))</f>
        <v/>
      </c>
      <c r="Y111" s="37" t="str">
        <f aca="true">IF(B111="","",TODAY()-B111)</f>
        <v/>
      </c>
      <c r="Z111" s="38" t="str">
        <f aca="false">IF(OR(O111="",G111=""),"",O111*IFERROR(INDEX(Listas!$B$2:$B$50,MATCH(G111,Listas!$A$2:$A$50,0)),0))</f>
        <v/>
      </c>
      <c r="AA111" s="32"/>
      <c r="AB111" s="32"/>
      <c r="AC111" s="32"/>
      <c r="AD111" s="35" t="str">
        <f aca="false">IF(OR(LEFT(H111,4)="Meta",LEFT(H111,6)="Google"),IF(AG111=3,"Lead calificado",IF(OR(AG111=4,AG111=5),"Tasación/visita",IF(OR(AG111=6,AG111=7),"Captación/oferta",IF(AG111=8,"Cierre","")))),"")</f>
        <v/>
      </c>
      <c r="AE111" s="32"/>
      <c r="AF111" s="32"/>
      <c r="AG111" s="37" t="n">
        <f aca="false">IF(R111="",0,IFERROR(MATCH(R111,Listas!$L$2:$L$50,0),0))</f>
        <v>0</v>
      </c>
    </row>
    <row r="112" customFormat="false" ht="15" hidden="false" customHeight="false" outlineLevel="0" collapsed="false">
      <c r="A112" s="30"/>
      <c r="B112" s="31"/>
      <c r="C112" s="32"/>
      <c r="D112" s="32"/>
      <c r="E112" s="33"/>
      <c r="F112" s="32"/>
      <c r="G112" s="32"/>
      <c r="H112" s="32"/>
      <c r="I112" s="32"/>
      <c r="J112" s="32"/>
      <c r="K112" s="32"/>
      <c r="L112" s="32"/>
      <c r="M112" s="30"/>
      <c r="N112" s="32"/>
      <c r="O112" s="34"/>
      <c r="P112" s="32"/>
      <c r="Q112" s="32"/>
      <c r="R112" s="32"/>
      <c r="S112" s="32"/>
      <c r="T112" s="32"/>
      <c r="U112" s="32"/>
      <c r="V112" s="31"/>
      <c r="W112" s="35" t="str">
        <f aca="true">IF(OR(V112="",AG112&gt;=8),"",IF(V112&lt;TODAY(),"Vencida",IF(V112=TODAY(),"Hoy","")))</f>
        <v/>
      </c>
      <c r="X112" s="36" t="str">
        <f aca="false">IF(A112="","",IF(COUNTIF(Seguimiento!$B$2:$B$5001,A112)=0,"",_xlfn.MAXIFS(Seguimiento!$A$2:$A$5001,Seguimiento!$B$2:$B$5001,A112)))</f>
        <v/>
      </c>
      <c r="Y112" s="37" t="str">
        <f aca="true">IF(B112="","",TODAY()-B112)</f>
        <v/>
      </c>
      <c r="Z112" s="38" t="str">
        <f aca="false">IF(OR(O112="",G112=""),"",O112*IFERROR(INDEX(Listas!$B$2:$B$50,MATCH(G112,Listas!$A$2:$A$50,0)),0))</f>
        <v/>
      </c>
      <c r="AA112" s="32"/>
      <c r="AB112" s="32"/>
      <c r="AC112" s="32"/>
      <c r="AD112" s="35" t="str">
        <f aca="false">IF(OR(LEFT(H112,4)="Meta",LEFT(H112,6)="Google"),IF(AG112=3,"Lead calificado",IF(OR(AG112=4,AG112=5),"Tasación/visita",IF(OR(AG112=6,AG112=7),"Captación/oferta",IF(AG112=8,"Cierre","")))),"")</f>
        <v/>
      </c>
      <c r="AE112" s="32"/>
      <c r="AF112" s="32"/>
      <c r="AG112" s="37" t="n">
        <f aca="false">IF(R112="",0,IFERROR(MATCH(R112,Listas!$L$2:$L$50,0),0))</f>
        <v>0</v>
      </c>
    </row>
    <row r="113" customFormat="false" ht="15" hidden="false" customHeight="false" outlineLevel="0" collapsed="false">
      <c r="A113" s="30"/>
      <c r="B113" s="31"/>
      <c r="C113" s="32"/>
      <c r="D113" s="32"/>
      <c r="E113" s="33"/>
      <c r="F113" s="32"/>
      <c r="G113" s="32"/>
      <c r="H113" s="32"/>
      <c r="I113" s="32"/>
      <c r="J113" s="32"/>
      <c r="K113" s="32"/>
      <c r="L113" s="32"/>
      <c r="M113" s="30"/>
      <c r="N113" s="32"/>
      <c r="O113" s="34"/>
      <c r="P113" s="32"/>
      <c r="Q113" s="32"/>
      <c r="R113" s="32"/>
      <c r="S113" s="32"/>
      <c r="T113" s="32"/>
      <c r="U113" s="32"/>
      <c r="V113" s="31"/>
      <c r="W113" s="35" t="str">
        <f aca="true">IF(OR(V113="",AG113&gt;=8),"",IF(V113&lt;TODAY(),"Vencida",IF(V113=TODAY(),"Hoy","")))</f>
        <v/>
      </c>
      <c r="X113" s="36" t="str">
        <f aca="false">IF(A113="","",IF(COUNTIF(Seguimiento!$B$2:$B$5001,A113)=0,"",_xlfn.MAXIFS(Seguimiento!$A$2:$A$5001,Seguimiento!$B$2:$B$5001,A113)))</f>
        <v/>
      </c>
      <c r="Y113" s="37" t="str">
        <f aca="true">IF(B113="","",TODAY()-B113)</f>
        <v/>
      </c>
      <c r="Z113" s="38" t="str">
        <f aca="false">IF(OR(O113="",G113=""),"",O113*IFERROR(INDEX(Listas!$B$2:$B$50,MATCH(G113,Listas!$A$2:$A$50,0)),0))</f>
        <v/>
      </c>
      <c r="AA113" s="32"/>
      <c r="AB113" s="32"/>
      <c r="AC113" s="32"/>
      <c r="AD113" s="35" t="str">
        <f aca="false">IF(OR(LEFT(H113,4)="Meta",LEFT(H113,6)="Google"),IF(AG113=3,"Lead calificado",IF(OR(AG113=4,AG113=5),"Tasación/visita",IF(OR(AG113=6,AG113=7),"Captación/oferta",IF(AG113=8,"Cierre","")))),"")</f>
        <v/>
      </c>
      <c r="AE113" s="32"/>
      <c r="AF113" s="32"/>
      <c r="AG113" s="37" t="n">
        <f aca="false">IF(R113="",0,IFERROR(MATCH(R113,Listas!$L$2:$L$50,0),0))</f>
        <v>0</v>
      </c>
    </row>
    <row r="114" customFormat="false" ht="15" hidden="false" customHeight="false" outlineLevel="0" collapsed="false">
      <c r="A114" s="30"/>
      <c r="B114" s="31"/>
      <c r="C114" s="32"/>
      <c r="D114" s="32"/>
      <c r="E114" s="33"/>
      <c r="F114" s="32"/>
      <c r="G114" s="32"/>
      <c r="H114" s="32"/>
      <c r="I114" s="32"/>
      <c r="J114" s="32"/>
      <c r="K114" s="32"/>
      <c r="L114" s="32"/>
      <c r="M114" s="30"/>
      <c r="N114" s="32"/>
      <c r="O114" s="34"/>
      <c r="P114" s="32"/>
      <c r="Q114" s="32"/>
      <c r="R114" s="32"/>
      <c r="S114" s="32"/>
      <c r="T114" s="32"/>
      <c r="U114" s="32"/>
      <c r="V114" s="31"/>
      <c r="W114" s="35" t="str">
        <f aca="true">IF(OR(V114="",AG114&gt;=8),"",IF(V114&lt;TODAY(),"Vencida",IF(V114=TODAY(),"Hoy","")))</f>
        <v/>
      </c>
      <c r="X114" s="36" t="str">
        <f aca="false">IF(A114="","",IF(COUNTIF(Seguimiento!$B$2:$B$5001,A114)=0,"",_xlfn.MAXIFS(Seguimiento!$A$2:$A$5001,Seguimiento!$B$2:$B$5001,A114)))</f>
        <v/>
      </c>
      <c r="Y114" s="37" t="str">
        <f aca="true">IF(B114="","",TODAY()-B114)</f>
        <v/>
      </c>
      <c r="Z114" s="38" t="str">
        <f aca="false">IF(OR(O114="",G114=""),"",O114*IFERROR(INDEX(Listas!$B$2:$B$50,MATCH(G114,Listas!$A$2:$A$50,0)),0))</f>
        <v/>
      </c>
      <c r="AA114" s="32"/>
      <c r="AB114" s="32"/>
      <c r="AC114" s="32"/>
      <c r="AD114" s="35" t="str">
        <f aca="false">IF(OR(LEFT(H114,4)="Meta",LEFT(H114,6)="Google"),IF(AG114=3,"Lead calificado",IF(OR(AG114=4,AG114=5),"Tasación/visita",IF(OR(AG114=6,AG114=7),"Captación/oferta",IF(AG114=8,"Cierre","")))),"")</f>
        <v/>
      </c>
      <c r="AE114" s="32"/>
      <c r="AF114" s="32"/>
      <c r="AG114" s="37" t="n">
        <f aca="false">IF(R114="",0,IFERROR(MATCH(R114,Listas!$L$2:$L$50,0),0))</f>
        <v>0</v>
      </c>
    </row>
    <row r="115" customFormat="false" ht="15" hidden="false" customHeight="false" outlineLevel="0" collapsed="false">
      <c r="A115" s="30"/>
      <c r="B115" s="31"/>
      <c r="C115" s="32"/>
      <c r="D115" s="32"/>
      <c r="E115" s="33"/>
      <c r="F115" s="32"/>
      <c r="G115" s="32"/>
      <c r="H115" s="32"/>
      <c r="I115" s="32"/>
      <c r="J115" s="32"/>
      <c r="K115" s="32"/>
      <c r="L115" s="32"/>
      <c r="M115" s="30"/>
      <c r="N115" s="32"/>
      <c r="O115" s="34"/>
      <c r="P115" s="32"/>
      <c r="Q115" s="32"/>
      <c r="R115" s="32"/>
      <c r="S115" s="32"/>
      <c r="T115" s="32"/>
      <c r="U115" s="32"/>
      <c r="V115" s="31"/>
      <c r="W115" s="35" t="str">
        <f aca="true">IF(OR(V115="",AG115&gt;=8),"",IF(V115&lt;TODAY(),"Vencida",IF(V115=TODAY(),"Hoy","")))</f>
        <v/>
      </c>
      <c r="X115" s="36" t="str">
        <f aca="false">IF(A115="","",IF(COUNTIF(Seguimiento!$B$2:$B$5001,A115)=0,"",_xlfn.MAXIFS(Seguimiento!$A$2:$A$5001,Seguimiento!$B$2:$B$5001,A115)))</f>
        <v/>
      </c>
      <c r="Y115" s="37" t="str">
        <f aca="true">IF(B115="","",TODAY()-B115)</f>
        <v/>
      </c>
      <c r="Z115" s="38" t="str">
        <f aca="false">IF(OR(O115="",G115=""),"",O115*IFERROR(INDEX(Listas!$B$2:$B$50,MATCH(G115,Listas!$A$2:$A$50,0)),0))</f>
        <v/>
      </c>
      <c r="AA115" s="32"/>
      <c r="AB115" s="32"/>
      <c r="AC115" s="32"/>
      <c r="AD115" s="35" t="str">
        <f aca="false">IF(OR(LEFT(H115,4)="Meta",LEFT(H115,6)="Google"),IF(AG115=3,"Lead calificado",IF(OR(AG115=4,AG115=5),"Tasación/visita",IF(OR(AG115=6,AG115=7),"Captación/oferta",IF(AG115=8,"Cierre","")))),"")</f>
        <v/>
      </c>
      <c r="AE115" s="32"/>
      <c r="AF115" s="32"/>
      <c r="AG115" s="37" t="n">
        <f aca="false">IF(R115="",0,IFERROR(MATCH(R115,Listas!$L$2:$L$50,0),0))</f>
        <v>0</v>
      </c>
    </row>
    <row r="116" customFormat="false" ht="15" hidden="false" customHeight="false" outlineLevel="0" collapsed="false">
      <c r="A116" s="30"/>
      <c r="B116" s="31"/>
      <c r="C116" s="32"/>
      <c r="D116" s="32"/>
      <c r="E116" s="33"/>
      <c r="F116" s="32"/>
      <c r="G116" s="32"/>
      <c r="H116" s="32"/>
      <c r="I116" s="32"/>
      <c r="J116" s="32"/>
      <c r="K116" s="32"/>
      <c r="L116" s="32"/>
      <c r="M116" s="30"/>
      <c r="N116" s="32"/>
      <c r="O116" s="34"/>
      <c r="P116" s="32"/>
      <c r="Q116" s="32"/>
      <c r="R116" s="32"/>
      <c r="S116" s="32"/>
      <c r="T116" s="32"/>
      <c r="U116" s="32"/>
      <c r="V116" s="31"/>
      <c r="W116" s="35" t="str">
        <f aca="true">IF(OR(V116="",AG116&gt;=8),"",IF(V116&lt;TODAY(),"Vencida",IF(V116=TODAY(),"Hoy","")))</f>
        <v/>
      </c>
      <c r="X116" s="36" t="str">
        <f aca="false">IF(A116="","",IF(COUNTIF(Seguimiento!$B$2:$B$5001,A116)=0,"",_xlfn.MAXIFS(Seguimiento!$A$2:$A$5001,Seguimiento!$B$2:$B$5001,A116)))</f>
        <v/>
      </c>
      <c r="Y116" s="37" t="str">
        <f aca="true">IF(B116="","",TODAY()-B116)</f>
        <v/>
      </c>
      <c r="Z116" s="38" t="str">
        <f aca="false">IF(OR(O116="",G116=""),"",O116*IFERROR(INDEX(Listas!$B$2:$B$50,MATCH(G116,Listas!$A$2:$A$50,0)),0))</f>
        <v/>
      </c>
      <c r="AA116" s="32"/>
      <c r="AB116" s="32"/>
      <c r="AC116" s="32"/>
      <c r="AD116" s="35" t="str">
        <f aca="false">IF(OR(LEFT(H116,4)="Meta",LEFT(H116,6)="Google"),IF(AG116=3,"Lead calificado",IF(OR(AG116=4,AG116=5),"Tasación/visita",IF(OR(AG116=6,AG116=7),"Captación/oferta",IF(AG116=8,"Cierre","")))),"")</f>
        <v/>
      </c>
      <c r="AE116" s="32"/>
      <c r="AF116" s="32"/>
      <c r="AG116" s="37" t="n">
        <f aca="false">IF(R116="",0,IFERROR(MATCH(R116,Listas!$L$2:$L$50,0),0))</f>
        <v>0</v>
      </c>
    </row>
    <row r="117" customFormat="false" ht="15" hidden="false" customHeight="false" outlineLevel="0" collapsed="false">
      <c r="A117" s="30"/>
      <c r="B117" s="31"/>
      <c r="C117" s="32"/>
      <c r="D117" s="32"/>
      <c r="E117" s="33"/>
      <c r="F117" s="32"/>
      <c r="G117" s="32"/>
      <c r="H117" s="32"/>
      <c r="I117" s="32"/>
      <c r="J117" s="32"/>
      <c r="K117" s="32"/>
      <c r="L117" s="32"/>
      <c r="M117" s="30"/>
      <c r="N117" s="32"/>
      <c r="O117" s="34"/>
      <c r="P117" s="32"/>
      <c r="Q117" s="32"/>
      <c r="R117" s="32"/>
      <c r="S117" s="32"/>
      <c r="T117" s="32"/>
      <c r="U117" s="32"/>
      <c r="V117" s="31"/>
      <c r="W117" s="35" t="str">
        <f aca="true">IF(OR(V117="",AG117&gt;=8),"",IF(V117&lt;TODAY(),"Vencida",IF(V117=TODAY(),"Hoy","")))</f>
        <v/>
      </c>
      <c r="X117" s="36" t="str">
        <f aca="false">IF(A117="","",IF(COUNTIF(Seguimiento!$B$2:$B$5001,A117)=0,"",_xlfn.MAXIFS(Seguimiento!$A$2:$A$5001,Seguimiento!$B$2:$B$5001,A117)))</f>
        <v/>
      </c>
      <c r="Y117" s="37" t="str">
        <f aca="true">IF(B117="","",TODAY()-B117)</f>
        <v/>
      </c>
      <c r="Z117" s="38" t="str">
        <f aca="false">IF(OR(O117="",G117=""),"",O117*IFERROR(INDEX(Listas!$B$2:$B$50,MATCH(G117,Listas!$A$2:$A$50,0)),0))</f>
        <v/>
      </c>
      <c r="AA117" s="32"/>
      <c r="AB117" s="32"/>
      <c r="AC117" s="32"/>
      <c r="AD117" s="35" t="str">
        <f aca="false">IF(OR(LEFT(H117,4)="Meta",LEFT(H117,6)="Google"),IF(AG117=3,"Lead calificado",IF(OR(AG117=4,AG117=5),"Tasación/visita",IF(OR(AG117=6,AG117=7),"Captación/oferta",IF(AG117=8,"Cierre","")))),"")</f>
        <v/>
      </c>
      <c r="AE117" s="32"/>
      <c r="AF117" s="32"/>
      <c r="AG117" s="37" t="n">
        <f aca="false">IF(R117="",0,IFERROR(MATCH(R117,Listas!$L$2:$L$50,0),0))</f>
        <v>0</v>
      </c>
    </row>
    <row r="118" customFormat="false" ht="15" hidden="false" customHeight="false" outlineLevel="0" collapsed="false">
      <c r="A118" s="30"/>
      <c r="B118" s="31"/>
      <c r="C118" s="32"/>
      <c r="D118" s="32"/>
      <c r="E118" s="33"/>
      <c r="F118" s="32"/>
      <c r="G118" s="32"/>
      <c r="H118" s="32"/>
      <c r="I118" s="32"/>
      <c r="J118" s="32"/>
      <c r="K118" s="32"/>
      <c r="L118" s="32"/>
      <c r="M118" s="30"/>
      <c r="N118" s="32"/>
      <c r="O118" s="34"/>
      <c r="P118" s="32"/>
      <c r="Q118" s="32"/>
      <c r="R118" s="32"/>
      <c r="S118" s="32"/>
      <c r="T118" s="32"/>
      <c r="U118" s="32"/>
      <c r="V118" s="31"/>
      <c r="W118" s="35" t="str">
        <f aca="true">IF(OR(V118="",AG118&gt;=8),"",IF(V118&lt;TODAY(),"Vencida",IF(V118=TODAY(),"Hoy","")))</f>
        <v/>
      </c>
      <c r="X118" s="36" t="str">
        <f aca="false">IF(A118="","",IF(COUNTIF(Seguimiento!$B$2:$B$5001,A118)=0,"",_xlfn.MAXIFS(Seguimiento!$A$2:$A$5001,Seguimiento!$B$2:$B$5001,A118)))</f>
        <v/>
      </c>
      <c r="Y118" s="37" t="str">
        <f aca="true">IF(B118="","",TODAY()-B118)</f>
        <v/>
      </c>
      <c r="Z118" s="38" t="str">
        <f aca="false">IF(OR(O118="",G118=""),"",O118*IFERROR(INDEX(Listas!$B$2:$B$50,MATCH(G118,Listas!$A$2:$A$50,0)),0))</f>
        <v/>
      </c>
      <c r="AA118" s="32"/>
      <c r="AB118" s="32"/>
      <c r="AC118" s="32"/>
      <c r="AD118" s="35" t="str">
        <f aca="false">IF(OR(LEFT(H118,4)="Meta",LEFT(H118,6)="Google"),IF(AG118=3,"Lead calificado",IF(OR(AG118=4,AG118=5),"Tasación/visita",IF(OR(AG118=6,AG118=7),"Captación/oferta",IF(AG118=8,"Cierre","")))),"")</f>
        <v/>
      </c>
      <c r="AE118" s="32"/>
      <c r="AF118" s="32"/>
      <c r="AG118" s="37" t="n">
        <f aca="false">IF(R118="",0,IFERROR(MATCH(R118,Listas!$L$2:$L$50,0),0))</f>
        <v>0</v>
      </c>
    </row>
    <row r="119" customFormat="false" ht="15" hidden="false" customHeight="false" outlineLevel="0" collapsed="false">
      <c r="A119" s="30"/>
      <c r="B119" s="31"/>
      <c r="C119" s="32"/>
      <c r="D119" s="32"/>
      <c r="E119" s="33"/>
      <c r="F119" s="32"/>
      <c r="G119" s="32"/>
      <c r="H119" s="32"/>
      <c r="I119" s="32"/>
      <c r="J119" s="32"/>
      <c r="K119" s="32"/>
      <c r="L119" s="32"/>
      <c r="M119" s="30"/>
      <c r="N119" s="32"/>
      <c r="O119" s="34"/>
      <c r="P119" s="32"/>
      <c r="Q119" s="32"/>
      <c r="R119" s="32"/>
      <c r="S119" s="32"/>
      <c r="T119" s="32"/>
      <c r="U119" s="32"/>
      <c r="V119" s="31"/>
      <c r="W119" s="35" t="str">
        <f aca="true">IF(OR(V119="",AG119&gt;=8),"",IF(V119&lt;TODAY(),"Vencida",IF(V119=TODAY(),"Hoy","")))</f>
        <v/>
      </c>
      <c r="X119" s="36" t="str">
        <f aca="false">IF(A119="","",IF(COUNTIF(Seguimiento!$B$2:$B$5001,A119)=0,"",_xlfn.MAXIFS(Seguimiento!$A$2:$A$5001,Seguimiento!$B$2:$B$5001,A119)))</f>
        <v/>
      </c>
      <c r="Y119" s="37" t="str">
        <f aca="true">IF(B119="","",TODAY()-B119)</f>
        <v/>
      </c>
      <c r="Z119" s="38" t="str">
        <f aca="false">IF(OR(O119="",G119=""),"",O119*IFERROR(INDEX(Listas!$B$2:$B$50,MATCH(G119,Listas!$A$2:$A$50,0)),0))</f>
        <v/>
      </c>
      <c r="AA119" s="32"/>
      <c r="AB119" s="32"/>
      <c r="AC119" s="32"/>
      <c r="AD119" s="35" t="str">
        <f aca="false">IF(OR(LEFT(H119,4)="Meta",LEFT(H119,6)="Google"),IF(AG119=3,"Lead calificado",IF(OR(AG119=4,AG119=5),"Tasación/visita",IF(OR(AG119=6,AG119=7),"Captación/oferta",IF(AG119=8,"Cierre","")))),"")</f>
        <v/>
      </c>
      <c r="AE119" s="32"/>
      <c r="AF119" s="32"/>
      <c r="AG119" s="37" t="n">
        <f aca="false">IF(R119="",0,IFERROR(MATCH(R119,Listas!$L$2:$L$50,0),0))</f>
        <v>0</v>
      </c>
    </row>
    <row r="120" customFormat="false" ht="15" hidden="false" customHeight="false" outlineLevel="0" collapsed="false">
      <c r="A120" s="30"/>
      <c r="B120" s="31"/>
      <c r="C120" s="32"/>
      <c r="D120" s="32"/>
      <c r="E120" s="33"/>
      <c r="F120" s="32"/>
      <c r="G120" s="32"/>
      <c r="H120" s="32"/>
      <c r="I120" s="32"/>
      <c r="J120" s="32"/>
      <c r="K120" s="32"/>
      <c r="L120" s="32"/>
      <c r="M120" s="30"/>
      <c r="N120" s="32"/>
      <c r="O120" s="34"/>
      <c r="P120" s="32"/>
      <c r="Q120" s="32"/>
      <c r="R120" s="32"/>
      <c r="S120" s="32"/>
      <c r="T120" s="32"/>
      <c r="U120" s="32"/>
      <c r="V120" s="31"/>
      <c r="W120" s="35" t="str">
        <f aca="true">IF(OR(V120="",AG120&gt;=8),"",IF(V120&lt;TODAY(),"Vencida",IF(V120=TODAY(),"Hoy","")))</f>
        <v/>
      </c>
      <c r="X120" s="36" t="str">
        <f aca="false">IF(A120="","",IF(COUNTIF(Seguimiento!$B$2:$B$5001,A120)=0,"",_xlfn.MAXIFS(Seguimiento!$A$2:$A$5001,Seguimiento!$B$2:$B$5001,A120)))</f>
        <v/>
      </c>
      <c r="Y120" s="37" t="str">
        <f aca="true">IF(B120="","",TODAY()-B120)</f>
        <v/>
      </c>
      <c r="Z120" s="38" t="str">
        <f aca="false">IF(OR(O120="",G120=""),"",O120*IFERROR(INDEX(Listas!$B$2:$B$50,MATCH(G120,Listas!$A$2:$A$50,0)),0))</f>
        <v/>
      </c>
      <c r="AA120" s="32"/>
      <c r="AB120" s="32"/>
      <c r="AC120" s="32"/>
      <c r="AD120" s="35" t="str">
        <f aca="false">IF(OR(LEFT(H120,4)="Meta",LEFT(H120,6)="Google"),IF(AG120=3,"Lead calificado",IF(OR(AG120=4,AG120=5),"Tasación/visita",IF(OR(AG120=6,AG120=7),"Captación/oferta",IF(AG120=8,"Cierre","")))),"")</f>
        <v/>
      </c>
      <c r="AE120" s="32"/>
      <c r="AF120" s="32"/>
      <c r="AG120" s="37" t="n">
        <f aca="false">IF(R120="",0,IFERROR(MATCH(R120,Listas!$L$2:$L$50,0),0))</f>
        <v>0</v>
      </c>
    </row>
    <row r="121" customFormat="false" ht="15" hidden="false" customHeight="false" outlineLevel="0" collapsed="false">
      <c r="A121" s="30"/>
      <c r="B121" s="31"/>
      <c r="C121" s="32"/>
      <c r="D121" s="32"/>
      <c r="E121" s="33"/>
      <c r="F121" s="32"/>
      <c r="G121" s="32"/>
      <c r="H121" s="32"/>
      <c r="I121" s="32"/>
      <c r="J121" s="32"/>
      <c r="K121" s="32"/>
      <c r="L121" s="32"/>
      <c r="M121" s="30"/>
      <c r="N121" s="32"/>
      <c r="O121" s="34"/>
      <c r="P121" s="32"/>
      <c r="Q121" s="32"/>
      <c r="R121" s="32"/>
      <c r="S121" s="32"/>
      <c r="T121" s="32"/>
      <c r="U121" s="32"/>
      <c r="V121" s="31"/>
      <c r="W121" s="35" t="str">
        <f aca="true">IF(OR(V121="",AG121&gt;=8),"",IF(V121&lt;TODAY(),"Vencida",IF(V121=TODAY(),"Hoy","")))</f>
        <v/>
      </c>
      <c r="X121" s="36" t="str">
        <f aca="false">IF(A121="","",IF(COUNTIF(Seguimiento!$B$2:$B$5001,A121)=0,"",_xlfn.MAXIFS(Seguimiento!$A$2:$A$5001,Seguimiento!$B$2:$B$5001,A121)))</f>
        <v/>
      </c>
      <c r="Y121" s="37" t="str">
        <f aca="true">IF(B121="","",TODAY()-B121)</f>
        <v/>
      </c>
      <c r="Z121" s="38" t="str">
        <f aca="false">IF(OR(O121="",G121=""),"",O121*IFERROR(INDEX(Listas!$B$2:$B$50,MATCH(G121,Listas!$A$2:$A$50,0)),0))</f>
        <v/>
      </c>
      <c r="AA121" s="32"/>
      <c r="AB121" s="32"/>
      <c r="AC121" s="32"/>
      <c r="AD121" s="35" t="str">
        <f aca="false">IF(OR(LEFT(H121,4)="Meta",LEFT(H121,6)="Google"),IF(AG121=3,"Lead calificado",IF(OR(AG121=4,AG121=5),"Tasación/visita",IF(OR(AG121=6,AG121=7),"Captación/oferta",IF(AG121=8,"Cierre","")))),"")</f>
        <v/>
      </c>
      <c r="AE121" s="32"/>
      <c r="AF121" s="32"/>
      <c r="AG121" s="37" t="n">
        <f aca="false">IF(R121="",0,IFERROR(MATCH(R121,Listas!$L$2:$L$50,0),0))</f>
        <v>0</v>
      </c>
    </row>
    <row r="122" customFormat="false" ht="15" hidden="false" customHeight="false" outlineLevel="0" collapsed="false">
      <c r="A122" s="30"/>
      <c r="B122" s="31"/>
      <c r="C122" s="32"/>
      <c r="D122" s="32"/>
      <c r="E122" s="33"/>
      <c r="F122" s="32"/>
      <c r="G122" s="32"/>
      <c r="H122" s="32"/>
      <c r="I122" s="32"/>
      <c r="J122" s="32"/>
      <c r="K122" s="32"/>
      <c r="L122" s="32"/>
      <c r="M122" s="30"/>
      <c r="N122" s="32"/>
      <c r="O122" s="34"/>
      <c r="P122" s="32"/>
      <c r="Q122" s="32"/>
      <c r="R122" s="32"/>
      <c r="S122" s="32"/>
      <c r="T122" s="32"/>
      <c r="U122" s="32"/>
      <c r="V122" s="31"/>
      <c r="W122" s="35" t="str">
        <f aca="true">IF(OR(V122="",AG122&gt;=8),"",IF(V122&lt;TODAY(),"Vencida",IF(V122=TODAY(),"Hoy","")))</f>
        <v/>
      </c>
      <c r="X122" s="36" t="str">
        <f aca="false">IF(A122="","",IF(COUNTIF(Seguimiento!$B$2:$B$5001,A122)=0,"",_xlfn.MAXIFS(Seguimiento!$A$2:$A$5001,Seguimiento!$B$2:$B$5001,A122)))</f>
        <v/>
      </c>
      <c r="Y122" s="37" t="str">
        <f aca="true">IF(B122="","",TODAY()-B122)</f>
        <v/>
      </c>
      <c r="Z122" s="38" t="str">
        <f aca="false">IF(OR(O122="",G122=""),"",O122*IFERROR(INDEX(Listas!$B$2:$B$50,MATCH(G122,Listas!$A$2:$A$50,0)),0))</f>
        <v/>
      </c>
      <c r="AA122" s="32"/>
      <c r="AB122" s="32"/>
      <c r="AC122" s="32"/>
      <c r="AD122" s="35" t="str">
        <f aca="false">IF(OR(LEFT(H122,4)="Meta",LEFT(H122,6)="Google"),IF(AG122=3,"Lead calificado",IF(OR(AG122=4,AG122=5),"Tasación/visita",IF(OR(AG122=6,AG122=7),"Captación/oferta",IF(AG122=8,"Cierre","")))),"")</f>
        <v/>
      </c>
      <c r="AE122" s="32"/>
      <c r="AF122" s="32"/>
      <c r="AG122" s="37" t="n">
        <f aca="false">IF(R122="",0,IFERROR(MATCH(R122,Listas!$L$2:$L$50,0),0))</f>
        <v>0</v>
      </c>
    </row>
    <row r="123" customFormat="false" ht="15" hidden="false" customHeight="false" outlineLevel="0" collapsed="false">
      <c r="A123" s="30"/>
      <c r="B123" s="31"/>
      <c r="C123" s="32"/>
      <c r="D123" s="32"/>
      <c r="E123" s="33"/>
      <c r="F123" s="32"/>
      <c r="G123" s="32"/>
      <c r="H123" s="32"/>
      <c r="I123" s="32"/>
      <c r="J123" s="32"/>
      <c r="K123" s="32"/>
      <c r="L123" s="32"/>
      <c r="M123" s="30"/>
      <c r="N123" s="32"/>
      <c r="O123" s="34"/>
      <c r="P123" s="32"/>
      <c r="Q123" s="32"/>
      <c r="R123" s="32"/>
      <c r="S123" s="32"/>
      <c r="T123" s="32"/>
      <c r="U123" s="32"/>
      <c r="V123" s="31"/>
      <c r="W123" s="35" t="str">
        <f aca="true">IF(OR(V123="",AG123&gt;=8),"",IF(V123&lt;TODAY(),"Vencida",IF(V123=TODAY(),"Hoy","")))</f>
        <v/>
      </c>
      <c r="X123" s="36" t="str">
        <f aca="false">IF(A123="","",IF(COUNTIF(Seguimiento!$B$2:$B$5001,A123)=0,"",_xlfn.MAXIFS(Seguimiento!$A$2:$A$5001,Seguimiento!$B$2:$B$5001,A123)))</f>
        <v/>
      </c>
      <c r="Y123" s="37" t="str">
        <f aca="true">IF(B123="","",TODAY()-B123)</f>
        <v/>
      </c>
      <c r="Z123" s="38" t="str">
        <f aca="false">IF(OR(O123="",G123=""),"",O123*IFERROR(INDEX(Listas!$B$2:$B$50,MATCH(G123,Listas!$A$2:$A$50,0)),0))</f>
        <v/>
      </c>
      <c r="AA123" s="32"/>
      <c r="AB123" s="32"/>
      <c r="AC123" s="32"/>
      <c r="AD123" s="35" t="str">
        <f aca="false">IF(OR(LEFT(H123,4)="Meta",LEFT(H123,6)="Google"),IF(AG123=3,"Lead calificado",IF(OR(AG123=4,AG123=5),"Tasación/visita",IF(OR(AG123=6,AG123=7),"Captación/oferta",IF(AG123=8,"Cierre","")))),"")</f>
        <v/>
      </c>
      <c r="AE123" s="32"/>
      <c r="AF123" s="32"/>
      <c r="AG123" s="37" t="n">
        <f aca="false">IF(R123="",0,IFERROR(MATCH(R123,Listas!$L$2:$L$50,0),0))</f>
        <v>0</v>
      </c>
    </row>
    <row r="124" customFormat="false" ht="15" hidden="false" customHeight="false" outlineLevel="0" collapsed="false">
      <c r="A124" s="30"/>
      <c r="B124" s="31"/>
      <c r="C124" s="32"/>
      <c r="D124" s="32"/>
      <c r="E124" s="33"/>
      <c r="F124" s="32"/>
      <c r="G124" s="32"/>
      <c r="H124" s="32"/>
      <c r="I124" s="32"/>
      <c r="J124" s="32"/>
      <c r="K124" s="32"/>
      <c r="L124" s="32"/>
      <c r="M124" s="30"/>
      <c r="N124" s="32"/>
      <c r="O124" s="34"/>
      <c r="P124" s="32"/>
      <c r="Q124" s="32"/>
      <c r="R124" s="32"/>
      <c r="S124" s="32"/>
      <c r="T124" s="32"/>
      <c r="U124" s="32"/>
      <c r="V124" s="31"/>
      <c r="W124" s="35" t="str">
        <f aca="true">IF(OR(V124="",AG124&gt;=8),"",IF(V124&lt;TODAY(),"Vencida",IF(V124=TODAY(),"Hoy","")))</f>
        <v/>
      </c>
      <c r="X124" s="36" t="str">
        <f aca="false">IF(A124="","",IF(COUNTIF(Seguimiento!$B$2:$B$5001,A124)=0,"",_xlfn.MAXIFS(Seguimiento!$A$2:$A$5001,Seguimiento!$B$2:$B$5001,A124)))</f>
        <v/>
      </c>
      <c r="Y124" s="37" t="str">
        <f aca="true">IF(B124="","",TODAY()-B124)</f>
        <v/>
      </c>
      <c r="Z124" s="38" t="str">
        <f aca="false">IF(OR(O124="",G124=""),"",O124*IFERROR(INDEX(Listas!$B$2:$B$50,MATCH(G124,Listas!$A$2:$A$50,0)),0))</f>
        <v/>
      </c>
      <c r="AA124" s="32"/>
      <c r="AB124" s="32"/>
      <c r="AC124" s="32"/>
      <c r="AD124" s="35" t="str">
        <f aca="false">IF(OR(LEFT(H124,4)="Meta",LEFT(H124,6)="Google"),IF(AG124=3,"Lead calificado",IF(OR(AG124=4,AG124=5),"Tasación/visita",IF(OR(AG124=6,AG124=7),"Captación/oferta",IF(AG124=8,"Cierre","")))),"")</f>
        <v/>
      </c>
      <c r="AE124" s="32"/>
      <c r="AF124" s="32"/>
      <c r="AG124" s="37" t="n">
        <f aca="false">IF(R124="",0,IFERROR(MATCH(R124,Listas!$L$2:$L$50,0),0))</f>
        <v>0</v>
      </c>
    </row>
    <row r="125" customFormat="false" ht="15" hidden="false" customHeight="false" outlineLevel="0" collapsed="false">
      <c r="A125" s="30"/>
      <c r="B125" s="31"/>
      <c r="C125" s="32"/>
      <c r="D125" s="32"/>
      <c r="E125" s="33"/>
      <c r="F125" s="32"/>
      <c r="G125" s="32"/>
      <c r="H125" s="32"/>
      <c r="I125" s="32"/>
      <c r="J125" s="32"/>
      <c r="K125" s="32"/>
      <c r="L125" s="32"/>
      <c r="M125" s="30"/>
      <c r="N125" s="32"/>
      <c r="O125" s="34"/>
      <c r="P125" s="32"/>
      <c r="Q125" s="32"/>
      <c r="R125" s="32"/>
      <c r="S125" s="32"/>
      <c r="T125" s="32"/>
      <c r="U125" s="32"/>
      <c r="V125" s="31"/>
      <c r="W125" s="35" t="str">
        <f aca="true">IF(OR(V125="",AG125&gt;=8),"",IF(V125&lt;TODAY(),"Vencida",IF(V125=TODAY(),"Hoy","")))</f>
        <v/>
      </c>
      <c r="X125" s="36" t="str">
        <f aca="false">IF(A125="","",IF(COUNTIF(Seguimiento!$B$2:$B$5001,A125)=0,"",_xlfn.MAXIFS(Seguimiento!$A$2:$A$5001,Seguimiento!$B$2:$B$5001,A125)))</f>
        <v/>
      </c>
      <c r="Y125" s="37" t="str">
        <f aca="true">IF(B125="","",TODAY()-B125)</f>
        <v/>
      </c>
      <c r="Z125" s="38" t="str">
        <f aca="false">IF(OR(O125="",G125=""),"",O125*IFERROR(INDEX(Listas!$B$2:$B$50,MATCH(G125,Listas!$A$2:$A$50,0)),0))</f>
        <v/>
      </c>
      <c r="AA125" s="32"/>
      <c r="AB125" s="32"/>
      <c r="AC125" s="32"/>
      <c r="AD125" s="35" t="str">
        <f aca="false">IF(OR(LEFT(H125,4)="Meta",LEFT(H125,6)="Google"),IF(AG125=3,"Lead calificado",IF(OR(AG125=4,AG125=5),"Tasación/visita",IF(OR(AG125=6,AG125=7),"Captación/oferta",IF(AG125=8,"Cierre","")))),"")</f>
        <v/>
      </c>
      <c r="AE125" s="32"/>
      <c r="AF125" s="32"/>
      <c r="AG125" s="37" t="n">
        <f aca="false">IF(R125="",0,IFERROR(MATCH(R125,Listas!$L$2:$L$50,0),0))</f>
        <v>0</v>
      </c>
    </row>
    <row r="126" customFormat="false" ht="15" hidden="false" customHeight="false" outlineLevel="0" collapsed="false">
      <c r="A126" s="30"/>
      <c r="B126" s="31"/>
      <c r="C126" s="32"/>
      <c r="D126" s="32"/>
      <c r="E126" s="33"/>
      <c r="F126" s="32"/>
      <c r="G126" s="32"/>
      <c r="H126" s="32"/>
      <c r="I126" s="32"/>
      <c r="J126" s="32"/>
      <c r="K126" s="32"/>
      <c r="L126" s="32"/>
      <c r="M126" s="30"/>
      <c r="N126" s="32"/>
      <c r="O126" s="34"/>
      <c r="P126" s="32"/>
      <c r="Q126" s="32"/>
      <c r="R126" s="32"/>
      <c r="S126" s="32"/>
      <c r="T126" s="32"/>
      <c r="U126" s="32"/>
      <c r="V126" s="31"/>
      <c r="W126" s="35" t="str">
        <f aca="true">IF(OR(V126="",AG126&gt;=8),"",IF(V126&lt;TODAY(),"Vencida",IF(V126=TODAY(),"Hoy","")))</f>
        <v/>
      </c>
      <c r="X126" s="36" t="str">
        <f aca="false">IF(A126="","",IF(COUNTIF(Seguimiento!$B$2:$B$5001,A126)=0,"",_xlfn.MAXIFS(Seguimiento!$A$2:$A$5001,Seguimiento!$B$2:$B$5001,A126)))</f>
        <v/>
      </c>
      <c r="Y126" s="37" t="str">
        <f aca="true">IF(B126="","",TODAY()-B126)</f>
        <v/>
      </c>
      <c r="Z126" s="38" t="str">
        <f aca="false">IF(OR(O126="",G126=""),"",O126*IFERROR(INDEX(Listas!$B$2:$B$50,MATCH(G126,Listas!$A$2:$A$50,0)),0))</f>
        <v/>
      </c>
      <c r="AA126" s="32"/>
      <c r="AB126" s="32"/>
      <c r="AC126" s="32"/>
      <c r="AD126" s="35" t="str">
        <f aca="false">IF(OR(LEFT(H126,4)="Meta",LEFT(H126,6)="Google"),IF(AG126=3,"Lead calificado",IF(OR(AG126=4,AG126=5),"Tasación/visita",IF(OR(AG126=6,AG126=7),"Captación/oferta",IF(AG126=8,"Cierre","")))),"")</f>
        <v/>
      </c>
      <c r="AE126" s="32"/>
      <c r="AF126" s="32"/>
      <c r="AG126" s="37" t="n">
        <f aca="false">IF(R126="",0,IFERROR(MATCH(R126,Listas!$L$2:$L$50,0),0))</f>
        <v>0</v>
      </c>
    </row>
    <row r="127" customFormat="false" ht="15" hidden="false" customHeight="false" outlineLevel="0" collapsed="false">
      <c r="A127" s="30"/>
      <c r="B127" s="31"/>
      <c r="C127" s="32"/>
      <c r="D127" s="32"/>
      <c r="E127" s="33"/>
      <c r="F127" s="32"/>
      <c r="G127" s="32"/>
      <c r="H127" s="32"/>
      <c r="I127" s="32"/>
      <c r="J127" s="32"/>
      <c r="K127" s="32"/>
      <c r="L127" s="32"/>
      <c r="M127" s="30"/>
      <c r="N127" s="32"/>
      <c r="O127" s="34"/>
      <c r="P127" s="32"/>
      <c r="Q127" s="32"/>
      <c r="R127" s="32"/>
      <c r="S127" s="32"/>
      <c r="T127" s="32"/>
      <c r="U127" s="32"/>
      <c r="V127" s="31"/>
      <c r="W127" s="35" t="str">
        <f aca="true">IF(OR(V127="",AG127&gt;=8),"",IF(V127&lt;TODAY(),"Vencida",IF(V127=TODAY(),"Hoy","")))</f>
        <v/>
      </c>
      <c r="X127" s="36" t="str">
        <f aca="false">IF(A127="","",IF(COUNTIF(Seguimiento!$B$2:$B$5001,A127)=0,"",_xlfn.MAXIFS(Seguimiento!$A$2:$A$5001,Seguimiento!$B$2:$B$5001,A127)))</f>
        <v/>
      </c>
      <c r="Y127" s="37" t="str">
        <f aca="true">IF(B127="","",TODAY()-B127)</f>
        <v/>
      </c>
      <c r="Z127" s="38" t="str">
        <f aca="false">IF(OR(O127="",G127=""),"",O127*IFERROR(INDEX(Listas!$B$2:$B$50,MATCH(G127,Listas!$A$2:$A$50,0)),0))</f>
        <v/>
      </c>
      <c r="AA127" s="32"/>
      <c r="AB127" s="32"/>
      <c r="AC127" s="32"/>
      <c r="AD127" s="35" t="str">
        <f aca="false">IF(OR(LEFT(H127,4)="Meta",LEFT(H127,6)="Google"),IF(AG127=3,"Lead calificado",IF(OR(AG127=4,AG127=5),"Tasación/visita",IF(OR(AG127=6,AG127=7),"Captación/oferta",IF(AG127=8,"Cierre","")))),"")</f>
        <v/>
      </c>
      <c r="AE127" s="32"/>
      <c r="AF127" s="32"/>
      <c r="AG127" s="37" t="n">
        <f aca="false">IF(R127="",0,IFERROR(MATCH(R127,Listas!$L$2:$L$50,0),0))</f>
        <v>0</v>
      </c>
    </row>
    <row r="128" customFormat="false" ht="15" hidden="false" customHeight="false" outlineLevel="0" collapsed="false">
      <c r="A128" s="30"/>
      <c r="B128" s="31"/>
      <c r="C128" s="32"/>
      <c r="D128" s="32"/>
      <c r="E128" s="33"/>
      <c r="F128" s="32"/>
      <c r="G128" s="32"/>
      <c r="H128" s="32"/>
      <c r="I128" s="32"/>
      <c r="J128" s="32"/>
      <c r="K128" s="32"/>
      <c r="L128" s="32"/>
      <c r="M128" s="30"/>
      <c r="N128" s="32"/>
      <c r="O128" s="34"/>
      <c r="P128" s="32"/>
      <c r="Q128" s="32"/>
      <c r="R128" s="32"/>
      <c r="S128" s="32"/>
      <c r="T128" s="32"/>
      <c r="U128" s="32"/>
      <c r="V128" s="31"/>
      <c r="W128" s="35" t="str">
        <f aca="true">IF(OR(V128="",AG128&gt;=8),"",IF(V128&lt;TODAY(),"Vencida",IF(V128=TODAY(),"Hoy","")))</f>
        <v/>
      </c>
      <c r="X128" s="36" t="str">
        <f aca="false">IF(A128="","",IF(COUNTIF(Seguimiento!$B$2:$B$5001,A128)=0,"",_xlfn.MAXIFS(Seguimiento!$A$2:$A$5001,Seguimiento!$B$2:$B$5001,A128)))</f>
        <v/>
      </c>
      <c r="Y128" s="37" t="str">
        <f aca="true">IF(B128="","",TODAY()-B128)</f>
        <v/>
      </c>
      <c r="Z128" s="38" t="str">
        <f aca="false">IF(OR(O128="",G128=""),"",O128*IFERROR(INDEX(Listas!$B$2:$B$50,MATCH(G128,Listas!$A$2:$A$50,0)),0))</f>
        <v/>
      </c>
      <c r="AA128" s="32"/>
      <c r="AB128" s="32"/>
      <c r="AC128" s="32"/>
      <c r="AD128" s="35" t="str">
        <f aca="false">IF(OR(LEFT(H128,4)="Meta",LEFT(H128,6)="Google"),IF(AG128=3,"Lead calificado",IF(OR(AG128=4,AG128=5),"Tasación/visita",IF(OR(AG128=6,AG128=7),"Captación/oferta",IF(AG128=8,"Cierre","")))),"")</f>
        <v/>
      </c>
      <c r="AE128" s="32"/>
      <c r="AF128" s="32"/>
      <c r="AG128" s="37" t="n">
        <f aca="false">IF(R128="",0,IFERROR(MATCH(R128,Listas!$L$2:$L$50,0),0))</f>
        <v>0</v>
      </c>
    </row>
    <row r="129" customFormat="false" ht="15" hidden="false" customHeight="false" outlineLevel="0" collapsed="false">
      <c r="A129" s="30"/>
      <c r="B129" s="31"/>
      <c r="C129" s="32"/>
      <c r="D129" s="32"/>
      <c r="E129" s="33"/>
      <c r="F129" s="32"/>
      <c r="G129" s="32"/>
      <c r="H129" s="32"/>
      <c r="I129" s="32"/>
      <c r="J129" s="32"/>
      <c r="K129" s="32"/>
      <c r="L129" s="32"/>
      <c r="M129" s="30"/>
      <c r="N129" s="32"/>
      <c r="O129" s="34"/>
      <c r="P129" s="32"/>
      <c r="Q129" s="32"/>
      <c r="R129" s="32"/>
      <c r="S129" s="32"/>
      <c r="T129" s="32"/>
      <c r="U129" s="32"/>
      <c r="V129" s="31"/>
      <c r="W129" s="35" t="str">
        <f aca="true">IF(OR(V129="",AG129&gt;=8),"",IF(V129&lt;TODAY(),"Vencida",IF(V129=TODAY(),"Hoy","")))</f>
        <v/>
      </c>
      <c r="X129" s="36" t="str">
        <f aca="false">IF(A129="","",IF(COUNTIF(Seguimiento!$B$2:$B$5001,A129)=0,"",_xlfn.MAXIFS(Seguimiento!$A$2:$A$5001,Seguimiento!$B$2:$B$5001,A129)))</f>
        <v/>
      </c>
      <c r="Y129" s="37" t="str">
        <f aca="true">IF(B129="","",TODAY()-B129)</f>
        <v/>
      </c>
      <c r="Z129" s="38" t="str">
        <f aca="false">IF(OR(O129="",G129=""),"",O129*IFERROR(INDEX(Listas!$B$2:$B$50,MATCH(G129,Listas!$A$2:$A$50,0)),0))</f>
        <v/>
      </c>
      <c r="AA129" s="32"/>
      <c r="AB129" s="32"/>
      <c r="AC129" s="32"/>
      <c r="AD129" s="35" t="str">
        <f aca="false">IF(OR(LEFT(H129,4)="Meta",LEFT(H129,6)="Google"),IF(AG129=3,"Lead calificado",IF(OR(AG129=4,AG129=5),"Tasación/visita",IF(OR(AG129=6,AG129=7),"Captación/oferta",IF(AG129=8,"Cierre","")))),"")</f>
        <v/>
      </c>
      <c r="AE129" s="32"/>
      <c r="AF129" s="32"/>
      <c r="AG129" s="37" t="n">
        <f aca="false">IF(R129="",0,IFERROR(MATCH(R129,Listas!$L$2:$L$50,0),0))</f>
        <v>0</v>
      </c>
    </row>
    <row r="130" customFormat="false" ht="15" hidden="false" customHeight="false" outlineLevel="0" collapsed="false">
      <c r="A130" s="30"/>
      <c r="B130" s="31"/>
      <c r="C130" s="32"/>
      <c r="D130" s="32"/>
      <c r="E130" s="33"/>
      <c r="F130" s="32"/>
      <c r="G130" s="32"/>
      <c r="H130" s="32"/>
      <c r="I130" s="32"/>
      <c r="J130" s="32"/>
      <c r="K130" s="32"/>
      <c r="L130" s="32"/>
      <c r="M130" s="30"/>
      <c r="N130" s="32"/>
      <c r="O130" s="34"/>
      <c r="P130" s="32"/>
      <c r="Q130" s="32"/>
      <c r="R130" s="32"/>
      <c r="S130" s="32"/>
      <c r="T130" s="32"/>
      <c r="U130" s="32"/>
      <c r="V130" s="31"/>
      <c r="W130" s="35" t="str">
        <f aca="true">IF(OR(V130="",AG130&gt;=8),"",IF(V130&lt;TODAY(),"Vencida",IF(V130=TODAY(),"Hoy","")))</f>
        <v/>
      </c>
      <c r="X130" s="36" t="str">
        <f aca="false">IF(A130="","",IF(COUNTIF(Seguimiento!$B$2:$B$5001,A130)=0,"",_xlfn.MAXIFS(Seguimiento!$A$2:$A$5001,Seguimiento!$B$2:$B$5001,A130)))</f>
        <v/>
      </c>
      <c r="Y130" s="37" t="str">
        <f aca="true">IF(B130="","",TODAY()-B130)</f>
        <v/>
      </c>
      <c r="Z130" s="38" t="str">
        <f aca="false">IF(OR(O130="",G130=""),"",O130*IFERROR(INDEX(Listas!$B$2:$B$50,MATCH(G130,Listas!$A$2:$A$50,0)),0))</f>
        <v/>
      </c>
      <c r="AA130" s="32"/>
      <c r="AB130" s="32"/>
      <c r="AC130" s="32"/>
      <c r="AD130" s="35" t="str">
        <f aca="false">IF(OR(LEFT(H130,4)="Meta",LEFT(H130,6)="Google"),IF(AG130=3,"Lead calificado",IF(OR(AG130=4,AG130=5),"Tasación/visita",IF(OR(AG130=6,AG130=7),"Captación/oferta",IF(AG130=8,"Cierre","")))),"")</f>
        <v/>
      </c>
      <c r="AE130" s="32"/>
      <c r="AF130" s="32"/>
      <c r="AG130" s="37" t="n">
        <f aca="false">IF(R130="",0,IFERROR(MATCH(R130,Listas!$L$2:$L$50,0),0))</f>
        <v>0</v>
      </c>
    </row>
    <row r="131" customFormat="false" ht="15" hidden="false" customHeight="false" outlineLevel="0" collapsed="false">
      <c r="A131" s="30"/>
      <c r="B131" s="31"/>
      <c r="C131" s="32"/>
      <c r="D131" s="32"/>
      <c r="E131" s="33"/>
      <c r="F131" s="32"/>
      <c r="G131" s="32"/>
      <c r="H131" s="32"/>
      <c r="I131" s="32"/>
      <c r="J131" s="32"/>
      <c r="K131" s="32"/>
      <c r="L131" s="32"/>
      <c r="M131" s="30"/>
      <c r="N131" s="32"/>
      <c r="O131" s="34"/>
      <c r="P131" s="32"/>
      <c r="Q131" s="32"/>
      <c r="R131" s="32"/>
      <c r="S131" s="32"/>
      <c r="T131" s="32"/>
      <c r="U131" s="32"/>
      <c r="V131" s="31"/>
      <c r="W131" s="35" t="str">
        <f aca="true">IF(OR(V131="",AG131&gt;=8),"",IF(V131&lt;TODAY(),"Vencida",IF(V131=TODAY(),"Hoy","")))</f>
        <v/>
      </c>
      <c r="X131" s="36" t="str">
        <f aca="false">IF(A131="","",IF(COUNTIF(Seguimiento!$B$2:$B$5001,A131)=0,"",_xlfn.MAXIFS(Seguimiento!$A$2:$A$5001,Seguimiento!$B$2:$B$5001,A131)))</f>
        <v/>
      </c>
      <c r="Y131" s="37" t="str">
        <f aca="true">IF(B131="","",TODAY()-B131)</f>
        <v/>
      </c>
      <c r="Z131" s="38" t="str">
        <f aca="false">IF(OR(O131="",G131=""),"",O131*IFERROR(INDEX(Listas!$B$2:$B$50,MATCH(G131,Listas!$A$2:$A$50,0)),0))</f>
        <v/>
      </c>
      <c r="AA131" s="32"/>
      <c r="AB131" s="32"/>
      <c r="AC131" s="32"/>
      <c r="AD131" s="35" t="str">
        <f aca="false">IF(OR(LEFT(H131,4)="Meta",LEFT(H131,6)="Google"),IF(AG131=3,"Lead calificado",IF(OR(AG131=4,AG131=5),"Tasación/visita",IF(OR(AG131=6,AG131=7),"Captación/oferta",IF(AG131=8,"Cierre","")))),"")</f>
        <v/>
      </c>
      <c r="AE131" s="32"/>
      <c r="AF131" s="32"/>
      <c r="AG131" s="37" t="n">
        <f aca="false">IF(R131="",0,IFERROR(MATCH(R131,Listas!$L$2:$L$50,0),0))</f>
        <v>0</v>
      </c>
    </row>
    <row r="132" customFormat="false" ht="15" hidden="false" customHeight="false" outlineLevel="0" collapsed="false">
      <c r="A132" s="30"/>
      <c r="B132" s="31"/>
      <c r="C132" s="32"/>
      <c r="D132" s="32"/>
      <c r="E132" s="33"/>
      <c r="F132" s="32"/>
      <c r="G132" s="32"/>
      <c r="H132" s="32"/>
      <c r="I132" s="32"/>
      <c r="J132" s="32"/>
      <c r="K132" s="32"/>
      <c r="L132" s="32"/>
      <c r="M132" s="30"/>
      <c r="N132" s="32"/>
      <c r="O132" s="34"/>
      <c r="P132" s="32"/>
      <c r="Q132" s="32"/>
      <c r="R132" s="32"/>
      <c r="S132" s="32"/>
      <c r="T132" s="32"/>
      <c r="U132" s="32"/>
      <c r="V132" s="31"/>
      <c r="W132" s="35" t="str">
        <f aca="true">IF(OR(V132="",AG132&gt;=8),"",IF(V132&lt;TODAY(),"Vencida",IF(V132=TODAY(),"Hoy","")))</f>
        <v/>
      </c>
      <c r="X132" s="36" t="str">
        <f aca="false">IF(A132="","",IF(COUNTIF(Seguimiento!$B$2:$B$5001,A132)=0,"",_xlfn.MAXIFS(Seguimiento!$A$2:$A$5001,Seguimiento!$B$2:$B$5001,A132)))</f>
        <v/>
      </c>
      <c r="Y132" s="37" t="str">
        <f aca="true">IF(B132="","",TODAY()-B132)</f>
        <v/>
      </c>
      <c r="Z132" s="38" t="str">
        <f aca="false">IF(OR(O132="",G132=""),"",O132*IFERROR(INDEX(Listas!$B$2:$B$50,MATCH(G132,Listas!$A$2:$A$50,0)),0))</f>
        <v/>
      </c>
      <c r="AA132" s="32"/>
      <c r="AB132" s="32"/>
      <c r="AC132" s="32"/>
      <c r="AD132" s="35" t="str">
        <f aca="false">IF(OR(LEFT(H132,4)="Meta",LEFT(H132,6)="Google"),IF(AG132=3,"Lead calificado",IF(OR(AG132=4,AG132=5),"Tasación/visita",IF(OR(AG132=6,AG132=7),"Captación/oferta",IF(AG132=8,"Cierre","")))),"")</f>
        <v/>
      </c>
      <c r="AE132" s="32"/>
      <c r="AF132" s="32"/>
      <c r="AG132" s="37" t="n">
        <f aca="false">IF(R132="",0,IFERROR(MATCH(R132,Listas!$L$2:$L$50,0),0))</f>
        <v>0</v>
      </c>
    </row>
    <row r="133" customFormat="false" ht="15" hidden="false" customHeight="false" outlineLevel="0" collapsed="false">
      <c r="A133" s="30"/>
      <c r="B133" s="31"/>
      <c r="C133" s="32"/>
      <c r="D133" s="32"/>
      <c r="E133" s="33"/>
      <c r="F133" s="32"/>
      <c r="G133" s="32"/>
      <c r="H133" s="32"/>
      <c r="I133" s="32"/>
      <c r="J133" s="32"/>
      <c r="K133" s="32"/>
      <c r="L133" s="32"/>
      <c r="M133" s="30"/>
      <c r="N133" s="32"/>
      <c r="O133" s="34"/>
      <c r="P133" s="32"/>
      <c r="Q133" s="32"/>
      <c r="R133" s="32"/>
      <c r="S133" s="32"/>
      <c r="T133" s="32"/>
      <c r="U133" s="32"/>
      <c r="V133" s="31"/>
      <c r="W133" s="35" t="str">
        <f aca="true">IF(OR(V133="",AG133&gt;=8),"",IF(V133&lt;TODAY(),"Vencida",IF(V133=TODAY(),"Hoy","")))</f>
        <v/>
      </c>
      <c r="X133" s="36" t="str">
        <f aca="false">IF(A133="","",IF(COUNTIF(Seguimiento!$B$2:$B$5001,A133)=0,"",_xlfn.MAXIFS(Seguimiento!$A$2:$A$5001,Seguimiento!$B$2:$B$5001,A133)))</f>
        <v/>
      </c>
      <c r="Y133" s="37" t="str">
        <f aca="true">IF(B133="","",TODAY()-B133)</f>
        <v/>
      </c>
      <c r="Z133" s="38" t="str">
        <f aca="false">IF(OR(O133="",G133=""),"",O133*IFERROR(INDEX(Listas!$B$2:$B$50,MATCH(G133,Listas!$A$2:$A$50,0)),0))</f>
        <v/>
      </c>
      <c r="AA133" s="32"/>
      <c r="AB133" s="32"/>
      <c r="AC133" s="32"/>
      <c r="AD133" s="35" t="str">
        <f aca="false">IF(OR(LEFT(H133,4)="Meta",LEFT(H133,6)="Google"),IF(AG133=3,"Lead calificado",IF(OR(AG133=4,AG133=5),"Tasación/visita",IF(OR(AG133=6,AG133=7),"Captación/oferta",IF(AG133=8,"Cierre","")))),"")</f>
        <v/>
      </c>
      <c r="AE133" s="32"/>
      <c r="AF133" s="32"/>
      <c r="AG133" s="37" t="n">
        <f aca="false">IF(R133="",0,IFERROR(MATCH(R133,Listas!$L$2:$L$50,0),0))</f>
        <v>0</v>
      </c>
    </row>
    <row r="134" customFormat="false" ht="15" hidden="false" customHeight="false" outlineLevel="0" collapsed="false">
      <c r="A134" s="30"/>
      <c r="B134" s="31"/>
      <c r="C134" s="32"/>
      <c r="D134" s="32"/>
      <c r="E134" s="33"/>
      <c r="F134" s="32"/>
      <c r="G134" s="32"/>
      <c r="H134" s="32"/>
      <c r="I134" s="32"/>
      <c r="J134" s="32"/>
      <c r="K134" s="32"/>
      <c r="L134" s="32"/>
      <c r="M134" s="30"/>
      <c r="N134" s="32"/>
      <c r="O134" s="34"/>
      <c r="P134" s="32"/>
      <c r="Q134" s="32"/>
      <c r="R134" s="32"/>
      <c r="S134" s="32"/>
      <c r="T134" s="32"/>
      <c r="U134" s="32"/>
      <c r="V134" s="31"/>
      <c r="W134" s="35" t="str">
        <f aca="true">IF(OR(V134="",AG134&gt;=8),"",IF(V134&lt;TODAY(),"Vencida",IF(V134=TODAY(),"Hoy","")))</f>
        <v/>
      </c>
      <c r="X134" s="36" t="str">
        <f aca="false">IF(A134="","",IF(COUNTIF(Seguimiento!$B$2:$B$5001,A134)=0,"",_xlfn.MAXIFS(Seguimiento!$A$2:$A$5001,Seguimiento!$B$2:$B$5001,A134)))</f>
        <v/>
      </c>
      <c r="Y134" s="37" t="str">
        <f aca="true">IF(B134="","",TODAY()-B134)</f>
        <v/>
      </c>
      <c r="Z134" s="38" t="str">
        <f aca="false">IF(OR(O134="",G134=""),"",O134*IFERROR(INDEX(Listas!$B$2:$B$50,MATCH(G134,Listas!$A$2:$A$50,0)),0))</f>
        <v/>
      </c>
      <c r="AA134" s="32"/>
      <c r="AB134" s="32"/>
      <c r="AC134" s="32"/>
      <c r="AD134" s="35" t="str">
        <f aca="false">IF(OR(LEFT(H134,4)="Meta",LEFT(H134,6)="Google"),IF(AG134=3,"Lead calificado",IF(OR(AG134=4,AG134=5),"Tasación/visita",IF(OR(AG134=6,AG134=7),"Captación/oferta",IF(AG134=8,"Cierre","")))),"")</f>
        <v/>
      </c>
      <c r="AE134" s="32"/>
      <c r="AF134" s="32"/>
      <c r="AG134" s="37" t="n">
        <f aca="false">IF(R134="",0,IFERROR(MATCH(R134,Listas!$L$2:$L$50,0),0))</f>
        <v>0</v>
      </c>
    </row>
    <row r="135" customFormat="false" ht="15" hidden="false" customHeight="false" outlineLevel="0" collapsed="false">
      <c r="A135" s="30"/>
      <c r="B135" s="31"/>
      <c r="C135" s="32"/>
      <c r="D135" s="32"/>
      <c r="E135" s="33"/>
      <c r="F135" s="32"/>
      <c r="G135" s="32"/>
      <c r="H135" s="32"/>
      <c r="I135" s="32"/>
      <c r="J135" s="32"/>
      <c r="K135" s="32"/>
      <c r="L135" s="32"/>
      <c r="M135" s="30"/>
      <c r="N135" s="32"/>
      <c r="O135" s="34"/>
      <c r="P135" s="32"/>
      <c r="Q135" s="32"/>
      <c r="R135" s="32"/>
      <c r="S135" s="32"/>
      <c r="T135" s="32"/>
      <c r="U135" s="32"/>
      <c r="V135" s="31"/>
      <c r="W135" s="35" t="str">
        <f aca="true">IF(OR(V135="",AG135&gt;=8),"",IF(V135&lt;TODAY(),"Vencida",IF(V135=TODAY(),"Hoy","")))</f>
        <v/>
      </c>
      <c r="X135" s="36" t="str">
        <f aca="false">IF(A135="","",IF(COUNTIF(Seguimiento!$B$2:$B$5001,A135)=0,"",_xlfn.MAXIFS(Seguimiento!$A$2:$A$5001,Seguimiento!$B$2:$B$5001,A135)))</f>
        <v/>
      </c>
      <c r="Y135" s="37" t="str">
        <f aca="true">IF(B135="","",TODAY()-B135)</f>
        <v/>
      </c>
      <c r="Z135" s="38" t="str">
        <f aca="false">IF(OR(O135="",G135=""),"",O135*IFERROR(INDEX(Listas!$B$2:$B$50,MATCH(G135,Listas!$A$2:$A$50,0)),0))</f>
        <v/>
      </c>
      <c r="AA135" s="32"/>
      <c r="AB135" s="32"/>
      <c r="AC135" s="32"/>
      <c r="AD135" s="35" t="str">
        <f aca="false">IF(OR(LEFT(H135,4)="Meta",LEFT(H135,6)="Google"),IF(AG135=3,"Lead calificado",IF(OR(AG135=4,AG135=5),"Tasación/visita",IF(OR(AG135=6,AG135=7),"Captación/oferta",IF(AG135=8,"Cierre","")))),"")</f>
        <v/>
      </c>
      <c r="AE135" s="32"/>
      <c r="AF135" s="32"/>
      <c r="AG135" s="37" t="n">
        <f aca="false">IF(R135="",0,IFERROR(MATCH(R135,Listas!$L$2:$L$50,0),0))</f>
        <v>0</v>
      </c>
    </row>
    <row r="136" customFormat="false" ht="15" hidden="false" customHeight="false" outlineLevel="0" collapsed="false">
      <c r="A136" s="30"/>
      <c r="B136" s="31"/>
      <c r="C136" s="32"/>
      <c r="D136" s="32"/>
      <c r="E136" s="33"/>
      <c r="F136" s="32"/>
      <c r="G136" s="32"/>
      <c r="H136" s="32"/>
      <c r="I136" s="32"/>
      <c r="J136" s="32"/>
      <c r="K136" s="32"/>
      <c r="L136" s="32"/>
      <c r="M136" s="30"/>
      <c r="N136" s="32"/>
      <c r="O136" s="34"/>
      <c r="P136" s="32"/>
      <c r="Q136" s="32"/>
      <c r="R136" s="32"/>
      <c r="S136" s="32"/>
      <c r="T136" s="32"/>
      <c r="U136" s="32"/>
      <c r="V136" s="31"/>
      <c r="W136" s="35" t="str">
        <f aca="true">IF(OR(V136="",AG136&gt;=8),"",IF(V136&lt;TODAY(),"Vencida",IF(V136=TODAY(),"Hoy","")))</f>
        <v/>
      </c>
      <c r="X136" s="36" t="str">
        <f aca="false">IF(A136="","",IF(COUNTIF(Seguimiento!$B$2:$B$5001,A136)=0,"",_xlfn.MAXIFS(Seguimiento!$A$2:$A$5001,Seguimiento!$B$2:$B$5001,A136)))</f>
        <v/>
      </c>
      <c r="Y136" s="37" t="str">
        <f aca="true">IF(B136="","",TODAY()-B136)</f>
        <v/>
      </c>
      <c r="Z136" s="38" t="str">
        <f aca="false">IF(OR(O136="",G136=""),"",O136*IFERROR(INDEX(Listas!$B$2:$B$50,MATCH(G136,Listas!$A$2:$A$50,0)),0))</f>
        <v/>
      </c>
      <c r="AA136" s="32"/>
      <c r="AB136" s="32"/>
      <c r="AC136" s="32"/>
      <c r="AD136" s="35" t="str">
        <f aca="false">IF(OR(LEFT(H136,4)="Meta",LEFT(H136,6)="Google"),IF(AG136=3,"Lead calificado",IF(OR(AG136=4,AG136=5),"Tasación/visita",IF(OR(AG136=6,AG136=7),"Captación/oferta",IF(AG136=8,"Cierre","")))),"")</f>
        <v/>
      </c>
      <c r="AE136" s="32"/>
      <c r="AF136" s="32"/>
      <c r="AG136" s="37" t="n">
        <f aca="false">IF(R136="",0,IFERROR(MATCH(R136,Listas!$L$2:$L$50,0),0))</f>
        <v>0</v>
      </c>
    </row>
    <row r="137" customFormat="false" ht="15" hidden="false" customHeight="false" outlineLevel="0" collapsed="false">
      <c r="A137" s="30"/>
      <c r="B137" s="31"/>
      <c r="C137" s="32"/>
      <c r="D137" s="32"/>
      <c r="E137" s="33"/>
      <c r="F137" s="32"/>
      <c r="G137" s="32"/>
      <c r="H137" s="32"/>
      <c r="I137" s="32"/>
      <c r="J137" s="32"/>
      <c r="K137" s="32"/>
      <c r="L137" s="32"/>
      <c r="M137" s="30"/>
      <c r="N137" s="32"/>
      <c r="O137" s="34"/>
      <c r="P137" s="32"/>
      <c r="Q137" s="32"/>
      <c r="R137" s="32"/>
      <c r="S137" s="32"/>
      <c r="T137" s="32"/>
      <c r="U137" s="32"/>
      <c r="V137" s="31"/>
      <c r="W137" s="35" t="str">
        <f aca="true">IF(OR(V137="",AG137&gt;=8),"",IF(V137&lt;TODAY(),"Vencida",IF(V137=TODAY(),"Hoy","")))</f>
        <v/>
      </c>
      <c r="X137" s="36" t="str">
        <f aca="false">IF(A137="","",IF(COUNTIF(Seguimiento!$B$2:$B$5001,A137)=0,"",_xlfn.MAXIFS(Seguimiento!$A$2:$A$5001,Seguimiento!$B$2:$B$5001,A137)))</f>
        <v/>
      </c>
      <c r="Y137" s="37" t="str">
        <f aca="true">IF(B137="","",TODAY()-B137)</f>
        <v/>
      </c>
      <c r="Z137" s="38" t="str">
        <f aca="false">IF(OR(O137="",G137=""),"",O137*IFERROR(INDEX(Listas!$B$2:$B$50,MATCH(G137,Listas!$A$2:$A$50,0)),0))</f>
        <v/>
      </c>
      <c r="AA137" s="32"/>
      <c r="AB137" s="32"/>
      <c r="AC137" s="32"/>
      <c r="AD137" s="35" t="str">
        <f aca="false">IF(OR(LEFT(H137,4)="Meta",LEFT(H137,6)="Google"),IF(AG137=3,"Lead calificado",IF(OR(AG137=4,AG137=5),"Tasación/visita",IF(OR(AG137=6,AG137=7),"Captación/oferta",IF(AG137=8,"Cierre","")))),"")</f>
        <v/>
      </c>
      <c r="AE137" s="32"/>
      <c r="AF137" s="32"/>
      <c r="AG137" s="37" t="n">
        <f aca="false">IF(R137="",0,IFERROR(MATCH(R137,Listas!$L$2:$L$50,0),0))</f>
        <v>0</v>
      </c>
    </row>
    <row r="138" customFormat="false" ht="15" hidden="false" customHeight="false" outlineLevel="0" collapsed="false">
      <c r="A138" s="30"/>
      <c r="B138" s="31"/>
      <c r="C138" s="32"/>
      <c r="D138" s="32"/>
      <c r="E138" s="33"/>
      <c r="F138" s="32"/>
      <c r="G138" s="32"/>
      <c r="H138" s="32"/>
      <c r="I138" s="32"/>
      <c r="J138" s="32"/>
      <c r="K138" s="32"/>
      <c r="L138" s="32"/>
      <c r="M138" s="30"/>
      <c r="N138" s="32"/>
      <c r="O138" s="34"/>
      <c r="P138" s="32"/>
      <c r="Q138" s="32"/>
      <c r="R138" s="32"/>
      <c r="S138" s="32"/>
      <c r="T138" s="32"/>
      <c r="U138" s="32"/>
      <c r="V138" s="31"/>
      <c r="W138" s="35" t="str">
        <f aca="true">IF(OR(V138="",AG138&gt;=8),"",IF(V138&lt;TODAY(),"Vencida",IF(V138=TODAY(),"Hoy","")))</f>
        <v/>
      </c>
      <c r="X138" s="36" t="str">
        <f aca="false">IF(A138="","",IF(COUNTIF(Seguimiento!$B$2:$B$5001,A138)=0,"",_xlfn.MAXIFS(Seguimiento!$A$2:$A$5001,Seguimiento!$B$2:$B$5001,A138)))</f>
        <v/>
      </c>
      <c r="Y138" s="37" t="str">
        <f aca="true">IF(B138="","",TODAY()-B138)</f>
        <v/>
      </c>
      <c r="Z138" s="38" t="str">
        <f aca="false">IF(OR(O138="",G138=""),"",O138*IFERROR(INDEX(Listas!$B$2:$B$50,MATCH(G138,Listas!$A$2:$A$50,0)),0))</f>
        <v/>
      </c>
      <c r="AA138" s="32"/>
      <c r="AB138" s="32"/>
      <c r="AC138" s="32"/>
      <c r="AD138" s="35" t="str">
        <f aca="false">IF(OR(LEFT(H138,4)="Meta",LEFT(H138,6)="Google"),IF(AG138=3,"Lead calificado",IF(OR(AG138=4,AG138=5),"Tasación/visita",IF(OR(AG138=6,AG138=7),"Captación/oferta",IF(AG138=8,"Cierre","")))),"")</f>
        <v/>
      </c>
      <c r="AE138" s="32"/>
      <c r="AF138" s="32"/>
      <c r="AG138" s="37" t="n">
        <f aca="false">IF(R138="",0,IFERROR(MATCH(R138,Listas!$L$2:$L$50,0),0))</f>
        <v>0</v>
      </c>
    </row>
    <row r="139" customFormat="false" ht="15" hidden="false" customHeight="false" outlineLevel="0" collapsed="false">
      <c r="A139" s="30"/>
      <c r="B139" s="31"/>
      <c r="C139" s="32"/>
      <c r="D139" s="32"/>
      <c r="E139" s="33"/>
      <c r="F139" s="32"/>
      <c r="G139" s="32"/>
      <c r="H139" s="32"/>
      <c r="I139" s="32"/>
      <c r="J139" s="32"/>
      <c r="K139" s="32"/>
      <c r="L139" s="32"/>
      <c r="M139" s="30"/>
      <c r="N139" s="32"/>
      <c r="O139" s="34"/>
      <c r="P139" s="32"/>
      <c r="Q139" s="32"/>
      <c r="R139" s="32"/>
      <c r="S139" s="32"/>
      <c r="T139" s="32"/>
      <c r="U139" s="32"/>
      <c r="V139" s="31"/>
      <c r="W139" s="35" t="str">
        <f aca="true">IF(OR(V139="",AG139&gt;=8),"",IF(V139&lt;TODAY(),"Vencida",IF(V139=TODAY(),"Hoy","")))</f>
        <v/>
      </c>
      <c r="X139" s="36" t="str">
        <f aca="false">IF(A139="","",IF(COUNTIF(Seguimiento!$B$2:$B$5001,A139)=0,"",_xlfn.MAXIFS(Seguimiento!$A$2:$A$5001,Seguimiento!$B$2:$B$5001,A139)))</f>
        <v/>
      </c>
      <c r="Y139" s="37" t="str">
        <f aca="true">IF(B139="","",TODAY()-B139)</f>
        <v/>
      </c>
      <c r="Z139" s="38" t="str">
        <f aca="false">IF(OR(O139="",G139=""),"",O139*IFERROR(INDEX(Listas!$B$2:$B$50,MATCH(G139,Listas!$A$2:$A$50,0)),0))</f>
        <v/>
      </c>
      <c r="AA139" s="32"/>
      <c r="AB139" s="32"/>
      <c r="AC139" s="32"/>
      <c r="AD139" s="35" t="str">
        <f aca="false">IF(OR(LEFT(H139,4)="Meta",LEFT(H139,6)="Google"),IF(AG139=3,"Lead calificado",IF(OR(AG139=4,AG139=5),"Tasación/visita",IF(OR(AG139=6,AG139=7),"Captación/oferta",IF(AG139=8,"Cierre","")))),"")</f>
        <v/>
      </c>
      <c r="AE139" s="32"/>
      <c r="AF139" s="32"/>
      <c r="AG139" s="37" t="n">
        <f aca="false">IF(R139="",0,IFERROR(MATCH(R139,Listas!$L$2:$L$50,0),0))</f>
        <v>0</v>
      </c>
    </row>
    <row r="140" customFormat="false" ht="15" hidden="false" customHeight="false" outlineLevel="0" collapsed="false">
      <c r="A140" s="30"/>
      <c r="B140" s="31"/>
      <c r="C140" s="32"/>
      <c r="D140" s="32"/>
      <c r="E140" s="33"/>
      <c r="F140" s="32"/>
      <c r="G140" s="32"/>
      <c r="H140" s="32"/>
      <c r="I140" s="32"/>
      <c r="J140" s="32"/>
      <c r="K140" s="32"/>
      <c r="L140" s="32"/>
      <c r="M140" s="30"/>
      <c r="N140" s="32"/>
      <c r="O140" s="34"/>
      <c r="P140" s="32"/>
      <c r="Q140" s="32"/>
      <c r="R140" s="32"/>
      <c r="S140" s="32"/>
      <c r="T140" s="32"/>
      <c r="U140" s="32"/>
      <c r="V140" s="31"/>
      <c r="W140" s="35" t="str">
        <f aca="true">IF(OR(V140="",AG140&gt;=8),"",IF(V140&lt;TODAY(),"Vencida",IF(V140=TODAY(),"Hoy","")))</f>
        <v/>
      </c>
      <c r="X140" s="36" t="str">
        <f aca="false">IF(A140="","",IF(COUNTIF(Seguimiento!$B$2:$B$5001,A140)=0,"",_xlfn.MAXIFS(Seguimiento!$A$2:$A$5001,Seguimiento!$B$2:$B$5001,A140)))</f>
        <v/>
      </c>
      <c r="Y140" s="37" t="str">
        <f aca="true">IF(B140="","",TODAY()-B140)</f>
        <v/>
      </c>
      <c r="Z140" s="38" t="str">
        <f aca="false">IF(OR(O140="",G140=""),"",O140*IFERROR(INDEX(Listas!$B$2:$B$50,MATCH(G140,Listas!$A$2:$A$50,0)),0))</f>
        <v/>
      </c>
      <c r="AA140" s="32"/>
      <c r="AB140" s="32"/>
      <c r="AC140" s="32"/>
      <c r="AD140" s="35" t="str">
        <f aca="false">IF(OR(LEFT(H140,4)="Meta",LEFT(H140,6)="Google"),IF(AG140=3,"Lead calificado",IF(OR(AG140=4,AG140=5),"Tasación/visita",IF(OR(AG140=6,AG140=7),"Captación/oferta",IF(AG140=8,"Cierre","")))),"")</f>
        <v/>
      </c>
      <c r="AE140" s="32"/>
      <c r="AF140" s="32"/>
      <c r="AG140" s="37" t="n">
        <f aca="false">IF(R140="",0,IFERROR(MATCH(R140,Listas!$L$2:$L$50,0),0))</f>
        <v>0</v>
      </c>
    </row>
    <row r="141" customFormat="false" ht="15" hidden="false" customHeight="false" outlineLevel="0" collapsed="false">
      <c r="A141" s="30"/>
      <c r="B141" s="31"/>
      <c r="C141" s="32"/>
      <c r="D141" s="32"/>
      <c r="E141" s="33"/>
      <c r="F141" s="32"/>
      <c r="G141" s="32"/>
      <c r="H141" s="32"/>
      <c r="I141" s="32"/>
      <c r="J141" s="32"/>
      <c r="K141" s="32"/>
      <c r="L141" s="32"/>
      <c r="M141" s="30"/>
      <c r="N141" s="32"/>
      <c r="O141" s="34"/>
      <c r="P141" s="32"/>
      <c r="Q141" s="32"/>
      <c r="R141" s="32"/>
      <c r="S141" s="32"/>
      <c r="T141" s="32"/>
      <c r="U141" s="32"/>
      <c r="V141" s="31"/>
      <c r="W141" s="35" t="str">
        <f aca="true">IF(OR(V141="",AG141&gt;=8),"",IF(V141&lt;TODAY(),"Vencida",IF(V141=TODAY(),"Hoy","")))</f>
        <v/>
      </c>
      <c r="X141" s="36" t="str">
        <f aca="false">IF(A141="","",IF(COUNTIF(Seguimiento!$B$2:$B$5001,A141)=0,"",_xlfn.MAXIFS(Seguimiento!$A$2:$A$5001,Seguimiento!$B$2:$B$5001,A141)))</f>
        <v/>
      </c>
      <c r="Y141" s="37" t="str">
        <f aca="true">IF(B141="","",TODAY()-B141)</f>
        <v/>
      </c>
      <c r="Z141" s="38" t="str">
        <f aca="false">IF(OR(O141="",G141=""),"",O141*IFERROR(INDEX(Listas!$B$2:$B$50,MATCH(G141,Listas!$A$2:$A$50,0)),0))</f>
        <v/>
      </c>
      <c r="AA141" s="32"/>
      <c r="AB141" s="32"/>
      <c r="AC141" s="32"/>
      <c r="AD141" s="35" t="str">
        <f aca="false">IF(OR(LEFT(H141,4)="Meta",LEFT(H141,6)="Google"),IF(AG141=3,"Lead calificado",IF(OR(AG141=4,AG141=5),"Tasación/visita",IF(OR(AG141=6,AG141=7),"Captación/oferta",IF(AG141=8,"Cierre","")))),"")</f>
        <v/>
      </c>
      <c r="AE141" s="32"/>
      <c r="AF141" s="32"/>
      <c r="AG141" s="37" t="n">
        <f aca="false">IF(R141="",0,IFERROR(MATCH(R141,Listas!$L$2:$L$50,0),0))</f>
        <v>0</v>
      </c>
    </row>
    <row r="142" customFormat="false" ht="15" hidden="false" customHeight="false" outlineLevel="0" collapsed="false">
      <c r="A142" s="30"/>
      <c r="B142" s="31"/>
      <c r="C142" s="32"/>
      <c r="D142" s="32"/>
      <c r="E142" s="33"/>
      <c r="F142" s="32"/>
      <c r="G142" s="32"/>
      <c r="H142" s="32"/>
      <c r="I142" s="32"/>
      <c r="J142" s="32"/>
      <c r="K142" s="32"/>
      <c r="L142" s="32"/>
      <c r="M142" s="30"/>
      <c r="N142" s="32"/>
      <c r="O142" s="34"/>
      <c r="P142" s="32"/>
      <c r="Q142" s="32"/>
      <c r="R142" s="32"/>
      <c r="S142" s="32"/>
      <c r="T142" s="32"/>
      <c r="U142" s="32"/>
      <c r="V142" s="31"/>
      <c r="W142" s="35" t="str">
        <f aca="true">IF(OR(V142="",AG142&gt;=8),"",IF(V142&lt;TODAY(),"Vencida",IF(V142=TODAY(),"Hoy","")))</f>
        <v/>
      </c>
      <c r="X142" s="36" t="str">
        <f aca="false">IF(A142="","",IF(COUNTIF(Seguimiento!$B$2:$B$5001,A142)=0,"",_xlfn.MAXIFS(Seguimiento!$A$2:$A$5001,Seguimiento!$B$2:$B$5001,A142)))</f>
        <v/>
      </c>
      <c r="Y142" s="37" t="str">
        <f aca="true">IF(B142="","",TODAY()-B142)</f>
        <v/>
      </c>
      <c r="Z142" s="38" t="str">
        <f aca="false">IF(OR(O142="",G142=""),"",O142*IFERROR(INDEX(Listas!$B$2:$B$50,MATCH(G142,Listas!$A$2:$A$50,0)),0))</f>
        <v/>
      </c>
      <c r="AA142" s="32"/>
      <c r="AB142" s="32"/>
      <c r="AC142" s="32"/>
      <c r="AD142" s="35" t="str">
        <f aca="false">IF(OR(LEFT(H142,4)="Meta",LEFT(H142,6)="Google"),IF(AG142=3,"Lead calificado",IF(OR(AG142=4,AG142=5),"Tasación/visita",IF(OR(AG142=6,AG142=7),"Captación/oferta",IF(AG142=8,"Cierre","")))),"")</f>
        <v/>
      </c>
      <c r="AE142" s="32"/>
      <c r="AF142" s="32"/>
      <c r="AG142" s="37" t="n">
        <f aca="false">IF(R142="",0,IFERROR(MATCH(R142,Listas!$L$2:$L$50,0),0))</f>
        <v>0</v>
      </c>
    </row>
    <row r="143" customFormat="false" ht="15" hidden="false" customHeight="false" outlineLevel="0" collapsed="false">
      <c r="A143" s="30"/>
      <c r="B143" s="31"/>
      <c r="C143" s="32"/>
      <c r="D143" s="32"/>
      <c r="E143" s="33"/>
      <c r="F143" s="32"/>
      <c r="G143" s="32"/>
      <c r="H143" s="32"/>
      <c r="I143" s="32"/>
      <c r="J143" s="32"/>
      <c r="K143" s="32"/>
      <c r="L143" s="32"/>
      <c r="M143" s="30"/>
      <c r="N143" s="32"/>
      <c r="O143" s="34"/>
      <c r="P143" s="32"/>
      <c r="Q143" s="32"/>
      <c r="R143" s="32"/>
      <c r="S143" s="32"/>
      <c r="T143" s="32"/>
      <c r="U143" s="32"/>
      <c r="V143" s="31"/>
      <c r="W143" s="35" t="str">
        <f aca="true">IF(OR(V143="",AG143&gt;=8),"",IF(V143&lt;TODAY(),"Vencida",IF(V143=TODAY(),"Hoy","")))</f>
        <v/>
      </c>
      <c r="X143" s="36" t="str">
        <f aca="false">IF(A143="","",IF(COUNTIF(Seguimiento!$B$2:$B$5001,A143)=0,"",_xlfn.MAXIFS(Seguimiento!$A$2:$A$5001,Seguimiento!$B$2:$B$5001,A143)))</f>
        <v/>
      </c>
      <c r="Y143" s="37" t="str">
        <f aca="true">IF(B143="","",TODAY()-B143)</f>
        <v/>
      </c>
      <c r="Z143" s="38" t="str">
        <f aca="false">IF(OR(O143="",G143=""),"",O143*IFERROR(INDEX(Listas!$B$2:$B$50,MATCH(G143,Listas!$A$2:$A$50,0)),0))</f>
        <v/>
      </c>
      <c r="AA143" s="32"/>
      <c r="AB143" s="32"/>
      <c r="AC143" s="32"/>
      <c r="AD143" s="35" t="str">
        <f aca="false">IF(OR(LEFT(H143,4)="Meta",LEFT(H143,6)="Google"),IF(AG143=3,"Lead calificado",IF(OR(AG143=4,AG143=5),"Tasación/visita",IF(OR(AG143=6,AG143=7),"Captación/oferta",IF(AG143=8,"Cierre","")))),"")</f>
        <v/>
      </c>
      <c r="AE143" s="32"/>
      <c r="AF143" s="32"/>
      <c r="AG143" s="37" t="n">
        <f aca="false">IF(R143="",0,IFERROR(MATCH(R143,Listas!$L$2:$L$50,0),0))</f>
        <v>0</v>
      </c>
    </row>
    <row r="144" customFormat="false" ht="15" hidden="false" customHeight="false" outlineLevel="0" collapsed="false">
      <c r="A144" s="30"/>
      <c r="B144" s="31"/>
      <c r="C144" s="32"/>
      <c r="D144" s="32"/>
      <c r="E144" s="33"/>
      <c r="F144" s="32"/>
      <c r="G144" s="32"/>
      <c r="H144" s="32"/>
      <c r="I144" s="32"/>
      <c r="J144" s="32"/>
      <c r="K144" s="32"/>
      <c r="L144" s="32"/>
      <c r="M144" s="30"/>
      <c r="N144" s="32"/>
      <c r="O144" s="34"/>
      <c r="P144" s="32"/>
      <c r="Q144" s="32"/>
      <c r="R144" s="32"/>
      <c r="S144" s="32"/>
      <c r="T144" s="32"/>
      <c r="U144" s="32"/>
      <c r="V144" s="31"/>
      <c r="W144" s="35" t="str">
        <f aca="true">IF(OR(V144="",AG144&gt;=8),"",IF(V144&lt;TODAY(),"Vencida",IF(V144=TODAY(),"Hoy","")))</f>
        <v/>
      </c>
      <c r="X144" s="36" t="str">
        <f aca="false">IF(A144="","",IF(COUNTIF(Seguimiento!$B$2:$B$5001,A144)=0,"",_xlfn.MAXIFS(Seguimiento!$A$2:$A$5001,Seguimiento!$B$2:$B$5001,A144)))</f>
        <v/>
      </c>
      <c r="Y144" s="37" t="str">
        <f aca="true">IF(B144="","",TODAY()-B144)</f>
        <v/>
      </c>
      <c r="Z144" s="38" t="str">
        <f aca="false">IF(OR(O144="",G144=""),"",O144*IFERROR(INDEX(Listas!$B$2:$B$50,MATCH(G144,Listas!$A$2:$A$50,0)),0))</f>
        <v/>
      </c>
      <c r="AA144" s="32"/>
      <c r="AB144" s="32"/>
      <c r="AC144" s="32"/>
      <c r="AD144" s="35" t="str">
        <f aca="false">IF(OR(LEFT(H144,4)="Meta",LEFT(H144,6)="Google"),IF(AG144=3,"Lead calificado",IF(OR(AG144=4,AG144=5),"Tasación/visita",IF(OR(AG144=6,AG144=7),"Captación/oferta",IF(AG144=8,"Cierre","")))),"")</f>
        <v/>
      </c>
      <c r="AE144" s="32"/>
      <c r="AF144" s="32"/>
      <c r="AG144" s="37" t="n">
        <f aca="false">IF(R144="",0,IFERROR(MATCH(R144,Listas!$L$2:$L$50,0),0))</f>
        <v>0</v>
      </c>
    </row>
    <row r="145" customFormat="false" ht="15" hidden="false" customHeight="false" outlineLevel="0" collapsed="false">
      <c r="A145" s="30"/>
      <c r="B145" s="31"/>
      <c r="C145" s="32"/>
      <c r="D145" s="32"/>
      <c r="E145" s="33"/>
      <c r="F145" s="32"/>
      <c r="G145" s="32"/>
      <c r="H145" s="32"/>
      <c r="I145" s="32"/>
      <c r="J145" s="32"/>
      <c r="K145" s="32"/>
      <c r="L145" s="32"/>
      <c r="M145" s="30"/>
      <c r="N145" s="32"/>
      <c r="O145" s="34"/>
      <c r="P145" s="32"/>
      <c r="Q145" s="32"/>
      <c r="R145" s="32"/>
      <c r="S145" s="32"/>
      <c r="T145" s="32"/>
      <c r="U145" s="32"/>
      <c r="V145" s="31"/>
      <c r="W145" s="35" t="str">
        <f aca="true">IF(OR(V145="",AG145&gt;=8),"",IF(V145&lt;TODAY(),"Vencida",IF(V145=TODAY(),"Hoy","")))</f>
        <v/>
      </c>
      <c r="X145" s="36" t="str">
        <f aca="false">IF(A145="","",IF(COUNTIF(Seguimiento!$B$2:$B$5001,A145)=0,"",_xlfn.MAXIFS(Seguimiento!$A$2:$A$5001,Seguimiento!$B$2:$B$5001,A145)))</f>
        <v/>
      </c>
      <c r="Y145" s="37" t="str">
        <f aca="true">IF(B145="","",TODAY()-B145)</f>
        <v/>
      </c>
      <c r="Z145" s="38" t="str">
        <f aca="false">IF(OR(O145="",G145=""),"",O145*IFERROR(INDEX(Listas!$B$2:$B$50,MATCH(G145,Listas!$A$2:$A$50,0)),0))</f>
        <v/>
      </c>
      <c r="AA145" s="32"/>
      <c r="AB145" s="32"/>
      <c r="AC145" s="32"/>
      <c r="AD145" s="35" t="str">
        <f aca="false">IF(OR(LEFT(H145,4)="Meta",LEFT(H145,6)="Google"),IF(AG145=3,"Lead calificado",IF(OR(AG145=4,AG145=5),"Tasación/visita",IF(OR(AG145=6,AG145=7),"Captación/oferta",IF(AG145=8,"Cierre","")))),"")</f>
        <v/>
      </c>
      <c r="AE145" s="32"/>
      <c r="AF145" s="32"/>
      <c r="AG145" s="37" t="n">
        <f aca="false">IF(R145="",0,IFERROR(MATCH(R145,Listas!$L$2:$L$50,0),0))</f>
        <v>0</v>
      </c>
    </row>
    <row r="146" customFormat="false" ht="15" hidden="false" customHeight="false" outlineLevel="0" collapsed="false">
      <c r="A146" s="30"/>
      <c r="B146" s="31"/>
      <c r="C146" s="32"/>
      <c r="D146" s="32"/>
      <c r="E146" s="33"/>
      <c r="F146" s="32"/>
      <c r="G146" s="32"/>
      <c r="H146" s="32"/>
      <c r="I146" s="32"/>
      <c r="J146" s="32"/>
      <c r="K146" s="32"/>
      <c r="L146" s="32"/>
      <c r="M146" s="30"/>
      <c r="N146" s="32"/>
      <c r="O146" s="34"/>
      <c r="P146" s="32"/>
      <c r="Q146" s="32"/>
      <c r="R146" s="32"/>
      <c r="S146" s="32"/>
      <c r="T146" s="32"/>
      <c r="U146" s="32"/>
      <c r="V146" s="31"/>
      <c r="W146" s="35" t="str">
        <f aca="true">IF(OR(V146="",AG146&gt;=8),"",IF(V146&lt;TODAY(),"Vencida",IF(V146=TODAY(),"Hoy","")))</f>
        <v/>
      </c>
      <c r="X146" s="36" t="str">
        <f aca="false">IF(A146="","",IF(COUNTIF(Seguimiento!$B$2:$B$5001,A146)=0,"",_xlfn.MAXIFS(Seguimiento!$A$2:$A$5001,Seguimiento!$B$2:$B$5001,A146)))</f>
        <v/>
      </c>
      <c r="Y146" s="37" t="str">
        <f aca="true">IF(B146="","",TODAY()-B146)</f>
        <v/>
      </c>
      <c r="Z146" s="38" t="str">
        <f aca="false">IF(OR(O146="",G146=""),"",O146*IFERROR(INDEX(Listas!$B$2:$B$50,MATCH(G146,Listas!$A$2:$A$50,0)),0))</f>
        <v/>
      </c>
      <c r="AA146" s="32"/>
      <c r="AB146" s="32"/>
      <c r="AC146" s="32"/>
      <c r="AD146" s="35" t="str">
        <f aca="false">IF(OR(LEFT(H146,4)="Meta",LEFT(H146,6)="Google"),IF(AG146=3,"Lead calificado",IF(OR(AG146=4,AG146=5),"Tasación/visita",IF(OR(AG146=6,AG146=7),"Captación/oferta",IF(AG146=8,"Cierre","")))),"")</f>
        <v/>
      </c>
      <c r="AE146" s="32"/>
      <c r="AF146" s="32"/>
      <c r="AG146" s="37" t="n">
        <f aca="false">IF(R146="",0,IFERROR(MATCH(R146,Listas!$L$2:$L$50,0),0))</f>
        <v>0</v>
      </c>
    </row>
    <row r="147" customFormat="false" ht="15" hidden="false" customHeight="false" outlineLevel="0" collapsed="false">
      <c r="A147" s="30"/>
      <c r="B147" s="31"/>
      <c r="C147" s="32"/>
      <c r="D147" s="32"/>
      <c r="E147" s="33"/>
      <c r="F147" s="32"/>
      <c r="G147" s="32"/>
      <c r="H147" s="32"/>
      <c r="I147" s="32"/>
      <c r="J147" s="32"/>
      <c r="K147" s="32"/>
      <c r="L147" s="32"/>
      <c r="M147" s="30"/>
      <c r="N147" s="32"/>
      <c r="O147" s="34"/>
      <c r="P147" s="32"/>
      <c r="Q147" s="32"/>
      <c r="R147" s="32"/>
      <c r="S147" s="32"/>
      <c r="T147" s="32"/>
      <c r="U147" s="32"/>
      <c r="V147" s="31"/>
      <c r="W147" s="35" t="str">
        <f aca="true">IF(OR(V147="",AG147&gt;=8),"",IF(V147&lt;TODAY(),"Vencida",IF(V147=TODAY(),"Hoy","")))</f>
        <v/>
      </c>
      <c r="X147" s="36" t="str">
        <f aca="false">IF(A147="","",IF(COUNTIF(Seguimiento!$B$2:$B$5001,A147)=0,"",_xlfn.MAXIFS(Seguimiento!$A$2:$A$5001,Seguimiento!$B$2:$B$5001,A147)))</f>
        <v/>
      </c>
      <c r="Y147" s="37" t="str">
        <f aca="true">IF(B147="","",TODAY()-B147)</f>
        <v/>
      </c>
      <c r="Z147" s="38" t="str">
        <f aca="false">IF(OR(O147="",G147=""),"",O147*IFERROR(INDEX(Listas!$B$2:$B$50,MATCH(G147,Listas!$A$2:$A$50,0)),0))</f>
        <v/>
      </c>
      <c r="AA147" s="32"/>
      <c r="AB147" s="32"/>
      <c r="AC147" s="32"/>
      <c r="AD147" s="35" t="str">
        <f aca="false">IF(OR(LEFT(H147,4)="Meta",LEFT(H147,6)="Google"),IF(AG147=3,"Lead calificado",IF(OR(AG147=4,AG147=5),"Tasación/visita",IF(OR(AG147=6,AG147=7),"Captación/oferta",IF(AG147=8,"Cierre","")))),"")</f>
        <v/>
      </c>
      <c r="AE147" s="32"/>
      <c r="AF147" s="32"/>
      <c r="AG147" s="37" t="n">
        <f aca="false">IF(R147="",0,IFERROR(MATCH(R147,Listas!$L$2:$L$50,0),0))</f>
        <v>0</v>
      </c>
    </row>
    <row r="148" customFormat="false" ht="15" hidden="false" customHeight="false" outlineLevel="0" collapsed="false">
      <c r="A148" s="30"/>
      <c r="B148" s="31"/>
      <c r="C148" s="32"/>
      <c r="D148" s="32"/>
      <c r="E148" s="33"/>
      <c r="F148" s="32"/>
      <c r="G148" s="32"/>
      <c r="H148" s="32"/>
      <c r="I148" s="32"/>
      <c r="J148" s="32"/>
      <c r="K148" s="32"/>
      <c r="L148" s="32"/>
      <c r="M148" s="30"/>
      <c r="N148" s="32"/>
      <c r="O148" s="34"/>
      <c r="P148" s="32"/>
      <c r="Q148" s="32"/>
      <c r="R148" s="32"/>
      <c r="S148" s="32"/>
      <c r="T148" s="32"/>
      <c r="U148" s="32"/>
      <c r="V148" s="31"/>
      <c r="W148" s="35" t="str">
        <f aca="true">IF(OR(V148="",AG148&gt;=8),"",IF(V148&lt;TODAY(),"Vencida",IF(V148=TODAY(),"Hoy","")))</f>
        <v/>
      </c>
      <c r="X148" s="36" t="str">
        <f aca="false">IF(A148="","",IF(COUNTIF(Seguimiento!$B$2:$B$5001,A148)=0,"",_xlfn.MAXIFS(Seguimiento!$A$2:$A$5001,Seguimiento!$B$2:$B$5001,A148)))</f>
        <v/>
      </c>
      <c r="Y148" s="37" t="str">
        <f aca="true">IF(B148="","",TODAY()-B148)</f>
        <v/>
      </c>
      <c r="Z148" s="38" t="str">
        <f aca="false">IF(OR(O148="",G148=""),"",O148*IFERROR(INDEX(Listas!$B$2:$B$50,MATCH(G148,Listas!$A$2:$A$50,0)),0))</f>
        <v/>
      </c>
      <c r="AA148" s="32"/>
      <c r="AB148" s="32"/>
      <c r="AC148" s="32"/>
      <c r="AD148" s="35" t="str">
        <f aca="false">IF(OR(LEFT(H148,4)="Meta",LEFT(H148,6)="Google"),IF(AG148=3,"Lead calificado",IF(OR(AG148=4,AG148=5),"Tasación/visita",IF(OR(AG148=6,AG148=7),"Captación/oferta",IF(AG148=8,"Cierre","")))),"")</f>
        <v/>
      </c>
      <c r="AE148" s="32"/>
      <c r="AF148" s="32"/>
      <c r="AG148" s="37" t="n">
        <f aca="false">IF(R148="",0,IFERROR(MATCH(R148,Listas!$L$2:$L$50,0),0))</f>
        <v>0</v>
      </c>
    </row>
    <row r="149" customFormat="false" ht="15" hidden="false" customHeight="false" outlineLevel="0" collapsed="false">
      <c r="A149" s="30"/>
      <c r="B149" s="31"/>
      <c r="C149" s="32"/>
      <c r="D149" s="32"/>
      <c r="E149" s="33"/>
      <c r="F149" s="32"/>
      <c r="G149" s="32"/>
      <c r="H149" s="32"/>
      <c r="I149" s="32"/>
      <c r="J149" s="32"/>
      <c r="K149" s="32"/>
      <c r="L149" s="32"/>
      <c r="M149" s="30"/>
      <c r="N149" s="32"/>
      <c r="O149" s="34"/>
      <c r="P149" s="32"/>
      <c r="Q149" s="32"/>
      <c r="R149" s="32"/>
      <c r="S149" s="32"/>
      <c r="T149" s="32"/>
      <c r="U149" s="32"/>
      <c r="V149" s="31"/>
      <c r="W149" s="35" t="str">
        <f aca="true">IF(OR(V149="",AG149&gt;=8),"",IF(V149&lt;TODAY(),"Vencida",IF(V149=TODAY(),"Hoy","")))</f>
        <v/>
      </c>
      <c r="X149" s="36" t="str">
        <f aca="false">IF(A149="","",IF(COUNTIF(Seguimiento!$B$2:$B$5001,A149)=0,"",_xlfn.MAXIFS(Seguimiento!$A$2:$A$5001,Seguimiento!$B$2:$B$5001,A149)))</f>
        <v/>
      </c>
      <c r="Y149" s="37" t="str">
        <f aca="true">IF(B149="","",TODAY()-B149)</f>
        <v/>
      </c>
      <c r="Z149" s="38" t="str">
        <f aca="false">IF(OR(O149="",G149=""),"",O149*IFERROR(INDEX(Listas!$B$2:$B$50,MATCH(G149,Listas!$A$2:$A$50,0)),0))</f>
        <v/>
      </c>
      <c r="AA149" s="32"/>
      <c r="AB149" s="32"/>
      <c r="AC149" s="32"/>
      <c r="AD149" s="35" t="str">
        <f aca="false">IF(OR(LEFT(H149,4)="Meta",LEFT(H149,6)="Google"),IF(AG149=3,"Lead calificado",IF(OR(AG149=4,AG149=5),"Tasación/visita",IF(OR(AG149=6,AG149=7),"Captación/oferta",IF(AG149=8,"Cierre","")))),"")</f>
        <v/>
      </c>
      <c r="AE149" s="32"/>
      <c r="AF149" s="32"/>
      <c r="AG149" s="37" t="n">
        <f aca="false">IF(R149="",0,IFERROR(MATCH(R149,Listas!$L$2:$L$50,0),0))</f>
        <v>0</v>
      </c>
    </row>
    <row r="150" customFormat="false" ht="15" hidden="false" customHeight="false" outlineLevel="0" collapsed="false">
      <c r="A150" s="30"/>
      <c r="B150" s="31"/>
      <c r="C150" s="32"/>
      <c r="D150" s="32"/>
      <c r="E150" s="33"/>
      <c r="F150" s="32"/>
      <c r="G150" s="32"/>
      <c r="H150" s="32"/>
      <c r="I150" s="32"/>
      <c r="J150" s="32"/>
      <c r="K150" s="32"/>
      <c r="L150" s="32"/>
      <c r="M150" s="30"/>
      <c r="N150" s="32"/>
      <c r="O150" s="34"/>
      <c r="P150" s="32"/>
      <c r="Q150" s="32"/>
      <c r="R150" s="32"/>
      <c r="S150" s="32"/>
      <c r="T150" s="32"/>
      <c r="U150" s="32"/>
      <c r="V150" s="31"/>
      <c r="W150" s="35" t="str">
        <f aca="true">IF(OR(V150="",AG150&gt;=8),"",IF(V150&lt;TODAY(),"Vencida",IF(V150=TODAY(),"Hoy","")))</f>
        <v/>
      </c>
      <c r="X150" s="36" t="str">
        <f aca="false">IF(A150="","",IF(COUNTIF(Seguimiento!$B$2:$B$5001,A150)=0,"",_xlfn.MAXIFS(Seguimiento!$A$2:$A$5001,Seguimiento!$B$2:$B$5001,A150)))</f>
        <v/>
      </c>
      <c r="Y150" s="37" t="str">
        <f aca="true">IF(B150="","",TODAY()-B150)</f>
        <v/>
      </c>
      <c r="Z150" s="38" t="str">
        <f aca="false">IF(OR(O150="",G150=""),"",O150*IFERROR(INDEX(Listas!$B$2:$B$50,MATCH(G150,Listas!$A$2:$A$50,0)),0))</f>
        <v/>
      </c>
      <c r="AA150" s="32"/>
      <c r="AB150" s="32"/>
      <c r="AC150" s="32"/>
      <c r="AD150" s="35" t="str">
        <f aca="false">IF(OR(LEFT(H150,4)="Meta",LEFT(H150,6)="Google"),IF(AG150=3,"Lead calificado",IF(OR(AG150=4,AG150=5),"Tasación/visita",IF(OR(AG150=6,AG150=7),"Captación/oferta",IF(AG150=8,"Cierre","")))),"")</f>
        <v/>
      </c>
      <c r="AE150" s="32"/>
      <c r="AF150" s="32"/>
      <c r="AG150" s="37" t="n">
        <f aca="false">IF(R150="",0,IFERROR(MATCH(R150,Listas!$L$2:$L$50,0),0))</f>
        <v>0</v>
      </c>
    </row>
    <row r="151" customFormat="false" ht="15" hidden="false" customHeight="false" outlineLevel="0" collapsed="false">
      <c r="A151" s="30"/>
      <c r="B151" s="31"/>
      <c r="C151" s="32"/>
      <c r="D151" s="32"/>
      <c r="E151" s="33"/>
      <c r="F151" s="32"/>
      <c r="G151" s="32"/>
      <c r="H151" s="32"/>
      <c r="I151" s="32"/>
      <c r="J151" s="32"/>
      <c r="K151" s="32"/>
      <c r="L151" s="32"/>
      <c r="M151" s="30"/>
      <c r="N151" s="32"/>
      <c r="O151" s="34"/>
      <c r="P151" s="32"/>
      <c r="Q151" s="32"/>
      <c r="R151" s="32"/>
      <c r="S151" s="32"/>
      <c r="T151" s="32"/>
      <c r="U151" s="32"/>
      <c r="V151" s="31"/>
      <c r="W151" s="35" t="str">
        <f aca="true">IF(OR(V151="",AG151&gt;=8),"",IF(V151&lt;TODAY(),"Vencida",IF(V151=TODAY(),"Hoy","")))</f>
        <v/>
      </c>
      <c r="X151" s="36" t="str">
        <f aca="false">IF(A151="","",IF(COUNTIF(Seguimiento!$B$2:$B$5001,A151)=0,"",_xlfn.MAXIFS(Seguimiento!$A$2:$A$5001,Seguimiento!$B$2:$B$5001,A151)))</f>
        <v/>
      </c>
      <c r="Y151" s="37" t="str">
        <f aca="true">IF(B151="","",TODAY()-B151)</f>
        <v/>
      </c>
      <c r="Z151" s="38" t="str">
        <f aca="false">IF(OR(O151="",G151=""),"",O151*IFERROR(INDEX(Listas!$B$2:$B$50,MATCH(G151,Listas!$A$2:$A$50,0)),0))</f>
        <v/>
      </c>
      <c r="AA151" s="32"/>
      <c r="AB151" s="32"/>
      <c r="AC151" s="32"/>
      <c r="AD151" s="35" t="str">
        <f aca="false">IF(OR(LEFT(H151,4)="Meta",LEFT(H151,6)="Google"),IF(AG151=3,"Lead calificado",IF(OR(AG151=4,AG151=5),"Tasación/visita",IF(OR(AG151=6,AG151=7),"Captación/oferta",IF(AG151=8,"Cierre","")))),"")</f>
        <v/>
      </c>
      <c r="AE151" s="32"/>
      <c r="AF151" s="32"/>
      <c r="AG151" s="37" t="n">
        <f aca="false">IF(R151="",0,IFERROR(MATCH(R151,Listas!$L$2:$L$50,0),0))</f>
        <v>0</v>
      </c>
    </row>
    <row r="152" customFormat="false" ht="15" hidden="false" customHeight="false" outlineLevel="0" collapsed="false">
      <c r="A152" s="30"/>
      <c r="B152" s="31"/>
      <c r="C152" s="32"/>
      <c r="D152" s="32"/>
      <c r="E152" s="33"/>
      <c r="F152" s="32"/>
      <c r="G152" s="32"/>
      <c r="H152" s="32"/>
      <c r="I152" s="32"/>
      <c r="J152" s="32"/>
      <c r="K152" s="32"/>
      <c r="L152" s="32"/>
      <c r="M152" s="30"/>
      <c r="N152" s="32"/>
      <c r="O152" s="34"/>
      <c r="P152" s="32"/>
      <c r="Q152" s="32"/>
      <c r="R152" s="32"/>
      <c r="S152" s="32"/>
      <c r="T152" s="32"/>
      <c r="U152" s="32"/>
      <c r="V152" s="31"/>
      <c r="W152" s="35" t="str">
        <f aca="true">IF(OR(V152="",AG152&gt;=8),"",IF(V152&lt;TODAY(),"Vencida",IF(V152=TODAY(),"Hoy","")))</f>
        <v/>
      </c>
      <c r="X152" s="36" t="str">
        <f aca="false">IF(A152="","",IF(COUNTIF(Seguimiento!$B$2:$B$5001,A152)=0,"",_xlfn.MAXIFS(Seguimiento!$A$2:$A$5001,Seguimiento!$B$2:$B$5001,A152)))</f>
        <v/>
      </c>
      <c r="Y152" s="37" t="str">
        <f aca="true">IF(B152="","",TODAY()-B152)</f>
        <v/>
      </c>
      <c r="Z152" s="38" t="str">
        <f aca="false">IF(OR(O152="",G152=""),"",O152*IFERROR(INDEX(Listas!$B$2:$B$50,MATCH(G152,Listas!$A$2:$A$50,0)),0))</f>
        <v/>
      </c>
      <c r="AA152" s="32"/>
      <c r="AB152" s="32"/>
      <c r="AC152" s="32"/>
      <c r="AD152" s="35" t="str">
        <f aca="false">IF(OR(LEFT(H152,4)="Meta",LEFT(H152,6)="Google"),IF(AG152=3,"Lead calificado",IF(OR(AG152=4,AG152=5),"Tasación/visita",IF(OR(AG152=6,AG152=7),"Captación/oferta",IF(AG152=8,"Cierre","")))),"")</f>
        <v/>
      </c>
      <c r="AE152" s="32"/>
      <c r="AF152" s="32"/>
      <c r="AG152" s="37" t="n">
        <f aca="false">IF(R152="",0,IFERROR(MATCH(R152,Listas!$L$2:$L$50,0),0))</f>
        <v>0</v>
      </c>
    </row>
    <row r="153" customFormat="false" ht="15" hidden="false" customHeight="false" outlineLevel="0" collapsed="false">
      <c r="A153" s="30"/>
      <c r="B153" s="31"/>
      <c r="C153" s="32"/>
      <c r="D153" s="32"/>
      <c r="E153" s="33"/>
      <c r="F153" s="32"/>
      <c r="G153" s="32"/>
      <c r="H153" s="32"/>
      <c r="I153" s="32"/>
      <c r="J153" s="32"/>
      <c r="K153" s="32"/>
      <c r="L153" s="32"/>
      <c r="M153" s="30"/>
      <c r="N153" s="32"/>
      <c r="O153" s="34"/>
      <c r="P153" s="32"/>
      <c r="Q153" s="32"/>
      <c r="R153" s="32"/>
      <c r="S153" s="32"/>
      <c r="T153" s="32"/>
      <c r="U153" s="32"/>
      <c r="V153" s="31"/>
      <c r="W153" s="35" t="str">
        <f aca="true">IF(OR(V153="",AG153&gt;=8),"",IF(V153&lt;TODAY(),"Vencida",IF(V153=TODAY(),"Hoy","")))</f>
        <v/>
      </c>
      <c r="X153" s="36" t="str">
        <f aca="false">IF(A153="","",IF(COUNTIF(Seguimiento!$B$2:$B$5001,A153)=0,"",_xlfn.MAXIFS(Seguimiento!$A$2:$A$5001,Seguimiento!$B$2:$B$5001,A153)))</f>
        <v/>
      </c>
      <c r="Y153" s="37" t="str">
        <f aca="true">IF(B153="","",TODAY()-B153)</f>
        <v/>
      </c>
      <c r="Z153" s="38" t="str">
        <f aca="false">IF(OR(O153="",G153=""),"",O153*IFERROR(INDEX(Listas!$B$2:$B$50,MATCH(G153,Listas!$A$2:$A$50,0)),0))</f>
        <v/>
      </c>
      <c r="AA153" s="32"/>
      <c r="AB153" s="32"/>
      <c r="AC153" s="32"/>
      <c r="AD153" s="35" t="str">
        <f aca="false">IF(OR(LEFT(H153,4)="Meta",LEFT(H153,6)="Google"),IF(AG153=3,"Lead calificado",IF(OR(AG153=4,AG153=5),"Tasación/visita",IF(OR(AG153=6,AG153=7),"Captación/oferta",IF(AG153=8,"Cierre","")))),"")</f>
        <v/>
      </c>
      <c r="AE153" s="32"/>
      <c r="AF153" s="32"/>
      <c r="AG153" s="37" t="n">
        <f aca="false">IF(R153="",0,IFERROR(MATCH(R153,Listas!$L$2:$L$50,0),0))</f>
        <v>0</v>
      </c>
    </row>
    <row r="154" customFormat="false" ht="15" hidden="false" customHeight="false" outlineLevel="0" collapsed="false">
      <c r="A154" s="30"/>
      <c r="B154" s="31"/>
      <c r="C154" s="32"/>
      <c r="D154" s="32"/>
      <c r="E154" s="33"/>
      <c r="F154" s="32"/>
      <c r="G154" s="32"/>
      <c r="H154" s="32"/>
      <c r="I154" s="32"/>
      <c r="J154" s="32"/>
      <c r="K154" s="32"/>
      <c r="L154" s="32"/>
      <c r="M154" s="30"/>
      <c r="N154" s="32"/>
      <c r="O154" s="34"/>
      <c r="P154" s="32"/>
      <c r="Q154" s="32"/>
      <c r="R154" s="32"/>
      <c r="S154" s="32"/>
      <c r="T154" s="32"/>
      <c r="U154" s="32"/>
      <c r="V154" s="31"/>
      <c r="W154" s="35" t="str">
        <f aca="true">IF(OR(V154="",AG154&gt;=8),"",IF(V154&lt;TODAY(),"Vencida",IF(V154=TODAY(),"Hoy","")))</f>
        <v/>
      </c>
      <c r="X154" s="36" t="str">
        <f aca="false">IF(A154="","",IF(COUNTIF(Seguimiento!$B$2:$B$5001,A154)=0,"",_xlfn.MAXIFS(Seguimiento!$A$2:$A$5001,Seguimiento!$B$2:$B$5001,A154)))</f>
        <v/>
      </c>
      <c r="Y154" s="37" t="str">
        <f aca="true">IF(B154="","",TODAY()-B154)</f>
        <v/>
      </c>
      <c r="Z154" s="38" t="str">
        <f aca="false">IF(OR(O154="",G154=""),"",O154*IFERROR(INDEX(Listas!$B$2:$B$50,MATCH(G154,Listas!$A$2:$A$50,0)),0))</f>
        <v/>
      </c>
      <c r="AA154" s="32"/>
      <c r="AB154" s="32"/>
      <c r="AC154" s="32"/>
      <c r="AD154" s="35" t="str">
        <f aca="false">IF(OR(LEFT(H154,4)="Meta",LEFT(H154,6)="Google"),IF(AG154=3,"Lead calificado",IF(OR(AG154=4,AG154=5),"Tasación/visita",IF(OR(AG154=6,AG154=7),"Captación/oferta",IF(AG154=8,"Cierre","")))),"")</f>
        <v/>
      </c>
      <c r="AE154" s="32"/>
      <c r="AF154" s="32"/>
      <c r="AG154" s="37" t="n">
        <f aca="false">IF(R154="",0,IFERROR(MATCH(R154,Listas!$L$2:$L$50,0),0))</f>
        <v>0</v>
      </c>
    </row>
    <row r="155" customFormat="false" ht="15" hidden="false" customHeight="false" outlineLevel="0" collapsed="false">
      <c r="A155" s="30"/>
      <c r="B155" s="31"/>
      <c r="C155" s="32"/>
      <c r="D155" s="32"/>
      <c r="E155" s="33"/>
      <c r="F155" s="32"/>
      <c r="G155" s="32"/>
      <c r="H155" s="32"/>
      <c r="I155" s="32"/>
      <c r="J155" s="32"/>
      <c r="K155" s="32"/>
      <c r="L155" s="32"/>
      <c r="M155" s="30"/>
      <c r="N155" s="32"/>
      <c r="O155" s="34"/>
      <c r="P155" s="32"/>
      <c r="Q155" s="32"/>
      <c r="R155" s="32"/>
      <c r="S155" s="32"/>
      <c r="T155" s="32"/>
      <c r="U155" s="32"/>
      <c r="V155" s="31"/>
      <c r="W155" s="35" t="str">
        <f aca="true">IF(OR(V155="",AG155&gt;=8),"",IF(V155&lt;TODAY(),"Vencida",IF(V155=TODAY(),"Hoy","")))</f>
        <v/>
      </c>
      <c r="X155" s="36" t="str">
        <f aca="false">IF(A155="","",IF(COUNTIF(Seguimiento!$B$2:$B$5001,A155)=0,"",_xlfn.MAXIFS(Seguimiento!$A$2:$A$5001,Seguimiento!$B$2:$B$5001,A155)))</f>
        <v/>
      </c>
      <c r="Y155" s="37" t="str">
        <f aca="true">IF(B155="","",TODAY()-B155)</f>
        <v/>
      </c>
      <c r="Z155" s="38" t="str">
        <f aca="false">IF(OR(O155="",G155=""),"",O155*IFERROR(INDEX(Listas!$B$2:$B$50,MATCH(G155,Listas!$A$2:$A$50,0)),0))</f>
        <v/>
      </c>
      <c r="AA155" s="32"/>
      <c r="AB155" s="32"/>
      <c r="AC155" s="32"/>
      <c r="AD155" s="35" t="str">
        <f aca="false">IF(OR(LEFT(H155,4)="Meta",LEFT(H155,6)="Google"),IF(AG155=3,"Lead calificado",IF(OR(AG155=4,AG155=5),"Tasación/visita",IF(OR(AG155=6,AG155=7),"Captación/oferta",IF(AG155=8,"Cierre","")))),"")</f>
        <v/>
      </c>
      <c r="AE155" s="32"/>
      <c r="AF155" s="32"/>
      <c r="AG155" s="37" t="n">
        <f aca="false">IF(R155="",0,IFERROR(MATCH(R155,Listas!$L$2:$L$50,0),0))</f>
        <v>0</v>
      </c>
    </row>
    <row r="156" customFormat="false" ht="15" hidden="false" customHeight="false" outlineLevel="0" collapsed="false">
      <c r="A156" s="30"/>
      <c r="B156" s="31"/>
      <c r="C156" s="32"/>
      <c r="D156" s="32"/>
      <c r="E156" s="33"/>
      <c r="F156" s="32"/>
      <c r="G156" s="32"/>
      <c r="H156" s="32"/>
      <c r="I156" s="32"/>
      <c r="J156" s="32"/>
      <c r="K156" s="32"/>
      <c r="L156" s="32"/>
      <c r="M156" s="30"/>
      <c r="N156" s="32"/>
      <c r="O156" s="34"/>
      <c r="P156" s="32"/>
      <c r="Q156" s="32"/>
      <c r="R156" s="32"/>
      <c r="S156" s="32"/>
      <c r="T156" s="32"/>
      <c r="U156" s="32"/>
      <c r="V156" s="31"/>
      <c r="W156" s="35" t="str">
        <f aca="true">IF(OR(V156="",AG156&gt;=8),"",IF(V156&lt;TODAY(),"Vencida",IF(V156=TODAY(),"Hoy","")))</f>
        <v/>
      </c>
      <c r="X156" s="36" t="str">
        <f aca="false">IF(A156="","",IF(COUNTIF(Seguimiento!$B$2:$B$5001,A156)=0,"",_xlfn.MAXIFS(Seguimiento!$A$2:$A$5001,Seguimiento!$B$2:$B$5001,A156)))</f>
        <v/>
      </c>
      <c r="Y156" s="37" t="str">
        <f aca="true">IF(B156="","",TODAY()-B156)</f>
        <v/>
      </c>
      <c r="Z156" s="38" t="str">
        <f aca="false">IF(OR(O156="",G156=""),"",O156*IFERROR(INDEX(Listas!$B$2:$B$50,MATCH(G156,Listas!$A$2:$A$50,0)),0))</f>
        <v/>
      </c>
      <c r="AA156" s="32"/>
      <c r="AB156" s="32"/>
      <c r="AC156" s="32"/>
      <c r="AD156" s="35" t="str">
        <f aca="false">IF(OR(LEFT(H156,4)="Meta",LEFT(H156,6)="Google"),IF(AG156=3,"Lead calificado",IF(OR(AG156=4,AG156=5),"Tasación/visita",IF(OR(AG156=6,AG156=7),"Captación/oferta",IF(AG156=8,"Cierre","")))),"")</f>
        <v/>
      </c>
      <c r="AE156" s="32"/>
      <c r="AF156" s="32"/>
      <c r="AG156" s="37" t="n">
        <f aca="false">IF(R156="",0,IFERROR(MATCH(R156,Listas!$L$2:$L$50,0),0))</f>
        <v>0</v>
      </c>
    </row>
    <row r="157" customFormat="false" ht="15" hidden="false" customHeight="false" outlineLevel="0" collapsed="false">
      <c r="A157" s="30"/>
      <c r="B157" s="31"/>
      <c r="C157" s="32"/>
      <c r="D157" s="32"/>
      <c r="E157" s="33"/>
      <c r="F157" s="32"/>
      <c r="G157" s="32"/>
      <c r="H157" s="32"/>
      <c r="I157" s="32"/>
      <c r="J157" s="32"/>
      <c r="K157" s="32"/>
      <c r="L157" s="32"/>
      <c r="M157" s="30"/>
      <c r="N157" s="32"/>
      <c r="O157" s="34"/>
      <c r="P157" s="32"/>
      <c r="Q157" s="32"/>
      <c r="R157" s="32"/>
      <c r="S157" s="32"/>
      <c r="T157" s="32"/>
      <c r="U157" s="32"/>
      <c r="V157" s="31"/>
      <c r="W157" s="35" t="str">
        <f aca="true">IF(OR(V157="",AG157&gt;=8),"",IF(V157&lt;TODAY(),"Vencida",IF(V157=TODAY(),"Hoy","")))</f>
        <v/>
      </c>
      <c r="X157" s="36" t="str">
        <f aca="false">IF(A157="","",IF(COUNTIF(Seguimiento!$B$2:$B$5001,A157)=0,"",_xlfn.MAXIFS(Seguimiento!$A$2:$A$5001,Seguimiento!$B$2:$B$5001,A157)))</f>
        <v/>
      </c>
      <c r="Y157" s="37" t="str">
        <f aca="true">IF(B157="","",TODAY()-B157)</f>
        <v/>
      </c>
      <c r="Z157" s="38" t="str">
        <f aca="false">IF(OR(O157="",G157=""),"",O157*IFERROR(INDEX(Listas!$B$2:$B$50,MATCH(G157,Listas!$A$2:$A$50,0)),0))</f>
        <v/>
      </c>
      <c r="AA157" s="32"/>
      <c r="AB157" s="32"/>
      <c r="AC157" s="32"/>
      <c r="AD157" s="35" t="str">
        <f aca="false">IF(OR(LEFT(H157,4)="Meta",LEFT(H157,6)="Google"),IF(AG157=3,"Lead calificado",IF(OR(AG157=4,AG157=5),"Tasación/visita",IF(OR(AG157=6,AG157=7),"Captación/oferta",IF(AG157=8,"Cierre","")))),"")</f>
        <v/>
      </c>
      <c r="AE157" s="32"/>
      <c r="AF157" s="32"/>
      <c r="AG157" s="37" t="n">
        <f aca="false">IF(R157="",0,IFERROR(MATCH(R157,Listas!$L$2:$L$50,0),0))</f>
        <v>0</v>
      </c>
    </row>
    <row r="158" customFormat="false" ht="15" hidden="false" customHeight="false" outlineLevel="0" collapsed="false">
      <c r="A158" s="30"/>
      <c r="B158" s="31"/>
      <c r="C158" s="32"/>
      <c r="D158" s="32"/>
      <c r="E158" s="33"/>
      <c r="F158" s="32"/>
      <c r="G158" s="32"/>
      <c r="H158" s="32"/>
      <c r="I158" s="32"/>
      <c r="J158" s="32"/>
      <c r="K158" s="32"/>
      <c r="L158" s="32"/>
      <c r="M158" s="30"/>
      <c r="N158" s="32"/>
      <c r="O158" s="34"/>
      <c r="P158" s="32"/>
      <c r="Q158" s="32"/>
      <c r="R158" s="32"/>
      <c r="S158" s="32"/>
      <c r="T158" s="32"/>
      <c r="U158" s="32"/>
      <c r="V158" s="31"/>
      <c r="W158" s="35" t="str">
        <f aca="true">IF(OR(V158="",AG158&gt;=8),"",IF(V158&lt;TODAY(),"Vencida",IF(V158=TODAY(),"Hoy","")))</f>
        <v/>
      </c>
      <c r="X158" s="36" t="str">
        <f aca="false">IF(A158="","",IF(COUNTIF(Seguimiento!$B$2:$B$5001,A158)=0,"",_xlfn.MAXIFS(Seguimiento!$A$2:$A$5001,Seguimiento!$B$2:$B$5001,A158)))</f>
        <v/>
      </c>
      <c r="Y158" s="37" t="str">
        <f aca="true">IF(B158="","",TODAY()-B158)</f>
        <v/>
      </c>
      <c r="Z158" s="38" t="str">
        <f aca="false">IF(OR(O158="",G158=""),"",O158*IFERROR(INDEX(Listas!$B$2:$B$50,MATCH(G158,Listas!$A$2:$A$50,0)),0))</f>
        <v/>
      </c>
      <c r="AA158" s="32"/>
      <c r="AB158" s="32"/>
      <c r="AC158" s="32"/>
      <c r="AD158" s="35" t="str">
        <f aca="false">IF(OR(LEFT(H158,4)="Meta",LEFT(H158,6)="Google"),IF(AG158=3,"Lead calificado",IF(OR(AG158=4,AG158=5),"Tasación/visita",IF(OR(AG158=6,AG158=7),"Captación/oferta",IF(AG158=8,"Cierre","")))),"")</f>
        <v/>
      </c>
      <c r="AE158" s="32"/>
      <c r="AF158" s="32"/>
      <c r="AG158" s="37" t="n">
        <f aca="false">IF(R158="",0,IFERROR(MATCH(R158,Listas!$L$2:$L$50,0),0))</f>
        <v>0</v>
      </c>
    </row>
    <row r="159" customFormat="false" ht="15" hidden="false" customHeight="false" outlineLevel="0" collapsed="false">
      <c r="A159" s="30"/>
      <c r="B159" s="31"/>
      <c r="C159" s="32"/>
      <c r="D159" s="32"/>
      <c r="E159" s="33"/>
      <c r="F159" s="32"/>
      <c r="G159" s="32"/>
      <c r="H159" s="32"/>
      <c r="I159" s="32"/>
      <c r="J159" s="32"/>
      <c r="K159" s="32"/>
      <c r="L159" s="32"/>
      <c r="M159" s="30"/>
      <c r="N159" s="32"/>
      <c r="O159" s="34"/>
      <c r="P159" s="32"/>
      <c r="Q159" s="32"/>
      <c r="R159" s="32"/>
      <c r="S159" s="32"/>
      <c r="T159" s="32"/>
      <c r="U159" s="32"/>
      <c r="V159" s="31"/>
      <c r="W159" s="35" t="str">
        <f aca="true">IF(OR(V159="",AG159&gt;=8),"",IF(V159&lt;TODAY(),"Vencida",IF(V159=TODAY(),"Hoy","")))</f>
        <v/>
      </c>
      <c r="X159" s="36" t="str">
        <f aca="false">IF(A159="","",IF(COUNTIF(Seguimiento!$B$2:$B$5001,A159)=0,"",_xlfn.MAXIFS(Seguimiento!$A$2:$A$5001,Seguimiento!$B$2:$B$5001,A159)))</f>
        <v/>
      </c>
      <c r="Y159" s="37" t="str">
        <f aca="true">IF(B159="","",TODAY()-B159)</f>
        <v/>
      </c>
      <c r="Z159" s="38" t="str">
        <f aca="false">IF(OR(O159="",G159=""),"",O159*IFERROR(INDEX(Listas!$B$2:$B$50,MATCH(G159,Listas!$A$2:$A$50,0)),0))</f>
        <v/>
      </c>
      <c r="AA159" s="32"/>
      <c r="AB159" s="32"/>
      <c r="AC159" s="32"/>
      <c r="AD159" s="35" t="str">
        <f aca="false">IF(OR(LEFT(H159,4)="Meta",LEFT(H159,6)="Google"),IF(AG159=3,"Lead calificado",IF(OR(AG159=4,AG159=5),"Tasación/visita",IF(OR(AG159=6,AG159=7),"Captación/oferta",IF(AG159=8,"Cierre","")))),"")</f>
        <v/>
      </c>
      <c r="AE159" s="32"/>
      <c r="AF159" s="32"/>
      <c r="AG159" s="37" t="n">
        <f aca="false">IF(R159="",0,IFERROR(MATCH(R159,Listas!$L$2:$L$50,0),0))</f>
        <v>0</v>
      </c>
    </row>
    <row r="160" customFormat="false" ht="15" hidden="false" customHeight="false" outlineLevel="0" collapsed="false">
      <c r="A160" s="30"/>
      <c r="B160" s="31"/>
      <c r="C160" s="32"/>
      <c r="D160" s="32"/>
      <c r="E160" s="33"/>
      <c r="F160" s="32"/>
      <c r="G160" s="32"/>
      <c r="H160" s="32"/>
      <c r="I160" s="32"/>
      <c r="J160" s="32"/>
      <c r="K160" s="32"/>
      <c r="L160" s="32"/>
      <c r="M160" s="30"/>
      <c r="N160" s="32"/>
      <c r="O160" s="34"/>
      <c r="P160" s="32"/>
      <c r="Q160" s="32"/>
      <c r="R160" s="32"/>
      <c r="S160" s="32"/>
      <c r="T160" s="32"/>
      <c r="U160" s="32"/>
      <c r="V160" s="31"/>
      <c r="W160" s="35" t="str">
        <f aca="true">IF(OR(V160="",AG160&gt;=8),"",IF(V160&lt;TODAY(),"Vencida",IF(V160=TODAY(),"Hoy","")))</f>
        <v/>
      </c>
      <c r="X160" s="36" t="str">
        <f aca="false">IF(A160="","",IF(COUNTIF(Seguimiento!$B$2:$B$5001,A160)=0,"",_xlfn.MAXIFS(Seguimiento!$A$2:$A$5001,Seguimiento!$B$2:$B$5001,A160)))</f>
        <v/>
      </c>
      <c r="Y160" s="37" t="str">
        <f aca="true">IF(B160="","",TODAY()-B160)</f>
        <v/>
      </c>
      <c r="Z160" s="38" t="str">
        <f aca="false">IF(OR(O160="",G160=""),"",O160*IFERROR(INDEX(Listas!$B$2:$B$50,MATCH(G160,Listas!$A$2:$A$50,0)),0))</f>
        <v/>
      </c>
      <c r="AA160" s="32"/>
      <c r="AB160" s="32"/>
      <c r="AC160" s="32"/>
      <c r="AD160" s="35" t="str">
        <f aca="false">IF(OR(LEFT(H160,4)="Meta",LEFT(H160,6)="Google"),IF(AG160=3,"Lead calificado",IF(OR(AG160=4,AG160=5),"Tasación/visita",IF(OR(AG160=6,AG160=7),"Captación/oferta",IF(AG160=8,"Cierre","")))),"")</f>
        <v/>
      </c>
      <c r="AE160" s="32"/>
      <c r="AF160" s="32"/>
      <c r="AG160" s="37" t="n">
        <f aca="false">IF(R160="",0,IFERROR(MATCH(R160,Listas!$L$2:$L$50,0),0))</f>
        <v>0</v>
      </c>
    </row>
    <row r="161" customFormat="false" ht="15" hidden="false" customHeight="false" outlineLevel="0" collapsed="false">
      <c r="A161" s="30"/>
      <c r="B161" s="31"/>
      <c r="C161" s="32"/>
      <c r="D161" s="32"/>
      <c r="E161" s="33"/>
      <c r="F161" s="32"/>
      <c r="G161" s="32"/>
      <c r="H161" s="32"/>
      <c r="I161" s="32"/>
      <c r="J161" s="32"/>
      <c r="K161" s="32"/>
      <c r="L161" s="32"/>
      <c r="M161" s="30"/>
      <c r="N161" s="32"/>
      <c r="O161" s="34"/>
      <c r="P161" s="32"/>
      <c r="Q161" s="32"/>
      <c r="R161" s="32"/>
      <c r="S161" s="32"/>
      <c r="T161" s="32"/>
      <c r="U161" s="32"/>
      <c r="V161" s="31"/>
      <c r="W161" s="35" t="str">
        <f aca="true">IF(OR(V161="",AG161&gt;=8),"",IF(V161&lt;TODAY(),"Vencida",IF(V161=TODAY(),"Hoy","")))</f>
        <v/>
      </c>
      <c r="X161" s="36" t="str">
        <f aca="false">IF(A161="","",IF(COUNTIF(Seguimiento!$B$2:$B$5001,A161)=0,"",_xlfn.MAXIFS(Seguimiento!$A$2:$A$5001,Seguimiento!$B$2:$B$5001,A161)))</f>
        <v/>
      </c>
      <c r="Y161" s="37" t="str">
        <f aca="true">IF(B161="","",TODAY()-B161)</f>
        <v/>
      </c>
      <c r="Z161" s="38" t="str">
        <f aca="false">IF(OR(O161="",G161=""),"",O161*IFERROR(INDEX(Listas!$B$2:$B$50,MATCH(G161,Listas!$A$2:$A$50,0)),0))</f>
        <v/>
      </c>
      <c r="AA161" s="32"/>
      <c r="AB161" s="32"/>
      <c r="AC161" s="32"/>
      <c r="AD161" s="35" t="str">
        <f aca="false">IF(OR(LEFT(H161,4)="Meta",LEFT(H161,6)="Google"),IF(AG161=3,"Lead calificado",IF(OR(AG161=4,AG161=5),"Tasación/visita",IF(OR(AG161=6,AG161=7),"Captación/oferta",IF(AG161=8,"Cierre","")))),"")</f>
        <v/>
      </c>
      <c r="AE161" s="32"/>
      <c r="AF161" s="32"/>
      <c r="AG161" s="37" t="n">
        <f aca="false">IF(R161="",0,IFERROR(MATCH(R161,Listas!$L$2:$L$50,0),0))</f>
        <v>0</v>
      </c>
    </row>
    <row r="162" customFormat="false" ht="15" hidden="false" customHeight="false" outlineLevel="0" collapsed="false">
      <c r="A162" s="30"/>
      <c r="B162" s="31"/>
      <c r="C162" s="32"/>
      <c r="D162" s="32"/>
      <c r="E162" s="33"/>
      <c r="F162" s="32"/>
      <c r="G162" s="32"/>
      <c r="H162" s="32"/>
      <c r="I162" s="32"/>
      <c r="J162" s="32"/>
      <c r="K162" s="32"/>
      <c r="L162" s="32"/>
      <c r="M162" s="30"/>
      <c r="N162" s="32"/>
      <c r="O162" s="34"/>
      <c r="P162" s="32"/>
      <c r="Q162" s="32"/>
      <c r="R162" s="32"/>
      <c r="S162" s="32"/>
      <c r="T162" s="32"/>
      <c r="U162" s="32"/>
      <c r="V162" s="31"/>
      <c r="W162" s="35" t="str">
        <f aca="true">IF(OR(V162="",AG162&gt;=8),"",IF(V162&lt;TODAY(),"Vencida",IF(V162=TODAY(),"Hoy","")))</f>
        <v/>
      </c>
      <c r="X162" s="36" t="str">
        <f aca="false">IF(A162="","",IF(COUNTIF(Seguimiento!$B$2:$B$5001,A162)=0,"",_xlfn.MAXIFS(Seguimiento!$A$2:$A$5001,Seguimiento!$B$2:$B$5001,A162)))</f>
        <v/>
      </c>
      <c r="Y162" s="37" t="str">
        <f aca="true">IF(B162="","",TODAY()-B162)</f>
        <v/>
      </c>
      <c r="Z162" s="38" t="str">
        <f aca="false">IF(OR(O162="",G162=""),"",O162*IFERROR(INDEX(Listas!$B$2:$B$50,MATCH(G162,Listas!$A$2:$A$50,0)),0))</f>
        <v/>
      </c>
      <c r="AA162" s="32"/>
      <c r="AB162" s="32"/>
      <c r="AC162" s="32"/>
      <c r="AD162" s="35" t="str">
        <f aca="false">IF(OR(LEFT(H162,4)="Meta",LEFT(H162,6)="Google"),IF(AG162=3,"Lead calificado",IF(OR(AG162=4,AG162=5),"Tasación/visita",IF(OR(AG162=6,AG162=7),"Captación/oferta",IF(AG162=8,"Cierre","")))),"")</f>
        <v/>
      </c>
      <c r="AE162" s="32"/>
      <c r="AF162" s="32"/>
      <c r="AG162" s="37" t="n">
        <f aca="false">IF(R162="",0,IFERROR(MATCH(R162,Listas!$L$2:$L$50,0),0))</f>
        <v>0</v>
      </c>
    </row>
    <row r="163" customFormat="false" ht="15" hidden="false" customHeight="false" outlineLevel="0" collapsed="false">
      <c r="A163" s="30"/>
      <c r="B163" s="31"/>
      <c r="C163" s="32"/>
      <c r="D163" s="32"/>
      <c r="E163" s="33"/>
      <c r="F163" s="32"/>
      <c r="G163" s="32"/>
      <c r="H163" s="32"/>
      <c r="I163" s="32"/>
      <c r="J163" s="32"/>
      <c r="K163" s="32"/>
      <c r="L163" s="32"/>
      <c r="M163" s="30"/>
      <c r="N163" s="32"/>
      <c r="O163" s="34"/>
      <c r="P163" s="32"/>
      <c r="Q163" s="32"/>
      <c r="R163" s="32"/>
      <c r="S163" s="32"/>
      <c r="T163" s="32"/>
      <c r="U163" s="32"/>
      <c r="V163" s="31"/>
      <c r="W163" s="35" t="str">
        <f aca="true">IF(OR(V163="",AG163&gt;=8),"",IF(V163&lt;TODAY(),"Vencida",IF(V163=TODAY(),"Hoy","")))</f>
        <v/>
      </c>
      <c r="X163" s="36" t="str">
        <f aca="false">IF(A163="","",IF(COUNTIF(Seguimiento!$B$2:$B$5001,A163)=0,"",_xlfn.MAXIFS(Seguimiento!$A$2:$A$5001,Seguimiento!$B$2:$B$5001,A163)))</f>
        <v/>
      </c>
      <c r="Y163" s="37" t="str">
        <f aca="true">IF(B163="","",TODAY()-B163)</f>
        <v/>
      </c>
      <c r="Z163" s="38" t="str">
        <f aca="false">IF(OR(O163="",G163=""),"",O163*IFERROR(INDEX(Listas!$B$2:$B$50,MATCH(G163,Listas!$A$2:$A$50,0)),0))</f>
        <v/>
      </c>
      <c r="AA163" s="32"/>
      <c r="AB163" s="32"/>
      <c r="AC163" s="32"/>
      <c r="AD163" s="35" t="str">
        <f aca="false">IF(OR(LEFT(H163,4)="Meta",LEFT(H163,6)="Google"),IF(AG163=3,"Lead calificado",IF(OR(AG163=4,AG163=5),"Tasación/visita",IF(OR(AG163=6,AG163=7),"Captación/oferta",IF(AG163=8,"Cierre","")))),"")</f>
        <v/>
      </c>
      <c r="AE163" s="32"/>
      <c r="AF163" s="32"/>
      <c r="AG163" s="37" t="n">
        <f aca="false">IF(R163="",0,IFERROR(MATCH(R163,Listas!$L$2:$L$50,0),0))</f>
        <v>0</v>
      </c>
    </row>
    <row r="164" customFormat="false" ht="15" hidden="false" customHeight="false" outlineLevel="0" collapsed="false">
      <c r="A164" s="30"/>
      <c r="B164" s="31"/>
      <c r="C164" s="32"/>
      <c r="D164" s="32"/>
      <c r="E164" s="33"/>
      <c r="F164" s="32"/>
      <c r="G164" s="32"/>
      <c r="H164" s="32"/>
      <c r="I164" s="32"/>
      <c r="J164" s="32"/>
      <c r="K164" s="32"/>
      <c r="L164" s="32"/>
      <c r="M164" s="30"/>
      <c r="N164" s="32"/>
      <c r="O164" s="34"/>
      <c r="P164" s="32"/>
      <c r="Q164" s="32"/>
      <c r="R164" s="32"/>
      <c r="S164" s="32"/>
      <c r="T164" s="32"/>
      <c r="U164" s="32"/>
      <c r="V164" s="31"/>
      <c r="W164" s="35" t="str">
        <f aca="true">IF(OR(V164="",AG164&gt;=8),"",IF(V164&lt;TODAY(),"Vencida",IF(V164=TODAY(),"Hoy","")))</f>
        <v/>
      </c>
      <c r="X164" s="36" t="str">
        <f aca="false">IF(A164="","",IF(COUNTIF(Seguimiento!$B$2:$B$5001,A164)=0,"",_xlfn.MAXIFS(Seguimiento!$A$2:$A$5001,Seguimiento!$B$2:$B$5001,A164)))</f>
        <v/>
      </c>
      <c r="Y164" s="37" t="str">
        <f aca="true">IF(B164="","",TODAY()-B164)</f>
        <v/>
      </c>
      <c r="Z164" s="38" t="str">
        <f aca="false">IF(OR(O164="",G164=""),"",O164*IFERROR(INDEX(Listas!$B$2:$B$50,MATCH(G164,Listas!$A$2:$A$50,0)),0))</f>
        <v/>
      </c>
      <c r="AA164" s="32"/>
      <c r="AB164" s="32"/>
      <c r="AC164" s="32"/>
      <c r="AD164" s="35" t="str">
        <f aca="false">IF(OR(LEFT(H164,4)="Meta",LEFT(H164,6)="Google"),IF(AG164=3,"Lead calificado",IF(OR(AG164=4,AG164=5),"Tasación/visita",IF(OR(AG164=6,AG164=7),"Captación/oferta",IF(AG164=8,"Cierre","")))),"")</f>
        <v/>
      </c>
      <c r="AE164" s="32"/>
      <c r="AF164" s="32"/>
      <c r="AG164" s="37" t="n">
        <f aca="false">IF(R164="",0,IFERROR(MATCH(R164,Listas!$L$2:$L$50,0),0))</f>
        <v>0</v>
      </c>
    </row>
    <row r="165" customFormat="false" ht="15" hidden="false" customHeight="false" outlineLevel="0" collapsed="false">
      <c r="A165" s="30"/>
      <c r="B165" s="31"/>
      <c r="C165" s="32"/>
      <c r="D165" s="32"/>
      <c r="E165" s="33"/>
      <c r="F165" s="32"/>
      <c r="G165" s="32"/>
      <c r="H165" s="32"/>
      <c r="I165" s="32"/>
      <c r="J165" s="32"/>
      <c r="K165" s="32"/>
      <c r="L165" s="32"/>
      <c r="M165" s="30"/>
      <c r="N165" s="32"/>
      <c r="O165" s="34"/>
      <c r="P165" s="32"/>
      <c r="Q165" s="32"/>
      <c r="R165" s="32"/>
      <c r="S165" s="32"/>
      <c r="T165" s="32"/>
      <c r="U165" s="32"/>
      <c r="V165" s="31"/>
      <c r="W165" s="35" t="str">
        <f aca="true">IF(OR(V165="",AG165&gt;=8),"",IF(V165&lt;TODAY(),"Vencida",IF(V165=TODAY(),"Hoy","")))</f>
        <v/>
      </c>
      <c r="X165" s="36" t="str">
        <f aca="false">IF(A165="","",IF(COUNTIF(Seguimiento!$B$2:$B$5001,A165)=0,"",_xlfn.MAXIFS(Seguimiento!$A$2:$A$5001,Seguimiento!$B$2:$B$5001,A165)))</f>
        <v/>
      </c>
      <c r="Y165" s="37" t="str">
        <f aca="true">IF(B165="","",TODAY()-B165)</f>
        <v/>
      </c>
      <c r="Z165" s="38" t="str">
        <f aca="false">IF(OR(O165="",G165=""),"",O165*IFERROR(INDEX(Listas!$B$2:$B$50,MATCH(G165,Listas!$A$2:$A$50,0)),0))</f>
        <v/>
      </c>
      <c r="AA165" s="32"/>
      <c r="AB165" s="32"/>
      <c r="AC165" s="32"/>
      <c r="AD165" s="35" t="str">
        <f aca="false">IF(OR(LEFT(H165,4)="Meta",LEFT(H165,6)="Google"),IF(AG165=3,"Lead calificado",IF(OR(AG165=4,AG165=5),"Tasación/visita",IF(OR(AG165=6,AG165=7),"Captación/oferta",IF(AG165=8,"Cierre","")))),"")</f>
        <v/>
      </c>
      <c r="AE165" s="32"/>
      <c r="AF165" s="32"/>
      <c r="AG165" s="37" t="n">
        <f aca="false">IF(R165="",0,IFERROR(MATCH(R165,Listas!$L$2:$L$50,0),0))</f>
        <v>0</v>
      </c>
    </row>
    <row r="166" customFormat="false" ht="15" hidden="false" customHeight="false" outlineLevel="0" collapsed="false">
      <c r="A166" s="30"/>
      <c r="B166" s="31"/>
      <c r="C166" s="32"/>
      <c r="D166" s="32"/>
      <c r="E166" s="33"/>
      <c r="F166" s="32"/>
      <c r="G166" s="32"/>
      <c r="H166" s="32"/>
      <c r="I166" s="32"/>
      <c r="J166" s="32"/>
      <c r="K166" s="32"/>
      <c r="L166" s="32"/>
      <c r="M166" s="30"/>
      <c r="N166" s="32"/>
      <c r="O166" s="34"/>
      <c r="P166" s="32"/>
      <c r="Q166" s="32"/>
      <c r="R166" s="32"/>
      <c r="S166" s="32"/>
      <c r="T166" s="32"/>
      <c r="U166" s="32"/>
      <c r="V166" s="31"/>
      <c r="W166" s="35" t="str">
        <f aca="true">IF(OR(V166="",AG166&gt;=8),"",IF(V166&lt;TODAY(),"Vencida",IF(V166=TODAY(),"Hoy","")))</f>
        <v/>
      </c>
      <c r="X166" s="36" t="str">
        <f aca="false">IF(A166="","",IF(COUNTIF(Seguimiento!$B$2:$B$5001,A166)=0,"",_xlfn.MAXIFS(Seguimiento!$A$2:$A$5001,Seguimiento!$B$2:$B$5001,A166)))</f>
        <v/>
      </c>
      <c r="Y166" s="37" t="str">
        <f aca="true">IF(B166="","",TODAY()-B166)</f>
        <v/>
      </c>
      <c r="Z166" s="38" t="str">
        <f aca="false">IF(OR(O166="",G166=""),"",O166*IFERROR(INDEX(Listas!$B$2:$B$50,MATCH(G166,Listas!$A$2:$A$50,0)),0))</f>
        <v/>
      </c>
      <c r="AA166" s="32"/>
      <c r="AB166" s="32"/>
      <c r="AC166" s="32"/>
      <c r="AD166" s="35" t="str">
        <f aca="false">IF(OR(LEFT(H166,4)="Meta",LEFT(H166,6)="Google"),IF(AG166=3,"Lead calificado",IF(OR(AG166=4,AG166=5),"Tasación/visita",IF(OR(AG166=6,AG166=7),"Captación/oferta",IF(AG166=8,"Cierre","")))),"")</f>
        <v/>
      </c>
      <c r="AE166" s="32"/>
      <c r="AF166" s="32"/>
      <c r="AG166" s="37" t="n">
        <f aca="false">IF(R166="",0,IFERROR(MATCH(R166,Listas!$L$2:$L$50,0),0))</f>
        <v>0</v>
      </c>
    </row>
    <row r="167" customFormat="false" ht="15" hidden="false" customHeight="false" outlineLevel="0" collapsed="false">
      <c r="A167" s="30"/>
      <c r="B167" s="31"/>
      <c r="C167" s="32"/>
      <c r="D167" s="32"/>
      <c r="E167" s="33"/>
      <c r="F167" s="32"/>
      <c r="G167" s="32"/>
      <c r="H167" s="32"/>
      <c r="I167" s="32"/>
      <c r="J167" s="32"/>
      <c r="K167" s="32"/>
      <c r="L167" s="32"/>
      <c r="M167" s="30"/>
      <c r="N167" s="32"/>
      <c r="O167" s="34"/>
      <c r="P167" s="32"/>
      <c r="Q167" s="32"/>
      <c r="R167" s="32"/>
      <c r="S167" s="32"/>
      <c r="T167" s="32"/>
      <c r="U167" s="32"/>
      <c r="V167" s="31"/>
      <c r="W167" s="35" t="str">
        <f aca="true">IF(OR(V167="",AG167&gt;=8),"",IF(V167&lt;TODAY(),"Vencida",IF(V167=TODAY(),"Hoy","")))</f>
        <v/>
      </c>
      <c r="X167" s="36" t="str">
        <f aca="false">IF(A167="","",IF(COUNTIF(Seguimiento!$B$2:$B$5001,A167)=0,"",_xlfn.MAXIFS(Seguimiento!$A$2:$A$5001,Seguimiento!$B$2:$B$5001,A167)))</f>
        <v/>
      </c>
      <c r="Y167" s="37" t="str">
        <f aca="true">IF(B167="","",TODAY()-B167)</f>
        <v/>
      </c>
      <c r="Z167" s="38" t="str">
        <f aca="false">IF(OR(O167="",G167=""),"",O167*IFERROR(INDEX(Listas!$B$2:$B$50,MATCH(G167,Listas!$A$2:$A$50,0)),0))</f>
        <v/>
      </c>
      <c r="AA167" s="32"/>
      <c r="AB167" s="32"/>
      <c r="AC167" s="32"/>
      <c r="AD167" s="35" t="str">
        <f aca="false">IF(OR(LEFT(H167,4)="Meta",LEFT(H167,6)="Google"),IF(AG167=3,"Lead calificado",IF(OR(AG167=4,AG167=5),"Tasación/visita",IF(OR(AG167=6,AG167=7),"Captación/oferta",IF(AG167=8,"Cierre","")))),"")</f>
        <v/>
      </c>
      <c r="AE167" s="32"/>
      <c r="AF167" s="32"/>
      <c r="AG167" s="37" t="n">
        <f aca="false">IF(R167="",0,IFERROR(MATCH(R167,Listas!$L$2:$L$50,0),0))</f>
        <v>0</v>
      </c>
    </row>
    <row r="168" customFormat="false" ht="15" hidden="false" customHeight="false" outlineLevel="0" collapsed="false">
      <c r="A168" s="30"/>
      <c r="B168" s="31"/>
      <c r="C168" s="32"/>
      <c r="D168" s="32"/>
      <c r="E168" s="33"/>
      <c r="F168" s="32"/>
      <c r="G168" s="32"/>
      <c r="H168" s="32"/>
      <c r="I168" s="32"/>
      <c r="J168" s="32"/>
      <c r="K168" s="32"/>
      <c r="L168" s="32"/>
      <c r="M168" s="30"/>
      <c r="N168" s="32"/>
      <c r="O168" s="34"/>
      <c r="P168" s="32"/>
      <c r="Q168" s="32"/>
      <c r="R168" s="32"/>
      <c r="S168" s="32"/>
      <c r="T168" s="32"/>
      <c r="U168" s="32"/>
      <c r="V168" s="31"/>
      <c r="W168" s="35" t="str">
        <f aca="true">IF(OR(V168="",AG168&gt;=8),"",IF(V168&lt;TODAY(),"Vencida",IF(V168=TODAY(),"Hoy","")))</f>
        <v/>
      </c>
      <c r="X168" s="36" t="str">
        <f aca="false">IF(A168="","",IF(COUNTIF(Seguimiento!$B$2:$B$5001,A168)=0,"",_xlfn.MAXIFS(Seguimiento!$A$2:$A$5001,Seguimiento!$B$2:$B$5001,A168)))</f>
        <v/>
      </c>
      <c r="Y168" s="37" t="str">
        <f aca="true">IF(B168="","",TODAY()-B168)</f>
        <v/>
      </c>
      <c r="Z168" s="38" t="str">
        <f aca="false">IF(OR(O168="",G168=""),"",O168*IFERROR(INDEX(Listas!$B$2:$B$50,MATCH(G168,Listas!$A$2:$A$50,0)),0))</f>
        <v/>
      </c>
      <c r="AA168" s="32"/>
      <c r="AB168" s="32"/>
      <c r="AC168" s="32"/>
      <c r="AD168" s="35" t="str">
        <f aca="false">IF(OR(LEFT(H168,4)="Meta",LEFT(H168,6)="Google"),IF(AG168=3,"Lead calificado",IF(OR(AG168=4,AG168=5),"Tasación/visita",IF(OR(AG168=6,AG168=7),"Captación/oferta",IF(AG168=8,"Cierre","")))),"")</f>
        <v/>
      </c>
      <c r="AE168" s="32"/>
      <c r="AF168" s="32"/>
      <c r="AG168" s="37" t="n">
        <f aca="false">IF(R168="",0,IFERROR(MATCH(R168,Listas!$L$2:$L$50,0),0))</f>
        <v>0</v>
      </c>
    </row>
    <row r="169" customFormat="false" ht="15" hidden="false" customHeight="false" outlineLevel="0" collapsed="false">
      <c r="A169" s="30"/>
      <c r="B169" s="31"/>
      <c r="C169" s="32"/>
      <c r="D169" s="32"/>
      <c r="E169" s="33"/>
      <c r="F169" s="32"/>
      <c r="G169" s="32"/>
      <c r="H169" s="32"/>
      <c r="I169" s="32"/>
      <c r="J169" s="32"/>
      <c r="K169" s="32"/>
      <c r="L169" s="32"/>
      <c r="M169" s="30"/>
      <c r="N169" s="32"/>
      <c r="O169" s="34"/>
      <c r="P169" s="32"/>
      <c r="Q169" s="32"/>
      <c r="R169" s="32"/>
      <c r="S169" s="32"/>
      <c r="T169" s="32"/>
      <c r="U169" s="32"/>
      <c r="V169" s="31"/>
      <c r="W169" s="35" t="str">
        <f aca="true">IF(OR(V169="",AG169&gt;=8),"",IF(V169&lt;TODAY(),"Vencida",IF(V169=TODAY(),"Hoy","")))</f>
        <v/>
      </c>
      <c r="X169" s="36" t="str">
        <f aca="false">IF(A169="","",IF(COUNTIF(Seguimiento!$B$2:$B$5001,A169)=0,"",_xlfn.MAXIFS(Seguimiento!$A$2:$A$5001,Seguimiento!$B$2:$B$5001,A169)))</f>
        <v/>
      </c>
      <c r="Y169" s="37" t="str">
        <f aca="true">IF(B169="","",TODAY()-B169)</f>
        <v/>
      </c>
      <c r="Z169" s="38" t="str">
        <f aca="false">IF(OR(O169="",G169=""),"",O169*IFERROR(INDEX(Listas!$B$2:$B$50,MATCH(G169,Listas!$A$2:$A$50,0)),0))</f>
        <v/>
      </c>
      <c r="AA169" s="32"/>
      <c r="AB169" s="32"/>
      <c r="AC169" s="32"/>
      <c r="AD169" s="35" t="str">
        <f aca="false">IF(OR(LEFT(H169,4)="Meta",LEFT(H169,6)="Google"),IF(AG169=3,"Lead calificado",IF(OR(AG169=4,AG169=5),"Tasación/visita",IF(OR(AG169=6,AG169=7),"Captación/oferta",IF(AG169=8,"Cierre","")))),"")</f>
        <v/>
      </c>
      <c r="AE169" s="32"/>
      <c r="AF169" s="32"/>
      <c r="AG169" s="37" t="n">
        <f aca="false">IF(R169="",0,IFERROR(MATCH(R169,Listas!$L$2:$L$50,0),0))</f>
        <v>0</v>
      </c>
    </row>
    <row r="170" customFormat="false" ht="15" hidden="false" customHeight="false" outlineLevel="0" collapsed="false">
      <c r="A170" s="30"/>
      <c r="B170" s="31"/>
      <c r="C170" s="32"/>
      <c r="D170" s="32"/>
      <c r="E170" s="33"/>
      <c r="F170" s="32"/>
      <c r="G170" s="32"/>
      <c r="H170" s="32"/>
      <c r="I170" s="32"/>
      <c r="J170" s="32"/>
      <c r="K170" s="32"/>
      <c r="L170" s="32"/>
      <c r="M170" s="30"/>
      <c r="N170" s="32"/>
      <c r="O170" s="34"/>
      <c r="P170" s="32"/>
      <c r="Q170" s="32"/>
      <c r="R170" s="32"/>
      <c r="S170" s="32"/>
      <c r="T170" s="32"/>
      <c r="U170" s="32"/>
      <c r="V170" s="31"/>
      <c r="W170" s="35" t="str">
        <f aca="true">IF(OR(V170="",AG170&gt;=8),"",IF(V170&lt;TODAY(),"Vencida",IF(V170=TODAY(),"Hoy","")))</f>
        <v/>
      </c>
      <c r="X170" s="36" t="str">
        <f aca="false">IF(A170="","",IF(COUNTIF(Seguimiento!$B$2:$B$5001,A170)=0,"",_xlfn.MAXIFS(Seguimiento!$A$2:$A$5001,Seguimiento!$B$2:$B$5001,A170)))</f>
        <v/>
      </c>
      <c r="Y170" s="37" t="str">
        <f aca="true">IF(B170="","",TODAY()-B170)</f>
        <v/>
      </c>
      <c r="Z170" s="38" t="str">
        <f aca="false">IF(OR(O170="",G170=""),"",O170*IFERROR(INDEX(Listas!$B$2:$B$50,MATCH(G170,Listas!$A$2:$A$50,0)),0))</f>
        <v/>
      </c>
      <c r="AA170" s="32"/>
      <c r="AB170" s="32"/>
      <c r="AC170" s="32"/>
      <c r="AD170" s="35" t="str">
        <f aca="false">IF(OR(LEFT(H170,4)="Meta",LEFT(H170,6)="Google"),IF(AG170=3,"Lead calificado",IF(OR(AG170=4,AG170=5),"Tasación/visita",IF(OR(AG170=6,AG170=7),"Captación/oferta",IF(AG170=8,"Cierre","")))),"")</f>
        <v/>
      </c>
      <c r="AE170" s="32"/>
      <c r="AF170" s="32"/>
      <c r="AG170" s="37" t="n">
        <f aca="false">IF(R170="",0,IFERROR(MATCH(R170,Listas!$L$2:$L$50,0),0))</f>
        <v>0</v>
      </c>
    </row>
    <row r="171" customFormat="false" ht="15" hidden="false" customHeight="false" outlineLevel="0" collapsed="false">
      <c r="A171" s="30"/>
      <c r="B171" s="31"/>
      <c r="C171" s="32"/>
      <c r="D171" s="32"/>
      <c r="E171" s="33"/>
      <c r="F171" s="32"/>
      <c r="G171" s="32"/>
      <c r="H171" s="32"/>
      <c r="I171" s="32"/>
      <c r="J171" s="32"/>
      <c r="K171" s="32"/>
      <c r="L171" s="32"/>
      <c r="M171" s="30"/>
      <c r="N171" s="32"/>
      <c r="O171" s="34"/>
      <c r="P171" s="32"/>
      <c r="Q171" s="32"/>
      <c r="R171" s="32"/>
      <c r="S171" s="32"/>
      <c r="T171" s="32"/>
      <c r="U171" s="32"/>
      <c r="V171" s="31"/>
      <c r="W171" s="35" t="str">
        <f aca="true">IF(OR(V171="",AG171&gt;=8),"",IF(V171&lt;TODAY(),"Vencida",IF(V171=TODAY(),"Hoy","")))</f>
        <v/>
      </c>
      <c r="X171" s="36" t="str">
        <f aca="false">IF(A171="","",IF(COUNTIF(Seguimiento!$B$2:$B$5001,A171)=0,"",_xlfn.MAXIFS(Seguimiento!$A$2:$A$5001,Seguimiento!$B$2:$B$5001,A171)))</f>
        <v/>
      </c>
      <c r="Y171" s="37" t="str">
        <f aca="true">IF(B171="","",TODAY()-B171)</f>
        <v/>
      </c>
      <c r="Z171" s="38" t="str">
        <f aca="false">IF(OR(O171="",G171=""),"",O171*IFERROR(INDEX(Listas!$B$2:$B$50,MATCH(G171,Listas!$A$2:$A$50,0)),0))</f>
        <v/>
      </c>
      <c r="AA171" s="32"/>
      <c r="AB171" s="32"/>
      <c r="AC171" s="32"/>
      <c r="AD171" s="35" t="str">
        <f aca="false">IF(OR(LEFT(H171,4)="Meta",LEFT(H171,6)="Google"),IF(AG171=3,"Lead calificado",IF(OR(AG171=4,AG171=5),"Tasación/visita",IF(OR(AG171=6,AG171=7),"Captación/oferta",IF(AG171=8,"Cierre","")))),"")</f>
        <v/>
      </c>
      <c r="AE171" s="32"/>
      <c r="AF171" s="32"/>
      <c r="AG171" s="37" t="n">
        <f aca="false">IF(R171="",0,IFERROR(MATCH(R171,Listas!$L$2:$L$50,0),0))</f>
        <v>0</v>
      </c>
    </row>
    <row r="172" customFormat="false" ht="15" hidden="false" customHeight="false" outlineLevel="0" collapsed="false">
      <c r="A172" s="30"/>
      <c r="B172" s="31"/>
      <c r="C172" s="32"/>
      <c r="D172" s="32"/>
      <c r="E172" s="33"/>
      <c r="F172" s="32"/>
      <c r="G172" s="32"/>
      <c r="H172" s="32"/>
      <c r="I172" s="32"/>
      <c r="J172" s="32"/>
      <c r="K172" s="32"/>
      <c r="L172" s="32"/>
      <c r="M172" s="30"/>
      <c r="N172" s="32"/>
      <c r="O172" s="34"/>
      <c r="P172" s="32"/>
      <c r="Q172" s="32"/>
      <c r="R172" s="32"/>
      <c r="S172" s="32"/>
      <c r="T172" s="32"/>
      <c r="U172" s="32"/>
      <c r="V172" s="31"/>
      <c r="W172" s="35" t="str">
        <f aca="true">IF(OR(V172="",AG172&gt;=8),"",IF(V172&lt;TODAY(),"Vencida",IF(V172=TODAY(),"Hoy","")))</f>
        <v/>
      </c>
      <c r="X172" s="36" t="str">
        <f aca="false">IF(A172="","",IF(COUNTIF(Seguimiento!$B$2:$B$5001,A172)=0,"",_xlfn.MAXIFS(Seguimiento!$A$2:$A$5001,Seguimiento!$B$2:$B$5001,A172)))</f>
        <v/>
      </c>
      <c r="Y172" s="37" t="str">
        <f aca="true">IF(B172="","",TODAY()-B172)</f>
        <v/>
      </c>
      <c r="Z172" s="38" t="str">
        <f aca="false">IF(OR(O172="",G172=""),"",O172*IFERROR(INDEX(Listas!$B$2:$B$50,MATCH(G172,Listas!$A$2:$A$50,0)),0))</f>
        <v/>
      </c>
      <c r="AA172" s="32"/>
      <c r="AB172" s="32"/>
      <c r="AC172" s="32"/>
      <c r="AD172" s="35" t="str">
        <f aca="false">IF(OR(LEFT(H172,4)="Meta",LEFT(H172,6)="Google"),IF(AG172=3,"Lead calificado",IF(OR(AG172=4,AG172=5),"Tasación/visita",IF(OR(AG172=6,AG172=7),"Captación/oferta",IF(AG172=8,"Cierre","")))),"")</f>
        <v/>
      </c>
      <c r="AE172" s="32"/>
      <c r="AF172" s="32"/>
      <c r="AG172" s="37" t="n">
        <f aca="false">IF(R172="",0,IFERROR(MATCH(R172,Listas!$L$2:$L$50,0),0))</f>
        <v>0</v>
      </c>
    </row>
    <row r="173" customFormat="false" ht="15" hidden="false" customHeight="false" outlineLevel="0" collapsed="false">
      <c r="A173" s="30"/>
      <c r="B173" s="31"/>
      <c r="C173" s="32"/>
      <c r="D173" s="32"/>
      <c r="E173" s="33"/>
      <c r="F173" s="32"/>
      <c r="G173" s="32"/>
      <c r="H173" s="32"/>
      <c r="I173" s="32"/>
      <c r="J173" s="32"/>
      <c r="K173" s="32"/>
      <c r="L173" s="32"/>
      <c r="M173" s="30"/>
      <c r="N173" s="32"/>
      <c r="O173" s="34"/>
      <c r="P173" s="32"/>
      <c r="Q173" s="32"/>
      <c r="R173" s="32"/>
      <c r="S173" s="32"/>
      <c r="T173" s="32"/>
      <c r="U173" s="32"/>
      <c r="V173" s="31"/>
      <c r="W173" s="35" t="str">
        <f aca="true">IF(OR(V173="",AG173&gt;=8),"",IF(V173&lt;TODAY(),"Vencida",IF(V173=TODAY(),"Hoy","")))</f>
        <v/>
      </c>
      <c r="X173" s="36" t="str">
        <f aca="false">IF(A173="","",IF(COUNTIF(Seguimiento!$B$2:$B$5001,A173)=0,"",_xlfn.MAXIFS(Seguimiento!$A$2:$A$5001,Seguimiento!$B$2:$B$5001,A173)))</f>
        <v/>
      </c>
      <c r="Y173" s="37" t="str">
        <f aca="true">IF(B173="","",TODAY()-B173)</f>
        <v/>
      </c>
      <c r="Z173" s="38" t="str">
        <f aca="false">IF(OR(O173="",G173=""),"",O173*IFERROR(INDEX(Listas!$B$2:$B$50,MATCH(G173,Listas!$A$2:$A$50,0)),0))</f>
        <v/>
      </c>
      <c r="AA173" s="32"/>
      <c r="AB173" s="32"/>
      <c r="AC173" s="32"/>
      <c r="AD173" s="35" t="str">
        <f aca="false">IF(OR(LEFT(H173,4)="Meta",LEFT(H173,6)="Google"),IF(AG173=3,"Lead calificado",IF(OR(AG173=4,AG173=5),"Tasación/visita",IF(OR(AG173=6,AG173=7),"Captación/oferta",IF(AG173=8,"Cierre","")))),"")</f>
        <v/>
      </c>
      <c r="AE173" s="32"/>
      <c r="AF173" s="32"/>
      <c r="AG173" s="37" t="n">
        <f aca="false">IF(R173="",0,IFERROR(MATCH(R173,Listas!$L$2:$L$50,0),0))</f>
        <v>0</v>
      </c>
    </row>
    <row r="174" customFormat="false" ht="15" hidden="false" customHeight="false" outlineLevel="0" collapsed="false">
      <c r="A174" s="30"/>
      <c r="B174" s="31"/>
      <c r="C174" s="32"/>
      <c r="D174" s="32"/>
      <c r="E174" s="33"/>
      <c r="F174" s="32"/>
      <c r="G174" s="32"/>
      <c r="H174" s="32"/>
      <c r="I174" s="32"/>
      <c r="J174" s="32"/>
      <c r="K174" s="32"/>
      <c r="L174" s="32"/>
      <c r="M174" s="30"/>
      <c r="N174" s="32"/>
      <c r="O174" s="34"/>
      <c r="P174" s="32"/>
      <c r="Q174" s="32"/>
      <c r="R174" s="32"/>
      <c r="S174" s="32"/>
      <c r="T174" s="32"/>
      <c r="U174" s="32"/>
      <c r="V174" s="31"/>
      <c r="W174" s="35" t="str">
        <f aca="true">IF(OR(V174="",AG174&gt;=8),"",IF(V174&lt;TODAY(),"Vencida",IF(V174=TODAY(),"Hoy","")))</f>
        <v/>
      </c>
      <c r="X174" s="36" t="str">
        <f aca="false">IF(A174="","",IF(COUNTIF(Seguimiento!$B$2:$B$5001,A174)=0,"",_xlfn.MAXIFS(Seguimiento!$A$2:$A$5001,Seguimiento!$B$2:$B$5001,A174)))</f>
        <v/>
      </c>
      <c r="Y174" s="37" t="str">
        <f aca="true">IF(B174="","",TODAY()-B174)</f>
        <v/>
      </c>
      <c r="Z174" s="38" t="str">
        <f aca="false">IF(OR(O174="",G174=""),"",O174*IFERROR(INDEX(Listas!$B$2:$B$50,MATCH(G174,Listas!$A$2:$A$50,0)),0))</f>
        <v/>
      </c>
      <c r="AA174" s="32"/>
      <c r="AB174" s="32"/>
      <c r="AC174" s="32"/>
      <c r="AD174" s="35" t="str">
        <f aca="false">IF(OR(LEFT(H174,4)="Meta",LEFT(H174,6)="Google"),IF(AG174=3,"Lead calificado",IF(OR(AG174=4,AG174=5),"Tasación/visita",IF(OR(AG174=6,AG174=7),"Captación/oferta",IF(AG174=8,"Cierre","")))),"")</f>
        <v/>
      </c>
      <c r="AE174" s="32"/>
      <c r="AF174" s="32"/>
      <c r="AG174" s="37" t="n">
        <f aca="false">IF(R174="",0,IFERROR(MATCH(R174,Listas!$L$2:$L$50,0),0))</f>
        <v>0</v>
      </c>
    </row>
    <row r="175" customFormat="false" ht="15" hidden="false" customHeight="false" outlineLevel="0" collapsed="false">
      <c r="A175" s="30"/>
      <c r="B175" s="31"/>
      <c r="C175" s="32"/>
      <c r="D175" s="32"/>
      <c r="E175" s="33"/>
      <c r="F175" s="32"/>
      <c r="G175" s="32"/>
      <c r="H175" s="32"/>
      <c r="I175" s="32"/>
      <c r="J175" s="32"/>
      <c r="K175" s="32"/>
      <c r="L175" s="32"/>
      <c r="M175" s="30"/>
      <c r="N175" s="32"/>
      <c r="O175" s="34"/>
      <c r="P175" s="32"/>
      <c r="Q175" s="32"/>
      <c r="R175" s="32"/>
      <c r="S175" s="32"/>
      <c r="T175" s="32"/>
      <c r="U175" s="32"/>
      <c r="V175" s="31"/>
      <c r="W175" s="35" t="str">
        <f aca="true">IF(OR(V175="",AG175&gt;=8),"",IF(V175&lt;TODAY(),"Vencida",IF(V175=TODAY(),"Hoy","")))</f>
        <v/>
      </c>
      <c r="X175" s="36" t="str">
        <f aca="false">IF(A175="","",IF(COUNTIF(Seguimiento!$B$2:$B$5001,A175)=0,"",_xlfn.MAXIFS(Seguimiento!$A$2:$A$5001,Seguimiento!$B$2:$B$5001,A175)))</f>
        <v/>
      </c>
      <c r="Y175" s="37" t="str">
        <f aca="true">IF(B175="","",TODAY()-B175)</f>
        <v/>
      </c>
      <c r="Z175" s="38" t="str">
        <f aca="false">IF(OR(O175="",G175=""),"",O175*IFERROR(INDEX(Listas!$B$2:$B$50,MATCH(G175,Listas!$A$2:$A$50,0)),0))</f>
        <v/>
      </c>
      <c r="AA175" s="32"/>
      <c r="AB175" s="32"/>
      <c r="AC175" s="32"/>
      <c r="AD175" s="35" t="str">
        <f aca="false">IF(OR(LEFT(H175,4)="Meta",LEFT(H175,6)="Google"),IF(AG175=3,"Lead calificado",IF(OR(AG175=4,AG175=5),"Tasación/visita",IF(OR(AG175=6,AG175=7),"Captación/oferta",IF(AG175=8,"Cierre","")))),"")</f>
        <v/>
      </c>
      <c r="AE175" s="32"/>
      <c r="AF175" s="32"/>
      <c r="AG175" s="37" t="n">
        <f aca="false">IF(R175="",0,IFERROR(MATCH(R175,Listas!$L$2:$L$50,0),0))</f>
        <v>0</v>
      </c>
    </row>
    <row r="176" customFormat="false" ht="15" hidden="false" customHeight="false" outlineLevel="0" collapsed="false">
      <c r="A176" s="30"/>
      <c r="B176" s="31"/>
      <c r="C176" s="32"/>
      <c r="D176" s="32"/>
      <c r="E176" s="33"/>
      <c r="F176" s="32"/>
      <c r="G176" s="32"/>
      <c r="H176" s="32"/>
      <c r="I176" s="32"/>
      <c r="J176" s="32"/>
      <c r="K176" s="32"/>
      <c r="L176" s="32"/>
      <c r="M176" s="30"/>
      <c r="N176" s="32"/>
      <c r="O176" s="34"/>
      <c r="P176" s="32"/>
      <c r="Q176" s="32"/>
      <c r="R176" s="32"/>
      <c r="S176" s="32"/>
      <c r="T176" s="32"/>
      <c r="U176" s="32"/>
      <c r="V176" s="31"/>
      <c r="W176" s="35" t="str">
        <f aca="true">IF(OR(V176="",AG176&gt;=8),"",IF(V176&lt;TODAY(),"Vencida",IF(V176=TODAY(),"Hoy","")))</f>
        <v/>
      </c>
      <c r="X176" s="36" t="str">
        <f aca="false">IF(A176="","",IF(COUNTIF(Seguimiento!$B$2:$B$5001,A176)=0,"",_xlfn.MAXIFS(Seguimiento!$A$2:$A$5001,Seguimiento!$B$2:$B$5001,A176)))</f>
        <v/>
      </c>
      <c r="Y176" s="37" t="str">
        <f aca="true">IF(B176="","",TODAY()-B176)</f>
        <v/>
      </c>
      <c r="Z176" s="38" t="str">
        <f aca="false">IF(OR(O176="",G176=""),"",O176*IFERROR(INDEX(Listas!$B$2:$B$50,MATCH(G176,Listas!$A$2:$A$50,0)),0))</f>
        <v/>
      </c>
      <c r="AA176" s="32"/>
      <c r="AB176" s="32"/>
      <c r="AC176" s="32"/>
      <c r="AD176" s="35" t="str">
        <f aca="false">IF(OR(LEFT(H176,4)="Meta",LEFT(H176,6)="Google"),IF(AG176=3,"Lead calificado",IF(OR(AG176=4,AG176=5),"Tasación/visita",IF(OR(AG176=6,AG176=7),"Captación/oferta",IF(AG176=8,"Cierre","")))),"")</f>
        <v/>
      </c>
      <c r="AE176" s="32"/>
      <c r="AF176" s="32"/>
      <c r="AG176" s="37" t="n">
        <f aca="false">IF(R176="",0,IFERROR(MATCH(R176,Listas!$L$2:$L$50,0),0))</f>
        <v>0</v>
      </c>
    </row>
    <row r="177" customFormat="false" ht="15" hidden="false" customHeight="false" outlineLevel="0" collapsed="false">
      <c r="A177" s="30"/>
      <c r="B177" s="31"/>
      <c r="C177" s="32"/>
      <c r="D177" s="32"/>
      <c r="E177" s="33"/>
      <c r="F177" s="32"/>
      <c r="G177" s="32"/>
      <c r="H177" s="32"/>
      <c r="I177" s="32"/>
      <c r="J177" s="32"/>
      <c r="K177" s="32"/>
      <c r="L177" s="32"/>
      <c r="M177" s="30"/>
      <c r="N177" s="32"/>
      <c r="O177" s="34"/>
      <c r="P177" s="32"/>
      <c r="Q177" s="32"/>
      <c r="R177" s="32"/>
      <c r="S177" s="32"/>
      <c r="T177" s="32"/>
      <c r="U177" s="32"/>
      <c r="V177" s="31"/>
      <c r="W177" s="35" t="str">
        <f aca="true">IF(OR(V177="",AG177&gt;=8),"",IF(V177&lt;TODAY(),"Vencida",IF(V177=TODAY(),"Hoy","")))</f>
        <v/>
      </c>
      <c r="X177" s="36" t="str">
        <f aca="false">IF(A177="","",IF(COUNTIF(Seguimiento!$B$2:$B$5001,A177)=0,"",_xlfn.MAXIFS(Seguimiento!$A$2:$A$5001,Seguimiento!$B$2:$B$5001,A177)))</f>
        <v/>
      </c>
      <c r="Y177" s="37" t="str">
        <f aca="true">IF(B177="","",TODAY()-B177)</f>
        <v/>
      </c>
      <c r="Z177" s="38" t="str">
        <f aca="false">IF(OR(O177="",G177=""),"",O177*IFERROR(INDEX(Listas!$B$2:$B$50,MATCH(G177,Listas!$A$2:$A$50,0)),0))</f>
        <v/>
      </c>
      <c r="AA177" s="32"/>
      <c r="AB177" s="32"/>
      <c r="AC177" s="32"/>
      <c r="AD177" s="35" t="str">
        <f aca="false">IF(OR(LEFT(H177,4)="Meta",LEFT(H177,6)="Google"),IF(AG177=3,"Lead calificado",IF(OR(AG177=4,AG177=5),"Tasación/visita",IF(OR(AG177=6,AG177=7),"Captación/oferta",IF(AG177=8,"Cierre","")))),"")</f>
        <v/>
      </c>
      <c r="AE177" s="32"/>
      <c r="AF177" s="32"/>
      <c r="AG177" s="37" t="n">
        <f aca="false">IF(R177="",0,IFERROR(MATCH(R177,Listas!$L$2:$L$50,0),0))</f>
        <v>0</v>
      </c>
    </row>
    <row r="178" customFormat="false" ht="15" hidden="false" customHeight="false" outlineLevel="0" collapsed="false">
      <c r="A178" s="30"/>
      <c r="B178" s="31"/>
      <c r="C178" s="32"/>
      <c r="D178" s="32"/>
      <c r="E178" s="33"/>
      <c r="F178" s="32"/>
      <c r="G178" s="32"/>
      <c r="H178" s="32"/>
      <c r="I178" s="32"/>
      <c r="J178" s="32"/>
      <c r="K178" s="32"/>
      <c r="L178" s="32"/>
      <c r="M178" s="30"/>
      <c r="N178" s="32"/>
      <c r="O178" s="34"/>
      <c r="P178" s="32"/>
      <c r="Q178" s="32"/>
      <c r="R178" s="32"/>
      <c r="S178" s="32"/>
      <c r="T178" s="32"/>
      <c r="U178" s="32"/>
      <c r="V178" s="31"/>
      <c r="W178" s="35" t="str">
        <f aca="true">IF(OR(V178="",AG178&gt;=8),"",IF(V178&lt;TODAY(),"Vencida",IF(V178=TODAY(),"Hoy","")))</f>
        <v/>
      </c>
      <c r="X178" s="36" t="str">
        <f aca="false">IF(A178="","",IF(COUNTIF(Seguimiento!$B$2:$B$5001,A178)=0,"",_xlfn.MAXIFS(Seguimiento!$A$2:$A$5001,Seguimiento!$B$2:$B$5001,A178)))</f>
        <v/>
      </c>
      <c r="Y178" s="37" t="str">
        <f aca="true">IF(B178="","",TODAY()-B178)</f>
        <v/>
      </c>
      <c r="Z178" s="38" t="str">
        <f aca="false">IF(OR(O178="",G178=""),"",O178*IFERROR(INDEX(Listas!$B$2:$B$50,MATCH(G178,Listas!$A$2:$A$50,0)),0))</f>
        <v/>
      </c>
      <c r="AA178" s="32"/>
      <c r="AB178" s="32"/>
      <c r="AC178" s="32"/>
      <c r="AD178" s="35" t="str">
        <f aca="false">IF(OR(LEFT(H178,4)="Meta",LEFT(H178,6)="Google"),IF(AG178=3,"Lead calificado",IF(OR(AG178=4,AG178=5),"Tasación/visita",IF(OR(AG178=6,AG178=7),"Captación/oferta",IF(AG178=8,"Cierre","")))),"")</f>
        <v/>
      </c>
      <c r="AE178" s="32"/>
      <c r="AF178" s="32"/>
      <c r="AG178" s="37" t="n">
        <f aca="false">IF(R178="",0,IFERROR(MATCH(R178,Listas!$L$2:$L$50,0),0))</f>
        <v>0</v>
      </c>
    </row>
    <row r="179" customFormat="false" ht="15" hidden="false" customHeight="false" outlineLevel="0" collapsed="false">
      <c r="A179" s="30"/>
      <c r="B179" s="31"/>
      <c r="C179" s="32"/>
      <c r="D179" s="32"/>
      <c r="E179" s="33"/>
      <c r="F179" s="32"/>
      <c r="G179" s="32"/>
      <c r="H179" s="32"/>
      <c r="I179" s="32"/>
      <c r="J179" s="32"/>
      <c r="K179" s="32"/>
      <c r="L179" s="32"/>
      <c r="M179" s="30"/>
      <c r="N179" s="32"/>
      <c r="O179" s="34"/>
      <c r="P179" s="32"/>
      <c r="Q179" s="32"/>
      <c r="R179" s="32"/>
      <c r="S179" s="32"/>
      <c r="T179" s="32"/>
      <c r="U179" s="32"/>
      <c r="V179" s="31"/>
      <c r="W179" s="35" t="str">
        <f aca="true">IF(OR(V179="",AG179&gt;=8),"",IF(V179&lt;TODAY(),"Vencida",IF(V179=TODAY(),"Hoy","")))</f>
        <v/>
      </c>
      <c r="X179" s="36" t="str">
        <f aca="false">IF(A179="","",IF(COUNTIF(Seguimiento!$B$2:$B$5001,A179)=0,"",_xlfn.MAXIFS(Seguimiento!$A$2:$A$5001,Seguimiento!$B$2:$B$5001,A179)))</f>
        <v/>
      </c>
      <c r="Y179" s="37" t="str">
        <f aca="true">IF(B179="","",TODAY()-B179)</f>
        <v/>
      </c>
      <c r="Z179" s="38" t="str">
        <f aca="false">IF(OR(O179="",G179=""),"",O179*IFERROR(INDEX(Listas!$B$2:$B$50,MATCH(G179,Listas!$A$2:$A$50,0)),0))</f>
        <v/>
      </c>
      <c r="AA179" s="32"/>
      <c r="AB179" s="32"/>
      <c r="AC179" s="32"/>
      <c r="AD179" s="35" t="str">
        <f aca="false">IF(OR(LEFT(H179,4)="Meta",LEFT(H179,6)="Google"),IF(AG179=3,"Lead calificado",IF(OR(AG179=4,AG179=5),"Tasación/visita",IF(OR(AG179=6,AG179=7),"Captación/oferta",IF(AG179=8,"Cierre","")))),"")</f>
        <v/>
      </c>
      <c r="AE179" s="32"/>
      <c r="AF179" s="32"/>
      <c r="AG179" s="37" t="n">
        <f aca="false">IF(R179="",0,IFERROR(MATCH(R179,Listas!$L$2:$L$50,0),0))</f>
        <v>0</v>
      </c>
    </row>
    <row r="180" customFormat="false" ht="15" hidden="false" customHeight="false" outlineLevel="0" collapsed="false">
      <c r="A180" s="30"/>
      <c r="B180" s="31"/>
      <c r="C180" s="32"/>
      <c r="D180" s="32"/>
      <c r="E180" s="33"/>
      <c r="F180" s="32"/>
      <c r="G180" s="32"/>
      <c r="H180" s="32"/>
      <c r="I180" s="32"/>
      <c r="J180" s="32"/>
      <c r="K180" s="32"/>
      <c r="L180" s="32"/>
      <c r="M180" s="30"/>
      <c r="N180" s="32"/>
      <c r="O180" s="34"/>
      <c r="P180" s="32"/>
      <c r="Q180" s="32"/>
      <c r="R180" s="32"/>
      <c r="S180" s="32"/>
      <c r="T180" s="32"/>
      <c r="U180" s="32"/>
      <c r="V180" s="31"/>
      <c r="W180" s="35" t="str">
        <f aca="true">IF(OR(V180="",AG180&gt;=8),"",IF(V180&lt;TODAY(),"Vencida",IF(V180=TODAY(),"Hoy","")))</f>
        <v/>
      </c>
      <c r="X180" s="36" t="str">
        <f aca="false">IF(A180="","",IF(COUNTIF(Seguimiento!$B$2:$B$5001,A180)=0,"",_xlfn.MAXIFS(Seguimiento!$A$2:$A$5001,Seguimiento!$B$2:$B$5001,A180)))</f>
        <v/>
      </c>
      <c r="Y180" s="37" t="str">
        <f aca="true">IF(B180="","",TODAY()-B180)</f>
        <v/>
      </c>
      <c r="Z180" s="38" t="str">
        <f aca="false">IF(OR(O180="",G180=""),"",O180*IFERROR(INDEX(Listas!$B$2:$B$50,MATCH(G180,Listas!$A$2:$A$50,0)),0))</f>
        <v/>
      </c>
      <c r="AA180" s="32"/>
      <c r="AB180" s="32"/>
      <c r="AC180" s="32"/>
      <c r="AD180" s="35" t="str">
        <f aca="false">IF(OR(LEFT(H180,4)="Meta",LEFT(H180,6)="Google"),IF(AG180=3,"Lead calificado",IF(OR(AG180=4,AG180=5),"Tasación/visita",IF(OR(AG180=6,AG180=7),"Captación/oferta",IF(AG180=8,"Cierre","")))),"")</f>
        <v/>
      </c>
      <c r="AE180" s="32"/>
      <c r="AF180" s="32"/>
      <c r="AG180" s="37" t="n">
        <f aca="false">IF(R180="",0,IFERROR(MATCH(R180,Listas!$L$2:$L$50,0),0))</f>
        <v>0</v>
      </c>
    </row>
    <row r="181" customFormat="false" ht="15" hidden="false" customHeight="false" outlineLevel="0" collapsed="false">
      <c r="A181" s="30"/>
      <c r="B181" s="31"/>
      <c r="C181" s="32"/>
      <c r="D181" s="32"/>
      <c r="E181" s="33"/>
      <c r="F181" s="32"/>
      <c r="G181" s="32"/>
      <c r="H181" s="32"/>
      <c r="I181" s="32"/>
      <c r="J181" s="32"/>
      <c r="K181" s="32"/>
      <c r="L181" s="32"/>
      <c r="M181" s="30"/>
      <c r="N181" s="32"/>
      <c r="O181" s="34"/>
      <c r="P181" s="32"/>
      <c r="Q181" s="32"/>
      <c r="R181" s="32"/>
      <c r="S181" s="32"/>
      <c r="T181" s="32"/>
      <c r="U181" s="32"/>
      <c r="V181" s="31"/>
      <c r="W181" s="35" t="str">
        <f aca="true">IF(OR(V181="",AG181&gt;=8),"",IF(V181&lt;TODAY(),"Vencida",IF(V181=TODAY(),"Hoy","")))</f>
        <v/>
      </c>
      <c r="X181" s="36" t="str">
        <f aca="false">IF(A181="","",IF(COUNTIF(Seguimiento!$B$2:$B$5001,A181)=0,"",_xlfn.MAXIFS(Seguimiento!$A$2:$A$5001,Seguimiento!$B$2:$B$5001,A181)))</f>
        <v/>
      </c>
      <c r="Y181" s="37" t="str">
        <f aca="true">IF(B181="","",TODAY()-B181)</f>
        <v/>
      </c>
      <c r="Z181" s="38" t="str">
        <f aca="false">IF(OR(O181="",G181=""),"",O181*IFERROR(INDEX(Listas!$B$2:$B$50,MATCH(G181,Listas!$A$2:$A$50,0)),0))</f>
        <v/>
      </c>
      <c r="AA181" s="32"/>
      <c r="AB181" s="32"/>
      <c r="AC181" s="32"/>
      <c r="AD181" s="35" t="str">
        <f aca="false">IF(OR(LEFT(H181,4)="Meta",LEFT(H181,6)="Google"),IF(AG181=3,"Lead calificado",IF(OR(AG181=4,AG181=5),"Tasación/visita",IF(OR(AG181=6,AG181=7),"Captación/oferta",IF(AG181=8,"Cierre","")))),"")</f>
        <v/>
      </c>
      <c r="AE181" s="32"/>
      <c r="AF181" s="32"/>
      <c r="AG181" s="37" t="n">
        <f aca="false">IF(R181="",0,IFERROR(MATCH(R181,Listas!$L$2:$L$50,0),0))</f>
        <v>0</v>
      </c>
    </row>
    <row r="182" customFormat="false" ht="15" hidden="false" customHeight="false" outlineLevel="0" collapsed="false">
      <c r="A182" s="30"/>
      <c r="B182" s="31"/>
      <c r="C182" s="32"/>
      <c r="D182" s="32"/>
      <c r="E182" s="33"/>
      <c r="F182" s="32"/>
      <c r="G182" s="32"/>
      <c r="H182" s="32"/>
      <c r="I182" s="32"/>
      <c r="J182" s="32"/>
      <c r="K182" s="32"/>
      <c r="L182" s="32"/>
      <c r="M182" s="30"/>
      <c r="N182" s="32"/>
      <c r="O182" s="34"/>
      <c r="P182" s="32"/>
      <c r="Q182" s="32"/>
      <c r="R182" s="32"/>
      <c r="S182" s="32"/>
      <c r="T182" s="32"/>
      <c r="U182" s="32"/>
      <c r="V182" s="31"/>
      <c r="W182" s="35" t="str">
        <f aca="true">IF(OR(V182="",AG182&gt;=8),"",IF(V182&lt;TODAY(),"Vencida",IF(V182=TODAY(),"Hoy","")))</f>
        <v/>
      </c>
      <c r="X182" s="36" t="str">
        <f aca="false">IF(A182="","",IF(COUNTIF(Seguimiento!$B$2:$B$5001,A182)=0,"",_xlfn.MAXIFS(Seguimiento!$A$2:$A$5001,Seguimiento!$B$2:$B$5001,A182)))</f>
        <v/>
      </c>
      <c r="Y182" s="37" t="str">
        <f aca="true">IF(B182="","",TODAY()-B182)</f>
        <v/>
      </c>
      <c r="Z182" s="38" t="str">
        <f aca="false">IF(OR(O182="",G182=""),"",O182*IFERROR(INDEX(Listas!$B$2:$B$50,MATCH(G182,Listas!$A$2:$A$50,0)),0))</f>
        <v/>
      </c>
      <c r="AA182" s="32"/>
      <c r="AB182" s="32"/>
      <c r="AC182" s="32"/>
      <c r="AD182" s="35" t="str">
        <f aca="false">IF(OR(LEFT(H182,4)="Meta",LEFT(H182,6)="Google"),IF(AG182=3,"Lead calificado",IF(OR(AG182=4,AG182=5),"Tasación/visita",IF(OR(AG182=6,AG182=7),"Captación/oferta",IF(AG182=8,"Cierre","")))),"")</f>
        <v/>
      </c>
      <c r="AE182" s="32"/>
      <c r="AF182" s="32"/>
      <c r="AG182" s="37" t="n">
        <f aca="false">IF(R182="",0,IFERROR(MATCH(R182,Listas!$L$2:$L$50,0),0))</f>
        <v>0</v>
      </c>
    </row>
    <row r="183" customFormat="false" ht="15" hidden="false" customHeight="false" outlineLevel="0" collapsed="false">
      <c r="A183" s="30"/>
      <c r="B183" s="31"/>
      <c r="C183" s="32"/>
      <c r="D183" s="32"/>
      <c r="E183" s="33"/>
      <c r="F183" s="32"/>
      <c r="G183" s="32"/>
      <c r="H183" s="32"/>
      <c r="I183" s="32"/>
      <c r="J183" s="32"/>
      <c r="K183" s="32"/>
      <c r="L183" s="32"/>
      <c r="M183" s="30"/>
      <c r="N183" s="32"/>
      <c r="O183" s="34"/>
      <c r="P183" s="32"/>
      <c r="Q183" s="32"/>
      <c r="R183" s="32"/>
      <c r="S183" s="32"/>
      <c r="T183" s="32"/>
      <c r="U183" s="32"/>
      <c r="V183" s="31"/>
      <c r="W183" s="35" t="str">
        <f aca="true">IF(OR(V183="",AG183&gt;=8),"",IF(V183&lt;TODAY(),"Vencida",IF(V183=TODAY(),"Hoy","")))</f>
        <v/>
      </c>
      <c r="X183" s="36" t="str">
        <f aca="false">IF(A183="","",IF(COUNTIF(Seguimiento!$B$2:$B$5001,A183)=0,"",_xlfn.MAXIFS(Seguimiento!$A$2:$A$5001,Seguimiento!$B$2:$B$5001,A183)))</f>
        <v/>
      </c>
      <c r="Y183" s="37" t="str">
        <f aca="true">IF(B183="","",TODAY()-B183)</f>
        <v/>
      </c>
      <c r="Z183" s="38" t="str">
        <f aca="false">IF(OR(O183="",G183=""),"",O183*IFERROR(INDEX(Listas!$B$2:$B$50,MATCH(G183,Listas!$A$2:$A$50,0)),0))</f>
        <v/>
      </c>
      <c r="AA183" s="32"/>
      <c r="AB183" s="32"/>
      <c r="AC183" s="32"/>
      <c r="AD183" s="35" t="str">
        <f aca="false">IF(OR(LEFT(H183,4)="Meta",LEFT(H183,6)="Google"),IF(AG183=3,"Lead calificado",IF(OR(AG183=4,AG183=5),"Tasación/visita",IF(OR(AG183=6,AG183=7),"Captación/oferta",IF(AG183=8,"Cierre","")))),"")</f>
        <v/>
      </c>
      <c r="AE183" s="32"/>
      <c r="AF183" s="32"/>
      <c r="AG183" s="37" t="n">
        <f aca="false">IF(R183="",0,IFERROR(MATCH(R183,Listas!$L$2:$L$50,0),0))</f>
        <v>0</v>
      </c>
    </row>
    <row r="184" customFormat="false" ht="15" hidden="false" customHeight="false" outlineLevel="0" collapsed="false">
      <c r="A184" s="30"/>
      <c r="B184" s="31"/>
      <c r="C184" s="32"/>
      <c r="D184" s="32"/>
      <c r="E184" s="33"/>
      <c r="F184" s="32"/>
      <c r="G184" s="32"/>
      <c r="H184" s="32"/>
      <c r="I184" s="32"/>
      <c r="J184" s="32"/>
      <c r="K184" s="32"/>
      <c r="L184" s="32"/>
      <c r="M184" s="30"/>
      <c r="N184" s="32"/>
      <c r="O184" s="34"/>
      <c r="P184" s="32"/>
      <c r="Q184" s="32"/>
      <c r="R184" s="32"/>
      <c r="S184" s="32"/>
      <c r="T184" s="32"/>
      <c r="U184" s="32"/>
      <c r="V184" s="31"/>
      <c r="W184" s="35" t="str">
        <f aca="true">IF(OR(V184="",AG184&gt;=8),"",IF(V184&lt;TODAY(),"Vencida",IF(V184=TODAY(),"Hoy","")))</f>
        <v/>
      </c>
      <c r="X184" s="36" t="str">
        <f aca="false">IF(A184="","",IF(COUNTIF(Seguimiento!$B$2:$B$5001,A184)=0,"",_xlfn.MAXIFS(Seguimiento!$A$2:$A$5001,Seguimiento!$B$2:$B$5001,A184)))</f>
        <v/>
      </c>
      <c r="Y184" s="37" t="str">
        <f aca="true">IF(B184="","",TODAY()-B184)</f>
        <v/>
      </c>
      <c r="Z184" s="38" t="str">
        <f aca="false">IF(OR(O184="",G184=""),"",O184*IFERROR(INDEX(Listas!$B$2:$B$50,MATCH(G184,Listas!$A$2:$A$50,0)),0))</f>
        <v/>
      </c>
      <c r="AA184" s="32"/>
      <c r="AB184" s="32"/>
      <c r="AC184" s="32"/>
      <c r="AD184" s="35" t="str">
        <f aca="false">IF(OR(LEFT(H184,4)="Meta",LEFT(H184,6)="Google"),IF(AG184=3,"Lead calificado",IF(OR(AG184=4,AG184=5),"Tasación/visita",IF(OR(AG184=6,AG184=7),"Captación/oferta",IF(AG184=8,"Cierre","")))),"")</f>
        <v/>
      </c>
      <c r="AE184" s="32"/>
      <c r="AF184" s="32"/>
      <c r="AG184" s="37" t="n">
        <f aca="false">IF(R184="",0,IFERROR(MATCH(R184,Listas!$L$2:$L$50,0),0))</f>
        <v>0</v>
      </c>
    </row>
    <row r="185" customFormat="false" ht="15" hidden="false" customHeight="false" outlineLevel="0" collapsed="false">
      <c r="A185" s="30"/>
      <c r="B185" s="31"/>
      <c r="C185" s="32"/>
      <c r="D185" s="32"/>
      <c r="E185" s="33"/>
      <c r="F185" s="32"/>
      <c r="G185" s="32"/>
      <c r="H185" s="32"/>
      <c r="I185" s="32"/>
      <c r="J185" s="32"/>
      <c r="K185" s="32"/>
      <c r="L185" s="32"/>
      <c r="M185" s="30"/>
      <c r="N185" s="32"/>
      <c r="O185" s="34"/>
      <c r="P185" s="32"/>
      <c r="Q185" s="32"/>
      <c r="R185" s="32"/>
      <c r="S185" s="32"/>
      <c r="T185" s="32"/>
      <c r="U185" s="32"/>
      <c r="V185" s="31"/>
      <c r="W185" s="35" t="str">
        <f aca="true">IF(OR(V185="",AG185&gt;=8),"",IF(V185&lt;TODAY(),"Vencida",IF(V185=TODAY(),"Hoy","")))</f>
        <v/>
      </c>
      <c r="X185" s="36" t="str">
        <f aca="false">IF(A185="","",IF(COUNTIF(Seguimiento!$B$2:$B$5001,A185)=0,"",_xlfn.MAXIFS(Seguimiento!$A$2:$A$5001,Seguimiento!$B$2:$B$5001,A185)))</f>
        <v/>
      </c>
      <c r="Y185" s="37" t="str">
        <f aca="true">IF(B185="","",TODAY()-B185)</f>
        <v/>
      </c>
      <c r="Z185" s="38" t="str">
        <f aca="false">IF(OR(O185="",G185=""),"",O185*IFERROR(INDEX(Listas!$B$2:$B$50,MATCH(G185,Listas!$A$2:$A$50,0)),0))</f>
        <v/>
      </c>
      <c r="AA185" s="32"/>
      <c r="AB185" s="32"/>
      <c r="AC185" s="32"/>
      <c r="AD185" s="35" t="str">
        <f aca="false">IF(OR(LEFT(H185,4)="Meta",LEFT(H185,6)="Google"),IF(AG185=3,"Lead calificado",IF(OR(AG185=4,AG185=5),"Tasación/visita",IF(OR(AG185=6,AG185=7),"Captación/oferta",IF(AG185=8,"Cierre","")))),"")</f>
        <v/>
      </c>
      <c r="AE185" s="32"/>
      <c r="AF185" s="32"/>
      <c r="AG185" s="37" t="n">
        <f aca="false">IF(R185="",0,IFERROR(MATCH(R185,Listas!$L$2:$L$50,0),0))</f>
        <v>0</v>
      </c>
    </row>
    <row r="186" customFormat="false" ht="15" hidden="false" customHeight="false" outlineLevel="0" collapsed="false">
      <c r="A186" s="30"/>
      <c r="B186" s="31"/>
      <c r="C186" s="32"/>
      <c r="D186" s="32"/>
      <c r="E186" s="33"/>
      <c r="F186" s="32"/>
      <c r="G186" s="32"/>
      <c r="H186" s="32"/>
      <c r="I186" s="32"/>
      <c r="J186" s="32"/>
      <c r="K186" s="32"/>
      <c r="L186" s="32"/>
      <c r="M186" s="30"/>
      <c r="N186" s="32"/>
      <c r="O186" s="34"/>
      <c r="P186" s="32"/>
      <c r="Q186" s="32"/>
      <c r="R186" s="32"/>
      <c r="S186" s="32"/>
      <c r="T186" s="32"/>
      <c r="U186" s="32"/>
      <c r="V186" s="31"/>
      <c r="W186" s="35" t="str">
        <f aca="true">IF(OR(V186="",AG186&gt;=8),"",IF(V186&lt;TODAY(),"Vencida",IF(V186=TODAY(),"Hoy","")))</f>
        <v/>
      </c>
      <c r="X186" s="36" t="str">
        <f aca="false">IF(A186="","",IF(COUNTIF(Seguimiento!$B$2:$B$5001,A186)=0,"",_xlfn.MAXIFS(Seguimiento!$A$2:$A$5001,Seguimiento!$B$2:$B$5001,A186)))</f>
        <v/>
      </c>
      <c r="Y186" s="37" t="str">
        <f aca="true">IF(B186="","",TODAY()-B186)</f>
        <v/>
      </c>
      <c r="Z186" s="38" t="str">
        <f aca="false">IF(OR(O186="",G186=""),"",O186*IFERROR(INDEX(Listas!$B$2:$B$50,MATCH(G186,Listas!$A$2:$A$50,0)),0))</f>
        <v/>
      </c>
      <c r="AA186" s="32"/>
      <c r="AB186" s="32"/>
      <c r="AC186" s="32"/>
      <c r="AD186" s="35" t="str">
        <f aca="false">IF(OR(LEFT(H186,4)="Meta",LEFT(H186,6)="Google"),IF(AG186=3,"Lead calificado",IF(OR(AG186=4,AG186=5),"Tasación/visita",IF(OR(AG186=6,AG186=7),"Captación/oferta",IF(AG186=8,"Cierre","")))),"")</f>
        <v/>
      </c>
      <c r="AE186" s="32"/>
      <c r="AF186" s="32"/>
      <c r="AG186" s="37" t="n">
        <f aca="false">IF(R186="",0,IFERROR(MATCH(R186,Listas!$L$2:$L$50,0),0))</f>
        <v>0</v>
      </c>
    </row>
    <row r="187" customFormat="false" ht="15" hidden="false" customHeight="false" outlineLevel="0" collapsed="false">
      <c r="A187" s="30"/>
      <c r="B187" s="31"/>
      <c r="C187" s="32"/>
      <c r="D187" s="32"/>
      <c r="E187" s="33"/>
      <c r="F187" s="32"/>
      <c r="G187" s="32"/>
      <c r="H187" s="32"/>
      <c r="I187" s="32"/>
      <c r="J187" s="32"/>
      <c r="K187" s="32"/>
      <c r="L187" s="32"/>
      <c r="M187" s="30"/>
      <c r="N187" s="32"/>
      <c r="O187" s="34"/>
      <c r="P187" s="32"/>
      <c r="Q187" s="32"/>
      <c r="R187" s="32"/>
      <c r="S187" s="32"/>
      <c r="T187" s="32"/>
      <c r="U187" s="32"/>
      <c r="V187" s="31"/>
      <c r="W187" s="35" t="str">
        <f aca="true">IF(OR(V187="",AG187&gt;=8),"",IF(V187&lt;TODAY(),"Vencida",IF(V187=TODAY(),"Hoy","")))</f>
        <v/>
      </c>
      <c r="X187" s="36" t="str">
        <f aca="false">IF(A187="","",IF(COUNTIF(Seguimiento!$B$2:$B$5001,A187)=0,"",_xlfn.MAXIFS(Seguimiento!$A$2:$A$5001,Seguimiento!$B$2:$B$5001,A187)))</f>
        <v/>
      </c>
      <c r="Y187" s="37" t="str">
        <f aca="true">IF(B187="","",TODAY()-B187)</f>
        <v/>
      </c>
      <c r="Z187" s="38" t="str">
        <f aca="false">IF(OR(O187="",G187=""),"",O187*IFERROR(INDEX(Listas!$B$2:$B$50,MATCH(G187,Listas!$A$2:$A$50,0)),0))</f>
        <v/>
      </c>
      <c r="AA187" s="32"/>
      <c r="AB187" s="32"/>
      <c r="AC187" s="32"/>
      <c r="AD187" s="35" t="str">
        <f aca="false">IF(OR(LEFT(H187,4)="Meta",LEFT(H187,6)="Google"),IF(AG187=3,"Lead calificado",IF(OR(AG187=4,AG187=5),"Tasación/visita",IF(OR(AG187=6,AG187=7),"Captación/oferta",IF(AG187=8,"Cierre","")))),"")</f>
        <v/>
      </c>
      <c r="AE187" s="32"/>
      <c r="AF187" s="32"/>
      <c r="AG187" s="37" t="n">
        <f aca="false">IF(R187="",0,IFERROR(MATCH(R187,Listas!$L$2:$L$50,0),0))</f>
        <v>0</v>
      </c>
    </row>
    <row r="188" customFormat="false" ht="15" hidden="false" customHeight="false" outlineLevel="0" collapsed="false">
      <c r="A188" s="30"/>
      <c r="B188" s="31"/>
      <c r="C188" s="32"/>
      <c r="D188" s="32"/>
      <c r="E188" s="33"/>
      <c r="F188" s="32"/>
      <c r="G188" s="32"/>
      <c r="H188" s="32"/>
      <c r="I188" s="32"/>
      <c r="J188" s="32"/>
      <c r="K188" s="32"/>
      <c r="L188" s="32"/>
      <c r="M188" s="30"/>
      <c r="N188" s="32"/>
      <c r="O188" s="34"/>
      <c r="P188" s="32"/>
      <c r="Q188" s="32"/>
      <c r="R188" s="32"/>
      <c r="S188" s="32"/>
      <c r="T188" s="32"/>
      <c r="U188" s="32"/>
      <c r="V188" s="31"/>
      <c r="W188" s="35" t="str">
        <f aca="true">IF(OR(V188="",AG188&gt;=8),"",IF(V188&lt;TODAY(),"Vencida",IF(V188=TODAY(),"Hoy","")))</f>
        <v/>
      </c>
      <c r="X188" s="36" t="str">
        <f aca="false">IF(A188="","",IF(COUNTIF(Seguimiento!$B$2:$B$5001,A188)=0,"",_xlfn.MAXIFS(Seguimiento!$A$2:$A$5001,Seguimiento!$B$2:$B$5001,A188)))</f>
        <v/>
      </c>
      <c r="Y188" s="37" t="str">
        <f aca="true">IF(B188="","",TODAY()-B188)</f>
        <v/>
      </c>
      <c r="Z188" s="38" t="str">
        <f aca="false">IF(OR(O188="",G188=""),"",O188*IFERROR(INDEX(Listas!$B$2:$B$50,MATCH(G188,Listas!$A$2:$A$50,0)),0))</f>
        <v/>
      </c>
      <c r="AA188" s="32"/>
      <c r="AB188" s="32"/>
      <c r="AC188" s="32"/>
      <c r="AD188" s="35" t="str">
        <f aca="false">IF(OR(LEFT(H188,4)="Meta",LEFT(H188,6)="Google"),IF(AG188=3,"Lead calificado",IF(OR(AG188=4,AG188=5),"Tasación/visita",IF(OR(AG188=6,AG188=7),"Captación/oferta",IF(AG188=8,"Cierre","")))),"")</f>
        <v/>
      </c>
      <c r="AE188" s="32"/>
      <c r="AF188" s="32"/>
      <c r="AG188" s="37" t="n">
        <f aca="false">IF(R188="",0,IFERROR(MATCH(R188,Listas!$L$2:$L$50,0),0))</f>
        <v>0</v>
      </c>
    </row>
    <row r="189" customFormat="false" ht="15" hidden="false" customHeight="false" outlineLevel="0" collapsed="false">
      <c r="A189" s="30"/>
      <c r="B189" s="31"/>
      <c r="C189" s="32"/>
      <c r="D189" s="32"/>
      <c r="E189" s="33"/>
      <c r="F189" s="32"/>
      <c r="G189" s="32"/>
      <c r="H189" s="32"/>
      <c r="I189" s="32"/>
      <c r="J189" s="32"/>
      <c r="K189" s="32"/>
      <c r="L189" s="32"/>
      <c r="M189" s="30"/>
      <c r="N189" s="32"/>
      <c r="O189" s="34"/>
      <c r="P189" s="32"/>
      <c r="Q189" s="32"/>
      <c r="R189" s="32"/>
      <c r="S189" s="32"/>
      <c r="T189" s="32"/>
      <c r="U189" s="32"/>
      <c r="V189" s="31"/>
      <c r="W189" s="35" t="str">
        <f aca="true">IF(OR(V189="",AG189&gt;=8),"",IF(V189&lt;TODAY(),"Vencida",IF(V189=TODAY(),"Hoy","")))</f>
        <v/>
      </c>
      <c r="X189" s="36" t="str">
        <f aca="false">IF(A189="","",IF(COUNTIF(Seguimiento!$B$2:$B$5001,A189)=0,"",_xlfn.MAXIFS(Seguimiento!$A$2:$A$5001,Seguimiento!$B$2:$B$5001,A189)))</f>
        <v/>
      </c>
      <c r="Y189" s="37" t="str">
        <f aca="true">IF(B189="","",TODAY()-B189)</f>
        <v/>
      </c>
      <c r="Z189" s="38" t="str">
        <f aca="false">IF(OR(O189="",G189=""),"",O189*IFERROR(INDEX(Listas!$B$2:$B$50,MATCH(G189,Listas!$A$2:$A$50,0)),0))</f>
        <v/>
      </c>
      <c r="AA189" s="32"/>
      <c r="AB189" s="32"/>
      <c r="AC189" s="32"/>
      <c r="AD189" s="35" t="str">
        <f aca="false">IF(OR(LEFT(H189,4)="Meta",LEFT(H189,6)="Google"),IF(AG189=3,"Lead calificado",IF(OR(AG189=4,AG189=5),"Tasación/visita",IF(OR(AG189=6,AG189=7),"Captación/oferta",IF(AG189=8,"Cierre","")))),"")</f>
        <v/>
      </c>
      <c r="AE189" s="32"/>
      <c r="AF189" s="32"/>
      <c r="AG189" s="37" t="n">
        <f aca="false">IF(R189="",0,IFERROR(MATCH(R189,Listas!$L$2:$L$50,0),0))</f>
        <v>0</v>
      </c>
    </row>
    <row r="190" customFormat="false" ht="15" hidden="false" customHeight="false" outlineLevel="0" collapsed="false">
      <c r="A190" s="30"/>
      <c r="B190" s="31"/>
      <c r="C190" s="32"/>
      <c r="D190" s="32"/>
      <c r="E190" s="33"/>
      <c r="F190" s="32"/>
      <c r="G190" s="32"/>
      <c r="H190" s="32"/>
      <c r="I190" s="32"/>
      <c r="J190" s="32"/>
      <c r="K190" s="32"/>
      <c r="L190" s="32"/>
      <c r="M190" s="30"/>
      <c r="N190" s="32"/>
      <c r="O190" s="34"/>
      <c r="P190" s="32"/>
      <c r="Q190" s="32"/>
      <c r="R190" s="32"/>
      <c r="S190" s="32"/>
      <c r="T190" s="32"/>
      <c r="U190" s="32"/>
      <c r="V190" s="31"/>
      <c r="W190" s="35" t="str">
        <f aca="true">IF(OR(V190="",AG190&gt;=8),"",IF(V190&lt;TODAY(),"Vencida",IF(V190=TODAY(),"Hoy","")))</f>
        <v/>
      </c>
      <c r="X190" s="36" t="str">
        <f aca="false">IF(A190="","",IF(COUNTIF(Seguimiento!$B$2:$B$5001,A190)=0,"",_xlfn.MAXIFS(Seguimiento!$A$2:$A$5001,Seguimiento!$B$2:$B$5001,A190)))</f>
        <v/>
      </c>
      <c r="Y190" s="37" t="str">
        <f aca="true">IF(B190="","",TODAY()-B190)</f>
        <v/>
      </c>
      <c r="Z190" s="38" t="str">
        <f aca="false">IF(OR(O190="",G190=""),"",O190*IFERROR(INDEX(Listas!$B$2:$B$50,MATCH(G190,Listas!$A$2:$A$50,0)),0))</f>
        <v/>
      </c>
      <c r="AA190" s="32"/>
      <c r="AB190" s="32"/>
      <c r="AC190" s="32"/>
      <c r="AD190" s="35" t="str">
        <f aca="false">IF(OR(LEFT(H190,4)="Meta",LEFT(H190,6)="Google"),IF(AG190=3,"Lead calificado",IF(OR(AG190=4,AG190=5),"Tasación/visita",IF(OR(AG190=6,AG190=7),"Captación/oferta",IF(AG190=8,"Cierre","")))),"")</f>
        <v/>
      </c>
      <c r="AE190" s="32"/>
      <c r="AF190" s="32"/>
      <c r="AG190" s="37" t="n">
        <f aca="false">IF(R190="",0,IFERROR(MATCH(R190,Listas!$L$2:$L$50,0),0))</f>
        <v>0</v>
      </c>
    </row>
    <row r="191" customFormat="false" ht="15" hidden="false" customHeight="false" outlineLevel="0" collapsed="false">
      <c r="A191" s="30"/>
      <c r="B191" s="31"/>
      <c r="C191" s="32"/>
      <c r="D191" s="32"/>
      <c r="E191" s="33"/>
      <c r="F191" s="32"/>
      <c r="G191" s="32"/>
      <c r="H191" s="32"/>
      <c r="I191" s="32"/>
      <c r="J191" s="32"/>
      <c r="K191" s="32"/>
      <c r="L191" s="32"/>
      <c r="M191" s="30"/>
      <c r="N191" s="32"/>
      <c r="O191" s="34"/>
      <c r="P191" s="32"/>
      <c r="Q191" s="32"/>
      <c r="R191" s="32"/>
      <c r="S191" s="32"/>
      <c r="T191" s="32"/>
      <c r="U191" s="32"/>
      <c r="V191" s="31"/>
      <c r="W191" s="35" t="str">
        <f aca="true">IF(OR(V191="",AG191&gt;=8),"",IF(V191&lt;TODAY(),"Vencida",IF(V191=TODAY(),"Hoy","")))</f>
        <v/>
      </c>
      <c r="X191" s="36" t="str">
        <f aca="false">IF(A191="","",IF(COUNTIF(Seguimiento!$B$2:$B$5001,A191)=0,"",_xlfn.MAXIFS(Seguimiento!$A$2:$A$5001,Seguimiento!$B$2:$B$5001,A191)))</f>
        <v/>
      </c>
      <c r="Y191" s="37" t="str">
        <f aca="true">IF(B191="","",TODAY()-B191)</f>
        <v/>
      </c>
      <c r="Z191" s="38" t="str">
        <f aca="false">IF(OR(O191="",G191=""),"",O191*IFERROR(INDEX(Listas!$B$2:$B$50,MATCH(G191,Listas!$A$2:$A$50,0)),0))</f>
        <v/>
      </c>
      <c r="AA191" s="32"/>
      <c r="AB191" s="32"/>
      <c r="AC191" s="32"/>
      <c r="AD191" s="35" t="str">
        <f aca="false">IF(OR(LEFT(H191,4)="Meta",LEFT(H191,6)="Google"),IF(AG191=3,"Lead calificado",IF(OR(AG191=4,AG191=5),"Tasación/visita",IF(OR(AG191=6,AG191=7),"Captación/oferta",IF(AG191=8,"Cierre","")))),"")</f>
        <v/>
      </c>
      <c r="AE191" s="32"/>
      <c r="AF191" s="32"/>
      <c r="AG191" s="37" t="n">
        <f aca="false">IF(R191="",0,IFERROR(MATCH(R191,Listas!$L$2:$L$50,0),0))</f>
        <v>0</v>
      </c>
    </row>
    <row r="192" customFormat="false" ht="15" hidden="false" customHeight="false" outlineLevel="0" collapsed="false">
      <c r="A192" s="30"/>
      <c r="B192" s="31"/>
      <c r="C192" s="32"/>
      <c r="D192" s="32"/>
      <c r="E192" s="33"/>
      <c r="F192" s="32"/>
      <c r="G192" s="32"/>
      <c r="H192" s="32"/>
      <c r="I192" s="32"/>
      <c r="J192" s="32"/>
      <c r="K192" s="32"/>
      <c r="L192" s="32"/>
      <c r="M192" s="30"/>
      <c r="N192" s="32"/>
      <c r="O192" s="34"/>
      <c r="P192" s="32"/>
      <c r="Q192" s="32"/>
      <c r="R192" s="32"/>
      <c r="S192" s="32"/>
      <c r="T192" s="32"/>
      <c r="U192" s="32"/>
      <c r="V192" s="31"/>
      <c r="W192" s="35" t="str">
        <f aca="true">IF(OR(V192="",AG192&gt;=8),"",IF(V192&lt;TODAY(),"Vencida",IF(V192=TODAY(),"Hoy","")))</f>
        <v/>
      </c>
      <c r="X192" s="36" t="str">
        <f aca="false">IF(A192="","",IF(COUNTIF(Seguimiento!$B$2:$B$5001,A192)=0,"",_xlfn.MAXIFS(Seguimiento!$A$2:$A$5001,Seguimiento!$B$2:$B$5001,A192)))</f>
        <v/>
      </c>
      <c r="Y192" s="37" t="str">
        <f aca="true">IF(B192="","",TODAY()-B192)</f>
        <v/>
      </c>
      <c r="Z192" s="38" t="str">
        <f aca="false">IF(OR(O192="",G192=""),"",O192*IFERROR(INDEX(Listas!$B$2:$B$50,MATCH(G192,Listas!$A$2:$A$50,0)),0))</f>
        <v/>
      </c>
      <c r="AA192" s="32"/>
      <c r="AB192" s="32"/>
      <c r="AC192" s="32"/>
      <c r="AD192" s="35" t="str">
        <f aca="false">IF(OR(LEFT(H192,4)="Meta",LEFT(H192,6)="Google"),IF(AG192=3,"Lead calificado",IF(OR(AG192=4,AG192=5),"Tasación/visita",IF(OR(AG192=6,AG192=7),"Captación/oferta",IF(AG192=8,"Cierre","")))),"")</f>
        <v/>
      </c>
      <c r="AE192" s="32"/>
      <c r="AF192" s="32"/>
      <c r="AG192" s="37" t="n">
        <f aca="false">IF(R192="",0,IFERROR(MATCH(R192,Listas!$L$2:$L$50,0),0))</f>
        <v>0</v>
      </c>
    </row>
    <row r="193" customFormat="false" ht="15" hidden="false" customHeight="false" outlineLevel="0" collapsed="false">
      <c r="A193" s="30"/>
      <c r="B193" s="31"/>
      <c r="C193" s="32"/>
      <c r="D193" s="32"/>
      <c r="E193" s="33"/>
      <c r="F193" s="32"/>
      <c r="G193" s="32"/>
      <c r="H193" s="32"/>
      <c r="I193" s="32"/>
      <c r="J193" s="32"/>
      <c r="K193" s="32"/>
      <c r="L193" s="32"/>
      <c r="M193" s="30"/>
      <c r="N193" s="32"/>
      <c r="O193" s="34"/>
      <c r="P193" s="32"/>
      <c r="Q193" s="32"/>
      <c r="R193" s="32"/>
      <c r="S193" s="32"/>
      <c r="T193" s="32"/>
      <c r="U193" s="32"/>
      <c r="V193" s="31"/>
      <c r="W193" s="35" t="str">
        <f aca="true">IF(OR(V193="",AG193&gt;=8),"",IF(V193&lt;TODAY(),"Vencida",IF(V193=TODAY(),"Hoy","")))</f>
        <v/>
      </c>
      <c r="X193" s="36" t="str">
        <f aca="false">IF(A193="","",IF(COUNTIF(Seguimiento!$B$2:$B$5001,A193)=0,"",_xlfn.MAXIFS(Seguimiento!$A$2:$A$5001,Seguimiento!$B$2:$B$5001,A193)))</f>
        <v/>
      </c>
      <c r="Y193" s="37" t="str">
        <f aca="true">IF(B193="","",TODAY()-B193)</f>
        <v/>
      </c>
      <c r="Z193" s="38" t="str">
        <f aca="false">IF(OR(O193="",G193=""),"",O193*IFERROR(INDEX(Listas!$B$2:$B$50,MATCH(G193,Listas!$A$2:$A$50,0)),0))</f>
        <v/>
      </c>
      <c r="AA193" s="32"/>
      <c r="AB193" s="32"/>
      <c r="AC193" s="32"/>
      <c r="AD193" s="35" t="str">
        <f aca="false">IF(OR(LEFT(H193,4)="Meta",LEFT(H193,6)="Google"),IF(AG193=3,"Lead calificado",IF(OR(AG193=4,AG193=5),"Tasación/visita",IF(OR(AG193=6,AG193=7),"Captación/oferta",IF(AG193=8,"Cierre","")))),"")</f>
        <v/>
      </c>
      <c r="AE193" s="32"/>
      <c r="AF193" s="32"/>
      <c r="AG193" s="37" t="n">
        <f aca="false">IF(R193="",0,IFERROR(MATCH(R193,Listas!$L$2:$L$50,0),0))</f>
        <v>0</v>
      </c>
    </row>
    <row r="194" customFormat="false" ht="15" hidden="false" customHeight="false" outlineLevel="0" collapsed="false">
      <c r="A194" s="30"/>
      <c r="B194" s="31"/>
      <c r="C194" s="32"/>
      <c r="D194" s="32"/>
      <c r="E194" s="33"/>
      <c r="F194" s="32"/>
      <c r="G194" s="32"/>
      <c r="H194" s="32"/>
      <c r="I194" s="32"/>
      <c r="J194" s="32"/>
      <c r="K194" s="32"/>
      <c r="L194" s="32"/>
      <c r="M194" s="30"/>
      <c r="N194" s="32"/>
      <c r="O194" s="34"/>
      <c r="P194" s="32"/>
      <c r="Q194" s="32"/>
      <c r="R194" s="32"/>
      <c r="S194" s="32"/>
      <c r="T194" s="32"/>
      <c r="U194" s="32"/>
      <c r="V194" s="31"/>
      <c r="W194" s="35" t="str">
        <f aca="true">IF(OR(V194="",AG194&gt;=8),"",IF(V194&lt;TODAY(),"Vencida",IF(V194=TODAY(),"Hoy","")))</f>
        <v/>
      </c>
      <c r="X194" s="36" t="str">
        <f aca="false">IF(A194="","",IF(COUNTIF(Seguimiento!$B$2:$B$5001,A194)=0,"",_xlfn.MAXIFS(Seguimiento!$A$2:$A$5001,Seguimiento!$B$2:$B$5001,A194)))</f>
        <v/>
      </c>
      <c r="Y194" s="37" t="str">
        <f aca="true">IF(B194="","",TODAY()-B194)</f>
        <v/>
      </c>
      <c r="Z194" s="38" t="str">
        <f aca="false">IF(OR(O194="",G194=""),"",O194*IFERROR(INDEX(Listas!$B$2:$B$50,MATCH(G194,Listas!$A$2:$A$50,0)),0))</f>
        <v/>
      </c>
      <c r="AA194" s="32"/>
      <c r="AB194" s="32"/>
      <c r="AC194" s="32"/>
      <c r="AD194" s="35" t="str">
        <f aca="false">IF(OR(LEFT(H194,4)="Meta",LEFT(H194,6)="Google"),IF(AG194=3,"Lead calificado",IF(OR(AG194=4,AG194=5),"Tasación/visita",IF(OR(AG194=6,AG194=7),"Captación/oferta",IF(AG194=8,"Cierre","")))),"")</f>
        <v/>
      </c>
      <c r="AE194" s="32"/>
      <c r="AF194" s="32"/>
      <c r="AG194" s="37" t="n">
        <f aca="false">IF(R194="",0,IFERROR(MATCH(R194,Listas!$L$2:$L$50,0),0))</f>
        <v>0</v>
      </c>
    </row>
    <row r="195" customFormat="false" ht="15" hidden="false" customHeight="false" outlineLevel="0" collapsed="false">
      <c r="A195" s="30"/>
      <c r="B195" s="31"/>
      <c r="C195" s="32"/>
      <c r="D195" s="32"/>
      <c r="E195" s="33"/>
      <c r="F195" s="32"/>
      <c r="G195" s="32"/>
      <c r="H195" s="32"/>
      <c r="I195" s="32"/>
      <c r="J195" s="32"/>
      <c r="K195" s="32"/>
      <c r="L195" s="32"/>
      <c r="M195" s="30"/>
      <c r="N195" s="32"/>
      <c r="O195" s="34"/>
      <c r="P195" s="32"/>
      <c r="Q195" s="32"/>
      <c r="R195" s="32"/>
      <c r="S195" s="32"/>
      <c r="T195" s="32"/>
      <c r="U195" s="32"/>
      <c r="V195" s="31"/>
      <c r="W195" s="35" t="str">
        <f aca="true">IF(OR(V195="",AG195&gt;=8),"",IF(V195&lt;TODAY(),"Vencida",IF(V195=TODAY(),"Hoy","")))</f>
        <v/>
      </c>
      <c r="X195" s="36" t="str">
        <f aca="false">IF(A195="","",IF(COUNTIF(Seguimiento!$B$2:$B$5001,A195)=0,"",_xlfn.MAXIFS(Seguimiento!$A$2:$A$5001,Seguimiento!$B$2:$B$5001,A195)))</f>
        <v/>
      </c>
      <c r="Y195" s="37" t="str">
        <f aca="true">IF(B195="","",TODAY()-B195)</f>
        <v/>
      </c>
      <c r="Z195" s="38" t="str">
        <f aca="false">IF(OR(O195="",G195=""),"",O195*IFERROR(INDEX(Listas!$B$2:$B$50,MATCH(G195,Listas!$A$2:$A$50,0)),0))</f>
        <v/>
      </c>
      <c r="AA195" s="32"/>
      <c r="AB195" s="32"/>
      <c r="AC195" s="32"/>
      <c r="AD195" s="35" t="str">
        <f aca="false">IF(OR(LEFT(H195,4)="Meta",LEFT(H195,6)="Google"),IF(AG195=3,"Lead calificado",IF(OR(AG195=4,AG195=5),"Tasación/visita",IF(OR(AG195=6,AG195=7),"Captación/oferta",IF(AG195=8,"Cierre","")))),"")</f>
        <v/>
      </c>
      <c r="AE195" s="32"/>
      <c r="AF195" s="32"/>
      <c r="AG195" s="37" t="n">
        <f aca="false">IF(R195="",0,IFERROR(MATCH(R195,Listas!$L$2:$L$50,0),0))</f>
        <v>0</v>
      </c>
    </row>
    <row r="196" customFormat="false" ht="15" hidden="false" customHeight="false" outlineLevel="0" collapsed="false">
      <c r="A196" s="30"/>
      <c r="B196" s="31"/>
      <c r="C196" s="32"/>
      <c r="D196" s="32"/>
      <c r="E196" s="33"/>
      <c r="F196" s="32"/>
      <c r="G196" s="32"/>
      <c r="H196" s="32"/>
      <c r="I196" s="32"/>
      <c r="J196" s="32"/>
      <c r="K196" s="32"/>
      <c r="L196" s="32"/>
      <c r="M196" s="30"/>
      <c r="N196" s="32"/>
      <c r="O196" s="34"/>
      <c r="P196" s="32"/>
      <c r="Q196" s="32"/>
      <c r="R196" s="32"/>
      <c r="S196" s="32"/>
      <c r="T196" s="32"/>
      <c r="U196" s="32"/>
      <c r="V196" s="31"/>
      <c r="W196" s="35" t="str">
        <f aca="true">IF(OR(V196="",AG196&gt;=8),"",IF(V196&lt;TODAY(),"Vencida",IF(V196=TODAY(),"Hoy","")))</f>
        <v/>
      </c>
      <c r="X196" s="36" t="str">
        <f aca="false">IF(A196="","",IF(COUNTIF(Seguimiento!$B$2:$B$5001,A196)=0,"",_xlfn.MAXIFS(Seguimiento!$A$2:$A$5001,Seguimiento!$B$2:$B$5001,A196)))</f>
        <v/>
      </c>
      <c r="Y196" s="37" t="str">
        <f aca="true">IF(B196="","",TODAY()-B196)</f>
        <v/>
      </c>
      <c r="Z196" s="38" t="str">
        <f aca="false">IF(OR(O196="",G196=""),"",O196*IFERROR(INDEX(Listas!$B$2:$B$50,MATCH(G196,Listas!$A$2:$A$50,0)),0))</f>
        <v/>
      </c>
      <c r="AA196" s="32"/>
      <c r="AB196" s="32"/>
      <c r="AC196" s="32"/>
      <c r="AD196" s="35" t="str">
        <f aca="false">IF(OR(LEFT(H196,4)="Meta",LEFT(H196,6)="Google"),IF(AG196=3,"Lead calificado",IF(OR(AG196=4,AG196=5),"Tasación/visita",IF(OR(AG196=6,AG196=7),"Captación/oferta",IF(AG196=8,"Cierre","")))),"")</f>
        <v/>
      </c>
      <c r="AE196" s="32"/>
      <c r="AF196" s="32"/>
      <c r="AG196" s="37" t="n">
        <f aca="false">IF(R196="",0,IFERROR(MATCH(R196,Listas!$L$2:$L$50,0),0))</f>
        <v>0</v>
      </c>
    </row>
    <row r="197" customFormat="false" ht="15" hidden="false" customHeight="false" outlineLevel="0" collapsed="false">
      <c r="A197" s="30"/>
      <c r="B197" s="31"/>
      <c r="C197" s="32"/>
      <c r="D197" s="32"/>
      <c r="E197" s="33"/>
      <c r="F197" s="32"/>
      <c r="G197" s="32"/>
      <c r="H197" s="32"/>
      <c r="I197" s="32"/>
      <c r="J197" s="32"/>
      <c r="K197" s="32"/>
      <c r="L197" s="32"/>
      <c r="M197" s="30"/>
      <c r="N197" s="32"/>
      <c r="O197" s="34"/>
      <c r="P197" s="32"/>
      <c r="Q197" s="32"/>
      <c r="R197" s="32"/>
      <c r="S197" s="32"/>
      <c r="T197" s="32"/>
      <c r="U197" s="32"/>
      <c r="V197" s="31"/>
      <c r="W197" s="35" t="str">
        <f aca="true">IF(OR(V197="",AG197&gt;=8),"",IF(V197&lt;TODAY(),"Vencida",IF(V197=TODAY(),"Hoy","")))</f>
        <v/>
      </c>
      <c r="X197" s="36" t="str">
        <f aca="false">IF(A197="","",IF(COUNTIF(Seguimiento!$B$2:$B$5001,A197)=0,"",_xlfn.MAXIFS(Seguimiento!$A$2:$A$5001,Seguimiento!$B$2:$B$5001,A197)))</f>
        <v/>
      </c>
      <c r="Y197" s="37" t="str">
        <f aca="true">IF(B197="","",TODAY()-B197)</f>
        <v/>
      </c>
      <c r="Z197" s="38" t="str">
        <f aca="false">IF(OR(O197="",G197=""),"",O197*IFERROR(INDEX(Listas!$B$2:$B$50,MATCH(G197,Listas!$A$2:$A$50,0)),0))</f>
        <v/>
      </c>
      <c r="AA197" s="32"/>
      <c r="AB197" s="32"/>
      <c r="AC197" s="32"/>
      <c r="AD197" s="35" t="str">
        <f aca="false">IF(OR(LEFT(H197,4)="Meta",LEFT(H197,6)="Google"),IF(AG197=3,"Lead calificado",IF(OR(AG197=4,AG197=5),"Tasación/visita",IF(OR(AG197=6,AG197=7),"Captación/oferta",IF(AG197=8,"Cierre","")))),"")</f>
        <v/>
      </c>
      <c r="AE197" s="32"/>
      <c r="AF197" s="32"/>
      <c r="AG197" s="37" t="n">
        <f aca="false">IF(R197="",0,IFERROR(MATCH(R197,Listas!$L$2:$L$50,0),0))</f>
        <v>0</v>
      </c>
    </row>
    <row r="198" customFormat="false" ht="15" hidden="false" customHeight="false" outlineLevel="0" collapsed="false">
      <c r="A198" s="30"/>
      <c r="B198" s="31"/>
      <c r="C198" s="32"/>
      <c r="D198" s="32"/>
      <c r="E198" s="33"/>
      <c r="F198" s="32"/>
      <c r="G198" s="32"/>
      <c r="H198" s="32"/>
      <c r="I198" s="32"/>
      <c r="J198" s="32"/>
      <c r="K198" s="32"/>
      <c r="L198" s="32"/>
      <c r="M198" s="30"/>
      <c r="N198" s="32"/>
      <c r="O198" s="34"/>
      <c r="P198" s="32"/>
      <c r="Q198" s="32"/>
      <c r="R198" s="32"/>
      <c r="S198" s="32"/>
      <c r="T198" s="32"/>
      <c r="U198" s="32"/>
      <c r="V198" s="31"/>
      <c r="W198" s="35" t="str">
        <f aca="true">IF(OR(V198="",AG198&gt;=8),"",IF(V198&lt;TODAY(),"Vencida",IF(V198=TODAY(),"Hoy","")))</f>
        <v/>
      </c>
      <c r="X198" s="36" t="str">
        <f aca="false">IF(A198="","",IF(COUNTIF(Seguimiento!$B$2:$B$5001,A198)=0,"",_xlfn.MAXIFS(Seguimiento!$A$2:$A$5001,Seguimiento!$B$2:$B$5001,A198)))</f>
        <v/>
      </c>
      <c r="Y198" s="37" t="str">
        <f aca="true">IF(B198="","",TODAY()-B198)</f>
        <v/>
      </c>
      <c r="Z198" s="38" t="str">
        <f aca="false">IF(OR(O198="",G198=""),"",O198*IFERROR(INDEX(Listas!$B$2:$B$50,MATCH(G198,Listas!$A$2:$A$50,0)),0))</f>
        <v/>
      </c>
      <c r="AA198" s="32"/>
      <c r="AB198" s="32"/>
      <c r="AC198" s="32"/>
      <c r="AD198" s="35" t="str">
        <f aca="false">IF(OR(LEFT(H198,4)="Meta",LEFT(H198,6)="Google"),IF(AG198=3,"Lead calificado",IF(OR(AG198=4,AG198=5),"Tasación/visita",IF(OR(AG198=6,AG198=7),"Captación/oferta",IF(AG198=8,"Cierre","")))),"")</f>
        <v/>
      </c>
      <c r="AE198" s="32"/>
      <c r="AF198" s="32"/>
      <c r="AG198" s="37" t="n">
        <f aca="false">IF(R198="",0,IFERROR(MATCH(R198,Listas!$L$2:$L$50,0),0))</f>
        <v>0</v>
      </c>
    </row>
    <row r="199" customFormat="false" ht="15" hidden="false" customHeight="false" outlineLevel="0" collapsed="false">
      <c r="A199" s="30"/>
      <c r="B199" s="31"/>
      <c r="C199" s="32"/>
      <c r="D199" s="32"/>
      <c r="E199" s="33"/>
      <c r="F199" s="32"/>
      <c r="G199" s="32"/>
      <c r="H199" s="32"/>
      <c r="I199" s="32"/>
      <c r="J199" s="32"/>
      <c r="K199" s="32"/>
      <c r="L199" s="32"/>
      <c r="M199" s="30"/>
      <c r="N199" s="32"/>
      <c r="O199" s="34"/>
      <c r="P199" s="32"/>
      <c r="Q199" s="32"/>
      <c r="R199" s="32"/>
      <c r="S199" s="32"/>
      <c r="T199" s="32"/>
      <c r="U199" s="32"/>
      <c r="V199" s="31"/>
      <c r="W199" s="35" t="str">
        <f aca="true">IF(OR(V199="",AG199&gt;=8),"",IF(V199&lt;TODAY(),"Vencida",IF(V199=TODAY(),"Hoy","")))</f>
        <v/>
      </c>
      <c r="X199" s="36" t="str">
        <f aca="false">IF(A199="","",IF(COUNTIF(Seguimiento!$B$2:$B$5001,A199)=0,"",_xlfn.MAXIFS(Seguimiento!$A$2:$A$5001,Seguimiento!$B$2:$B$5001,A199)))</f>
        <v/>
      </c>
      <c r="Y199" s="37" t="str">
        <f aca="true">IF(B199="","",TODAY()-B199)</f>
        <v/>
      </c>
      <c r="Z199" s="38" t="str">
        <f aca="false">IF(OR(O199="",G199=""),"",O199*IFERROR(INDEX(Listas!$B$2:$B$50,MATCH(G199,Listas!$A$2:$A$50,0)),0))</f>
        <v/>
      </c>
      <c r="AA199" s="32"/>
      <c r="AB199" s="32"/>
      <c r="AC199" s="32"/>
      <c r="AD199" s="35" t="str">
        <f aca="false">IF(OR(LEFT(H199,4)="Meta",LEFT(H199,6)="Google"),IF(AG199=3,"Lead calificado",IF(OR(AG199=4,AG199=5),"Tasación/visita",IF(OR(AG199=6,AG199=7),"Captación/oferta",IF(AG199=8,"Cierre","")))),"")</f>
        <v/>
      </c>
      <c r="AE199" s="32"/>
      <c r="AF199" s="32"/>
      <c r="AG199" s="37" t="n">
        <f aca="false">IF(R199="",0,IFERROR(MATCH(R199,Listas!$L$2:$L$50,0),0))</f>
        <v>0</v>
      </c>
    </row>
    <row r="200" customFormat="false" ht="15" hidden="false" customHeight="false" outlineLevel="0" collapsed="false">
      <c r="A200" s="30"/>
      <c r="B200" s="31"/>
      <c r="C200" s="32"/>
      <c r="D200" s="32"/>
      <c r="E200" s="33"/>
      <c r="F200" s="32"/>
      <c r="G200" s="32"/>
      <c r="H200" s="32"/>
      <c r="I200" s="32"/>
      <c r="J200" s="32"/>
      <c r="K200" s="32"/>
      <c r="L200" s="32"/>
      <c r="M200" s="30"/>
      <c r="N200" s="32"/>
      <c r="O200" s="34"/>
      <c r="P200" s="32"/>
      <c r="Q200" s="32"/>
      <c r="R200" s="32"/>
      <c r="S200" s="32"/>
      <c r="T200" s="32"/>
      <c r="U200" s="32"/>
      <c r="V200" s="31"/>
      <c r="W200" s="35" t="str">
        <f aca="true">IF(OR(V200="",AG200&gt;=8),"",IF(V200&lt;TODAY(),"Vencida",IF(V200=TODAY(),"Hoy","")))</f>
        <v/>
      </c>
      <c r="X200" s="36" t="str">
        <f aca="false">IF(A200="","",IF(COUNTIF(Seguimiento!$B$2:$B$5001,A200)=0,"",_xlfn.MAXIFS(Seguimiento!$A$2:$A$5001,Seguimiento!$B$2:$B$5001,A200)))</f>
        <v/>
      </c>
      <c r="Y200" s="37" t="str">
        <f aca="true">IF(B200="","",TODAY()-B200)</f>
        <v/>
      </c>
      <c r="Z200" s="38" t="str">
        <f aca="false">IF(OR(O200="",G200=""),"",O200*IFERROR(INDEX(Listas!$B$2:$B$50,MATCH(G200,Listas!$A$2:$A$50,0)),0))</f>
        <v/>
      </c>
      <c r="AA200" s="32"/>
      <c r="AB200" s="32"/>
      <c r="AC200" s="32"/>
      <c r="AD200" s="35" t="str">
        <f aca="false">IF(OR(LEFT(H200,4)="Meta",LEFT(H200,6)="Google"),IF(AG200=3,"Lead calificado",IF(OR(AG200=4,AG200=5),"Tasación/visita",IF(OR(AG200=6,AG200=7),"Captación/oferta",IF(AG200=8,"Cierre","")))),"")</f>
        <v/>
      </c>
      <c r="AE200" s="32"/>
      <c r="AF200" s="32"/>
      <c r="AG200" s="37" t="n">
        <f aca="false">IF(R200="",0,IFERROR(MATCH(R200,Listas!$L$2:$L$50,0),0))</f>
        <v>0</v>
      </c>
    </row>
    <row r="201" customFormat="false" ht="15" hidden="false" customHeight="false" outlineLevel="0" collapsed="false">
      <c r="A201" s="30"/>
      <c r="B201" s="31"/>
      <c r="C201" s="32"/>
      <c r="D201" s="32"/>
      <c r="E201" s="33"/>
      <c r="F201" s="32"/>
      <c r="G201" s="32"/>
      <c r="H201" s="32"/>
      <c r="I201" s="32"/>
      <c r="J201" s="32"/>
      <c r="K201" s="32"/>
      <c r="L201" s="32"/>
      <c r="M201" s="30"/>
      <c r="N201" s="32"/>
      <c r="O201" s="34"/>
      <c r="P201" s="32"/>
      <c r="Q201" s="32"/>
      <c r="R201" s="32"/>
      <c r="S201" s="32"/>
      <c r="T201" s="32"/>
      <c r="U201" s="32"/>
      <c r="V201" s="31"/>
      <c r="W201" s="35" t="str">
        <f aca="true">IF(OR(V201="",AG201&gt;=8),"",IF(V201&lt;TODAY(),"Vencida",IF(V201=TODAY(),"Hoy","")))</f>
        <v/>
      </c>
      <c r="X201" s="36" t="str">
        <f aca="false">IF(A201="","",IF(COUNTIF(Seguimiento!$B$2:$B$5001,A201)=0,"",_xlfn.MAXIFS(Seguimiento!$A$2:$A$5001,Seguimiento!$B$2:$B$5001,A201)))</f>
        <v/>
      </c>
      <c r="Y201" s="37" t="str">
        <f aca="true">IF(B201="","",TODAY()-B201)</f>
        <v/>
      </c>
      <c r="Z201" s="38" t="str">
        <f aca="false">IF(OR(O201="",G201=""),"",O201*IFERROR(INDEX(Listas!$B$2:$B$50,MATCH(G201,Listas!$A$2:$A$50,0)),0))</f>
        <v/>
      </c>
      <c r="AA201" s="32"/>
      <c r="AB201" s="32"/>
      <c r="AC201" s="32"/>
      <c r="AD201" s="35" t="str">
        <f aca="false">IF(OR(LEFT(H201,4)="Meta",LEFT(H201,6)="Google"),IF(AG201=3,"Lead calificado",IF(OR(AG201=4,AG201=5),"Tasación/visita",IF(OR(AG201=6,AG201=7),"Captación/oferta",IF(AG201=8,"Cierre","")))),"")</f>
        <v/>
      </c>
      <c r="AE201" s="32"/>
      <c r="AF201" s="32"/>
      <c r="AG201" s="37" t="n">
        <f aca="false">IF(R201="",0,IFERROR(MATCH(R201,Listas!$L$2:$L$50,0),0))</f>
        <v>0</v>
      </c>
    </row>
    <row r="202" customFormat="false" ht="15" hidden="false" customHeight="false" outlineLevel="0" collapsed="false">
      <c r="A202" s="30"/>
      <c r="B202" s="31"/>
      <c r="C202" s="32"/>
      <c r="D202" s="32"/>
      <c r="E202" s="33"/>
      <c r="F202" s="32"/>
      <c r="G202" s="32"/>
      <c r="H202" s="32"/>
      <c r="I202" s="32"/>
      <c r="J202" s="32"/>
      <c r="K202" s="32"/>
      <c r="L202" s="32"/>
      <c r="M202" s="30"/>
      <c r="N202" s="32"/>
      <c r="O202" s="34"/>
      <c r="P202" s="32"/>
      <c r="Q202" s="32"/>
      <c r="R202" s="32"/>
      <c r="S202" s="32"/>
      <c r="T202" s="32"/>
      <c r="U202" s="32"/>
      <c r="V202" s="31"/>
      <c r="W202" s="35" t="str">
        <f aca="true">IF(OR(V202="",AG202&gt;=8),"",IF(V202&lt;TODAY(),"Vencida",IF(V202=TODAY(),"Hoy","")))</f>
        <v/>
      </c>
      <c r="X202" s="36" t="str">
        <f aca="false">IF(A202="","",IF(COUNTIF(Seguimiento!$B$2:$B$5001,A202)=0,"",_xlfn.MAXIFS(Seguimiento!$A$2:$A$5001,Seguimiento!$B$2:$B$5001,A202)))</f>
        <v/>
      </c>
      <c r="Y202" s="37" t="str">
        <f aca="true">IF(B202="","",TODAY()-B202)</f>
        <v/>
      </c>
      <c r="Z202" s="38" t="str">
        <f aca="false">IF(OR(O202="",G202=""),"",O202*IFERROR(INDEX(Listas!$B$2:$B$50,MATCH(G202,Listas!$A$2:$A$50,0)),0))</f>
        <v/>
      </c>
      <c r="AA202" s="32"/>
      <c r="AB202" s="32"/>
      <c r="AC202" s="32"/>
      <c r="AD202" s="35" t="str">
        <f aca="false">IF(OR(LEFT(H202,4)="Meta",LEFT(H202,6)="Google"),IF(AG202=3,"Lead calificado",IF(OR(AG202=4,AG202=5),"Tasación/visita",IF(OR(AG202=6,AG202=7),"Captación/oferta",IF(AG202=8,"Cierre","")))),"")</f>
        <v/>
      </c>
      <c r="AE202" s="32"/>
      <c r="AF202" s="32"/>
      <c r="AG202" s="37" t="n">
        <f aca="false">IF(R202="",0,IFERROR(MATCH(R202,Listas!$L$2:$L$50,0),0))</f>
        <v>0</v>
      </c>
    </row>
    <row r="203" customFormat="false" ht="15" hidden="false" customHeight="false" outlineLevel="0" collapsed="false">
      <c r="A203" s="30"/>
      <c r="B203" s="31"/>
      <c r="C203" s="32"/>
      <c r="D203" s="32"/>
      <c r="E203" s="33"/>
      <c r="F203" s="32"/>
      <c r="G203" s="32"/>
      <c r="H203" s="32"/>
      <c r="I203" s="32"/>
      <c r="J203" s="32"/>
      <c r="K203" s="32"/>
      <c r="L203" s="32"/>
      <c r="M203" s="30"/>
      <c r="N203" s="32"/>
      <c r="O203" s="34"/>
      <c r="P203" s="32"/>
      <c r="Q203" s="32"/>
      <c r="R203" s="32"/>
      <c r="S203" s="32"/>
      <c r="T203" s="32"/>
      <c r="U203" s="32"/>
      <c r="V203" s="31"/>
      <c r="W203" s="35" t="str">
        <f aca="true">IF(OR(V203="",AG203&gt;=8),"",IF(V203&lt;TODAY(),"Vencida",IF(V203=TODAY(),"Hoy","")))</f>
        <v/>
      </c>
      <c r="X203" s="36" t="str">
        <f aca="false">IF(A203="","",IF(COUNTIF(Seguimiento!$B$2:$B$5001,A203)=0,"",_xlfn.MAXIFS(Seguimiento!$A$2:$A$5001,Seguimiento!$B$2:$B$5001,A203)))</f>
        <v/>
      </c>
      <c r="Y203" s="37" t="str">
        <f aca="true">IF(B203="","",TODAY()-B203)</f>
        <v/>
      </c>
      <c r="Z203" s="38" t="str">
        <f aca="false">IF(OR(O203="",G203=""),"",O203*IFERROR(INDEX(Listas!$B$2:$B$50,MATCH(G203,Listas!$A$2:$A$50,0)),0))</f>
        <v/>
      </c>
      <c r="AA203" s="32"/>
      <c r="AB203" s="32"/>
      <c r="AC203" s="32"/>
      <c r="AD203" s="35" t="str">
        <f aca="false">IF(OR(LEFT(H203,4)="Meta",LEFT(H203,6)="Google"),IF(AG203=3,"Lead calificado",IF(OR(AG203=4,AG203=5),"Tasación/visita",IF(OR(AG203=6,AG203=7),"Captación/oferta",IF(AG203=8,"Cierre","")))),"")</f>
        <v/>
      </c>
      <c r="AE203" s="32"/>
      <c r="AF203" s="32"/>
      <c r="AG203" s="37" t="n">
        <f aca="false">IF(R203="",0,IFERROR(MATCH(R203,Listas!$L$2:$L$50,0),0))</f>
        <v>0</v>
      </c>
    </row>
    <row r="204" customFormat="false" ht="15" hidden="false" customHeight="false" outlineLevel="0" collapsed="false">
      <c r="A204" s="30"/>
      <c r="B204" s="31"/>
      <c r="C204" s="32"/>
      <c r="D204" s="32"/>
      <c r="E204" s="33"/>
      <c r="F204" s="32"/>
      <c r="G204" s="32"/>
      <c r="H204" s="32"/>
      <c r="I204" s="32"/>
      <c r="J204" s="32"/>
      <c r="K204" s="32"/>
      <c r="L204" s="32"/>
      <c r="M204" s="30"/>
      <c r="N204" s="32"/>
      <c r="O204" s="34"/>
      <c r="P204" s="32"/>
      <c r="Q204" s="32"/>
      <c r="R204" s="32"/>
      <c r="S204" s="32"/>
      <c r="T204" s="32"/>
      <c r="U204" s="32"/>
      <c r="V204" s="31"/>
      <c r="W204" s="35" t="str">
        <f aca="true">IF(OR(V204="",AG204&gt;=8),"",IF(V204&lt;TODAY(),"Vencida",IF(V204=TODAY(),"Hoy","")))</f>
        <v/>
      </c>
      <c r="X204" s="36" t="str">
        <f aca="false">IF(A204="","",IF(COUNTIF(Seguimiento!$B$2:$B$5001,A204)=0,"",_xlfn.MAXIFS(Seguimiento!$A$2:$A$5001,Seguimiento!$B$2:$B$5001,A204)))</f>
        <v/>
      </c>
      <c r="Y204" s="37" t="str">
        <f aca="true">IF(B204="","",TODAY()-B204)</f>
        <v/>
      </c>
      <c r="Z204" s="38" t="str">
        <f aca="false">IF(OR(O204="",G204=""),"",O204*IFERROR(INDEX(Listas!$B$2:$B$50,MATCH(G204,Listas!$A$2:$A$50,0)),0))</f>
        <v/>
      </c>
      <c r="AA204" s="32"/>
      <c r="AB204" s="32"/>
      <c r="AC204" s="32"/>
      <c r="AD204" s="35" t="str">
        <f aca="false">IF(OR(LEFT(H204,4)="Meta",LEFT(H204,6)="Google"),IF(AG204=3,"Lead calificado",IF(OR(AG204=4,AG204=5),"Tasación/visita",IF(OR(AG204=6,AG204=7),"Captación/oferta",IF(AG204=8,"Cierre","")))),"")</f>
        <v/>
      </c>
      <c r="AE204" s="32"/>
      <c r="AF204" s="32"/>
      <c r="AG204" s="37" t="n">
        <f aca="false">IF(R204="",0,IFERROR(MATCH(R204,Listas!$L$2:$L$50,0),0))</f>
        <v>0</v>
      </c>
    </row>
    <row r="205" customFormat="false" ht="15" hidden="false" customHeight="false" outlineLevel="0" collapsed="false">
      <c r="A205" s="30"/>
      <c r="B205" s="31"/>
      <c r="C205" s="32"/>
      <c r="D205" s="32"/>
      <c r="E205" s="33"/>
      <c r="F205" s="32"/>
      <c r="G205" s="32"/>
      <c r="H205" s="32"/>
      <c r="I205" s="32"/>
      <c r="J205" s="32"/>
      <c r="K205" s="32"/>
      <c r="L205" s="32"/>
      <c r="M205" s="30"/>
      <c r="N205" s="32"/>
      <c r="O205" s="34"/>
      <c r="P205" s="32"/>
      <c r="Q205" s="32"/>
      <c r="R205" s="32"/>
      <c r="S205" s="32"/>
      <c r="T205" s="32"/>
      <c r="U205" s="32"/>
      <c r="V205" s="31"/>
      <c r="W205" s="35" t="str">
        <f aca="true">IF(OR(V205="",AG205&gt;=8),"",IF(V205&lt;TODAY(),"Vencida",IF(V205=TODAY(),"Hoy","")))</f>
        <v/>
      </c>
      <c r="X205" s="36" t="str">
        <f aca="false">IF(A205="","",IF(COUNTIF(Seguimiento!$B$2:$B$5001,A205)=0,"",_xlfn.MAXIFS(Seguimiento!$A$2:$A$5001,Seguimiento!$B$2:$B$5001,A205)))</f>
        <v/>
      </c>
      <c r="Y205" s="37" t="str">
        <f aca="true">IF(B205="","",TODAY()-B205)</f>
        <v/>
      </c>
      <c r="Z205" s="38" t="str">
        <f aca="false">IF(OR(O205="",G205=""),"",O205*IFERROR(INDEX(Listas!$B$2:$B$50,MATCH(G205,Listas!$A$2:$A$50,0)),0))</f>
        <v/>
      </c>
      <c r="AA205" s="32"/>
      <c r="AB205" s="32"/>
      <c r="AC205" s="32"/>
      <c r="AD205" s="35" t="str">
        <f aca="false">IF(OR(LEFT(H205,4)="Meta",LEFT(H205,6)="Google"),IF(AG205=3,"Lead calificado",IF(OR(AG205=4,AG205=5),"Tasación/visita",IF(OR(AG205=6,AG205=7),"Captación/oferta",IF(AG205=8,"Cierre","")))),"")</f>
        <v/>
      </c>
      <c r="AE205" s="32"/>
      <c r="AF205" s="32"/>
      <c r="AG205" s="37" t="n">
        <f aca="false">IF(R205="",0,IFERROR(MATCH(R205,Listas!$L$2:$L$50,0),0))</f>
        <v>0</v>
      </c>
    </row>
    <row r="206" customFormat="false" ht="15" hidden="false" customHeight="false" outlineLevel="0" collapsed="false">
      <c r="A206" s="30"/>
      <c r="B206" s="31"/>
      <c r="C206" s="32"/>
      <c r="D206" s="32"/>
      <c r="E206" s="33"/>
      <c r="F206" s="32"/>
      <c r="G206" s="32"/>
      <c r="H206" s="32"/>
      <c r="I206" s="32"/>
      <c r="J206" s="32"/>
      <c r="K206" s="32"/>
      <c r="L206" s="32"/>
      <c r="M206" s="30"/>
      <c r="N206" s="32"/>
      <c r="O206" s="34"/>
      <c r="P206" s="32"/>
      <c r="Q206" s="32"/>
      <c r="R206" s="32"/>
      <c r="S206" s="32"/>
      <c r="T206" s="32"/>
      <c r="U206" s="32"/>
      <c r="V206" s="31"/>
      <c r="W206" s="35" t="str">
        <f aca="true">IF(OR(V206="",AG206&gt;=8),"",IF(V206&lt;TODAY(),"Vencida",IF(V206=TODAY(),"Hoy","")))</f>
        <v/>
      </c>
      <c r="X206" s="36" t="str">
        <f aca="false">IF(A206="","",IF(COUNTIF(Seguimiento!$B$2:$B$5001,A206)=0,"",_xlfn.MAXIFS(Seguimiento!$A$2:$A$5001,Seguimiento!$B$2:$B$5001,A206)))</f>
        <v/>
      </c>
      <c r="Y206" s="37" t="str">
        <f aca="true">IF(B206="","",TODAY()-B206)</f>
        <v/>
      </c>
      <c r="Z206" s="38" t="str">
        <f aca="false">IF(OR(O206="",G206=""),"",O206*IFERROR(INDEX(Listas!$B$2:$B$50,MATCH(G206,Listas!$A$2:$A$50,0)),0))</f>
        <v/>
      </c>
      <c r="AA206" s="32"/>
      <c r="AB206" s="32"/>
      <c r="AC206" s="32"/>
      <c r="AD206" s="35" t="str">
        <f aca="false">IF(OR(LEFT(H206,4)="Meta",LEFT(H206,6)="Google"),IF(AG206=3,"Lead calificado",IF(OR(AG206=4,AG206=5),"Tasación/visita",IF(OR(AG206=6,AG206=7),"Captación/oferta",IF(AG206=8,"Cierre","")))),"")</f>
        <v/>
      </c>
      <c r="AE206" s="32"/>
      <c r="AF206" s="32"/>
      <c r="AG206" s="37" t="n">
        <f aca="false">IF(R206="",0,IFERROR(MATCH(R206,Listas!$L$2:$L$50,0),0))</f>
        <v>0</v>
      </c>
    </row>
    <row r="207" customFormat="false" ht="15" hidden="false" customHeight="false" outlineLevel="0" collapsed="false">
      <c r="A207" s="30"/>
      <c r="B207" s="31"/>
      <c r="C207" s="32"/>
      <c r="D207" s="32"/>
      <c r="E207" s="33"/>
      <c r="F207" s="32"/>
      <c r="G207" s="32"/>
      <c r="H207" s="32"/>
      <c r="I207" s="32"/>
      <c r="J207" s="32"/>
      <c r="K207" s="32"/>
      <c r="L207" s="32"/>
      <c r="M207" s="30"/>
      <c r="N207" s="32"/>
      <c r="O207" s="34"/>
      <c r="P207" s="32"/>
      <c r="Q207" s="32"/>
      <c r="R207" s="32"/>
      <c r="S207" s="32"/>
      <c r="T207" s="32"/>
      <c r="U207" s="32"/>
      <c r="V207" s="31"/>
      <c r="W207" s="35" t="str">
        <f aca="true">IF(OR(V207="",AG207&gt;=8),"",IF(V207&lt;TODAY(),"Vencida",IF(V207=TODAY(),"Hoy","")))</f>
        <v/>
      </c>
      <c r="X207" s="36" t="str">
        <f aca="false">IF(A207="","",IF(COUNTIF(Seguimiento!$B$2:$B$5001,A207)=0,"",_xlfn.MAXIFS(Seguimiento!$A$2:$A$5001,Seguimiento!$B$2:$B$5001,A207)))</f>
        <v/>
      </c>
      <c r="Y207" s="37" t="str">
        <f aca="true">IF(B207="","",TODAY()-B207)</f>
        <v/>
      </c>
      <c r="Z207" s="38" t="str">
        <f aca="false">IF(OR(O207="",G207=""),"",O207*IFERROR(INDEX(Listas!$B$2:$B$50,MATCH(G207,Listas!$A$2:$A$50,0)),0))</f>
        <v/>
      </c>
      <c r="AA207" s="32"/>
      <c r="AB207" s="32"/>
      <c r="AC207" s="32"/>
      <c r="AD207" s="35" t="str">
        <f aca="false">IF(OR(LEFT(H207,4)="Meta",LEFT(H207,6)="Google"),IF(AG207=3,"Lead calificado",IF(OR(AG207=4,AG207=5),"Tasación/visita",IF(OR(AG207=6,AG207=7),"Captación/oferta",IF(AG207=8,"Cierre","")))),"")</f>
        <v/>
      </c>
      <c r="AE207" s="32"/>
      <c r="AF207" s="32"/>
      <c r="AG207" s="37" t="n">
        <f aca="false">IF(R207="",0,IFERROR(MATCH(R207,Listas!$L$2:$L$50,0),0))</f>
        <v>0</v>
      </c>
    </row>
    <row r="208" customFormat="false" ht="15" hidden="false" customHeight="false" outlineLevel="0" collapsed="false">
      <c r="A208" s="30"/>
      <c r="B208" s="31"/>
      <c r="C208" s="32"/>
      <c r="D208" s="32"/>
      <c r="E208" s="33"/>
      <c r="F208" s="32"/>
      <c r="G208" s="32"/>
      <c r="H208" s="32"/>
      <c r="I208" s="32"/>
      <c r="J208" s="32"/>
      <c r="K208" s="32"/>
      <c r="L208" s="32"/>
      <c r="M208" s="30"/>
      <c r="N208" s="32"/>
      <c r="O208" s="34"/>
      <c r="P208" s="32"/>
      <c r="Q208" s="32"/>
      <c r="R208" s="32"/>
      <c r="S208" s="32"/>
      <c r="T208" s="32"/>
      <c r="U208" s="32"/>
      <c r="V208" s="31"/>
      <c r="W208" s="35" t="str">
        <f aca="true">IF(OR(V208="",AG208&gt;=8),"",IF(V208&lt;TODAY(),"Vencida",IF(V208=TODAY(),"Hoy","")))</f>
        <v/>
      </c>
      <c r="X208" s="36" t="str">
        <f aca="false">IF(A208="","",IF(COUNTIF(Seguimiento!$B$2:$B$5001,A208)=0,"",_xlfn.MAXIFS(Seguimiento!$A$2:$A$5001,Seguimiento!$B$2:$B$5001,A208)))</f>
        <v/>
      </c>
      <c r="Y208" s="37" t="str">
        <f aca="true">IF(B208="","",TODAY()-B208)</f>
        <v/>
      </c>
      <c r="Z208" s="38" t="str">
        <f aca="false">IF(OR(O208="",G208=""),"",O208*IFERROR(INDEX(Listas!$B$2:$B$50,MATCH(G208,Listas!$A$2:$A$50,0)),0))</f>
        <v/>
      </c>
      <c r="AA208" s="32"/>
      <c r="AB208" s="32"/>
      <c r="AC208" s="32"/>
      <c r="AD208" s="35" t="str">
        <f aca="false">IF(OR(LEFT(H208,4)="Meta",LEFT(H208,6)="Google"),IF(AG208=3,"Lead calificado",IF(OR(AG208=4,AG208=5),"Tasación/visita",IF(OR(AG208=6,AG208=7),"Captación/oferta",IF(AG208=8,"Cierre","")))),"")</f>
        <v/>
      </c>
      <c r="AE208" s="32"/>
      <c r="AF208" s="32"/>
      <c r="AG208" s="37" t="n">
        <f aca="false">IF(R208="",0,IFERROR(MATCH(R208,Listas!$L$2:$L$50,0),0))</f>
        <v>0</v>
      </c>
    </row>
    <row r="209" customFormat="false" ht="15" hidden="false" customHeight="false" outlineLevel="0" collapsed="false">
      <c r="A209" s="30"/>
      <c r="B209" s="31"/>
      <c r="C209" s="32"/>
      <c r="D209" s="32"/>
      <c r="E209" s="33"/>
      <c r="F209" s="32"/>
      <c r="G209" s="32"/>
      <c r="H209" s="32"/>
      <c r="I209" s="32"/>
      <c r="J209" s="32"/>
      <c r="K209" s="32"/>
      <c r="L209" s="32"/>
      <c r="M209" s="30"/>
      <c r="N209" s="32"/>
      <c r="O209" s="34"/>
      <c r="P209" s="32"/>
      <c r="Q209" s="32"/>
      <c r="R209" s="32"/>
      <c r="S209" s="32"/>
      <c r="T209" s="32"/>
      <c r="U209" s="32"/>
      <c r="V209" s="31"/>
      <c r="W209" s="35" t="str">
        <f aca="true">IF(OR(V209="",AG209&gt;=8),"",IF(V209&lt;TODAY(),"Vencida",IF(V209=TODAY(),"Hoy","")))</f>
        <v/>
      </c>
      <c r="X209" s="36" t="str">
        <f aca="false">IF(A209="","",IF(COUNTIF(Seguimiento!$B$2:$B$5001,A209)=0,"",_xlfn.MAXIFS(Seguimiento!$A$2:$A$5001,Seguimiento!$B$2:$B$5001,A209)))</f>
        <v/>
      </c>
      <c r="Y209" s="37" t="str">
        <f aca="true">IF(B209="","",TODAY()-B209)</f>
        <v/>
      </c>
      <c r="Z209" s="38" t="str">
        <f aca="false">IF(OR(O209="",G209=""),"",O209*IFERROR(INDEX(Listas!$B$2:$B$50,MATCH(G209,Listas!$A$2:$A$50,0)),0))</f>
        <v/>
      </c>
      <c r="AA209" s="32"/>
      <c r="AB209" s="32"/>
      <c r="AC209" s="32"/>
      <c r="AD209" s="35" t="str">
        <f aca="false">IF(OR(LEFT(H209,4)="Meta",LEFT(H209,6)="Google"),IF(AG209=3,"Lead calificado",IF(OR(AG209=4,AG209=5),"Tasación/visita",IF(OR(AG209=6,AG209=7),"Captación/oferta",IF(AG209=8,"Cierre","")))),"")</f>
        <v/>
      </c>
      <c r="AE209" s="32"/>
      <c r="AF209" s="32"/>
      <c r="AG209" s="37" t="n">
        <f aca="false">IF(R209="",0,IFERROR(MATCH(R209,Listas!$L$2:$L$50,0),0))</f>
        <v>0</v>
      </c>
    </row>
    <row r="210" customFormat="false" ht="15" hidden="false" customHeight="false" outlineLevel="0" collapsed="false">
      <c r="A210" s="30"/>
      <c r="B210" s="31"/>
      <c r="C210" s="32"/>
      <c r="D210" s="32"/>
      <c r="E210" s="33"/>
      <c r="F210" s="32"/>
      <c r="G210" s="32"/>
      <c r="H210" s="32"/>
      <c r="I210" s="32"/>
      <c r="J210" s="32"/>
      <c r="K210" s="32"/>
      <c r="L210" s="32"/>
      <c r="M210" s="30"/>
      <c r="N210" s="32"/>
      <c r="O210" s="34"/>
      <c r="P210" s="32"/>
      <c r="Q210" s="32"/>
      <c r="R210" s="32"/>
      <c r="S210" s="32"/>
      <c r="T210" s="32"/>
      <c r="U210" s="32"/>
      <c r="V210" s="31"/>
      <c r="W210" s="35" t="str">
        <f aca="true">IF(OR(V210="",AG210&gt;=8),"",IF(V210&lt;TODAY(),"Vencida",IF(V210=TODAY(),"Hoy","")))</f>
        <v/>
      </c>
      <c r="X210" s="36" t="str">
        <f aca="false">IF(A210="","",IF(COUNTIF(Seguimiento!$B$2:$B$5001,A210)=0,"",_xlfn.MAXIFS(Seguimiento!$A$2:$A$5001,Seguimiento!$B$2:$B$5001,A210)))</f>
        <v/>
      </c>
      <c r="Y210" s="37" t="str">
        <f aca="true">IF(B210="","",TODAY()-B210)</f>
        <v/>
      </c>
      <c r="Z210" s="38" t="str">
        <f aca="false">IF(OR(O210="",G210=""),"",O210*IFERROR(INDEX(Listas!$B$2:$B$50,MATCH(G210,Listas!$A$2:$A$50,0)),0))</f>
        <v/>
      </c>
      <c r="AA210" s="32"/>
      <c r="AB210" s="32"/>
      <c r="AC210" s="32"/>
      <c r="AD210" s="35" t="str">
        <f aca="false">IF(OR(LEFT(H210,4)="Meta",LEFT(H210,6)="Google"),IF(AG210=3,"Lead calificado",IF(OR(AG210=4,AG210=5),"Tasación/visita",IF(OR(AG210=6,AG210=7),"Captación/oferta",IF(AG210=8,"Cierre","")))),"")</f>
        <v/>
      </c>
      <c r="AE210" s="32"/>
      <c r="AF210" s="32"/>
      <c r="AG210" s="37" t="n">
        <f aca="false">IF(R210="",0,IFERROR(MATCH(R210,Listas!$L$2:$L$50,0),0))</f>
        <v>0</v>
      </c>
    </row>
    <row r="211" customFormat="false" ht="15" hidden="false" customHeight="false" outlineLevel="0" collapsed="false">
      <c r="A211" s="30"/>
      <c r="B211" s="31"/>
      <c r="C211" s="32"/>
      <c r="D211" s="32"/>
      <c r="E211" s="33"/>
      <c r="F211" s="32"/>
      <c r="G211" s="32"/>
      <c r="H211" s="32"/>
      <c r="I211" s="32"/>
      <c r="J211" s="32"/>
      <c r="K211" s="32"/>
      <c r="L211" s="32"/>
      <c r="M211" s="30"/>
      <c r="N211" s="32"/>
      <c r="O211" s="34"/>
      <c r="P211" s="32"/>
      <c r="Q211" s="32"/>
      <c r="R211" s="32"/>
      <c r="S211" s="32"/>
      <c r="T211" s="32"/>
      <c r="U211" s="32"/>
      <c r="V211" s="31"/>
      <c r="W211" s="35" t="str">
        <f aca="true">IF(OR(V211="",AG211&gt;=8),"",IF(V211&lt;TODAY(),"Vencida",IF(V211=TODAY(),"Hoy","")))</f>
        <v/>
      </c>
      <c r="X211" s="36" t="str">
        <f aca="false">IF(A211="","",IF(COUNTIF(Seguimiento!$B$2:$B$5001,A211)=0,"",_xlfn.MAXIFS(Seguimiento!$A$2:$A$5001,Seguimiento!$B$2:$B$5001,A211)))</f>
        <v/>
      </c>
      <c r="Y211" s="37" t="str">
        <f aca="true">IF(B211="","",TODAY()-B211)</f>
        <v/>
      </c>
      <c r="Z211" s="38" t="str">
        <f aca="false">IF(OR(O211="",G211=""),"",O211*IFERROR(INDEX(Listas!$B$2:$B$50,MATCH(G211,Listas!$A$2:$A$50,0)),0))</f>
        <v/>
      </c>
      <c r="AA211" s="32"/>
      <c r="AB211" s="32"/>
      <c r="AC211" s="32"/>
      <c r="AD211" s="35" t="str">
        <f aca="false">IF(OR(LEFT(H211,4)="Meta",LEFT(H211,6)="Google"),IF(AG211=3,"Lead calificado",IF(OR(AG211=4,AG211=5),"Tasación/visita",IF(OR(AG211=6,AG211=7),"Captación/oferta",IF(AG211=8,"Cierre","")))),"")</f>
        <v/>
      </c>
      <c r="AE211" s="32"/>
      <c r="AF211" s="32"/>
      <c r="AG211" s="37" t="n">
        <f aca="false">IF(R211="",0,IFERROR(MATCH(R211,Listas!$L$2:$L$50,0),0))</f>
        <v>0</v>
      </c>
    </row>
    <row r="212" customFormat="false" ht="15" hidden="false" customHeight="false" outlineLevel="0" collapsed="false">
      <c r="A212" s="30"/>
      <c r="B212" s="31"/>
      <c r="C212" s="32"/>
      <c r="D212" s="32"/>
      <c r="E212" s="33"/>
      <c r="F212" s="32"/>
      <c r="G212" s="32"/>
      <c r="H212" s="32"/>
      <c r="I212" s="32"/>
      <c r="J212" s="32"/>
      <c r="K212" s="32"/>
      <c r="L212" s="32"/>
      <c r="M212" s="30"/>
      <c r="N212" s="32"/>
      <c r="O212" s="34"/>
      <c r="P212" s="32"/>
      <c r="Q212" s="32"/>
      <c r="R212" s="32"/>
      <c r="S212" s="32"/>
      <c r="T212" s="32"/>
      <c r="U212" s="32"/>
      <c r="V212" s="31"/>
      <c r="W212" s="35" t="str">
        <f aca="true">IF(OR(V212="",AG212&gt;=8),"",IF(V212&lt;TODAY(),"Vencida",IF(V212=TODAY(),"Hoy","")))</f>
        <v/>
      </c>
      <c r="X212" s="36" t="str">
        <f aca="false">IF(A212="","",IF(COUNTIF(Seguimiento!$B$2:$B$5001,A212)=0,"",_xlfn.MAXIFS(Seguimiento!$A$2:$A$5001,Seguimiento!$B$2:$B$5001,A212)))</f>
        <v/>
      </c>
      <c r="Y212" s="37" t="str">
        <f aca="true">IF(B212="","",TODAY()-B212)</f>
        <v/>
      </c>
      <c r="Z212" s="38" t="str">
        <f aca="false">IF(OR(O212="",G212=""),"",O212*IFERROR(INDEX(Listas!$B$2:$B$50,MATCH(G212,Listas!$A$2:$A$50,0)),0))</f>
        <v/>
      </c>
      <c r="AA212" s="32"/>
      <c r="AB212" s="32"/>
      <c r="AC212" s="32"/>
      <c r="AD212" s="35" t="str">
        <f aca="false">IF(OR(LEFT(H212,4)="Meta",LEFT(H212,6)="Google"),IF(AG212=3,"Lead calificado",IF(OR(AG212=4,AG212=5),"Tasación/visita",IF(OR(AG212=6,AG212=7),"Captación/oferta",IF(AG212=8,"Cierre","")))),"")</f>
        <v/>
      </c>
      <c r="AE212" s="32"/>
      <c r="AF212" s="32"/>
      <c r="AG212" s="37" t="n">
        <f aca="false">IF(R212="",0,IFERROR(MATCH(R212,Listas!$L$2:$L$50,0),0))</f>
        <v>0</v>
      </c>
    </row>
    <row r="213" customFormat="false" ht="15" hidden="false" customHeight="false" outlineLevel="0" collapsed="false">
      <c r="A213" s="30"/>
      <c r="B213" s="31"/>
      <c r="C213" s="32"/>
      <c r="D213" s="32"/>
      <c r="E213" s="33"/>
      <c r="F213" s="32"/>
      <c r="G213" s="32"/>
      <c r="H213" s="32"/>
      <c r="I213" s="32"/>
      <c r="J213" s="32"/>
      <c r="K213" s="32"/>
      <c r="L213" s="32"/>
      <c r="M213" s="30"/>
      <c r="N213" s="32"/>
      <c r="O213" s="34"/>
      <c r="P213" s="32"/>
      <c r="Q213" s="32"/>
      <c r="R213" s="32"/>
      <c r="S213" s="32"/>
      <c r="T213" s="32"/>
      <c r="U213" s="32"/>
      <c r="V213" s="31"/>
      <c r="W213" s="35" t="str">
        <f aca="true">IF(OR(V213="",AG213&gt;=8),"",IF(V213&lt;TODAY(),"Vencida",IF(V213=TODAY(),"Hoy","")))</f>
        <v/>
      </c>
      <c r="X213" s="36" t="str">
        <f aca="false">IF(A213="","",IF(COUNTIF(Seguimiento!$B$2:$B$5001,A213)=0,"",_xlfn.MAXIFS(Seguimiento!$A$2:$A$5001,Seguimiento!$B$2:$B$5001,A213)))</f>
        <v/>
      </c>
      <c r="Y213" s="37" t="str">
        <f aca="true">IF(B213="","",TODAY()-B213)</f>
        <v/>
      </c>
      <c r="Z213" s="38" t="str">
        <f aca="false">IF(OR(O213="",G213=""),"",O213*IFERROR(INDEX(Listas!$B$2:$B$50,MATCH(G213,Listas!$A$2:$A$50,0)),0))</f>
        <v/>
      </c>
      <c r="AA213" s="32"/>
      <c r="AB213" s="32"/>
      <c r="AC213" s="32"/>
      <c r="AD213" s="35" t="str">
        <f aca="false">IF(OR(LEFT(H213,4)="Meta",LEFT(H213,6)="Google"),IF(AG213=3,"Lead calificado",IF(OR(AG213=4,AG213=5),"Tasación/visita",IF(OR(AG213=6,AG213=7),"Captación/oferta",IF(AG213=8,"Cierre","")))),"")</f>
        <v/>
      </c>
      <c r="AE213" s="32"/>
      <c r="AF213" s="32"/>
      <c r="AG213" s="37" t="n">
        <f aca="false">IF(R213="",0,IFERROR(MATCH(R213,Listas!$L$2:$L$50,0),0))</f>
        <v>0</v>
      </c>
    </row>
    <row r="214" customFormat="false" ht="15" hidden="false" customHeight="false" outlineLevel="0" collapsed="false">
      <c r="A214" s="30"/>
      <c r="B214" s="31"/>
      <c r="C214" s="32"/>
      <c r="D214" s="32"/>
      <c r="E214" s="33"/>
      <c r="F214" s="32"/>
      <c r="G214" s="32"/>
      <c r="H214" s="32"/>
      <c r="I214" s="32"/>
      <c r="J214" s="32"/>
      <c r="K214" s="32"/>
      <c r="L214" s="32"/>
      <c r="M214" s="30"/>
      <c r="N214" s="32"/>
      <c r="O214" s="34"/>
      <c r="P214" s="32"/>
      <c r="Q214" s="32"/>
      <c r="R214" s="32"/>
      <c r="S214" s="32"/>
      <c r="T214" s="32"/>
      <c r="U214" s="32"/>
      <c r="V214" s="31"/>
      <c r="W214" s="35" t="str">
        <f aca="true">IF(OR(V214="",AG214&gt;=8),"",IF(V214&lt;TODAY(),"Vencida",IF(V214=TODAY(),"Hoy","")))</f>
        <v/>
      </c>
      <c r="X214" s="36" t="str">
        <f aca="false">IF(A214="","",IF(COUNTIF(Seguimiento!$B$2:$B$5001,A214)=0,"",_xlfn.MAXIFS(Seguimiento!$A$2:$A$5001,Seguimiento!$B$2:$B$5001,A214)))</f>
        <v/>
      </c>
      <c r="Y214" s="37" t="str">
        <f aca="true">IF(B214="","",TODAY()-B214)</f>
        <v/>
      </c>
      <c r="Z214" s="38" t="str">
        <f aca="false">IF(OR(O214="",G214=""),"",O214*IFERROR(INDEX(Listas!$B$2:$B$50,MATCH(G214,Listas!$A$2:$A$50,0)),0))</f>
        <v/>
      </c>
      <c r="AA214" s="32"/>
      <c r="AB214" s="32"/>
      <c r="AC214" s="32"/>
      <c r="AD214" s="35" t="str">
        <f aca="false">IF(OR(LEFT(H214,4)="Meta",LEFT(H214,6)="Google"),IF(AG214=3,"Lead calificado",IF(OR(AG214=4,AG214=5),"Tasación/visita",IF(OR(AG214=6,AG214=7),"Captación/oferta",IF(AG214=8,"Cierre","")))),"")</f>
        <v/>
      </c>
      <c r="AE214" s="32"/>
      <c r="AF214" s="32"/>
      <c r="AG214" s="37" t="n">
        <f aca="false">IF(R214="",0,IFERROR(MATCH(R214,Listas!$L$2:$L$50,0),0))</f>
        <v>0</v>
      </c>
    </row>
    <row r="215" customFormat="false" ht="15" hidden="false" customHeight="false" outlineLevel="0" collapsed="false">
      <c r="A215" s="30"/>
      <c r="B215" s="31"/>
      <c r="C215" s="32"/>
      <c r="D215" s="32"/>
      <c r="E215" s="33"/>
      <c r="F215" s="32"/>
      <c r="G215" s="32"/>
      <c r="H215" s="32"/>
      <c r="I215" s="32"/>
      <c r="J215" s="32"/>
      <c r="K215" s="32"/>
      <c r="L215" s="32"/>
      <c r="M215" s="30"/>
      <c r="N215" s="32"/>
      <c r="O215" s="34"/>
      <c r="P215" s="32"/>
      <c r="Q215" s="32"/>
      <c r="R215" s="32"/>
      <c r="S215" s="32"/>
      <c r="T215" s="32"/>
      <c r="U215" s="32"/>
      <c r="V215" s="31"/>
      <c r="W215" s="35" t="str">
        <f aca="true">IF(OR(V215="",AG215&gt;=8),"",IF(V215&lt;TODAY(),"Vencida",IF(V215=TODAY(),"Hoy","")))</f>
        <v/>
      </c>
      <c r="X215" s="36" t="str">
        <f aca="false">IF(A215="","",IF(COUNTIF(Seguimiento!$B$2:$B$5001,A215)=0,"",_xlfn.MAXIFS(Seguimiento!$A$2:$A$5001,Seguimiento!$B$2:$B$5001,A215)))</f>
        <v/>
      </c>
      <c r="Y215" s="37" t="str">
        <f aca="true">IF(B215="","",TODAY()-B215)</f>
        <v/>
      </c>
      <c r="Z215" s="38" t="str">
        <f aca="false">IF(OR(O215="",G215=""),"",O215*IFERROR(INDEX(Listas!$B$2:$B$50,MATCH(G215,Listas!$A$2:$A$50,0)),0))</f>
        <v/>
      </c>
      <c r="AA215" s="32"/>
      <c r="AB215" s="32"/>
      <c r="AC215" s="32"/>
      <c r="AD215" s="35" t="str">
        <f aca="false">IF(OR(LEFT(H215,4)="Meta",LEFT(H215,6)="Google"),IF(AG215=3,"Lead calificado",IF(OR(AG215=4,AG215=5),"Tasación/visita",IF(OR(AG215=6,AG215=7),"Captación/oferta",IF(AG215=8,"Cierre","")))),"")</f>
        <v/>
      </c>
      <c r="AE215" s="32"/>
      <c r="AF215" s="32"/>
      <c r="AG215" s="37" t="n">
        <f aca="false">IF(R215="",0,IFERROR(MATCH(R215,Listas!$L$2:$L$50,0),0))</f>
        <v>0</v>
      </c>
    </row>
    <row r="216" customFormat="false" ht="15" hidden="false" customHeight="false" outlineLevel="0" collapsed="false">
      <c r="A216" s="30"/>
      <c r="B216" s="31"/>
      <c r="C216" s="32"/>
      <c r="D216" s="32"/>
      <c r="E216" s="33"/>
      <c r="F216" s="32"/>
      <c r="G216" s="32"/>
      <c r="H216" s="32"/>
      <c r="I216" s="32"/>
      <c r="J216" s="32"/>
      <c r="K216" s="32"/>
      <c r="L216" s="32"/>
      <c r="M216" s="30"/>
      <c r="N216" s="32"/>
      <c r="O216" s="34"/>
      <c r="P216" s="32"/>
      <c r="Q216" s="32"/>
      <c r="R216" s="32"/>
      <c r="S216" s="32"/>
      <c r="T216" s="32"/>
      <c r="U216" s="32"/>
      <c r="V216" s="31"/>
      <c r="W216" s="35" t="str">
        <f aca="true">IF(OR(V216="",AG216&gt;=8),"",IF(V216&lt;TODAY(),"Vencida",IF(V216=TODAY(),"Hoy","")))</f>
        <v/>
      </c>
      <c r="X216" s="36" t="str">
        <f aca="false">IF(A216="","",IF(COUNTIF(Seguimiento!$B$2:$B$5001,A216)=0,"",_xlfn.MAXIFS(Seguimiento!$A$2:$A$5001,Seguimiento!$B$2:$B$5001,A216)))</f>
        <v/>
      </c>
      <c r="Y216" s="37" t="str">
        <f aca="true">IF(B216="","",TODAY()-B216)</f>
        <v/>
      </c>
      <c r="Z216" s="38" t="str">
        <f aca="false">IF(OR(O216="",G216=""),"",O216*IFERROR(INDEX(Listas!$B$2:$B$50,MATCH(G216,Listas!$A$2:$A$50,0)),0))</f>
        <v/>
      </c>
      <c r="AA216" s="32"/>
      <c r="AB216" s="32"/>
      <c r="AC216" s="32"/>
      <c r="AD216" s="35" t="str">
        <f aca="false">IF(OR(LEFT(H216,4)="Meta",LEFT(H216,6)="Google"),IF(AG216=3,"Lead calificado",IF(OR(AG216=4,AG216=5),"Tasación/visita",IF(OR(AG216=6,AG216=7),"Captación/oferta",IF(AG216=8,"Cierre","")))),"")</f>
        <v/>
      </c>
      <c r="AE216" s="32"/>
      <c r="AF216" s="32"/>
      <c r="AG216" s="37" t="n">
        <f aca="false">IF(R216="",0,IFERROR(MATCH(R216,Listas!$L$2:$L$50,0),0))</f>
        <v>0</v>
      </c>
    </row>
    <row r="217" customFormat="false" ht="15" hidden="false" customHeight="false" outlineLevel="0" collapsed="false">
      <c r="A217" s="30"/>
      <c r="B217" s="31"/>
      <c r="C217" s="32"/>
      <c r="D217" s="32"/>
      <c r="E217" s="33"/>
      <c r="F217" s="32"/>
      <c r="G217" s="32"/>
      <c r="H217" s="32"/>
      <c r="I217" s="32"/>
      <c r="J217" s="32"/>
      <c r="K217" s="32"/>
      <c r="L217" s="32"/>
      <c r="M217" s="30"/>
      <c r="N217" s="32"/>
      <c r="O217" s="34"/>
      <c r="P217" s="32"/>
      <c r="Q217" s="32"/>
      <c r="R217" s="32"/>
      <c r="S217" s="32"/>
      <c r="T217" s="32"/>
      <c r="U217" s="32"/>
      <c r="V217" s="31"/>
      <c r="W217" s="35" t="str">
        <f aca="true">IF(OR(V217="",AG217&gt;=8),"",IF(V217&lt;TODAY(),"Vencida",IF(V217=TODAY(),"Hoy","")))</f>
        <v/>
      </c>
      <c r="X217" s="36" t="str">
        <f aca="false">IF(A217="","",IF(COUNTIF(Seguimiento!$B$2:$B$5001,A217)=0,"",_xlfn.MAXIFS(Seguimiento!$A$2:$A$5001,Seguimiento!$B$2:$B$5001,A217)))</f>
        <v/>
      </c>
      <c r="Y217" s="37" t="str">
        <f aca="true">IF(B217="","",TODAY()-B217)</f>
        <v/>
      </c>
      <c r="Z217" s="38" t="str">
        <f aca="false">IF(OR(O217="",G217=""),"",O217*IFERROR(INDEX(Listas!$B$2:$B$50,MATCH(G217,Listas!$A$2:$A$50,0)),0))</f>
        <v/>
      </c>
      <c r="AA217" s="32"/>
      <c r="AB217" s="32"/>
      <c r="AC217" s="32"/>
      <c r="AD217" s="35" t="str">
        <f aca="false">IF(OR(LEFT(H217,4)="Meta",LEFT(H217,6)="Google"),IF(AG217=3,"Lead calificado",IF(OR(AG217=4,AG217=5),"Tasación/visita",IF(OR(AG217=6,AG217=7),"Captación/oferta",IF(AG217=8,"Cierre","")))),"")</f>
        <v/>
      </c>
      <c r="AE217" s="32"/>
      <c r="AF217" s="32"/>
      <c r="AG217" s="37" t="n">
        <f aca="false">IF(R217="",0,IFERROR(MATCH(R217,Listas!$L$2:$L$50,0),0))</f>
        <v>0</v>
      </c>
    </row>
    <row r="218" customFormat="false" ht="15" hidden="false" customHeight="false" outlineLevel="0" collapsed="false">
      <c r="A218" s="30"/>
      <c r="B218" s="31"/>
      <c r="C218" s="32"/>
      <c r="D218" s="32"/>
      <c r="E218" s="33"/>
      <c r="F218" s="32"/>
      <c r="G218" s="32"/>
      <c r="H218" s="32"/>
      <c r="I218" s="32"/>
      <c r="J218" s="32"/>
      <c r="K218" s="32"/>
      <c r="L218" s="32"/>
      <c r="M218" s="30"/>
      <c r="N218" s="32"/>
      <c r="O218" s="34"/>
      <c r="P218" s="32"/>
      <c r="Q218" s="32"/>
      <c r="R218" s="32"/>
      <c r="S218" s="32"/>
      <c r="T218" s="32"/>
      <c r="U218" s="32"/>
      <c r="V218" s="31"/>
      <c r="W218" s="35" t="str">
        <f aca="true">IF(OR(V218="",AG218&gt;=8),"",IF(V218&lt;TODAY(),"Vencida",IF(V218=TODAY(),"Hoy","")))</f>
        <v/>
      </c>
      <c r="X218" s="36" t="str">
        <f aca="false">IF(A218="","",IF(COUNTIF(Seguimiento!$B$2:$B$5001,A218)=0,"",_xlfn.MAXIFS(Seguimiento!$A$2:$A$5001,Seguimiento!$B$2:$B$5001,A218)))</f>
        <v/>
      </c>
      <c r="Y218" s="37" t="str">
        <f aca="true">IF(B218="","",TODAY()-B218)</f>
        <v/>
      </c>
      <c r="Z218" s="38" t="str">
        <f aca="false">IF(OR(O218="",G218=""),"",O218*IFERROR(INDEX(Listas!$B$2:$B$50,MATCH(G218,Listas!$A$2:$A$50,0)),0))</f>
        <v/>
      </c>
      <c r="AA218" s="32"/>
      <c r="AB218" s="32"/>
      <c r="AC218" s="32"/>
      <c r="AD218" s="35" t="str">
        <f aca="false">IF(OR(LEFT(H218,4)="Meta",LEFT(H218,6)="Google"),IF(AG218=3,"Lead calificado",IF(OR(AG218=4,AG218=5),"Tasación/visita",IF(OR(AG218=6,AG218=7),"Captación/oferta",IF(AG218=8,"Cierre","")))),"")</f>
        <v/>
      </c>
      <c r="AE218" s="32"/>
      <c r="AF218" s="32"/>
      <c r="AG218" s="37" t="n">
        <f aca="false">IF(R218="",0,IFERROR(MATCH(R218,Listas!$L$2:$L$50,0),0))</f>
        <v>0</v>
      </c>
    </row>
    <row r="219" customFormat="false" ht="15" hidden="false" customHeight="false" outlineLevel="0" collapsed="false">
      <c r="A219" s="30"/>
      <c r="B219" s="31"/>
      <c r="C219" s="32"/>
      <c r="D219" s="32"/>
      <c r="E219" s="33"/>
      <c r="F219" s="32"/>
      <c r="G219" s="32"/>
      <c r="H219" s="32"/>
      <c r="I219" s="32"/>
      <c r="J219" s="32"/>
      <c r="K219" s="32"/>
      <c r="L219" s="32"/>
      <c r="M219" s="30"/>
      <c r="N219" s="32"/>
      <c r="O219" s="34"/>
      <c r="P219" s="32"/>
      <c r="Q219" s="32"/>
      <c r="R219" s="32"/>
      <c r="S219" s="32"/>
      <c r="T219" s="32"/>
      <c r="U219" s="32"/>
      <c r="V219" s="31"/>
      <c r="W219" s="35" t="str">
        <f aca="true">IF(OR(V219="",AG219&gt;=8),"",IF(V219&lt;TODAY(),"Vencida",IF(V219=TODAY(),"Hoy","")))</f>
        <v/>
      </c>
      <c r="X219" s="36" t="str">
        <f aca="false">IF(A219="","",IF(COUNTIF(Seguimiento!$B$2:$B$5001,A219)=0,"",_xlfn.MAXIFS(Seguimiento!$A$2:$A$5001,Seguimiento!$B$2:$B$5001,A219)))</f>
        <v/>
      </c>
      <c r="Y219" s="37" t="str">
        <f aca="true">IF(B219="","",TODAY()-B219)</f>
        <v/>
      </c>
      <c r="Z219" s="38" t="str">
        <f aca="false">IF(OR(O219="",G219=""),"",O219*IFERROR(INDEX(Listas!$B$2:$B$50,MATCH(G219,Listas!$A$2:$A$50,0)),0))</f>
        <v/>
      </c>
      <c r="AA219" s="32"/>
      <c r="AB219" s="32"/>
      <c r="AC219" s="32"/>
      <c r="AD219" s="35" t="str">
        <f aca="false">IF(OR(LEFT(H219,4)="Meta",LEFT(H219,6)="Google"),IF(AG219=3,"Lead calificado",IF(OR(AG219=4,AG219=5),"Tasación/visita",IF(OR(AG219=6,AG219=7),"Captación/oferta",IF(AG219=8,"Cierre","")))),"")</f>
        <v/>
      </c>
      <c r="AE219" s="32"/>
      <c r="AF219" s="32"/>
      <c r="AG219" s="37" t="n">
        <f aca="false">IF(R219="",0,IFERROR(MATCH(R219,Listas!$L$2:$L$50,0),0))</f>
        <v>0</v>
      </c>
    </row>
    <row r="220" customFormat="false" ht="15" hidden="false" customHeight="false" outlineLevel="0" collapsed="false">
      <c r="A220" s="30"/>
      <c r="B220" s="31"/>
      <c r="C220" s="32"/>
      <c r="D220" s="32"/>
      <c r="E220" s="33"/>
      <c r="F220" s="32"/>
      <c r="G220" s="32"/>
      <c r="H220" s="32"/>
      <c r="I220" s="32"/>
      <c r="J220" s="32"/>
      <c r="K220" s="32"/>
      <c r="L220" s="32"/>
      <c r="M220" s="30"/>
      <c r="N220" s="32"/>
      <c r="O220" s="34"/>
      <c r="P220" s="32"/>
      <c r="Q220" s="32"/>
      <c r="R220" s="32"/>
      <c r="S220" s="32"/>
      <c r="T220" s="32"/>
      <c r="U220" s="32"/>
      <c r="V220" s="31"/>
      <c r="W220" s="35" t="str">
        <f aca="true">IF(OR(V220="",AG220&gt;=8),"",IF(V220&lt;TODAY(),"Vencida",IF(V220=TODAY(),"Hoy","")))</f>
        <v/>
      </c>
      <c r="X220" s="36" t="str">
        <f aca="false">IF(A220="","",IF(COUNTIF(Seguimiento!$B$2:$B$5001,A220)=0,"",_xlfn.MAXIFS(Seguimiento!$A$2:$A$5001,Seguimiento!$B$2:$B$5001,A220)))</f>
        <v/>
      </c>
      <c r="Y220" s="37" t="str">
        <f aca="true">IF(B220="","",TODAY()-B220)</f>
        <v/>
      </c>
      <c r="Z220" s="38" t="str">
        <f aca="false">IF(OR(O220="",G220=""),"",O220*IFERROR(INDEX(Listas!$B$2:$B$50,MATCH(G220,Listas!$A$2:$A$50,0)),0))</f>
        <v/>
      </c>
      <c r="AA220" s="32"/>
      <c r="AB220" s="32"/>
      <c r="AC220" s="32"/>
      <c r="AD220" s="35" t="str">
        <f aca="false">IF(OR(LEFT(H220,4)="Meta",LEFT(H220,6)="Google"),IF(AG220=3,"Lead calificado",IF(OR(AG220=4,AG220=5),"Tasación/visita",IF(OR(AG220=6,AG220=7),"Captación/oferta",IF(AG220=8,"Cierre","")))),"")</f>
        <v/>
      </c>
      <c r="AE220" s="32"/>
      <c r="AF220" s="32"/>
      <c r="AG220" s="37" t="n">
        <f aca="false">IF(R220="",0,IFERROR(MATCH(R220,Listas!$L$2:$L$50,0),0))</f>
        <v>0</v>
      </c>
    </row>
    <row r="221" customFormat="false" ht="15" hidden="false" customHeight="false" outlineLevel="0" collapsed="false">
      <c r="A221" s="30"/>
      <c r="B221" s="31"/>
      <c r="C221" s="32"/>
      <c r="D221" s="32"/>
      <c r="E221" s="33"/>
      <c r="F221" s="32"/>
      <c r="G221" s="32"/>
      <c r="H221" s="32"/>
      <c r="I221" s="32"/>
      <c r="J221" s="32"/>
      <c r="K221" s="32"/>
      <c r="L221" s="32"/>
      <c r="M221" s="30"/>
      <c r="N221" s="32"/>
      <c r="O221" s="34"/>
      <c r="P221" s="32"/>
      <c r="Q221" s="32"/>
      <c r="R221" s="32"/>
      <c r="S221" s="32"/>
      <c r="T221" s="32"/>
      <c r="U221" s="32"/>
      <c r="V221" s="31"/>
      <c r="W221" s="35" t="str">
        <f aca="true">IF(OR(V221="",AG221&gt;=8),"",IF(V221&lt;TODAY(),"Vencida",IF(V221=TODAY(),"Hoy","")))</f>
        <v/>
      </c>
      <c r="X221" s="36" t="str">
        <f aca="false">IF(A221="","",IF(COUNTIF(Seguimiento!$B$2:$B$5001,A221)=0,"",_xlfn.MAXIFS(Seguimiento!$A$2:$A$5001,Seguimiento!$B$2:$B$5001,A221)))</f>
        <v/>
      </c>
      <c r="Y221" s="37" t="str">
        <f aca="true">IF(B221="","",TODAY()-B221)</f>
        <v/>
      </c>
      <c r="Z221" s="38" t="str">
        <f aca="false">IF(OR(O221="",G221=""),"",O221*IFERROR(INDEX(Listas!$B$2:$B$50,MATCH(G221,Listas!$A$2:$A$50,0)),0))</f>
        <v/>
      </c>
      <c r="AA221" s="32"/>
      <c r="AB221" s="32"/>
      <c r="AC221" s="32"/>
      <c r="AD221" s="35" t="str">
        <f aca="false">IF(OR(LEFT(H221,4)="Meta",LEFT(H221,6)="Google"),IF(AG221=3,"Lead calificado",IF(OR(AG221=4,AG221=5),"Tasación/visita",IF(OR(AG221=6,AG221=7),"Captación/oferta",IF(AG221=8,"Cierre","")))),"")</f>
        <v/>
      </c>
      <c r="AE221" s="32"/>
      <c r="AF221" s="32"/>
      <c r="AG221" s="37" t="n">
        <f aca="false">IF(R221="",0,IFERROR(MATCH(R221,Listas!$L$2:$L$50,0),0))</f>
        <v>0</v>
      </c>
    </row>
    <row r="222" customFormat="false" ht="15" hidden="false" customHeight="false" outlineLevel="0" collapsed="false">
      <c r="A222" s="30"/>
      <c r="B222" s="31"/>
      <c r="C222" s="32"/>
      <c r="D222" s="32"/>
      <c r="E222" s="33"/>
      <c r="F222" s="32"/>
      <c r="G222" s="32"/>
      <c r="H222" s="32"/>
      <c r="I222" s="32"/>
      <c r="J222" s="32"/>
      <c r="K222" s="32"/>
      <c r="L222" s="32"/>
      <c r="M222" s="30"/>
      <c r="N222" s="32"/>
      <c r="O222" s="34"/>
      <c r="P222" s="32"/>
      <c r="Q222" s="32"/>
      <c r="R222" s="32"/>
      <c r="S222" s="32"/>
      <c r="T222" s="32"/>
      <c r="U222" s="32"/>
      <c r="V222" s="31"/>
      <c r="W222" s="35" t="str">
        <f aca="true">IF(OR(V222="",AG222&gt;=8),"",IF(V222&lt;TODAY(),"Vencida",IF(V222=TODAY(),"Hoy","")))</f>
        <v/>
      </c>
      <c r="X222" s="36" t="str">
        <f aca="false">IF(A222="","",IF(COUNTIF(Seguimiento!$B$2:$B$5001,A222)=0,"",_xlfn.MAXIFS(Seguimiento!$A$2:$A$5001,Seguimiento!$B$2:$B$5001,A222)))</f>
        <v/>
      </c>
      <c r="Y222" s="37" t="str">
        <f aca="true">IF(B222="","",TODAY()-B222)</f>
        <v/>
      </c>
      <c r="Z222" s="38" t="str">
        <f aca="false">IF(OR(O222="",G222=""),"",O222*IFERROR(INDEX(Listas!$B$2:$B$50,MATCH(G222,Listas!$A$2:$A$50,0)),0))</f>
        <v/>
      </c>
      <c r="AA222" s="32"/>
      <c r="AB222" s="32"/>
      <c r="AC222" s="32"/>
      <c r="AD222" s="35" t="str">
        <f aca="false">IF(OR(LEFT(H222,4)="Meta",LEFT(H222,6)="Google"),IF(AG222=3,"Lead calificado",IF(OR(AG222=4,AG222=5),"Tasación/visita",IF(OR(AG222=6,AG222=7),"Captación/oferta",IF(AG222=8,"Cierre","")))),"")</f>
        <v/>
      </c>
      <c r="AE222" s="32"/>
      <c r="AF222" s="32"/>
      <c r="AG222" s="37" t="n">
        <f aca="false">IF(R222="",0,IFERROR(MATCH(R222,Listas!$L$2:$L$50,0),0))</f>
        <v>0</v>
      </c>
    </row>
    <row r="223" customFormat="false" ht="15" hidden="false" customHeight="false" outlineLevel="0" collapsed="false">
      <c r="A223" s="30"/>
      <c r="B223" s="31"/>
      <c r="C223" s="32"/>
      <c r="D223" s="32"/>
      <c r="E223" s="33"/>
      <c r="F223" s="32"/>
      <c r="G223" s="32"/>
      <c r="H223" s="32"/>
      <c r="I223" s="32"/>
      <c r="J223" s="32"/>
      <c r="K223" s="32"/>
      <c r="L223" s="32"/>
      <c r="M223" s="30"/>
      <c r="N223" s="32"/>
      <c r="O223" s="34"/>
      <c r="P223" s="32"/>
      <c r="Q223" s="32"/>
      <c r="R223" s="32"/>
      <c r="S223" s="32"/>
      <c r="T223" s="32"/>
      <c r="U223" s="32"/>
      <c r="V223" s="31"/>
      <c r="W223" s="35" t="str">
        <f aca="true">IF(OR(V223="",AG223&gt;=8),"",IF(V223&lt;TODAY(),"Vencida",IF(V223=TODAY(),"Hoy","")))</f>
        <v/>
      </c>
      <c r="X223" s="36" t="str">
        <f aca="false">IF(A223="","",IF(COUNTIF(Seguimiento!$B$2:$B$5001,A223)=0,"",_xlfn.MAXIFS(Seguimiento!$A$2:$A$5001,Seguimiento!$B$2:$B$5001,A223)))</f>
        <v/>
      </c>
      <c r="Y223" s="37" t="str">
        <f aca="true">IF(B223="","",TODAY()-B223)</f>
        <v/>
      </c>
      <c r="Z223" s="38" t="str">
        <f aca="false">IF(OR(O223="",G223=""),"",O223*IFERROR(INDEX(Listas!$B$2:$B$50,MATCH(G223,Listas!$A$2:$A$50,0)),0))</f>
        <v/>
      </c>
      <c r="AA223" s="32"/>
      <c r="AB223" s="32"/>
      <c r="AC223" s="32"/>
      <c r="AD223" s="35" t="str">
        <f aca="false">IF(OR(LEFT(H223,4)="Meta",LEFT(H223,6)="Google"),IF(AG223=3,"Lead calificado",IF(OR(AG223=4,AG223=5),"Tasación/visita",IF(OR(AG223=6,AG223=7),"Captación/oferta",IF(AG223=8,"Cierre","")))),"")</f>
        <v/>
      </c>
      <c r="AE223" s="32"/>
      <c r="AF223" s="32"/>
      <c r="AG223" s="37" t="n">
        <f aca="false">IF(R223="",0,IFERROR(MATCH(R223,Listas!$L$2:$L$50,0),0))</f>
        <v>0</v>
      </c>
    </row>
    <row r="224" customFormat="false" ht="15" hidden="false" customHeight="false" outlineLevel="0" collapsed="false">
      <c r="A224" s="30"/>
      <c r="B224" s="31"/>
      <c r="C224" s="32"/>
      <c r="D224" s="32"/>
      <c r="E224" s="33"/>
      <c r="F224" s="32"/>
      <c r="G224" s="32"/>
      <c r="H224" s="32"/>
      <c r="I224" s="32"/>
      <c r="J224" s="32"/>
      <c r="K224" s="32"/>
      <c r="L224" s="32"/>
      <c r="M224" s="30"/>
      <c r="N224" s="32"/>
      <c r="O224" s="34"/>
      <c r="P224" s="32"/>
      <c r="Q224" s="32"/>
      <c r="R224" s="32"/>
      <c r="S224" s="32"/>
      <c r="T224" s="32"/>
      <c r="U224" s="32"/>
      <c r="V224" s="31"/>
      <c r="W224" s="35" t="str">
        <f aca="true">IF(OR(V224="",AG224&gt;=8),"",IF(V224&lt;TODAY(),"Vencida",IF(V224=TODAY(),"Hoy","")))</f>
        <v/>
      </c>
      <c r="X224" s="36" t="str">
        <f aca="false">IF(A224="","",IF(COUNTIF(Seguimiento!$B$2:$B$5001,A224)=0,"",_xlfn.MAXIFS(Seguimiento!$A$2:$A$5001,Seguimiento!$B$2:$B$5001,A224)))</f>
        <v/>
      </c>
      <c r="Y224" s="37" t="str">
        <f aca="true">IF(B224="","",TODAY()-B224)</f>
        <v/>
      </c>
      <c r="Z224" s="38" t="str">
        <f aca="false">IF(OR(O224="",G224=""),"",O224*IFERROR(INDEX(Listas!$B$2:$B$50,MATCH(G224,Listas!$A$2:$A$50,0)),0))</f>
        <v/>
      </c>
      <c r="AA224" s="32"/>
      <c r="AB224" s="32"/>
      <c r="AC224" s="32"/>
      <c r="AD224" s="35" t="str">
        <f aca="false">IF(OR(LEFT(H224,4)="Meta",LEFT(H224,6)="Google"),IF(AG224=3,"Lead calificado",IF(OR(AG224=4,AG224=5),"Tasación/visita",IF(OR(AG224=6,AG224=7),"Captación/oferta",IF(AG224=8,"Cierre","")))),"")</f>
        <v/>
      </c>
      <c r="AE224" s="32"/>
      <c r="AF224" s="32"/>
      <c r="AG224" s="37" t="n">
        <f aca="false">IF(R224="",0,IFERROR(MATCH(R224,Listas!$L$2:$L$50,0),0))</f>
        <v>0</v>
      </c>
    </row>
    <row r="225" customFormat="false" ht="15" hidden="false" customHeight="false" outlineLevel="0" collapsed="false">
      <c r="A225" s="30"/>
      <c r="B225" s="31"/>
      <c r="C225" s="32"/>
      <c r="D225" s="32"/>
      <c r="E225" s="33"/>
      <c r="F225" s="32"/>
      <c r="G225" s="32"/>
      <c r="H225" s="32"/>
      <c r="I225" s="32"/>
      <c r="J225" s="32"/>
      <c r="K225" s="32"/>
      <c r="L225" s="32"/>
      <c r="M225" s="30"/>
      <c r="N225" s="32"/>
      <c r="O225" s="34"/>
      <c r="P225" s="32"/>
      <c r="Q225" s="32"/>
      <c r="R225" s="32"/>
      <c r="S225" s="32"/>
      <c r="T225" s="32"/>
      <c r="U225" s="32"/>
      <c r="V225" s="31"/>
      <c r="W225" s="35" t="str">
        <f aca="true">IF(OR(V225="",AG225&gt;=8),"",IF(V225&lt;TODAY(),"Vencida",IF(V225=TODAY(),"Hoy","")))</f>
        <v/>
      </c>
      <c r="X225" s="36" t="str">
        <f aca="false">IF(A225="","",IF(COUNTIF(Seguimiento!$B$2:$B$5001,A225)=0,"",_xlfn.MAXIFS(Seguimiento!$A$2:$A$5001,Seguimiento!$B$2:$B$5001,A225)))</f>
        <v/>
      </c>
      <c r="Y225" s="37" t="str">
        <f aca="true">IF(B225="","",TODAY()-B225)</f>
        <v/>
      </c>
      <c r="Z225" s="38" t="str">
        <f aca="false">IF(OR(O225="",G225=""),"",O225*IFERROR(INDEX(Listas!$B$2:$B$50,MATCH(G225,Listas!$A$2:$A$50,0)),0))</f>
        <v/>
      </c>
      <c r="AA225" s="32"/>
      <c r="AB225" s="32"/>
      <c r="AC225" s="32"/>
      <c r="AD225" s="35" t="str">
        <f aca="false">IF(OR(LEFT(H225,4)="Meta",LEFT(H225,6)="Google"),IF(AG225=3,"Lead calificado",IF(OR(AG225=4,AG225=5),"Tasación/visita",IF(OR(AG225=6,AG225=7),"Captación/oferta",IF(AG225=8,"Cierre","")))),"")</f>
        <v/>
      </c>
      <c r="AE225" s="32"/>
      <c r="AF225" s="32"/>
      <c r="AG225" s="37" t="n">
        <f aca="false">IF(R225="",0,IFERROR(MATCH(R225,Listas!$L$2:$L$50,0),0))</f>
        <v>0</v>
      </c>
    </row>
    <row r="226" customFormat="false" ht="15" hidden="false" customHeight="false" outlineLevel="0" collapsed="false">
      <c r="A226" s="30"/>
      <c r="B226" s="31"/>
      <c r="C226" s="32"/>
      <c r="D226" s="32"/>
      <c r="E226" s="33"/>
      <c r="F226" s="32"/>
      <c r="G226" s="32"/>
      <c r="H226" s="32"/>
      <c r="I226" s="32"/>
      <c r="J226" s="32"/>
      <c r="K226" s="32"/>
      <c r="L226" s="32"/>
      <c r="M226" s="30"/>
      <c r="N226" s="32"/>
      <c r="O226" s="34"/>
      <c r="P226" s="32"/>
      <c r="Q226" s="32"/>
      <c r="R226" s="32"/>
      <c r="S226" s="32"/>
      <c r="T226" s="32"/>
      <c r="U226" s="32"/>
      <c r="V226" s="31"/>
      <c r="W226" s="35" t="str">
        <f aca="true">IF(OR(V226="",AG226&gt;=8),"",IF(V226&lt;TODAY(),"Vencida",IF(V226=TODAY(),"Hoy","")))</f>
        <v/>
      </c>
      <c r="X226" s="36" t="str">
        <f aca="false">IF(A226="","",IF(COUNTIF(Seguimiento!$B$2:$B$5001,A226)=0,"",_xlfn.MAXIFS(Seguimiento!$A$2:$A$5001,Seguimiento!$B$2:$B$5001,A226)))</f>
        <v/>
      </c>
      <c r="Y226" s="37" t="str">
        <f aca="true">IF(B226="","",TODAY()-B226)</f>
        <v/>
      </c>
      <c r="Z226" s="38" t="str">
        <f aca="false">IF(OR(O226="",G226=""),"",O226*IFERROR(INDEX(Listas!$B$2:$B$50,MATCH(G226,Listas!$A$2:$A$50,0)),0))</f>
        <v/>
      </c>
      <c r="AA226" s="32"/>
      <c r="AB226" s="32"/>
      <c r="AC226" s="32"/>
      <c r="AD226" s="35" t="str">
        <f aca="false">IF(OR(LEFT(H226,4)="Meta",LEFT(H226,6)="Google"),IF(AG226=3,"Lead calificado",IF(OR(AG226=4,AG226=5),"Tasación/visita",IF(OR(AG226=6,AG226=7),"Captación/oferta",IF(AG226=8,"Cierre","")))),"")</f>
        <v/>
      </c>
      <c r="AE226" s="32"/>
      <c r="AF226" s="32"/>
      <c r="AG226" s="37" t="n">
        <f aca="false">IF(R226="",0,IFERROR(MATCH(R226,Listas!$L$2:$L$50,0),0))</f>
        <v>0</v>
      </c>
    </row>
    <row r="227" customFormat="false" ht="15" hidden="false" customHeight="false" outlineLevel="0" collapsed="false">
      <c r="A227" s="30"/>
      <c r="B227" s="31"/>
      <c r="C227" s="32"/>
      <c r="D227" s="32"/>
      <c r="E227" s="33"/>
      <c r="F227" s="32"/>
      <c r="G227" s="32"/>
      <c r="H227" s="32"/>
      <c r="I227" s="32"/>
      <c r="J227" s="32"/>
      <c r="K227" s="32"/>
      <c r="L227" s="32"/>
      <c r="M227" s="30"/>
      <c r="N227" s="32"/>
      <c r="O227" s="34"/>
      <c r="P227" s="32"/>
      <c r="Q227" s="32"/>
      <c r="R227" s="32"/>
      <c r="S227" s="32"/>
      <c r="T227" s="32"/>
      <c r="U227" s="32"/>
      <c r="V227" s="31"/>
      <c r="W227" s="35" t="str">
        <f aca="true">IF(OR(V227="",AG227&gt;=8),"",IF(V227&lt;TODAY(),"Vencida",IF(V227=TODAY(),"Hoy","")))</f>
        <v/>
      </c>
      <c r="X227" s="36" t="str">
        <f aca="false">IF(A227="","",IF(COUNTIF(Seguimiento!$B$2:$B$5001,A227)=0,"",_xlfn.MAXIFS(Seguimiento!$A$2:$A$5001,Seguimiento!$B$2:$B$5001,A227)))</f>
        <v/>
      </c>
      <c r="Y227" s="37" t="str">
        <f aca="true">IF(B227="","",TODAY()-B227)</f>
        <v/>
      </c>
      <c r="Z227" s="38" t="str">
        <f aca="false">IF(OR(O227="",G227=""),"",O227*IFERROR(INDEX(Listas!$B$2:$B$50,MATCH(G227,Listas!$A$2:$A$50,0)),0))</f>
        <v/>
      </c>
      <c r="AA227" s="32"/>
      <c r="AB227" s="32"/>
      <c r="AC227" s="32"/>
      <c r="AD227" s="35" t="str">
        <f aca="false">IF(OR(LEFT(H227,4)="Meta",LEFT(H227,6)="Google"),IF(AG227=3,"Lead calificado",IF(OR(AG227=4,AG227=5),"Tasación/visita",IF(OR(AG227=6,AG227=7),"Captación/oferta",IF(AG227=8,"Cierre","")))),"")</f>
        <v/>
      </c>
      <c r="AE227" s="32"/>
      <c r="AF227" s="32"/>
      <c r="AG227" s="37" t="n">
        <f aca="false">IF(R227="",0,IFERROR(MATCH(R227,Listas!$L$2:$L$50,0),0))</f>
        <v>0</v>
      </c>
    </row>
    <row r="228" customFormat="false" ht="15" hidden="false" customHeight="false" outlineLevel="0" collapsed="false">
      <c r="A228" s="30"/>
      <c r="B228" s="31"/>
      <c r="C228" s="32"/>
      <c r="D228" s="32"/>
      <c r="E228" s="33"/>
      <c r="F228" s="32"/>
      <c r="G228" s="32"/>
      <c r="H228" s="32"/>
      <c r="I228" s="32"/>
      <c r="J228" s="32"/>
      <c r="K228" s="32"/>
      <c r="L228" s="32"/>
      <c r="M228" s="30"/>
      <c r="N228" s="32"/>
      <c r="O228" s="34"/>
      <c r="P228" s="32"/>
      <c r="Q228" s="32"/>
      <c r="R228" s="32"/>
      <c r="S228" s="32"/>
      <c r="T228" s="32"/>
      <c r="U228" s="32"/>
      <c r="V228" s="31"/>
      <c r="W228" s="35" t="str">
        <f aca="true">IF(OR(V228="",AG228&gt;=8),"",IF(V228&lt;TODAY(),"Vencida",IF(V228=TODAY(),"Hoy","")))</f>
        <v/>
      </c>
      <c r="X228" s="36" t="str">
        <f aca="false">IF(A228="","",IF(COUNTIF(Seguimiento!$B$2:$B$5001,A228)=0,"",_xlfn.MAXIFS(Seguimiento!$A$2:$A$5001,Seguimiento!$B$2:$B$5001,A228)))</f>
        <v/>
      </c>
      <c r="Y228" s="37" t="str">
        <f aca="true">IF(B228="","",TODAY()-B228)</f>
        <v/>
      </c>
      <c r="Z228" s="38" t="str">
        <f aca="false">IF(OR(O228="",G228=""),"",O228*IFERROR(INDEX(Listas!$B$2:$B$50,MATCH(G228,Listas!$A$2:$A$50,0)),0))</f>
        <v/>
      </c>
      <c r="AA228" s="32"/>
      <c r="AB228" s="32"/>
      <c r="AC228" s="32"/>
      <c r="AD228" s="35" t="str">
        <f aca="false">IF(OR(LEFT(H228,4)="Meta",LEFT(H228,6)="Google"),IF(AG228=3,"Lead calificado",IF(OR(AG228=4,AG228=5),"Tasación/visita",IF(OR(AG228=6,AG228=7),"Captación/oferta",IF(AG228=8,"Cierre","")))),"")</f>
        <v/>
      </c>
      <c r="AE228" s="32"/>
      <c r="AF228" s="32"/>
      <c r="AG228" s="37" t="n">
        <f aca="false">IF(R228="",0,IFERROR(MATCH(R228,Listas!$L$2:$L$50,0),0))</f>
        <v>0</v>
      </c>
    </row>
    <row r="229" customFormat="false" ht="15" hidden="false" customHeight="false" outlineLevel="0" collapsed="false">
      <c r="A229" s="30"/>
      <c r="B229" s="31"/>
      <c r="C229" s="32"/>
      <c r="D229" s="32"/>
      <c r="E229" s="33"/>
      <c r="F229" s="32"/>
      <c r="G229" s="32"/>
      <c r="H229" s="32"/>
      <c r="I229" s="32"/>
      <c r="J229" s="32"/>
      <c r="K229" s="32"/>
      <c r="L229" s="32"/>
      <c r="M229" s="30"/>
      <c r="N229" s="32"/>
      <c r="O229" s="34"/>
      <c r="P229" s="32"/>
      <c r="Q229" s="32"/>
      <c r="R229" s="32"/>
      <c r="S229" s="32"/>
      <c r="T229" s="32"/>
      <c r="U229" s="32"/>
      <c r="V229" s="31"/>
      <c r="W229" s="35" t="str">
        <f aca="true">IF(OR(V229="",AG229&gt;=8),"",IF(V229&lt;TODAY(),"Vencida",IF(V229=TODAY(),"Hoy","")))</f>
        <v/>
      </c>
      <c r="X229" s="36" t="str">
        <f aca="false">IF(A229="","",IF(COUNTIF(Seguimiento!$B$2:$B$5001,A229)=0,"",_xlfn.MAXIFS(Seguimiento!$A$2:$A$5001,Seguimiento!$B$2:$B$5001,A229)))</f>
        <v/>
      </c>
      <c r="Y229" s="37" t="str">
        <f aca="true">IF(B229="","",TODAY()-B229)</f>
        <v/>
      </c>
      <c r="Z229" s="38" t="str">
        <f aca="false">IF(OR(O229="",G229=""),"",O229*IFERROR(INDEX(Listas!$B$2:$B$50,MATCH(G229,Listas!$A$2:$A$50,0)),0))</f>
        <v/>
      </c>
      <c r="AA229" s="32"/>
      <c r="AB229" s="32"/>
      <c r="AC229" s="32"/>
      <c r="AD229" s="35" t="str">
        <f aca="false">IF(OR(LEFT(H229,4)="Meta",LEFT(H229,6)="Google"),IF(AG229=3,"Lead calificado",IF(OR(AG229=4,AG229=5),"Tasación/visita",IF(OR(AG229=6,AG229=7),"Captación/oferta",IF(AG229=8,"Cierre","")))),"")</f>
        <v/>
      </c>
      <c r="AE229" s="32"/>
      <c r="AF229" s="32"/>
      <c r="AG229" s="37" t="n">
        <f aca="false">IF(R229="",0,IFERROR(MATCH(R229,Listas!$L$2:$L$50,0),0))</f>
        <v>0</v>
      </c>
    </row>
    <row r="230" customFormat="false" ht="15" hidden="false" customHeight="false" outlineLevel="0" collapsed="false">
      <c r="A230" s="30"/>
      <c r="B230" s="31"/>
      <c r="C230" s="32"/>
      <c r="D230" s="32"/>
      <c r="E230" s="33"/>
      <c r="F230" s="32"/>
      <c r="G230" s="32"/>
      <c r="H230" s="32"/>
      <c r="I230" s="32"/>
      <c r="J230" s="32"/>
      <c r="K230" s="32"/>
      <c r="L230" s="32"/>
      <c r="M230" s="30"/>
      <c r="N230" s="32"/>
      <c r="O230" s="34"/>
      <c r="P230" s="32"/>
      <c r="Q230" s="32"/>
      <c r="R230" s="32"/>
      <c r="S230" s="32"/>
      <c r="T230" s="32"/>
      <c r="U230" s="32"/>
      <c r="V230" s="31"/>
      <c r="W230" s="35" t="str">
        <f aca="true">IF(OR(V230="",AG230&gt;=8),"",IF(V230&lt;TODAY(),"Vencida",IF(V230=TODAY(),"Hoy","")))</f>
        <v/>
      </c>
      <c r="X230" s="36" t="str">
        <f aca="false">IF(A230="","",IF(COUNTIF(Seguimiento!$B$2:$B$5001,A230)=0,"",_xlfn.MAXIFS(Seguimiento!$A$2:$A$5001,Seguimiento!$B$2:$B$5001,A230)))</f>
        <v/>
      </c>
      <c r="Y230" s="37" t="str">
        <f aca="true">IF(B230="","",TODAY()-B230)</f>
        <v/>
      </c>
      <c r="Z230" s="38" t="str">
        <f aca="false">IF(OR(O230="",G230=""),"",O230*IFERROR(INDEX(Listas!$B$2:$B$50,MATCH(G230,Listas!$A$2:$A$50,0)),0))</f>
        <v/>
      </c>
      <c r="AA230" s="32"/>
      <c r="AB230" s="32"/>
      <c r="AC230" s="32"/>
      <c r="AD230" s="35" t="str">
        <f aca="false">IF(OR(LEFT(H230,4)="Meta",LEFT(H230,6)="Google"),IF(AG230=3,"Lead calificado",IF(OR(AG230=4,AG230=5),"Tasación/visita",IF(OR(AG230=6,AG230=7),"Captación/oferta",IF(AG230=8,"Cierre","")))),"")</f>
        <v/>
      </c>
      <c r="AE230" s="32"/>
      <c r="AF230" s="32"/>
      <c r="AG230" s="37" t="n">
        <f aca="false">IF(R230="",0,IFERROR(MATCH(R230,Listas!$L$2:$L$50,0),0))</f>
        <v>0</v>
      </c>
    </row>
    <row r="231" customFormat="false" ht="15" hidden="false" customHeight="false" outlineLevel="0" collapsed="false">
      <c r="A231" s="30"/>
      <c r="B231" s="31"/>
      <c r="C231" s="32"/>
      <c r="D231" s="32"/>
      <c r="E231" s="33"/>
      <c r="F231" s="32"/>
      <c r="G231" s="32"/>
      <c r="H231" s="32"/>
      <c r="I231" s="32"/>
      <c r="J231" s="32"/>
      <c r="K231" s="32"/>
      <c r="L231" s="32"/>
      <c r="M231" s="30"/>
      <c r="N231" s="32"/>
      <c r="O231" s="34"/>
      <c r="P231" s="32"/>
      <c r="Q231" s="32"/>
      <c r="R231" s="32"/>
      <c r="S231" s="32"/>
      <c r="T231" s="32"/>
      <c r="U231" s="32"/>
      <c r="V231" s="31"/>
      <c r="W231" s="35" t="str">
        <f aca="true">IF(OR(V231="",AG231&gt;=8),"",IF(V231&lt;TODAY(),"Vencida",IF(V231=TODAY(),"Hoy","")))</f>
        <v/>
      </c>
      <c r="X231" s="36" t="str">
        <f aca="false">IF(A231="","",IF(COUNTIF(Seguimiento!$B$2:$B$5001,A231)=0,"",_xlfn.MAXIFS(Seguimiento!$A$2:$A$5001,Seguimiento!$B$2:$B$5001,A231)))</f>
        <v/>
      </c>
      <c r="Y231" s="37" t="str">
        <f aca="true">IF(B231="","",TODAY()-B231)</f>
        <v/>
      </c>
      <c r="Z231" s="38" t="str">
        <f aca="false">IF(OR(O231="",G231=""),"",O231*IFERROR(INDEX(Listas!$B$2:$B$50,MATCH(G231,Listas!$A$2:$A$50,0)),0))</f>
        <v/>
      </c>
      <c r="AA231" s="32"/>
      <c r="AB231" s="32"/>
      <c r="AC231" s="32"/>
      <c r="AD231" s="35" t="str">
        <f aca="false">IF(OR(LEFT(H231,4)="Meta",LEFT(H231,6)="Google"),IF(AG231=3,"Lead calificado",IF(OR(AG231=4,AG231=5),"Tasación/visita",IF(OR(AG231=6,AG231=7),"Captación/oferta",IF(AG231=8,"Cierre","")))),"")</f>
        <v/>
      </c>
      <c r="AE231" s="32"/>
      <c r="AF231" s="32"/>
      <c r="AG231" s="37" t="n">
        <f aca="false">IF(R231="",0,IFERROR(MATCH(R231,Listas!$L$2:$L$50,0),0))</f>
        <v>0</v>
      </c>
    </row>
    <row r="232" customFormat="false" ht="15" hidden="false" customHeight="false" outlineLevel="0" collapsed="false">
      <c r="A232" s="30"/>
      <c r="B232" s="31"/>
      <c r="C232" s="32"/>
      <c r="D232" s="32"/>
      <c r="E232" s="33"/>
      <c r="F232" s="32"/>
      <c r="G232" s="32"/>
      <c r="H232" s="32"/>
      <c r="I232" s="32"/>
      <c r="J232" s="32"/>
      <c r="K232" s="32"/>
      <c r="L232" s="32"/>
      <c r="M232" s="30"/>
      <c r="N232" s="32"/>
      <c r="O232" s="34"/>
      <c r="P232" s="32"/>
      <c r="Q232" s="32"/>
      <c r="R232" s="32"/>
      <c r="S232" s="32"/>
      <c r="T232" s="32"/>
      <c r="U232" s="32"/>
      <c r="V232" s="31"/>
      <c r="W232" s="35" t="str">
        <f aca="true">IF(OR(V232="",AG232&gt;=8),"",IF(V232&lt;TODAY(),"Vencida",IF(V232=TODAY(),"Hoy","")))</f>
        <v/>
      </c>
      <c r="X232" s="36" t="str">
        <f aca="false">IF(A232="","",IF(COUNTIF(Seguimiento!$B$2:$B$5001,A232)=0,"",_xlfn.MAXIFS(Seguimiento!$A$2:$A$5001,Seguimiento!$B$2:$B$5001,A232)))</f>
        <v/>
      </c>
      <c r="Y232" s="37" t="str">
        <f aca="true">IF(B232="","",TODAY()-B232)</f>
        <v/>
      </c>
      <c r="Z232" s="38" t="str">
        <f aca="false">IF(OR(O232="",G232=""),"",O232*IFERROR(INDEX(Listas!$B$2:$B$50,MATCH(G232,Listas!$A$2:$A$50,0)),0))</f>
        <v/>
      </c>
      <c r="AA232" s="32"/>
      <c r="AB232" s="32"/>
      <c r="AC232" s="32"/>
      <c r="AD232" s="35" t="str">
        <f aca="false">IF(OR(LEFT(H232,4)="Meta",LEFT(H232,6)="Google"),IF(AG232=3,"Lead calificado",IF(OR(AG232=4,AG232=5),"Tasación/visita",IF(OR(AG232=6,AG232=7),"Captación/oferta",IF(AG232=8,"Cierre","")))),"")</f>
        <v/>
      </c>
      <c r="AE232" s="32"/>
      <c r="AF232" s="32"/>
      <c r="AG232" s="37" t="n">
        <f aca="false">IF(R232="",0,IFERROR(MATCH(R232,Listas!$L$2:$L$50,0),0))</f>
        <v>0</v>
      </c>
    </row>
    <row r="233" customFormat="false" ht="15" hidden="false" customHeight="false" outlineLevel="0" collapsed="false">
      <c r="A233" s="30"/>
      <c r="B233" s="31"/>
      <c r="C233" s="32"/>
      <c r="D233" s="32"/>
      <c r="E233" s="33"/>
      <c r="F233" s="32"/>
      <c r="G233" s="32"/>
      <c r="H233" s="32"/>
      <c r="I233" s="32"/>
      <c r="J233" s="32"/>
      <c r="K233" s="32"/>
      <c r="L233" s="32"/>
      <c r="M233" s="30"/>
      <c r="N233" s="32"/>
      <c r="O233" s="34"/>
      <c r="P233" s="32"/>
      <c r="Q233" s="32"/>
      <c r="R233" s="32"/>
      <c r="S233" s="32"/>
      <c r="T233" s="32"/>
      <c r="U233" s="32"/>
      <c r="V233" s="31"/>
      <c r="W233" s="35" t="str">
        <f aca="true">IF(OR(V233="",AG233&gt;=8),"",IF(V233&lt;TODAY(),"Vencida",IF(V233=TODAY(),"Hoy","")))</f>
        <v/>
      </c>
      <c r="X233" s="36" t="str">
        <f aca="false">IF(A233="","",IF(COUNTIF(Seguimiento!$B$2:$B$5001,A233)=0,"",_xlfn.MAXIFS(Seguimiento!$A$2:$A$5001,Seguimiento!$B$2:$B$5001,A233)))</f>
        <v/>
      </c>
      <c r="Y233" s="37" t="str">
        <f aca="true">IF(B233="","",TODAY()-B233)</f>
        <v/>
      </c>
      <c r="Z233" s="38" t="str">
        <f aca="false">IF(OR(O233="",G233=""),"",O233*IFERROR(INDEX(Listas!$B$2:$B$50,MATCH(G233,Listas!$A$2:$A$50,0)),0))</f>
        <v/>
      </c>
      <c r="AA233" s="32"/>
      <c r="AB233" s="32"/>
      <c r="AC233" s="32"/>
      <c r="AD233" s="35" t="str">
        <f aca="false">IF(OR(LEFT(H233,4)="Meta",LEFT(H233,6)="Google"),IF(AG233=3,"Lead calificado",IF(OR(AG233=4,AG233=5),"Tasación/visita",IF(OR(AG233=6,AG233=7),"Captación/oferta",IF(AG233=8,"Cierre","")))),"")</f>
        <v/>
      </c>
      <c r="AE233" s="32"/>
      <c r="AF233" s="32"/>
      <c r="AG233" s="37" t="n">
        <f aca="false">IF(R233="",0,IFERROR(MATCH(R233,Listas!$L$2:$L$50,0),0))</f>
        <v>0</v>
      </c>
    </row>
    <row r="234" customFormat="false" ht="15" hidden="false" customHeight="false" outlineLevel="0" collapsed="false">
      <c r="A234" s="30"/>
      <c r="B234" s="31"/>
      <c r="C234" s="32"/>
      <c r="D234" s="32"/>
      <c r="E234" s="33"/>
      <c r="F234" s="32"/>
      <c r="G234" s="32"/>
      <c r="H234" s="32"/>
      <c r="I234" s="32"/>
      <c r="J234" s="32"/>
      <c r="K234" s="32"/>
      <c r="L234" s="32"/>
      <c r="M234" s="30"/>
      <c r="N234" s="32"/>
      <c r="O234" s="34"/>
      <c r="P234" s="32"/>
      <c r="Q234" s="32"/>
      <c r="R234" s="32"/>
      <c r="S234" s="32"/>
      <c r="T234" s="32"/>
      <c r="U234" s="32"/>
      <c r="V234" s="31"/>
      <c r="W234" s="35" t="str">
        <f aca="true">IF(OR(V234="",AG234&gt;=8),"",IF(V234&lt;TODAY(),"Vencida",IF(V234=TODAY(),"Hoy","")))</f>
        <v/>
      </c>
      <c r="X234" s="36" t="str">
        <f aca="false">IF(A234="","",IF(COUNTIF(Seguimiento!$B$2:$B$5001,A234)=0,"",_xlfn.MAXIFS(Seguimiento!$A$2:$A$5001,Seguimiento!$B$2:$B$5001,A234)))</f>
        <v/>
      </c>
      <c r="Y234" s="37" t="str">
        <f aca="true">IF(B234="","",TODAY()-B234)</f>
        <v/>
      </c>
      <c r="Z234" s="38" t="str">
        <f aca="false">IF(OR(O234="",G234=""),"",O234*IFERROR(INDEX(Listas!$B$2:$B$50,MATCH(G234,Listas!$A$2:$A$50,0)),0))</f>
        <v/>
      </c>
      <c r="AA234" s="32"/>
      <c r="AB234" s="32"/>
      <c r="AC234" s="32"/>
      <c r="AD234" s="35" t="str">
        <f aca="false">IF(OR(LEFT(H234,4)="Meta",LEFT(H234,6)="Google"),IF(AG234=3,"Lead calificado",IF(OR(AG234=4,AG234=5),"Tasación/visita",IF(OR(AG234=6,AG234=7),"Captación/oferta",IF(AG234=8,"Cierre","")))),"")</f>
        <v/>
      </c>
      <c r="AE234" s="32"/>
      <c r="AF234" s="32"/>
      <c r="AG234" s="37" t="n">
        <f aca="false">IF(R234="",0,IFERROR(MATCH(R234,Listas!$L$2:$L$50,0),0))</f>
        <v>0</v>
      </c>
    </row>
    <row r="235" customFormat="false" ht="15" hidden="false" customHeight="false" outlineLevel="0" collapsed="false">
      <c r="A235" s="30"/>
      <c r="B235" s="31"/>
      <c r="C235" s="32"/>
      <c r="D235" s="32"/>
      <c r="E235" s="33"/>
      <c r="F235" s="32"/>
      <c r="G235" s="32"/>
      <c r="H235" s="32"/>
      <c r="I235" s="32"/>
      <c r="J235" s="32"/>
      <c r="K235" s="32"/>
      <c r="L235" s="32"/>
      <c r="M235" s="30"/>
      <c r="N235" s="32"/>
      <c r="O235" s="34"/>
      <c r="P235" s="32"/>
      <c r="Q235" s="32"/>
      <c r="R235" s="32"/>
      <c r="S235" s="32"/>
      <c r="T235" s="32"/>
      <c r="U235" s="32"/>
      <c r="V235" s="31"/>
      <c r="W235" s="35" t="str">
        <f aca="true">IF(OR(V235="",AG235&gt;=8),"",IF(V235&lt;TODAY(),"Vencida",IF(V235=TODAY(),"Hoy","")))</f>
        <v/>
      </c>
      <c r="X235" s="36" t="str">
        <f aca="false">IF(A235="","",IF(COUNTIF(Seguimiento!$B$2:$B$5001,A235)=0,"",_xlfn.MAXIFS(Seguimiento!$A$2:$A$5001,Seguimiento!$B$2:$B$5001,A235)))</f>
        <v/>
      </c>
      <c r="Y235" s="37" t="str">
        <f aca="true">IF(B235="","",TODAY()-B235)</f>
        <v/>
      </c>
      <c r="Z235" s="38" t="str">
        <f aca="false">IF(OR(O235="",G235=""),"",O235*IFERROR(INDEX(Listas!$B$2:$B$50,MATCH(G235,Listas!$A$2:$A$50,0)),0))</f>
        <v/>
      </c>
      <c r="AA235" s="32"/>
      <c r="AB235" s="32"/>
      <c r="AC235" s="32"/>
      <c r="AD235" s="35" t="str">
        <f aca="false">IF(OR(LEFT(H235,4)="Meta",LEFT(H235,6)="Google"),IF(AG235=3,"Lead calificado",IF(OR(AG235=4,AG235=5),"Tasación/visita",IF(OR(AG235=6,AG235=7),"Captación/oferta",IF(AG235=8,"Cierre","")))),"")</f>
        <v/>
      </c>
      <c r="AE235" s="32"/>
      <c r="AF235" s="32"/>
      <c r="AG235" s="37" t="n">
        <f aca="false">IF(R235="",0,IFERROR(MATCH(R235,Listas!$L$2:$L$50,0),0))</f>
        <v>0</v>
      </c>
    </row>
    <row r="236" customFormat="false" ht="15" hidden="false" customHeight="false" outlineLevel="0" collapsed="false">
      <c r="A236" s="30"/>
      <c r="B236" s="31"/>
      <c r="C236" s="32"/>
      <c r="D236" s="32"/>
      <c r="E236" s="33"/>
      <c r="F236" s="32"/>
      <c r="G236" s="32"/>
      <c r="H236" s="32"/>
      <c r="I236" s="32"/>
      <c r="J236" s="32"/>
      <c r="K236" s="32"/>
      <c r="L236" s="32"/>
      <c r="M236" s="30"/>
      <c r="N236" s="32"/>
      <c r="O236" s="34"/>
      <c r="P236" s="32"/>
      <c r="Q236" s="32"/>
      <c r="R236" s="32"/>
      <c r="S236" s="32"/>
      <c r="T236" s="32"/>
      <c r="U236" s="32"/>
      <c r="V236" s="31"/>
      <c r="W236" s="35" t="str">
        <f aca="true">IF(OR(V236="",AG236&gt;=8),"",IF(V236&lt;TODAY(),"Vencida",IF(V236=TODAY(),"Hoy","")))</f>
        <v/>
      </c>
      <c r="X236" s="36" t="str">
        <f aca="false">IF(A236="","",IF(COUNTIF(Seguimiento!$B$2:$B$5001,A236)=0,"",_xlfn.MAXIFS(Seguimiento!$A$2:$A$5001,Seguimiento!$B$2:$B$5001,A236)))</f>
        <v/>
      </c>
      <c r="Y236" s="37" t="str">
        <f aca="true">IF(B236="","",TODAY()-B236)</f>
        <v/>
      </c>
      <c r="Z236" s="38" t="str">
        <f aca="false">IF(OR(O236="",G236=""),"",O236*IFERROR(INDEX(Listas!$B$2:$B$50,MATCH(G236,Listas!$A$2:$A$50,0)),0))</f>
        <v/>
      </c>
      <c r="AA236" s="32"/>
      <c r="AB236" s="32"/>
      <c r="AC236" s="32"/>
      <c r="AD236" s="35" t="str">
        <f aca="false">IF(OR(LEFT(H236,4)="Meta",LEFT(H236,6)="Google"),IF(AG236=3,"Lead calificado",IF(OR(AG236=4,AG236=5),"Tasación/visita",IF(OR(AG236=6,AG236=7),"Captación/oferta",IF(AG236=8,"Cierre","")))),"")</f>
        <v/>
      </c>
      <c r="AE236" s="32"/>
      <c r="AF236" s="32"/>
      <c r="AG236" s="37" t="n">
        <f aca="false">IF(R236="",0,IFERROR(MATCH(R236,Listas!$L$2:$L$50,0),0))</f>
        <v>0</v>
      </c>
    </row>
    <row r="237" customFormat="false" ht="15" hidden="false" customHeight="false" outlineLevel="0" collapsed="false">
      <c r="A237" s="30"/>
      <c r="B237" s="31"/>
      <c r="C237" s="32"/>
      <c r="D237" s="32"/>
      <c r="E237" s="33"/>
      <c r="F237" s="32"/>
      <c r="G237" s="32"/>
      <c r="H237" s="32"/>
      <c r="I237" s="32"/>
      <c r="J237" s="32"/>
      <c r="K237" s="32"/>
      <c r="L237" s="32"/>
      <c r="M237" s="30"/>
      <c r="N237" s="32"/>
      <c r="O237" s="34"/>
      <c r="P237" s="32"/>
      <c r="Q237" s="32"/>
      <c r="R237" s="32"/>
      <c r="S237" s="32"/>
      <c r="T237" s="32"/>
      <c r="U237" s="32"/>
      <c r="V237" s="31"/>
      <c r="W237" s="35" t="str">
        <f aca="true">IF(OR(V237="",AG237&gt;=8),"",IF(V237&lt;TODAY(),"Vencida",IF(V237=TODAY(),"Hoy","")))</f>
        <v/>
      </c>
      <c r="X237" s="36" t="str">
        <f aca="false">IF(A237="","",IF(COUNTIF(Seguimiento!$B$2:$B$5001,A237)=0,"",_xlfn.MAXIFS(Seguimiento!$A$2:$A$5001,Seguimiento!$B$2:$B$5001,A237)))</f>
        <v/>
      </c>
      <c r="Y237" s="37" t="str">
        <f aca="true">IF(B237="","",TODAY()-B237)</f>
        <v/>
      </c>
      <c r="Z237" s="38" t="str">
        <f aca="false">IF(OR(O237="",G237=""),"",O237*IFERROR(INDEX(Listas!$B$2:$B$50,MATCH(G237,Listas!$A$2:$A$50,0)),0))</f>
        <v/>
      </c>
      <c r="AA237" s="32"/>
      <c r="AB237" s="32"/>
      <c r="AC237" s="32"/>
      <c r="AD237" s="35" t="str">
        <f aca="false">IF(OR(LEFT(H237,4)="Meta",LEFT(H237,6)="Google"),IF(AG237=3,"Lead calificado",IF(OR(AG237=4,AG237=5),"Tasación/visita",IF(OR(AG237=6,AG237=7),"Captación/oferta",IF(AG237=8,"Cierre","")))),"")</f>
        <v/>
      </c>
      <c r="AE237" s="32"/>
      <c r="AF237" s="32"/>
      <c r="AG237" s="37" t="n">
        <f aca="false">IF(R237="",0,IFERROR(MATCH(R237,Listas!$L$2:$L$50,0),0))</f>
        <v>0</v>
      </c>
    </row>
    <row r="238" customFormat="false" ht="15" hidden="false" customHeight="false" outlineLevel="0" collapsed="false">
      <c r="A238" s="30"/>
      <c r="B238" s="31"/>
      <c r="C238" s="32"/>
      <c r="D238" s="32"/>
      <c r="E238" s="33"/>
      <c r="F238" s="32"/>
      <c r="G238" s="32"/>
      <c r="H238" s="32"/>
      <c r="I238" s="32"/>
      <c r="J238" s="32"/>
      <c r="K238" s="32"/>
      <c r="L238" s="32"/>
      <c r="M238" s="30"/>
      <c r="N238" s="32"/>
      <c r="O238" s="34"/>
      <c r="P238" s="32"/>
      <c r="Q238" s="32"/>
      <c r="R238" s="32"/>
      <c r="S238" s="32"/>
      <c r="T238" s="32"/>
      <c r="U238" s="32"/>
      <c r="V238" s="31"/>
      <c r="W238" s="35" t="str">
        <f aca="true">IF(OR(V238="",AG238&gt;=8),"",IF(V238&lt;TODAY(),"Vencida",IF(V238=TODAY(),"Hoy","")))</f>
        <v/>
      </c>
      <c r="X238" s="36" t="str">
        <f aca="false">IF(A238="","",IF(COUNTIF(Seguimiento!$B$2:$B$5001,A238)=0,"",_xlfn.MAXIFS(Seguimiento!$A$2:$A$5001,Seguimiento!$B$2:$B$5001,A238)))</f>
        <v/>
      </c>
      <c r="Y238" s="37" t="str">
        <f aca="true">IF(B238="","",TODAY()-B238)</f>
        <v/>
      </c>
      <c r="Z238" s="38" t="str">
        <f aca="false">IF(OR(O238="",G238=""),"",O238*IFERROR(INDEX(Listas!$B$2:$B$50,MATCH(G238,Listas!$A$2:$A$50,0)),0))</f>
        <v/>
      </c>
      <c r="AA238" s="32"/>
      <c r="AB238" s="32"/>
      <c r="AC238" s="32"/>
      <c r="AD238" s="35" t="str">
        <f aca="false">IF(OR(LEFT(H238,4)="Meta",LEFT(H238,6)="Google"),IF(AG238=3,"Lead calificado",IF(OR(AG238=4,AG238=5),"Tasación/visita",IF(OR(AG238=6,AG238=7),"Captación/oferta",IF(AG238=8,"Cierre","")))),"")</f>
        <v/>
      </c>
      <c r="AE238" s="32"/>
      <c r="AF238" s="32"/>
      <c r="AG238" s="37" t="n">
        <f aca="false">IF(R238="",0,IFERROR(MATCH(R238,Listas!$L$2:$L$50,0),0))</f>
        <v>0</v>
      </c>
    </row>
    <row r="239" customFormat="false" ht="15" hidden="false" customHeight="false" outlineLevel="0" collapsed="false">
      <c r="A239" s="30"/>
      <c r="B239" s="31"/>
      <c r="C239" s="32"/>
      <c r="D239" s="32"/>
      <c r="E239" s="33"/>
      <c r="F239" s="32"/>
      <c r="G239" s="32"/>
      <c r="H239" s="32"/>
      <c r="I239" s="32"/>
      <c r="J239" s="32"/>
      <c r="K239" s="32"/>
      <c r="L239" s="32"/>
      <c r="M239" s="30"/>
      <c r="N239" s="32"/>
      <c r="O239" s="34"/>
      <c r="P239" s="32"/>
      <c r="Q239" s="32"/>
      <c r="R239" s="32"/>
      <c r="S239" s="32"/>
      <c r="T239" s="32"/>
      <c r="U239" s="32"/>
      <c r="V239" s="31"/>
      <c r="W239" s="35" t="str">
        <f aca="true">IF(OR(V239="",AG239&gt;=8),"",IF(V239&lt;TODAY(),"Vencida",IF(V239=TODAY(),"Hoy","")))</f>
        <v/>
      </c>
      <c r="X239" s="36" t="str">
        <f aca="false">IF(A239="","",IF(COUNTIF(Seguimiento!$B$2:$B$5001,A239)=0,"",_xlfn.MAXIFS(Seguimiento!$A$2:$A$5001,Seguimiento!$B$2:$B$5001,A239)))</f>
        <v/>
      </c>
      <c r="Y239" s="37" t="str">
        <f aca="true">IF(B239="","",TODAY()-B239)</f>
        <v/>
      </c>
      <c r="Z239" s="38" t="str">
        <f aca="false">IF(OR(O239="",G239=""),"",O239*IFERROR(INDEX(Listas!$B$2:$B$50,MATCH(G239,Listas!$A$2:$A$50,0)),0))</f>
        <v/>
      </c>
      <c r="AA239" s="32"/>
      <c r="AB239" s="32"/>
      <c r="AC239" s="32"/>
      <c r="AD239" s="35" t="str">
        <f aca="false">IF(OR(LEFT(H239,4)="Meta",LEFT(H239,6)="Google"),IF(AG239=3,"Lead calificado",IF(OR(AG239=4,AG239=5),"Tasación/visita",IF(OR(AG239=6,AG239=7),"Captación/oferta",IF(AG239=8,"Cierre","")))),"")</f>
        <v/>
      </c>
      <c r="AE239" s="32"/>
      <c r="AF239" s="32"/>
      <c r="AG239" s="37" t="n">
        <f aca="false">IF(R239="",0,IFERROR(MATCH(R239,Listas!$L$2:$L$50,0),0))</f>
        <v>0</v>
      </c>
    </row>
    <row r="240" customFormat="false" ht="15" hidden="false" customHeight="false" outlineLevel="0" collapsed="false">
      <c r="A240" s="30"/>
      <c r="B240" s="31"/>
      <c r="C240" s="32"/>
      <c r="D240" s="32"/>
      <c r="E240" s="33"/>
      <c r="F240" s="32"/>
      <c r="G240" s="32"/>
      <c r="H240" s="32"/>
      <c r="I240" s="32"/>
      <c r="J240" s="32"/>
      <c r="K240" s="32"/>
      <c r="L240" s="32"/>
      <c r="M240" s="30"/>
      <c r="N240" s="32"/>
      <c r="O240" s="34"/>
      <c r="P240" s="32"/>
      <c r="Q240" s="32"/>
      <c r="R240" s="32"/>
      <c r="S240" s="32"/>
      <c r="T240" s="32"/>
      <c r="U240" s="32"/>
      <c r="V240" s="31"/>
      <c r="W240" s="35" t="str">
        <f aca="true">IF(OR(V240="",AG240&gt;=8),"",IF(V240&lt;TODAY(),"Vencida",IF(V240=TODAY(),"Hoy","")))</f>
        <v/>
      </c>
      <c r="X240" s="36" t="str">
        <f aca="false">IF(A240="","",IF(COUNTIF(Seguimiento!$B$2:$B$5001,A240)=0,"",_xlfn.MAXIFS(Seguimiento!$A$2:$A$5001,Seguimiento!$B$2:$B$5001,A240)))</f>
        <v/>
      </c>
      <c r="Y240" s="37" t="str">
        <f aca="true">IF(B240="","",TODAY()-B240)</f>
        <v/>
      </c>
      <c r="Z240" s="38" t="str">
        <f aca="false">IF(OR(O240="",G240=""),"",O240*IFERROR(INDEX(Listas!$B$2:$B$50,MATCH(G240,Listas!$A$2:$A$50,0)),0))</f>
        <v/>
      </c>
      <c r="AA240" s="32"/>
      <c r="AB240" s="32"/>
      <c r="AC240" s="32"/>
      <c r="AD240" s="35" t="str">
        <f aca="false">IF(OR(LEFT(H240,4)="Meta",LEFT(H240,6)="Google"),IF(AG240=3,"Lead calificado",IF(OR(AG240=4,AG240=5),"Tasación/visita",IF(OR(AG240=6,AG240=7),"Captación/oferta",IF(AG240=8,"Cierre","")))),"")</f>
        <v/>
      </c>
      <c r="AE240" s="32"/>
      <c r="AF240" s="32"/>
      <c r="AG240" s="37" t="n">
        <f aca="false">IF(R240="",0,IFERROR(MATCH(R240,Listas!$L$2:$L$50,0),0))</f>
        <v>0</v>
      </c>
    </row>
    <row r="241" customFormat="false" ht="15" hidden="false" customHeight="false" outlineLevel="0" collapsed="false">
      <c r="A241" s="30"/>
      <c r="B241" s="31"/>
      <c r="C241" s="32"/>
      <c r="D241" s="32"/>
      <c r="E241" s="33"/>
      <c r="F241" s="32"/>
      <c r="G241" s="32"/>
      <c r="H241" s="32"/>
      <c r="I241" s="32"/>
      <c r="J241" s="32"/>
      <c r="K241" s="32"/>
      <c r="L241" s="32"/>
      <c r="M241" s="30"/>
      <c r="N241" s="32"/>
      <c r="O241" s="34"/>
      <c r="P241" s="32"/>
      <c r="Q241" s="32"/>
      <c r="R241" s="32"/>
      <c r="S241" s="32"/>
      <c r="T241" s="32"/>
      <c r="U241" s="32"/>
      <c r="V241" s="31"/>
      <c r="W241" s="35" t="str">
        <f aca="true">IF(OR(V241="",AG241&gt;=8),"",IF(V241&lt;TODAY(),"Vencida",IF(V241=TODAY(),"Hoy","")))</f>
        <v/>
      </c>
      <c r="X241" s="36" t="str">
        <f aca="false">IF(A241="","",IF(COUNTIF(Seguimiento!$B$2:$B$5001,A241)=0,"",_xlfn.MAXIFS(Seguimiento!$A$2:$A$5001,Seguimiento!$B$2:$B$5001,A241)))</f>
        <v/>
      </c>
      <c r="Y241" s="37" t="str">
        <f aca="true">IF(B241="","",TODAY()-B241)</f>
        <v/>
      </c>
      <c r="Z241" s="38" t="str">
        <f aca="false">IF(OR(O241="",G241=""),"",O241*IFERROR(INDEX(Listas!$B$2:$B$50,MATCH(G241,Listas!$A$2:$A$50,0)),0))</f>
        <v/>
      </c>
      <c r="AA241" s="32"/>
      <c r="AB241" s="32"/>
      <c r="AC241" s="32"/>
      <c r="AD241" s="35" t="str">
        <f aca="false">IF(OR(LEFT(H241,4)="Meta",LEFT(H241,6)="Google"),IF(AG241=3,"Lead calificado",IF(OR(AG241=4,AG241=5),"Tasación/visita",IF(OR(AG241=6,AG241=7),"Captación/oferta",IF(AG241=8,"Cierre","")))),"")</f>
        <v/>
      </c>
      <c r="AE241" s="32"/>
      <c r="AF241" s="32"/>
      <c r="AG241" s="37" t="n">
        <f aca="false">IF(R241="",0,IFERROR(MATCH(R241,Listas!$L$2:$L$50,0),0))</f>
        <v>0</v>
      </c>
    </row>
    <row r="242" customFormat="false" ht="15" hidden="false" customHeight="false" outlineLevel="0" collapsed="false">
      <c r="A242" s="30"/>
      <c r="B242" s="31"/>
      <c r="C242" s="32"/>
      <c r="D242" s="32"/>
      <c r="E242" s="33"/>
      <c r="F242" s="32"/>
      <c r="G242" s="32"/>
      <c r="H242" s="32"/>
      <c r="I242" s="32"/>
      <c r="J242" s="32"/>
      <c r="K242" s="32"/>
      <c r="L242" s="32"/>
      <c r="M242" s="30"/>
      <c r="N242" s="32"/>
      <c r="O242" s="34"/>
      <c r="P242" s="32"/>
      <c r="Q242" s="32"/>
      <c r="R242" s="32"/>
      <c r="S242" s="32"/>
      <c r="T242" s="32"/>
      <c r="U242" s="32"/>
      <c r="V242" s="31"/>
      <c r="W242" s="35" t="str">
        <f aca="true">IF(OR(V242="",AG242&gt;=8),"",IF(V242&lt;TODAY(),"Vencida",IF(V242=TODAY(),"Hoy","")))</f>
        <v/>
      </c>
      <c r="X242" s="36" t="str">
        <f aca="false">IF(A242="","",IF(COUNTIF(Seguimiento!$B$2:$B$5001,A242)=0,"",_xlfn.MAXIFS(Seguimiento!$A$2:$A$5001,Seguimiento!$B$2:$B$5001,A242)))</f>
        <v/>
      </c>
      <c r="Y242" s="37" t="str">
        <f aca="true">IF(B242="","",TODAY()-B242)</f>
        <v/>
      </c>
      <c r="Z242" s="38" t="str">
        <f aca="false">IF(OR(O242="",G242=""),"",O242*IFERROR(INDEX(Listas!$B$2:$B$50,MATCH(G242,Listas!$A$2:$A$50,0)),0))</f>
        <v/>
      </c>
      <c r="AA242" s="32"/>
      <c r="AB242" s="32"/>
      <c r="AC242" s="32"/>
      <c r="AD242" s="35" t="str">
        <f aca="false">IF(OR(LEFT(H242,4)="Meta",LEFT(H242,6)="Google"),IF(AG242=3,"Lead calificado",IF(OR(AG242=4,AG242=5),"Tasación/visita",IF(OR(AG242=6,AG242=7),"Captación/oferta",IF(AG242=8,"Cierre","")))),"")</f>
        <v/>
      </c>
      <c r="AE242" s="32"/>
      <c r="AF242" s="32"/>
      <c r="AG242" s="37" t="n">
        <f aca="false">IF(R242="",0,IFERROR(MATCH(R242,Listas!$L$2:$L$50,0),0))</f>
        <v>0</v>
      </c>
    </row>
    <row r="243" customFormat="false" ht="15" hidden="false" customHeight="false" outlineLevel="0" collapsed="false">
      <c r="A243" s="30"/>
      <c r="B243" s="31"/>
      <c r="C243" s="32"/>
      <c r="D243" s="32"/>
      <c r="E243" s="33"/>
      <c r="F243" s="32"/>
      <c r="G243" s="32"/>
      <c r="H243" s="32"/>
      <c r="I243" s="32"/>
      <c r="J243" s="32"/>
      <c r="K243" s="32"/>
      <c r="L243" s="32"/>
      <c r="M243" s="30"/>
      <c r="N243" s="32"/>
      <c r="O243" s="34"/>
      <c r="P243" s="32"/>
      <c r="Q243" s="32"/>
      <c r="R243" s="32"/>
      <c r="S243" s="32"/>
      <c r="T243" s="32"/>
      <c r="U243" s="32"/>
      <c r="V243" s="31"/>
      <c r="W243" s="35" t="str">
        <f aca="true">IF(OR(V243="",AG243&gt;=8),"",IF(V243&lt;TODAY(),"Vencida",IF(V243=TODAY(),"Hoy","")))</f>
        <v/>
      </c>
      <c r="X243" s="36" t="str">
        <f aca="false">IF(A243="","",IF(COUNTIF(Seguimiento!$B$2:$B$5001,A243)=0,"",_xlfn.MAXIFS(Seguimiento!$A$2:$A$5001,Seguimiento!$B$2:$B$5001,A243)))</f>
        <v/>
      </c>
      <c r="Y243" s="37" t="str">
        <f aca="true">IF(B243="","",TODAY()-B243)</f>
        <v/>
      </c>
      <c r="Z243" s="38" t="str">
        <f aca="false">IF(OR(O243="",G243=""),"",O243*IFERROR(INDEX(Listas!$B$2:$B$50,MATCH(G243,Listas!$A$2:$A$50,0)),0))</f>
        <v/>
      </c>
      <c r="AA243" s="32"/>
      <c r="AB243" s="32"/>
      <c r="AC243" s="32"/>
      <c r="AD243" s="35" t="str">
        <f aca="false">IF(OR(LEFT(H243,4)="Meta",LEFT(H243,6)="Google"),IF(AG243=3,"Lead calificado",IF(OR(AG243=4,AG243=5),"Tasación/visita",IF(OR(AG243=6,AG243=7),"Captación/oferta",IF(AG243=8,"Cierre","")))),"")</f>
        <v/>
      </c>
      <c r="AE243" s="32"/>
      <c r="AF243" s="32"/>
      <c r="AG243" s="37" t="n">
        <f aca="false">IF(R243="",0,IFERROR(MATCH(R243,Listas!$L$2:$L$50,0),0))</f>
        <v>0</v>
      </c>
    </row>
    <row r="244" customFormat="false" ht="15" hidden="false" customHeight="false" outlineLevel="0" collapsed="false">
      <c r="A244" s="30"/>
      <c r="B244" s="31"/>
      <c r="C244" s="32"/>
      <c r="D244" s="32"/>
      <c r="E244" s="33"/>
      <c r="F244" s="32"/>
      <c r="G244" s="32"/>
      <c r="H244" s="32"/>
      <c r="I244" s="32"/>
      <c r="J244" s="32"/>
      <c r="K244" s="32"/>
      <c r="L244" s="32"/>
      <c r="M244" s="30"/>
      <c r="N244" s="32"/>
      <c r="O244" s="34"/>
      <c r="P244" s="32"/>
      <c r="Q244" s="32"/>
      <c r="R244" s="32"/>
      <c r="S244" s="32"/>
      <c r="T244" s="32"/>
      <c r="U244" s="32"/>
      <c r="V244" s="31"/>
      <c r="W244" s="35" t="str">
        <f aca="true">IF(OR(V244="",AG244&gt;=8),"",IF(V244&lt;TODAY(),"Vencida",IF(V244=TODAY(),"Hoy","")))</f>
        <v/>
      </c>
      <c r="X244" s="36" t="str">
        <f aca="false">IF(A244="","",IF(COUNTIF(Seguimiento!$B$2:$B$5001,A244)=0,"",_xlfn.MAXIFS(Seguimiento!$A$2:$A$5001,Seguimiento!$B$2:$B$5001,A244)))</f>
        <v/>
      </c>
      <c r="Y244" s="37" t="str">
        <f aca="true">IF(B244="","",TODAY()-B244)</f>
        <v/>
      </c>
      <c r="Z244" s="38" t="str">
        <f aca="false">IF(OR(O244="",G244=""),"",O244*IFERROR(INDEX(Listas!$B$2:$B$50,MATCH(G244,Listas!$A$2:$A$50,0)),0))</f>
        <v/>
      </c>
      <c r="AA244" s="32"/>
      <c r="AB244" s="32"/>
      <c r="AC244" s="32"/>
      <c r="AD244" s="35" t="str">
        <f aca="false">IF(OR(LEFT(H244,4)="Meta",LEFT(H244,6)="Google"),IF(AG244=3,"Lead calificado",IF(OR(AG244=4,AG244=5),"Tasación/visita",IF(OR(AG244=6,AG244=7),"Captación/oferta",IF(AG244=8,"Cierre","")))),"")</f>
        <v/>
      </c>
      <c r="AE244" s="32"/>
      <c r="AF244" s="32"/>
      <c r="AG244" s="37" t="n">
        <f aca="false">IF(R244="",0,IFERROR(MATCH(R244,Listas!$L$2:$L$50,0),0))</f>
        <v>0</v>
      </c>
    </row>
    <row r="245" customFormat="false" ht="15" hidden="false" customHeight="false" outlineLevel="0" collapsed="false">
      <c r="A245" s="30"/>
      <c r="B245" s="31"/>
      <c r="C245" s="32"/>
      <c r="D245" s="32"/>
      <c r="E245" s="33"/>
      <c r="F245" s="32"/>
      <c r="G245" s="32"/>
      <c r="H245" s="32"/>
      <c r="I245" s="32"/>
      <c r="J245" s="32"/>
      <c r="K245" s="32"/>
      <c r="L245" s="32"/>
      <c r="M245" s="30"/>
      <c r="N245" s="32"/>
      <c r="O245" s="34"/>
      <c r="P245" s="32"/>
      <c r="Q245" s="32"/>
      <c r="R245" s="32"/>
      <c r="S245" s="32"/>
      <c r="T245" s="32"/>
      <c r="U245" s="32"/>
      <c r="V245" s="31"/>
      <c r="W245" s="35" t="str">
        <f aca="true">IF(OR(V245="",AG245&gt;=8),"",IF(V245&lt;TODAY(),"Vencida",IF(V245=TODAY(),"Hoy","")))</f>
        <v/>
      </c>
      <c r="X245" s="36" t="str">
        <f aca="false">IF(A245="","",IF(COUNTIF(Seguimiento!$B$2:$B$5001,A245)=0,"",_xlfn.MAXIFS(Seguimiento!$A$2:$A$5001,Seguimiento!$B$2:$B$5001,A245)))</f>
        <v/>
      </c>
      <c r="Y245" s="37" t="str">
        <f aca="true">IF(B245="","",TODAY()-B245)</f>
        <v/>
      </c>
      <c r="Z245" s="38" t="str">
        <f aca="false">IF(OR(O245="",G245=""),"",O245*IFERROR(INDEX(Listas!$B$2:$B$50,MATCH(G245,Listas!$A$2:$A$50,0)),0))</f>
        <v/>
      </c>
      <c r="AA245" s="32"/>
      <c r="AB245" s="32"/>
      <c r="AC245" s="32"/>
      <c r="AD245" s="35" t="str">
        <f aca="false">IF(OR(LEFT(H245,4)="Meta",LEFT(H245,6)="Google"),IF(AG245=3,"Lead calificado",IF(OR(AG245=4,AG245=5),"Tasación/visita",IF(OR(AG245=6,AG245=7),"Captación/oferta",IF(AG245=8,"Cierre","")))),"")</f>
        <v/>
      </c>
      <c r="AE245" s="32"/>
      <c r="AF245" s="32"/>
      <c r="AG245" s="37" t="n">
        <f aca="false">IF(R245="",0,IFERROR(MATCH(R245,Listas!$L$2:$L$50,0),0))</f>
        <v>0</v>
      </c>
    </row>
    <row r="246" customFormat="false" ht="15" hidden="false" customHeight="false" outlineLevel="0" collapsed="false">
      <c r="A246" s="30"/>
      <c r="B246" s="31"/>
      <c r="C246" s="32"/>
      <c r="D246" s="32"/>
      <c r="E246" s="33"/>
      <c r="F246" s="32"/>
      <c r="G246" s="32"/>
      <c r="H246" s="32"/>
      <c r="I246" s="32"/>
      <c r="J246" s="32"/>
      <c r="K246" s="32"/>
      <c r="L246" s="32"/>
      <c r="M246" s="30"/>
      <c r="N246" s="32"/>
      <c r="O246" s="34"/>
      <c r="P246" s="32"/>
      <c r="Q246" s="32"/>
      <c r="R246" s="32"/>
      <c r="S246" s="32"/>
      <c r="T246" s="32"/>
      <c r="U246" s="32"/>
      <c r="V246" s="31"/>
      <c r="W246" s="35" t="str">
        <f aca="true">IF(OR(V246="",AG246&gt;=8),"",IF(V246&lt;TODAY(),"Vencida",IF(V246=TODAY(),"Hoy","")))</f>
        <v/>
      </c>
      <c r="X246" s="36" t="str">
        <f aca="false">IF(A246="","",IF(COUNTIF(Seguimiento!$B$2:$B$5001,A246)=0,"",_xlfn.MAXIFS(Seguimiento!$A$2:$A$5001,Seguimiento!$B$2:$B$5001,A246)))</f>
        <v/>
      </c>
      <c r="Y246" s="37" t="str">
        <f aca="true">IF(B246="","",TODAY()-B246)</f>
        <v/>
      </c>
      <c r="Z246" s="38" t="str">
        <f aca="false">IF(OR(O246="",G246=""),"",O246*IFERROR(INDEX(Listas!$B$2:$B$50,MATCH(G246,Listas!$A$2:$A$50,0)),0))</f>
        <v/>
      </c>
      <c r="AA246" s="32"/>
      <c r="AB246" s="32"/>
      <c r="AC246" s="32"/>
      <c r="AD246" s="35" t="str">
        <f aca="false">IF(OR(LEFT(H246,4)="Meta",LEFT(H246,6)="Google"),IF(AG246=3,"Lead calificado",IF(OR(AG246=4,AG246=5),"Tasación/visita",IF(OR(AG246=6,AG246=7),"Captación/oferta",IF(AG246=8,"Cierre","")))),"")</f>
        <v/>
      </c>
      <c r="AE246" s="32"/>
      <c r="AF246" s="32"/>
      <c r="AG246" s="37" t="n">
        <f aca="false">IF(R246="",0,IFERROR(MATCH(R246,Listas!$L$2:$L$50,0),0))</f>
        <v>0</v>
      </c>
    </row>
    <row r="247" customFormat="false" ht="15" hidden="false" customHeight="false" outlineLevel="0" collapsed="false">
      <c r="A247" s="30"/>
      <c r="B247" s="31"/>
      <c r="C247" s="32"/>
      <c r="D247" s="32"/>
      <c r="E247" s="33"/>
      <c r="F247" s="32"/>
      <c r="G247" s="32"/>
      <c r="H247" s="32"/>
      <c r="I247" s="32"/>
      <c r="J247" s="32"/>
      <c r="K247" s="32"/>
      <c r="L247" s="32"/>
      <c r="M247" s="30"/>
      <c r="N247" s="32"/>
      <c r="O247" s="34"/>
      <c r="P247" s="32"/>
      <c r="Q247" s="32"/>
      <c r="R247" s="32"/>
      <c r="S247" s="32"/>
      <c r="T247" s="32"/>
      <c r="U247" s="32"/>
      <c r="V247" s="31"/>
      <c r="W247" s="35" t="str">
        <f aca="true">IF(OR(V247="",AG247&gt;=8),"",IF(V247&lt;TODAY(),"Vencida",IF(V247=TODAY(),"Hoy","")))</f>
        <v/>
      </c>
      <c r="X247" s="36" t="str">
        <f aca="false">IF(A247="","",IF(COUNTIF(Seguimiento!$B$2:$B$5001,A247)=0,"",_xlfn.MAXIFS(Seguimiento!$A$2:$A$5001,Seguimiento!$B$2:$B$5001,A247)))</f>
        <v/>
      </c>
      <c r="Y247" s="37" t="str">
        <f aca="true">IF(B247="","",TODAY()-B247)</f>
        <v/>
      </c>
      <c r="Z247" s="38" t="str">
        <f aca="false">IF(OR(O247="",G247=""),"",O247*IFERROR(INDEX(Listas!$B$2:$B$50,MATCH(G247,Listas!$A$2:$A$50,0)),0))</f>
        <v/>
      </c>
      <c r="AA247" s="32"/>
      <c r="AB247" s="32"/>
      <c r="AC247" s="32"/>
      <c r="AD247" s="35" t="str">
        <f aca="false">IF(OR(LEFT(H247,4)="Meta",LEFT(H247,6)="Google"),IF(AG247=3,"Lead calificado",IF(OR(AG247=4,AG247=5),"Tasación/visita",IF(OR(AG247=6,AG247=7),"Captación/oferta",IF(AG247=8,"Cierre","")))),"")</f>
        <v/>
      </c>
      <c r="AE247" s="32"/>
      <c r="AF247" s="32"/>
      <c r="AG247" s="37" t="n">
        <f aca="false">IF(R247="",0,IFERROR(MATCH(R247,Listas!$L$2:$L$50,0),0))</f>
        <v>0</v>
      </c>
    </row>
    <row r="248" customFormat="false" ht="15" hidden="false" customHeight="false" outlineLevel="0" collapsed="false">
      <c r="A248" s="30"/>
      <c r="B248" s="31"/>
      <c r="C248" s="32"/>
      <c r="D248" s="32"/>
      <c r="E248" s="33"/>
      <c r="F248" s="32"/>
      <c r="G248" s="32"/>
      <c r="H248" s="32"/>
      <c r="I248" s="32"/>
      <c r="J248" s="32"/>
      <c r="K248" s="32"/>
      <c r="L248" s="32"/>
      <c r="M248" s="30"/>
      <c r="N248" s="32"/>
      <c r="O248" s="34"/>
      <c r="P248" s="32"/>
      <c r="Q248" s="32"/>
      <c r="R248" s="32"/>
      <c r="S248" s="32"/>
      <c r="T248" s="32"/>
      <c r="U248" s="32"/>
      <c r="V248" s="31"/>
      <c r="W248" s="35" t="str">
        <f aca="true">IF(OR(V248="",AG248&gt;=8),"",IF(V248&lt;TODAY(),"Vencida",IF(V248=TODAY(),"Hoy","")))</f>
        <v/>
      </c>
      <c r="X248" s="36" t="str">
        <f aca="false">IF(A248="","",IF(COUNTIF(Seguimiento!$B$2:$B$5001,A248)=0,"",_xlfn.MAXIFS(Seguimiento!$A$2:$A$5001,Seguimiento!$B$2:$B$5001,A248)))</f>
        <v/>
      </c>
      <c r="Y248" s="37" t="str">
        <f aca="true">IF(B248="","",TODAY()-B248)</f>
        <v/>
      </c>
      <c r="Z248" s="38" t="str">
        <f aca="false">IF(OR(O248="",G248=""),"",O248*IFERROR(INDEX(Listas!$B$2:$B$50,MATCH(G248,Listas!$A$2:$A$50,0)),0))</f>
        <v/>
      </c>
      <c r="AA248" s="32"/>
      <c r="AB248" s="32"/>
      <c r="AC248" s="32"/>
      <c r="AD248" s="35" t="str">
        <f aca="false">IF(OR(LEFT(H248,4)="Meta",LEFT(H248,6)="Google"),IF(AG248=3,"Lead calificado",IF(OR(AG248=4,AG248=5),"Tasación/visita",IF(OR(AG248=6,AG248=7),"Captación/oferta",IF(AG248=8,"Cierre","")))),"")</f>
        <v/>
      </c>
      <c r="AE248" s="32"/>
      <c r="AF248" s="32"/>
      <c r="AG248" s="37" t="n">
        <f aca="false">IF(R248="",0,IFERROR(MATCH(R248,Listas!$L$2:$L$50,0),0))</f>
        <v>0</v>
      </c>
    </row>
    <row r="249" customFormat="false" ht="15" hidden="false" customHeight="false" outlineLevel="0" collapsed="false">
      <c r="A249" s="30"/>
      <c r="B249" s="31"/>
      <c r="C249" s="32"/>
      <c r="D249" s="32"/>
      <c r="E249" s="33"/>
      <c r="F249" s="32"/>
      <c r="G249" s="32"/>
      <c r="H249" s="32"/>
      <c r="I249" s="32"/>
      <c r="J249" s="32"/>
      <c r="K249" s="32"/>
      <c r="L249" s="32"/>
      <c r="M249" s="30"/>
      <c r="N249" s="32"/>
      <c r="O249" s="34"/>
      <c r="P249" s="32"/>
      <c r="Q249" s="32"/>
      <c r="R249" s="32"/>
      <c r="S249" s="32"/>
      <c r="T249" s="32"/>
      <c r="U249" s="32"/>
      <c r="V249" s="31"/>
      <c r="W249" s="35" t="str">
        <f aca="true">IF(OR(V249="",AG249&gt;=8),"",IF(V249&lt;TODAY(),"Vencida",IF(V249=TODAY(),"Hoy","")))</f>
        <v/>
      </c>
      <c r="X249" s="36" t="str">
        <f aca="false">IF(A249="","",IF(COUNTIF(Seguimiento!$B$2:$B$5001,A249)=0,"",_xlfn.MAXIFS(Seguimiento!$A$2:$A$5001,Seguimiento!$B$2:$B$5001,A249)))</f>
        <v/>
      </c>
      <c r="Y249" s="37" t="str">
        <f aca="true">IF(B249="","",TODAY()-B249)</f>
        <v/>
      </c>
      <c r="Z249" s="38" t="str">
        <f aca="false">IF(OR(O249="",G249=""),"",O249*IFERROR(INDEX(Listas!$B$2:$B$50,MATCH(G249,Listas!$A$2:$A$50,0)),0))</f>
        <v/>
      </c>
      <c r="AA249" s="32"/>
      <c r="AB249" s="32"/>
      <c r="AC249" s="32"/>
      <c r="AD249" s="35" t="str">
        <f aca="false">IF(OR(LEFT(H249,4)="Meta",LEFT(H249,6)="Google"),IF(AG249=3,"Lead calificado",IF(OR(AG249=4,AG249=5),"Tasación/visita",IF(OR(AG249=6,AG249=7),"Captación/oferta",IF(AG249=8,"Cierre","")))),"")</f>
        <v/>
      </c>
      <c r="AE249" s="32"/>
      <c r="AF249" s="32"/>
      <c r="AG249" s="37" t="n">
        <f aca="false">IF(R249="",0,IFERROR(MATCH(R249,Listas!$L$2:$L$50,0),0))</f>
        <v>0</v>
      </c>
    </row>
    <row r="250" customFormat="false" ht="15" hidden="false" customHeight="false" outlineLevel="0" collapsed="false">
      <c r="A250" s="30"/>
      <c r="B250" s="31"/>
      <c r="C250" s="32"/>
      <c r="D250" s="32"/>
      <c r="E250" s="33"/>
      <c r="F250" s="32"/>
      <c r="G250" s="32"/>
      <c r="H250" s="32"/>
      <c r="I250" s="32"/>
      <c r="J250" s="32"/>
      <c r="K250" s="32"/>
      <c r="L250" s="32"/>
      <c r="M250" s="30"/>
      <c r="N250" s="32"/>
      <c r="O250" s="34"/>
      <c r="P250" s="32"/>
      <c r="Q250" s="32"/>
      <c r="R250" s="32"/>
      <c r="S250" s="32"/>
      <c r="T250" s="32"/>
      <c r="U250" s="32"/>
      <c r="V250" s="31"/>
      <c r="W250" s="35" t="str">
        <f aca="true">IF(OR(V250="",AG250&gt;=8),"",IF(V250&lt;TODAY(),"Vencida",IF(V250=TODAY(),"Hoy","")))</f>
        <v/>
      </c>
      <c r="X250" s="36" t="str">
        <f aca="false">IF(A250="","",IF(COUNTIF(Seguimiento!$B$2:$B$5001,A250)=0,"",_xlfn.MAXIFS(Seguimiento!$A$2:$A$5001,Seguimiento!$B$2:$B$5001,A250)))</f>
        <v/>
      </c>
      <c r="Y250" s="37" t="str">
        <f aca="true">IF(B250="","",TODAY()-B250)</f>
        <v/>
      </c>
      <c r="Z250" s="38" t="str">
        <f aca="false">IF(OR(O250="",G250=""),"",O250*IFERROR(INDEX(Listas!$B$2:$B$50,MATCH(G250,Listas!$A$2:$A$50,0)),0))</f>
        <v/>
      </c>
      <c r="AA250" s="32"/>
      <c r="AB250" s="32"/>
      <c r="AC250" s="32"/>
      <c r="AD250" s="35" t="str">
        <f aca="false">IF(OR(LEFT(H250,4)="Meta",LEFT(H250,6)="Google"),IF(AG250=3,"Lead calificado",IF(OR(AG250=4,AG250=5),"Tasación/visita",IF(OR(AG250=6,AG250=7),"Captación/oferta",IF(AG250=8,"Cierre","")))),"")</f>
        <v/>
      </c>
      <c r="AE250" s="32"/>
      <c r="AF250" s="32"/>
      <c r="AG250" s="37" t="n">
        <f aca="false">IF(R250="",0,IFERROR(MATCH(R250,Listas!$L$2:$L$50,0),0))</f>
        <v>0</v>
      </c>
    </row>
    <row r="251" customFormat="false" ht="15" hidden="false" customHeight="false" outlineLevel="0" collapsed="false">
      <c r="A251" s="30"/>
      <c r="B251" s="31"/>
      <c r="C251" s="32"/>
      <c r="D251" s="32"/>
      <c r="E251" s="33"/>
      <c r="F251" s="32"/>
      <c r="G251" s="32"/>
      <c r="H251" s="32"/>
      <c r="I251" s="32"/>
      <c r="J251" s="32"/>
      <c r="K251" s="32"/>
      <c r="L251" s="32"/>
      <c r="M251" s="30"/>
      <c r="N251" s="32"/>
      <c r="O251" s="34"/>
      <c r="P251" s="32"/>
      <c r="Q251" s="32"/>
      <c r="R251" s="32"/>
      <c r="S251" s="32"/>
      <c r="T251" s="32"/>
      <c r="U251" s="32"/>
      <c r="V251" s="31"/>
      <c r="W251" s="35" t="str">
        <f aca="true">IF(OR(V251="",AG251&gt;=8),"",IF(V251&lt;TODAY(),"Vencida",IF(V251=TODAY(),"Hoy","")))</f>
        <v/>
      </c>
      <c r="X251" s="36" t="str">
        <f aca="false">IF(A251="","",IF(COUNTIF(Seguimiento!$B$2:$B$5001,A251)=0,"",_xlfn.MAXIFS(Seguimiento!$A$2:$A$5001,Seguimiento!$B$2:$B$5001,A251)))</f>
        <v/>
      </c>
      <c r="Y251" s="37" t="str">
        <f aca="true">IF(B251="","",TODAY()-B251)</f>
        <v/>
      </c>
      <c r="Z251" s="38" t="str">
        <f aca="false">IF(OR(O251="",G251=""),"",O251*IFERROR(INDEX(Listas!$B$2:$B$50,MATCH(G251,Listas!$A$2:$A$50,0)),0))</f>
        <v/>
      </c>
      <c r="AA251" s="32"/>
      <c r="AB251" s="32"/>
      <c r="AC251" s="32"/>
      <c r="AD251" s="35" t="str">
        <f aca="false">IF(OR(LEFT(H251,4)="Meta",LEFT(H251,6)="Google"),IF(AG251=3,"Lead calificado",IF(OR(AG251=4,AG251=5),"Tasación/visita",IF(OR(AG251=6,AG251=7),"Captación/oferta",IF(AG251=8,"Cierre","")))),"")</f>
        <v/>
      </c>
      <c r="AE251" s="32"/>
      <c r="AF251" s="32"/>
      <c r="AG251" s="37" t="n">
        <f aca="false">IF(R251="",0,IFERROR(MATCH(R251,Listas!$L$2:$L$50,0),0))</f>
        <v>0</v>
      </c>
    </row>
    <row r="252" customFormat="false" ht="15" hidden="false" customHeight="false" outlineLevel="0" collapsed="false">
      <c r="A252" s="30"/>
      <c r="B252" s="31"/>
      <c r="C252" s="32"/>
      <c r="D252" s="32"/>
      <c r="E252" s="33"/>
      <c r="F252" s="32"/>
      <c r="G252" s="32"/>
      <c r="H252" s="32"/>
      <c r="I252" s="32"/>
      <c r="J252" s="32"/>
      <c r="K252" s="32"/>
      <c r="L252" s="32"/>
      <c r="M252" s="30"/>
      <c r="N252" s="32"/>
      <c r="O252" s="34"/>
      <c r="P252" s="32"/>
      <c r="Q252" s="32"/>
      <c r="R252" s="32"/>
      <c r="S252" s="32"/>
      <c r="T252" s="32"/>
      <c r="U252" s="32"/>
      <c r="V252" s="31"/>
      <c r="W252" s="35" t="str">
        <f aca="true">IF(OR(V252="",AG252&gt;=8),"",IF(V252&lt;TODAY(),"Vencida",IF(V252=TODAY(),"Hoy","")))</f>
        <v/>
      </c>
      <c r="X252" s="36" t="str">
        <f aca="false">IF(A252="","",IF(COUNTIF(Seguimiento!$B$2:$B$5001,A252)=0,"",_xlfn.MAXIFS(Seguimiento!$A$2:$A$5001,Seguimiento!$B$2:$B$5001,A252)))</f>
        <v/>
      </c>
      <c r="Y252" s="37" t="str">
        <f aca="true">IF(B252="","",TODAY()-B252)</f>
        <v/>
      </c>
      <c r="Z252" s="38" t="str">
        <f aca="false">IF(OR(O252="",G252=""),"",O252*IFERROR(INDEX(Listas!$B$2:$B$50,MATCH(G252,Listas!$A$2:$A$50,0)),0))</f>
        <v/>
      </c>
      <c r="AA252" s="32"/>
      <c r="AB252" s="32"/>
      <c r="AC252" s="32"/>
      <c r="AD252" s="35" t="str">
        <f aca="false">IF(OR(LEFT(H252,4)="Meta",LEFT(H252,6)="Google"),IF(AG252=3,"Lead calificado",IF(OR(AG252=4,AG252=5),"Tasación/visita",IF(OR(AG252=6,AG252=7),"Captación/oferta",IF(AG252=8,"Cierre","")))),"")</f>
        <v/>
      </c>
      <c r="AE252" s="32"/>
      <c r="AF252" s="32"/>
      <c r="AG252" s="37" t="n">
        <f aca="false">IF(R252="",0,IFERROR(MATCH(R252,Listas!$L$2:$L$50,0),0))</f>
        <v>0</v>
      </c>
    </row>
    <row r="253" customFormat="false" ht="15" hidden="false" customHeight="false" outlineLevel="0" collapsed="false">
      <c r="A253" s="30"/>
      <c r="B253" s="31"/>
      <c r="C253" s="32"/>
      <c r="D253" s="32"/>
      <c r="E253" s="33"/>
      <c r="F253" s="32"/>
      <c r="G253" s="32"/>
      <c r="H253" s="32"/>
      <c r="I253" s="32"/>
      <c r="J253" s="32"/>
      <c r="K253" s="32"/>
      <c r="L253" s="32"/>
      <c r="M253" s="30"/>
      <c r="N253" s="32"/>
      <c r="O253" s="34"/>
      <c r="P253" s="32"/>
      <c r="Q253" s="32"/>
      <c r="R253" s="32"/>
      <c r="S253" s="32"/>
      <c r="T253" s="32"/>
      <c r="U253" s="32"/>
      <c r="V253" s="31"/>
      <c r="W253" s="35" t="str">
        <f aca="true">IF(OR(V253="",AG253&gt;=8),"",IF(V253&lt;TODAY(),"Vencida",IF(V253=TODAY(),"Hoy","")))</f>
        <v/>
      </c>
      <c r="X253" s="36" t="str">
        <f aca="false">IF(A253="","",IF(COUNTIF(Seguimiento!$B$2:$B$5001,A253)=0,"",_xlfn.MAXIFS(Seguimiento!$A$2:$A$5001,Seguimiento!$B$2:$B$5001,A253)))</f>
        <v/>
      </c>
      <c r="Y253" s="37" t="str">
        <f aca="true">IF(B253="","",TODAY()-B253)</f>
        <v/>
      </c>
      <c r="Z253" s="38" t="str">
        <f aca="false">IF(OR(O253="",G253=""),"",O253*IFERROR(INDEX(Listas!$B$2:$B$50,MATCH(G253,Listas!$A$2:$A$50,0)),0))</f>
        <v/>
      </c>
      <c r="AA253" s="32"/>
      <c r="AB253" s="32"/>
      <c r="AC253" s="32"/>
      <c r="AD253" s="35" t="str">
        <f aca="false">IF(OR(LEFT(H253,4)="Meta",LEFT(H253,6)="Google"),IF(AG253=3,"Lead calificado",IF(OR(AG253=4,AG253=5),"Tasación/visita",IF(OR(AG253=6,AG253=7),"Captación/oferta",IF(AG253=8,"Cierre","")))),"")</f>
        <v/>
      </c>
      <c r="AE253" s="32"/>
      <c r="AF253" s="32"/>
      <c r="AG253" s="37" t="n">
        <f aca="false">IF(R253="",0,IFERROR(MATCH(R253,Listas!$L$2:$L$50,0),0))</f>
        <v>0</v>
      </c>
    </row>
    <row r="254" customFormat="false" ht="15" hidden="false" customHeight="false" outlineLevel="0" collapsed="false">
      <c r="A254" s="30"/>
      <c r="B254" s="31"/>
      <c r="C254" s="32"/>
      <c r="D254" s="32"/>
      <c r="E254" s="33"/>
      <c r="F254" s="32"/>
      <c r="G254" s="32"/>
      <c r="H254" s="32"/>
      <c r="I254" s="32"/>
      <c r="J254" s="32"/>
      <c r="K254" s="32"/>
      <c r="L254" s="32"/>
      <c r="M254" s="30"/>
      <c r="N254" s="32"/>
      <c r="O254" s="34"/>
      <c r="P254" s="32"/>
      <c r="Q254" s="32"/>
      <c r="R254" s="32"/>
      <c r="S254" s="32"/>
      <c r="T254" s="32"/>
      <c r="U254" s="32"/>
      <c r="V254" s="31"/>
      <c r="W254" s="35" t="str">
        <f aca="true">IF(OR(V254="",AG254&gt;=8),"",IF(V254&lt;TODAY(),"Vencida",IF(V254=TODAY(),"Hoy","")))</f>
        <v/>
      </c>
      <c r="X254" s="36" t="str">
        <f aca="false">IF(A254="","",IF(COUNTIF(Seguimiento!$B$2:$B$5001,A254)=0,"",_xlfn.MAXIFS(Seguimiento!$A$2:$A$5001,Seguimiento!$B$2:$B$5001,A254)))</f>
        <v/>
      </c>
      <c r="Y254" s="37" t="str">
        <f aca="true">IF(B254="","",TODAY()-B254)</f>
        <v/>
      </c>
      <c r="Z254" s="38" t="str">
        <f aca="false">IF(OR(O254="",G254=""),"",O254*IFERROR(INDEX(Listas!$B$2:$B$50,MATCH(G254,Listas!$A$2:$A$50,0)),0))</f>
        <v/>
      </c>
      <c r="AA254" s="32"/>
      <c r="AB254" s="32"/>
      <c r="AC254" s="32"/>
      <c r="AD254" s="35" t="str">
        <f aca="false">IF(OR(LEFT(H254,4)="Meta",LEFT(H254,6)="Google"),IF(AG254=3,"Lead calificado",IF(OR(AG254=4,AG254=5),"Tasación/visita",IF(OR(AG254=6,AG254=7),"Captación/oferta",IF(AG254=8,"Cierre","")))),"")</f>
        <v/>
      </c>
      <c r="AE254" s="32"/>
      <c r="AF254" s="32"/>
      <c r="AG254" s="37" t="n">
        <f aca="false">IF(R254="",0,IFERROR(MATCH(R254,Listas!$L$2:$L$50,0),0))</f>
        <v>0</v>
      </c>
    </row>
    <row r="255" customFormat="false" ht="15" hidden="false" customHeight="false" outlineLevel="0" collapsed="false">
      <c r="A255" s="30"/>
      <c r="B255" s="31"/>
      <c r="C255" s="32"/>
      <c r="D255" s="32"/>
      <c r="E255" s="33"/>
      <c r="F255" s="32"/>
      <c r="G255" s="32"/>
      <c r="H255" s="32"/>
      <c r="I255" s="32"/>
      <c r="J255" s="32"/>
      <c r="K255" s="32"/>
      <c r="L255" s="32"/>
      <c r="M255" s="30"/>
      <c r="N255" s="32"/>
      <c r="O255" s="34"/>
      <c r="P255" s="32"/>
      <c r="Q255" s="32"/>
      <c r="R255" s="32"/>
      <c r="S255" s="32"/>
      <c r="T255" s="32"/>
      <c r="U255" s="32"/>
      <c r="V255" s="31"/>
      <c r="W255" s="35" t="str">
        <f aca="true">IF(OR(V255="",AG255&gt;=8),"",IF(V255&lt;TODAY(),"Vencida",IF(V255=TODAY(),"Hoy","")))</f>
        <v/>
      </c>
      <c r="X255" s="36" t="str">
        <f aca="false">IF(A255="","",IF(COUNTIF(Seguimiento!$B$2:$B$5001,A255)=0,"",_xlfn.MAXIFS(Seguimiento!$A$2:$A$5001,Seguimiento!$B$2:$B$5001,A255)))</f>
        <v/>
      </c>
      <c r="Y255" s="37" t="str">
        <f aca="true">IF(B255="","",TODAY()-B255)</f>
        <v/>
      </c>
      <c r="Z255" s="38" t="str">
        <f aca="false">IF(OR(O255="",G255=""),"",O255*IFERROR(INDEX(Listas!$B$2:$B$50,MATCH(G255,Listas!$A$2:$A$50,0)),0))</f>
        <v/>
      </c>
      <c r="AA255" s="32"/>
      <c r="AB255" s="32"/>
      <c r="AC255" s="32"/>
      <c r="AD255" s="35" t="str">
        <f aca="false">IF(OR(LEFT(H255,4)="Meta",LEFT(H255,6)="Google"),IF(AG255=3,"Lead calificado",IF(OR(AG255=4,AG255=5),"Tasación/visita",IF(OR(AG255=6,AG255=7),"Captación/oferta",IF(AG255=8,"Cierre","")))),"")</f>
        <v/>
      </c>
      <c r="AE255" s="32"/>
      <c r="AF255" s="32"/>
      <c r="AG255" s="37" t="n">
        <f aca="false">IF(R255="",0,IFERROR(MATCH(R255,Listas!$L$2:$L$50,0),0))</f>
        <v>0</v>
      </c>
    </row>
    <row r="256" customFormat="false" ht="15" hidden="false" customHeight="false" outlineLevel="0" collapsed="false">
      <c r="A256" s="30"/>
      <c r="B256" s="31"/>
      <c r="C256" s="32"/>
      <c r="D256" s="32"/>
      <c r="E256" s="33"/>
      <c r="F256" s="32"/>
      <c r="G256" s="32"/>
      <c r="H256" s="32"/>
      <c r="I256" s="32"/>
      <c r="J256" s="32"/>
      <c r="K256" s="32"/>
      <c r="L256" s="32"/>
      <c r="M256" s="30"/>
      <c r="N256" s="32"/>
      <c r="O256" s="34"/>
      <c r="P256" s="32"/>
      <c r="Q256" s="32"/>
      <c r="R256" s="32"/>
      <c r="S256" s="32"/>
      <c r="T256" s="32"/>
      <c r="U256" s="32"/>
      <c r="V256" s="31"/>
      <c r="W256" s="35" t="str">
        <f aca="true">IF(OR(V256="",AG256&gt;=8),"",IF(V256&lt;TODAY(),"Vencida",IF(V256=TODAY(),"Hoy","")))</f>
        <v/>
      </c>
      <c r="X256" s="36" t="str">
        <f aca="false">IF(A256="","",IF(COUNTIF(Seguimiento!$B$2:$B$5001,A256)=0,"",_xlfn.MAXIFS(Seguimiento!$A$2:$A$5001,Seguimiento!$B$2:$B$5001,A256)))</f>
        <v/>
      </c>
      <c r="Y256" s="37" t="str">
        <f aca="true">IF(B256="","",TODAY()-B256)</f>
        <v/>
      </c>
      <c r="Z256" s="38" t="str">
        <f aca="false">IF(OR(O256="",G256=""),"",O256*IFERROR(INDEX(Listas!$B$2:$B$50,MATCH(G256,Listas!$A$2:$A$50,0)),0))</f>
        <v/>
      </c>
      <c r="AA256" s="32"/>
      <c r="AB256" s="32"/>
      <c r="AC256" s="32"/>
      <c r="AD256" s="35" t="str">
        <f aca="false">IF(OR(LEFT(H256,4)="Meta",LEFT(H256,6)="Google"),IF(AG256=3,"Lead calificado",IF(OR(AG256=4,AG256=5),"Tasación/visita",IF(OR(AG256=6,AG256=7),"Captación/oferta",IF(AG256=8,"Cierre","")))),"")</f>
        <v/>
      </c>
      <c r="AE256" s="32"/>
      <c r="AF256" s="32"/>
      <c r="AG256" s="37" t="n">
        <f aca="false">IF(R256="",0,IFERROR(MATCH(R256,Listas!$L$2:$L$50,0),0))</f>
        <v>0</v>
      </c>
    </row>
    <row r="257" customFormat="false" ht="15" hidden="false" customHeight="false" outlineLevel="0" collapsed="false">
      <c r="A257" s="30"/>
      <c r="B257" s="31"/>
      <c r="C257" s="32"/>
      <c r="D257" s="32"/>
      <c r="E257" s="33"/>
      <c r="F257" s="32"/>
      <c r="G257" s="32"/>
      <c r="H257" s="32"/>
      <c r="I257" s="32"/>
      <c r="J257" s="32"/>
      <c r="K257" s="32"/>
      <c r="L257" s="32"/>
      <c r="M257" s="30"/>
      <c r="N257" s="32"/>
      <c r="O257" s="34"/>
      <c r="P257" s="32"/>
      <c r="Q257" s="32"/>
      <c r="R257" s="32"/>
      <c r="S257" s="32"/>
      <c r="T257" s="32"/>
      <c r="U257" s="32"/>
      <c r="V257" s="31"/>
      <c r="W257" s="35" t="str">
        <f aca="true">IF(OR(V257="",AG257&gt;=8),"",IF(V257&lt;TODAY(),"Vencida",IF(V257=TODAY(),"Hoy","")))</f>
        <v/>
      </c>
      <c r="X257" s="36" t="str">
        <f aca="false">IF(A257="","",IF(COUNTIF(Seguimiento!$B$2:$B$5001,A257)=0,"",_xlfn.MAXIFS(Seguimiento!$A$2:$A$5001,Seguimiento!$B$2:$B$5001,A257)))</f>
        <v/>
      </c>
      <c r="Y257" s="37" t="str">
        <f aca="true">IF(B257="","",TODAY()-B257)</f>
        <v/>
      </c>
      <c r="Z257" s="38" t="str">
        <f aca="false">IF(OR(O257="",G257=""),"",O257*IFERROR(INDEX(Listas!$B$2:$B$50,MATCH(G257,Listas!$A$2:$A$50,0)),0))</f>
        <v/>
      </c>
      <c r="AA257" s="32"/>
      <c r="AB257" s="32"/>
      <c r="AC257" s="32"/>
      <c r="AD257" s="35" t="str">
        <f aca="false">IF(OR(LEFT(H257,4)="Meta",LEFT(H257,6)="Google"),IF(AG257=3,"Lead calificado",IF(OR(AG257=4,AG257=5),"Tasación/visita",IF(OR(AG257=6,AG257=7),"Captación/oferta",IF(AG257=8,"Cierre","")))),"")</f>
        <v/>
      </c>
      <c r="AE257" s="32"/>
      <c r="AF257" s="32"/>
      <c r="AG257" s="37" t="n">
        <f aca="false">IF(R257="",0,IFERROR(MATCH(R257,Listas!$L$2:$L$50,0),0))</f>
        <v>0</v>
      </c>
    </row>
    <row r="258" customFormat="false" ht="15" hidden="false" customHeight="false" outlineLevel="0" collapsed="false">
      <c r="A258" s="30"/>
      <c r="B258" s="31"/>
      <c r="C258" s="32"/>
      <c r="D258" s="32"/>
      <c r="E258" s="33"/>
      <c r="F258" s="32"/>
      <c r="G258" s="32"/>
      <c r="H258" s="32"/>
      <c r="I258" s="32"/>
      <c r="J258" s="32"/>
      <c r="K258" s="32"/>
      <c r="L258" s="32"/>
      <c r="M258" s="30"/>
      <c r="N258" s="32"/>
      <c r="O258" s="34"/>
      <c r="P258" s="32"/>
      <c r="Q258" s="32"/>
      <c r="R258" s="32"/>
      <c r="S258" s="32"/>
      <c r="T258" s="32"/>
      <c r="U258" s="32"/>
      <c r="V258" s="31"/>
      <c r="W258" s="35" t="str">
        <f aca="true">IF(OR(V258="",AG258&gt;=8),"",IF(V258&lt;TODAY(),"Vencida",IF(V258=TODAY(),"Hoy","")))</f>
        <v/>
      </c>
      <c r="X258" s="36" t="str">
        <f aca="false">IF(A258="","",IF(COUNTIF(Seguimiento!$B$2:$B$5001,A258)=0,"",_xlfn.MAXIFS(Seguimiento!$A$2:$A$5001,Seguimiento!$B$2:$B$5001,A258)))</f>
        <v/>
      </c>
      <c r="Y258" s="37" t="str">
        <f aca="true">IF(B258="","",TODAY()-B258)</f>
        <v/>
      </c>
      <c r="Z258" s="38" t="str">
        <f aca="false">IF(OR(O258="",G258=""),"",O258*IFERROR(INDEX(Listas!$B$2:$B$50,MATCH(G258,Listas!$A$2:$A$50,0)),0))</f>
        <v/>
      </c>
      <c r="AA258" s="32"/>
      <c r="AB258" s="32"/>
      <c r="AC258" s="32"/>
      <c r="AD258" s="35" t="str">
        <f aca="false">IF(OR(LEFT(H258,4)="Meta",LEFT(H258,6)="Google"),IF(AG258=3,"Lead calificado",IF(OR(AG258=4,AG258=5),"Tasación/visita",IF(OR(AG258=6,AG258=7),"Captación/oferta",IF(AG258=8,"Cierre","")))),"")</f>
        <v/>
      </c>
      <c r="AE258" s="32"/>
      <c r="AF258" s="32"/>
      <c r="AG258" s="37" t="n">
        <f aca="false">IF(R258="",0,IFERROR(MATCH(R258,Listas!$L$2:$L$50,0),0))</f>
        <v>0</v>
      </c>
    </row>
    <row r="259" customFormat="false" ht="15" hidden="false" customHeight="false" outlineLevel="0" collapsed="false">
      <c r="A259" s="30"/>
      <c r="B259" s="31"/>
      <c r="C259" s="32"/>
      <c r="D259" s="32"/>
      <c r="E259" s="33"/>
      <c r="F259" s="32"/>
      <c r="G259" s="32"/>
      <c r="H259" s="32"/>
      <c r="I259" s="32"/>
      <c r="J259" s="32"/>
      <c r="K259" s="32"/>
      <c r="L259" s="32"/>
      <c r="M259" s="30"/>
      <c r="N259" s="32"/>
      <c r="O259" s="34"/>
      <c r="P259" s="32"/>
      <c r="Q259" s="32"/>
      <c r="R259" s="32"/>
      <c r="S259" s="32"/>
      <c r="T259" s="32"/>
      <c r="U259" s="32"/>
      <c r="V259" s="31"/>
      <c r="W259" s="35" t="str">
        <f aca="true">IF(OR(V259="",AG259&gt;=8),"",IF(V259&lt;TODAY(),"Vencida",IF(V259=TODAY(),"Hoy","")))</f>
        <v/>
      </c>
      <c r="X259" s="36" t="str">
        <f aca="false">IF(A259="","",IF(COUNTIF(Seguimiento!$B$2:$B$5001,A259)=0,"",_xlfn.MAXIFS(Seguimiento!$A$2:$A$5001,Seguimiento!$B$2:$B$5001,A259)))</f>
        <v/>
      </c>
      <c r="Y259" s="37" t="str">
        <f aca="true">IF(B259="","",TODAY()-B259)</f>
        <v/>
      </c>
      <c r="Z259" s="38" t="str">
        <f aca="false">IF(OR(O259="",G259=""),"",O259*IFERROR(INDEX(Listas!$B$2:$B$50,MATCH(G259,Listas!$A$2:$A$50,0)),0))</f>
        <v/>
      </c>
      <c r="AA259" s="32"/>
      <c r="AB259" s="32"/>
      <c r="AC259" s="32"/>
      <c r="AD259" s="35" t="str">
        <f aca="false">IF(OR(LEFT(H259,4)="Meta",LEFT(H259,6)="Google"),IF(AG259=3,"Lead calificado",IF(OR(AG259=4,AG259=5),"Tasación/visita",IF(OR(AG259=6,AG259=7),"Captación/oferta",IF(AG259=8,"Cierre","")))),"")</f>
        <v/>
      </c>
      <c r="AE259" s="32"/>
      <c r="AF259" s="32"/>
      <c r="AG259" s="37" t="n">
        <f aca="false">IF(R259="",0,IFERROR(MATCH(R259,Listas!$L$2:$L$50,0),0))</f>
        <v>0</v>
      </c>
    </row>
    <row r="260" customFormat="false" ht="15" hidden="false" customHeight="false" outlineLevel="0" collapsed="false">
      <c r="A260" s="30"/>
      <c r="B260" s="31"/>
      <c r="C260" s="32"/>
      <c r="D260" s="32"/>
      <c r="E260" s="33"/>
      <c r="F260" s="32"/>
      <c r="G260" s="32"/>
      <c r="H260" s="32"/>
      <c r="I260" s="32"/>
      <c r="J260" s="32"/>
      <c r="K260" s="32"/>
      <c r="L260" s="32"/>
      <c r="M260" s="30"/>
      <c r="N260" s="32"/>
      <c r="O260" s="34"/>
      <c r="P260" s="32"/>
      <c r="Q260" s="32"/>
      <c r="R260" s="32"/>
      <c r="S260" s="32"/>
      <c r="T260" s="32"/>
      <c r="U260" s="32"/>
      <c r="V260" s="31"/>
      <c r="W260" s="35" t="str">
        <f aca="true">IF(OR(V260="",AG260&gt;=8),"",IF(V260&lt;TODAY(),"Vencida",IF(V260=TODAY(),"Hoy","")))</f>
        <v/>
      </c>
      <c r="X260" s="36" t="str">
        <f aca="false">IF(A260="","",IF(COUNTIF(Seguimiento!$B$2:$B$5001,A260)=0,"",_xlfn.MAXIFS(Seguimiento!$A$2:$A$5001,Seguimiento!$B$2:$B$5001,A260)))</f>
        <v/>
      </c>
      <c r="Y260" s="37" t="str">
        <f aca="true">IF(B260="","",TODAY()-B260)</f>
        <v/>
      </c>
      <c r="Z260" s="38" t="str">
        <f aca="false">IF(OR(O260="",G260=""),"",O260*IFERROR(INDEX(Listas!$B$2:$B$50,MATCH(G260,Listas!$A$2:$A$50,0)),0))</f>
        <v/>
      </c>
      <c r="AA260" s="32"/>
      <c r="AB260" s="32"/>
      <c r="AC260" s="32"/>
      <c r="AD260" s="35" t="str">
        <f aca="false">IF(OR(LEFT(H260,4)="Meta",LEFT(H260,6)="Google"),IF(AG260=3,"Lead calificado",IF(OR(AG260=4,AG260=5),"Tasación/visita",IF(OR(AG260=6,AG260=7),"Captación/oferta",IF(AG260=8,"Cierre","")))),"")</f>
        <v/>
      </c>
      <c r="AE260" s="32"/>
      <c r="AF260" s="32"/>
      <c r="AG260" s="37" t="n">
        <f aca="false">IF(R260="",0,IFERROR(MATCH(R260,Listas!$L$2:$L$50,0),0))</f>
        <v>0</v>
      </c>
    </row>
    <row r="261" customFormat="false" ht="15" hidden="false" customHeight="false" outlineLevel="0" collapsed="false">
      <c r="A261" s="30"/>
      <c r="B261" s="31"/>
      <c r="C261" s="32"/>
      <c r="D261" s="32"/>
      <c r="E261" s="33"/>
      <c r="F261" s="32"/>
      <c r="G261" s="32"/>
      <c r="H261" s="32"/>
      <c r="I261" s="32"/>
      <c r="J261" s="32"/>
      <c r="K261" s="32"/>
      <c r="L261" s="32"/>
      <c r="M261" s="30"/>
      <c r="N261" s="32"/>
      <c r="O261" s="34"/>
      <c r="P261" s="32"/>
      <c r="Q261" s="32"/>
      <c r="R261" s="32"/>
      <c r="S261" s="32"/>
      <c r="T261" s="32"/>
      <c r="U261" s="32"/>
      <c r="V261" s="31"/>
      <c r="W261" s="35" t="str">
        <f aca="true">IF(OR(V261="",AG261&gt;=8),"",IF(V261&lt;TODAY(),"Vencida",IF(V261=TODAY(),"Hoy","")))</f>
        <v/>
      </c>
      <c r="X261" s="36" t="str">
        <f aca="false">IF(A261="","",IF(COUNTIF(Seguimiento!$B$2:$B$5001,A261)=0,"",_xlfn.MAXIFS(Seguimiento!$A$2:$A$5001,Seguimiento!$B$2:$B$5001,A261)))</f>
        <v/>
      </c>
      <c r="Y261" s="37" t="str">
        <f aca="true">IF(B261="","",TODAY()-B261)</f>
        <v/>
      </c>
      <c r="Z261" s="38" t="str">
        <f aca="false">IF(OR(O261="",G261=""),"",O261*IFERROR(INDEX(Listas!$B$2:$B$50,MATCH(G261,Listas!$A$2:$A$50,0)),0))</f>
        <v/>
      </c>
      <c r="AA261" s="32"/>
      <c r="AB261" s="32"/>
      <c r="AC261" s="32"/>
      <c r="AD261" s="35" t="str">
        <f aca="false">IF(OR(LEFT(H261,4)="Meta",LEFT(H261,6)="Google"),IF(AG261=3,"Lead calificado",IF(OR(AG261=4,AG261=5),"Tasación/visita",IF(OR(AG261=6,AG261=7),"Captación/oferta",IF(AG261=8,"Cierre","")))),"")</f>
        <v/>
      </c>
      <c r="AE261" s="32"/>
      <c r="AF261" s="32"/>
      <c r="AG261" s="37" t="n">
        <f aca="false">IF(R261="",0,IFERROR(MATCH(R261,Listas!$L$2:$L$50,0),0))</f>
        <v>0</v>
      </c>
    </row>
    <row r="262" customFormat="false" ht="15" hidden="false" customHeight="false" outlineLevel="0" collapsed="false">
      <c r="A262" s="30"/>
      <c r="B262" s="31"/>
      <c r="C262" s="32"/>
      <c r="D262" s="32"/>
      <c r="E262" s="33"/>
      <c r="F262" s="32"/>
      <c r="G262" s="32"/>
      <c r="H262" s="32"/>
      <c r="I262" s="32"/>
      <c r="J262" s="32"/>
      <c r="K262" s="32"/>
      <c r="L262" s="32"/>
      <c r="M262" s="30"/>
      <c r="N262" s="32"/>
      <c r="O262" s="34"/>
      <c r="P262" s="32"/>
      <c r="Q262" s="32"/>
      <c r="R262" s="32"/>
      <c r="S262" s="32"/>
      <c r="T262" s="32"/>
      <c r="U262" s="32"/>
      <c r="V262" s="31"/>
      <c r="W262" s="35" t="str">
        <f aca="true">IF(OR(V262="",AG262&gt;=8),"",IF(V262&lt;TODAY(),"Vencida",IF(V262=TODAY(),"Hoy","")))</f>
        <v/>
      </c>
      <c r="X262" s="36" t="str">
        <f aca="false">IF(A262="","",IF(COUNTIF(Seguimiento!$B$2:$B$5001,A262)=0,"",_xlfn.MAXIFS(Seguimiento!$A$2:$A$5001,Seguimiento!$B$2:$B$5001,A262)))</f>
        <v/>
      </c>
      <c r="Y262" s="37" t="str">
        <f aca="true">IF(B262="","",TODAY()-B262)</f>
        <v/>
      </c>
      <c r="Z262" s="38" t="str">
        <f aca="false">IF(OR(O262="",G262=""),"",O262*IFERROR(INDEX(Listas!$B$2:$B$50,MATCH(G262,Listas!$A$2:$A$50,0)),0))</f>
        <v/>
      </c>
      <c r="AA262" s="32"/>
      <c r="AB262" s="32"/>
      <c r="AC262" s="32"/>
      <c r="AD262" s="35" t="str">
        <f aca="false">IF(OR(LEFT(H262,4)="Meta",LEFT(H262,6)="Google"),IF(AG262=3,"Lead calificado",IF(OR(AG262=4,AG262=5),"Tasación/visita",IF(OR(AG262=6,AG262=7),"Captación/oferta",IF(AG262=8,"Cierre","")))),"")</f>
        <v/>
      </c>
      <c r="AE262" s="32"/>
      <c r="AF262" s="32"/>
      <c r="AG262" s="37" t="n">
        <f aca="false">IF(R262="",0,IFERROR(MATCH(R262,Listas!$L$2:$L$50,0),0))</f>
        <v>0</v>
      </c>
    </row>
    <row r="263" customFormat="false" ht="15" hidden="false" customHeight="false" outlineLevel="0" collapsed="false">
      <c r="A263" s="30"/>
      <c r="B263" s="31"/>
      <c r="C263" s="32"/>
      <c r="D263" s="32"/>
      <c r="E263" s="33"/>
      <c r="F263" s="32"/>
      <c r="G263" s="32"/>
      <c r="H263" s="32"/>
      <c r="I263" s="32"/>
      <c r="J263" s="32"/>
      <c r="K263" s="32"/>
      <c r="L263" s="32"/>
      <c r="M263" s="30"/>
      <c r="N263" s="32"/>
      <c r="O263" s="34"/>
      <c r="P263" s="32"/>
      <c r="Q263" s="32"/>
      <c r="R263" s="32"/>
      <c r="S263" s="32"/>
      <c r="T263" s="32"/>
      <c r="U263" s="32"/>
      <c r="V263" s="31"/>
      <c r="W263" s="35" t="str">
        <f aca="true">IF(OR(V263="",AG263&gt;=8),"",IF(V263&lt;TODAY(),"Vencida",IF(V263=TODAY(),"Hoy","")))</f>
        <v/>
      </c>
      <c r="X263" s="36" t="str">
        <f aca="false">IF(A263="","",IF(COUNTIF(Seguimiento!$B$2:$B$5001,A263)=0,"",_xlfn.MAXIFS(Seguimiento!$A$2:$A$5001,Seguimiento!$B$2:$B$5001,A263)))</f>
        <v/>
      </c>
      <c r="Y263" s="37" t="str">
        <f aca="true">IF(B263="","",TODAY()-B263)</f>
        <v/>
      </c>
      <c r="Z263" s="38" t="str">
        <f aca="false">IF(OR(O263="",G263=""),"",O263*IFERROR(INDEX(Listas!$B$2:$B$50,MATCH(G263,Listas!$A$2:$A$50,0)),0))</f>
        <v/>
      </c>
      <c r="AA263" s="32"/>
      <c r="AB263" s="32"/>
      <c r="AC263" s="32"/>
      <c r="AD263" s="35" t="str">
        <f aca="false">IF(OR(LEFT(H263,4)="Meta",LEFT(H263,6)="Google"),IF(AG263=3,"Lead calificado",IF(OR(AG263=4,AG263=5),"Tasación/visita",IF(OR(AG263=6,AG263=7),"Captación/oferta",IF(AG263=8,"Cierre","")))),"")</f>
        <v/>
      </c>
      <c r="AE263" s="32"/>
      <c r="AF263" s="32"/>
      <c r="AG263" s="37" t="n">
        <f aca="false">IF(R263="",0,IFERROR(MATCH(R263,Listas!$L$2:$L$50,0),0))</f>
        <v>0</v>
      </c>
    </row>
    <row r="264" customFormat="false" ht="15" hidden="false" customHeight="false" outlineLevel="0" collapsed="false">
      <c r="A264" s="30"/>
      <c r="B264" s="31"/>
      <c r="C264" s="32"/>
      <c r="D264" s="32"/>
      <c r="E264" s="33"/>
      <c r="F264" s="32"/>
      <c r="G264" s="32"/>
      <c r="H264" s="32"/>
      <c r="I264" s="32"/>
      <c r="J264" s="32"/>
      <c r="K264" s="32"/>
      <c r="L264" s="32"/>
      <c r="M264" s="30"/>
      <c r="N264" s="32"/>
      <c r="O264" s="34"/>
      <c r="P264" s="32"/>
      <c r="Q264" s="32"/>
      <c r="R264" s="32"/>
      <c r="S264" s="32"/>
      <c r="T264" s="32"/>
      <c r="U264" s="32"/>
      <c r="V264" s="31"/>
      <c r="W264" s="35" t="str">
        <f aca="true">IF(OR(V264="",AG264&gt;=8),"",IF(V264&lt;TODAY(),"Vencida",IF(V264=TODAY(),"Hoy","")))</f>
        <v/>
      </c>
      <c r="X264" s="36" t="str">
        <f aca="false">IF(A264="","",IF(COUNTIF(Seguimiento!$B$2:$B$5001,A264)=0,"",_xlfn.MAXIFS(Seguimiento!$A$2:$A$5001,Seguimiento!$B$2:$B$5001,A264)))</f>
        <v/>
      </c>
      <c r="Y264" s="37" t="str">
        <f aca="true">IF(B264="","",TODAY()-B264)</f>
        <v/>
      </c>
      <c r="Z264" s="38" t="str">
        <f aca="false">IF(OR(O264="",G264=""),"",O264*IFERROR(INDEX(Listas!$B$2:$B$50,MATCH(G264,Listas!$A$2:$A$50,0)),0))</f>
        <v/>
      </c>
      <c r="AA264" s="32"/>
      <c r="AB264" s="32"/>
      <c r="AC264" s="32"/>
      <c r="AD264" s="35" t="str">
        <f aca="false">IF(OR(LEFT(H264,4)="Meta",LEFT(H264,6)="Google"),IF(AG264=3,"Lead calificado",IF(OR(AG264=4,AG264=5),"Tasación/visita",IF(OR(AG264=6,AG264=7),"Captación/oferta",IF(AG264=8,"Cierre","")))),"")</f>
        <v/>
      </c>
      <c r="AE264" s="32"/>
      <c r="AF264" s="32"/>
      <c r="AG264" s="37" t="n">
        <f aca="false">IF(R264="",0,IFERROR(MATCH(R264,Listas!$L$2:$L$50,0),0))</f>
        <v>0</v>
      </c>
    </row>
    <row r="265" customFormat="false" ht="15" hidden="false" customHeight="false" outlineLevel="0" collapsed="false">
      <c r="A265" s="30"/>
      <c r="B265" s="31"/>
      <c r="C265" s="32"/>
      <c r="D265" s="32"/>
      <c r="E265" s="33"/>
      <c r="F265" s="32"/>
      <c r="G265" s="32"/>
      <c r="H265" s="32"/>
      <c r="I265" s="32"/>
      <c r="J265" s="32"/>
      <c r="K265" s="32"/>
      <c r="L265" s="32"/>
      <c r="M265" s="30"/>
      <c r="N265" s="32"/>
      <c r="O265" s="34"/>
      <c r="P265" s="32"/>
      <c r="Q265" s="32"/>
      <c r="R265" s="32"/>
      <c r="S265" s="32"/>
      <c r="T265" s="32"/>
      <c r="U265" s="32"/>
      <c r="V265" s="31"/>
      <c r="W265" s="35" t="str">
        <f aca="true">IF(OR(V265="",AG265&gt;=8),"",IF(V265&lt;TODAY(),"Vencida",IF(V265=TODAY(),"Hoy","")))</f>
        <v/>
      </c>
      <c r="X265" s="36" t="str">
        <f aca="false">IF(A265="","",IF(COUNTIF(Seguimiento!$B$2:$B$5001,A265)=0,"",_xlfn.MAXIFS(Seguimiento!$A$2:$A$5001,Seguimiento!$B$2:$B$5001,A265)))</f>
        <v/>
      </c>
      <c r="Y265" s="37" t="str">
        <f aca="true">IF(B265="","",TODAY()-B265)</f>
        <v/>
      </c>
      <c r="Z265" s="38" t="str">
        <f aca="false">IF(OR(O265="",G265=""),"",O265*IFERROR(INDEX(Listas!$B$2:$B$50,MATCH(G265,Listas!$A$2:$A$50,0)),0))</f>
        <v/>
      </c>
      <c r="AA265" s="32"/>
      <c r="AB265" s="32"/>
      <c r="AC265" s="32"/>
      <c r="AD265" s="35" t="str">
        <f aca="false">IF(OR(LEFT(H265,4)="Meta",LEFT(H265,6)="Google"),IF(AG265=3,"Lead calificado",IF(OR(AG265=4,AG265=5),"Tasación/visita",IF(OR(AG265=6,AG265=7),"Captación/oferta",IF(AG265=8,"Cierre","")))),"")</f>
        <v/>
      </c>
      <c r="AE265" s="32"/>
      <c r="AF265" s="32"/>
      <c r="AG265" s="37" t="n">
        <f aca="false">IF(R265="",0,IFERROR(MATCH(R265,Listas!$L$2:$L$50,0),0))</f>
        <v>0</v>
      </c>
    </row>
    <row r="266" customFormat="false" ht="15" hidden="false" customHeight="false" outlineLevel="0" collapsed="false">
      <c r="A266" s="30"/>
      <c r="B266" s="31"/>
      <c r="C266" s="32"/>
      <c r="D266" s="32"/>
      <c r="E266" s="33"/>
      <c r="F266" s="32"/>
      <c r="G266" s="32"/>
      <c r="H266" s="32"/>
      <c r="I266" s="32"/>
      <c r="J266" s="32"/>
      <c r="K266" s="32"/>
      <c r="L266" s="32"/>
      <c r="M266" s="30"/>
      <c r="N266" s="32"/>
      <c r="O266" s="34"/>
      <c r="P266" s="32"/>
      <c r="Q266" s="32"/>
      <c r="R266" s="32"/>
      <c r="S266" s="32"/>
      <c r="T266" s="32"/>
      <c r="U266" s="32"/>
      <c r="V266" s="31"/>
      <c r="W266" s="35" t="str">
        <f aca="true">IF(OR(V266="",AG266&gt;=8),"",IF(V266&lt;TODAY(),"Vencida",IF(V266=TODAY(),"Hoy","")))</f>
        <v/>
      </c>
      <c r="X266" s="36" t="str">
        <f aca="false">IF(A266="","",IF(COUNTIF(Seguimiento!$B$2:$B$5001,A266)=0,"",_xlfn.MAXIFS(Seguimiento!$A$2:$A$5001,Seguimiento!$B$2:$B$5001,A266)))</f>
        <v/>
      </c>
      <c r="Y266" s="37" t="str">
        <f aca="true">IF(B266="","",TODAY()-B266)</f>
        <v/>
      </c>
      <c r="Z266" s="38" t="str">
        <f aca="false">IF(OR(O266="",G266=""),"",O266*IFERROR(INDEX(Listas!$B$2:$B$50,MATCH(G266,Listas!$A$2:$A$50,0)),0))</f>
        <v/>
      </c>
      <c r="AA266" s="32"/>
      <c r="AB266" s="32"/>
      <c r="AC266" s="32"/>
      <c r="AD266" s="35" t="str">
        <f aca="false">IF(OR(LEFT(H266,4)="Meta",LEFT(H266,6)="Google"),IF(AG266=3,"Lead calificado",IF(OR(AG266=4,AG266=5),"Tasación/visita",IF(OR(AG266=6,AG266=7),"Captación/oferta",IF(AG266=8,"Cierre","")))),"")</f>
        <v/>
      </c>
      <c r="AE266" s="32"/>
      <c r="AF266" s="32"/>
      <c r="AG266" s="37" t="n">
        <f aca="false">IF(R266="",0,IFERROR(MATCH(R266,Listas!$L$2:$L$50,0),0))</f>
        <v>0</v>
      </c>
    </row>
    <row r="267" customFormat="false" ht="15" hidden="false" customHeight="false" outlineLevel="0" collapsed="false">
      <c r="A267" s="30"/>
      <c r="B267" s="31"/>
      <c r="C267" s="32"/>
      <c r="D267" s="32"/>
      <c r="E267" s="33"/>
      <c r="F267" s="32"/>
      <c r="G267" s="32"/>
      <c r="H267" s="32"/>
      <c r="I267" s="32"/>
      <c r="J267" s="32"/>
      <c r="K267" s="32"/>
      <c r="L267" s="32"/>
      <c r="M267" s="30"/>
      <c r="N267" s="32"/>
      <c r="O267" s="34"/>
      <c r="P267" s="32"/>
      <c r="Q267" s="32"/>
      <c r="R267" s="32"/>
      <c r="S267" s="32"/>
      <c r="T267" s="32"/>
      <c r="U267" s="32"/>
      <c r="V267" s="31"/>
      <c r="W267" s="35" t="str">
        <f aca="true">IF(OR(V267="",AG267&gt;=8),"",IF(V267&lt;TODAY(),"Vencida",IF(V267=TODAY(),"Hoy","")))</f>
        <v/>
      </c>
      <c r="X267" s="36" t="str">
        <f aca="false">IF(A267="","",IF(COUNTIF(Seguimiento!$B$2:$B$5001,A267)=0,"",_xlfn.MAXIFS(Seguimiento!$A$2:$A$5001,Seguimiento!$B$2:$B$5001,A267)))</f>
        <v/>
      </c>
      <c r="Y267" s="37" t="str">
        <f aca="true">IF(B267="","",TODAY()-B267)</f>
        <v/>
      </c>
      <c r="Z267" s="38" t="str">
        <f aca="false">IF(OR(O267="",G267=""),"",O267*IFERROR(INDEX(Listas!$B$2:$B$50,MATCH(G267,Listas!$A$2:$A$50,0)),0))</f>
        <v/>
      </c>
      <c r="AA267" s="32"/>
      <c r="AB267" s="32"/>
      <c r="AC267" s="32"/>
      <c r="AD267" s="35" t="str">
        <f aca="false">IF(OR(LEFT(H267,4)="Meta",LEFT(H267,6)="Google"),IF(AG267=3,"Lead calificado",IF(OR(AG267=4,AG267=5),"Tasación/visita",IF(OR(AG267=6,AG267=7),"Captación/oferta",IF(AG267=8,"Cierre","")))),"")</f>
        <v/>
      </c>
      <c r="AE267" s="32"/>
      <c r="AF267" s="32"/>
      <c r="AG267" s="37" t="n">
        <f aca="false">IF(R267="",0,IFERROR(MATCH(R267,Listas!$L$2:$L$50,0),0))</f>
        <v>0</v>
      </c>
    </row>
    <row r="268" customFormat="false" ht="15" hidden="false" customHeight="false" outlineLevel="0" collapsed="false">
      <c r="A268" s="30"/>
      <c r="B268" s="31"/>
      <c r="C268" s="32"/>
      <c r="D268" s="32"/>
      <c r="E268" s="33"/>
      <c r="F268" s="32"/>
      <c r="G268" s="32"/>
      <c r="H268" s="32"/>
      <c r="I268" s="32"/>
      <c r="J268" s="32"/>
      <c r="K268" s="32"/>
      <c r="L268" s="32"/>
      <c r="M268" s="30"/>
      <c r="N268" s="32"/>
      <c r="O268" s="34"/>
      <c r="P268" s="32"/>
      <c r="Q268" s="32"/>
      <c r="R268" s="32"/>
      <c r="S268" s="32"/>
      <c r="T268" s="32"/>
      <c r="U268" s="32"/>
      <c r="V268" s="31"/>
      <c r="W268" s="35" t="str">
        <f aca="true">IF(OR(V268="",AG268&gt;=8),"",IF(V268&lt;TODAY(),"Vencida",IF(V268=TODAY(),"Hoy","")))</f>
        <v/>
      </c>
      <c r="X268" s="36" t="str">
        <f aca="false">IF(A268="","",IF(COUNTIF(Seguimiento!$B$2:$B$5001,A268)=0,"",_xlfn.MAXIFS(Seguimiento!$A$2:$A$5001,Seguimiento!$B$2:$B$5001,A268)))</f>
        <v/>
      </c>
      <c r="Y268" s="37" t="str">
        <f aca="true">IF(B268="","",TODAY()-B268)</f>
        <v/>
      </c>
      <c r="Z268" s="38" t="str">
        <f aca="false">IF(OR(O268="",G268=""),"",O268*IFERROR(INDEX(Listas!$B$2:$B$50,MATCH(G268,Listas!$A$2:$A$50,0)),0))</f>
        <v/>
      </c>
      <c r="AA268" s="32"/>
      <c r="AB268" s="32"/>
      <c r="AC268" s="32"/>
      <c r="AD268" s="35" t="str">
        <f aca="false">IF(OR(LEFT(H268,4)="Meta",LEFT(H268,6)="Google"),IF(AG268=3,"Lead calificado",IF(OR(AG268=4,AG268=5),"Tasación/visita",IF(OR(AG268=6,AG268=7),"Captación/oferta",IF(AG268=8,"Cierre","")))),"")</f>
        <v/>
      </c>
      <c r="AE268" s="32"/>
      <c r="AF268" s="32"/>
      <c r="AG268" s="37" t="n">
        <f aca="false">IF(R268="",0,IFERROR(MATCH(R268,Listas!$L$2:$L$50,0),0))</f>
        <v>0</v>
      </c>
    </row>
    <row r="269" customFormat="false" ht="15" hidden="false" customHeight="false" outlineLevel="0" collapsed="false">
      <c r="A269" s="30"/>
      <c r="B269" s="31"/>
      <c r="C269" s="32"/>
      <c r="D269" s="32"/>
      <c r="E269" s="33"/>
      <c r="F269" s="32"/>
      <c r="G269" s="32"/>
      <c r="H269" s="32"/>
      <c r="I269" s="32"/>
      <c r="J269" s="32"/>
      <c r="K269" s="32"/>
      <c r="L269" s="32"/>
      <c r="M269" s="30"/>
      <c r="N269" s="32"/>
      <c r="O269" s="34"/>
      <c r="P269" s="32"/>
      <c r="Q269" s="32"/>
      <c r="R269" s="32"/>
      <c r="S269" s="32"/>
      <c r="T269" s="32"/>
      <c r="U269" s="32"/>
      <c r="V269" s="31"/>
      <c r="W269" s="35" t="str">
        <f aca="true">IF(OR(V269="",AG269&gt;=8),"",IF(V269&lt;TODAY(),"Vencida",IF(V269=TODAY(),"Hoy","")))</f>
        <v/>
      </c>
      <c r="X269" s="36" t="str">
        <f aca="false">IF(A269="","",IF(COUNTIF(Seguimiento!$B$2:$B$5001,A269)=0,"",_xlfn.MAXIFS(Seguimiento!$A$2:$A$5001,Seguimiento!$B$2:$B$5001,A269)))</f>
        <v/>
      </c>
      <c r="Y269" s="37" t="str">
        <f aca="true">IF(B269="","",TODAY()-B269)</f>
        <v/>
      </c>
      <c r="Z269" s="38" t="str">
        <f aca="false">IF(OR(O269="",G269=""),"",O269*IFERROR(INDEX(Listas!$B$2:$B$50,MATCH(G269,Listas!$A$2:$A$50,0)),0))</f>
        <v/>
      </c>
      <c r="AA269" s="32"/>
      <c r="AB269" s="32"/>
      <c r="AC269" s="32"/>
      <c r="AD269" s="35" t="str">
        <f aca="false">IF(OR(LEFT(H269,4)="Meta",LEFT(H269,6)="Google"),IF(AG269=3,"Lead calificado",IF(OR(AG269=4,AG269=5),"Tasación/visita",IF(OR(AG269=6,AG269=7),"Captación/oferta",IF(AG269=8,"Cierre","")))),"")</f>
        <v/>
      </c>
      <c r="AE269" s="32"/>
      <c r="AF269" s="32"/>
      <c r="AG269" s="37" t="n">
        <f aca="false">IF(R269="",0,IFERROR(MATCH(R269,Listas!$L$2:$L$50,0),0))</f>
        <v>0</v>
      </c>
    </row>
    <row r="270" customFormat="false" ht="15" hidden="false" customHeight="false" outlineLevel="0" collapsed="false">
      <c r="A270" s="30"/>
      <c r="B270" s="31"/>
      <c r="C270" s="32"/>
      <c r="D270" s="32"/>
      <c r="E270" s="33"/>
      <c r="F270" s="32"/>
      <c r="G270" s="32"/>
      <c r="H270" s="32"/>
      <c r="I270" s="32"/>
      <c r="J270" s="32"/>
      <c r="K270" s="32"/>
      <c r="L270" s="32"/>
      <c r="M270" s="30"/>
      <c r="N270" s="32"/>
      <c r="O270" s="34"/>
      <c r="P270" s="32"/>
      <c r="Q270" s="32"/>
      <c r="R270" s="32"/>
      <c r="S270" s="32"/>
      <c r="T270" s="32"/>
      <c r="U270" s="32"/>
      <c r="V270" s="31"/>
      <c r="W270" s="35" t="str">
        <f aca="true">IF(OR(V270="",AG270&gt;=8),"",IF(V270&lt;TODAY(),"Vencida",IF(V270=TODAY(),"Hoy","")))</f>
        <v/>
      </c>
      <c r="X270" s="36" t="str">
        <f aca="false">IF(A270="","",IF(COUNTIF(Seguimiento!$B$2:$B$5001,A270)=0,"",_xlfn.MAXIFS(Seguimiento!$A$2:$A$5001,Seguimiento!$B$2:$B$5001,A270)))</f>
        <v/>
      </c>
      <c r="Y270" s="37" t="str">
        <f aca="true">IF(B270="","",TODAY()-B270)</f>
        <v/>
      </c>
      <c r="Z270" s="38" t="str">
        <f aca="false">IF(OR(O270="",G270=""),"",O270*IFERROR(INDEX(Listas!$B$2:$B$50,MATCH(G270,Listas!$A$2:$A$50,0)),0))</f>
        <v/>
      </c>
      <c r="AA270" s="32"/>
      <c r="AB270" s="32"/>
      <c r="AC270" s="32"/>
      <c r="AD270" s="35" t="str">
        <f aca="false">IF(OR(LEFT(H270,4)="Meta",LEFT(H270,6)="Google"),IF(AG270=3,"Lead calificado",IF(OR(AG270=4,AG270=5),"Tasación/visita",IF(OR(AG270=6,AG270=7),"Captación/oferta",IF(AG270=8,"Cierre","")))),"")</f>
        <v/>
      </c>
      <c r="AE270" s="32"/>
      <c r="AF270" s="32"/>
      <c r="AG270" s="37" t="n">
        <f aca="false">IF(R270="",0,IFERROR(MATCH(R270,Listas!$L$2:$L$50,0),0))</f>
        <v>0</v>
      </c>
    </row>
    <row r="271" customFormat="false" ht="15" hidden="false" customHeight="false" outlineLevel="0" collapsed="false">
      <c r="A271" s="30"/>
      <c r="B271" s="31"/>
      <c r="C271" s="32"/>
      <c r="D271" s="32"/>
      <c r="E271" s="33"/>
      <c r="F271" s="32"/>
      <c r="G271" s="32"/>
      <c r="H271" s="32"/>
      <c r="I271" s="32"/>
      <c r="J271" s="32"/>
      <c r="K271" s="32"/>
      <c r="L271" s="32"/>
      <c r="M271" s="30"/>
      <c r="N271" s="32"/>
      <c r="O271" s="34"/>
      <c r="P271" s="32"/>
      <c r="Q271" s="32"/>
      <c r="R271" s="32"/>
      <c r="S271" s="32"/>
      <c r="T271" s="32"/>
      <c r="U271" s="32"/>
      <c r="V271" s="31"/>
      <c r="W271" s="35" t="str">
        <f aca="true">IF(OR(V271="",AG271&gt;=8),"",IF(V271&lt;TODAY(),"Vencida",IF(V271=TODAY(),"Hoy","")))</f>
        <v/>
      </c>
      <c r="X271" s="36" t="str">
        <f aca="false">IF(A271="","",IF(COUNTIF(Seguimiento!$B$2:$B$5001,A271)=0,"",_xlfn.MAXIFS(Seguimiento!$A$2:$A$5001,Seguimiento!$B$2:$B$5001,A271)))</f>
        <v/>
      </c>
      <c r="Y271" s="37" t="str">
        <f aca="true">IF(B271="","",TODAY()-B271)</f>
        <v/>
      </c>
      <c r="Z271" s="38" t="str">
        <f aca="false">IF(OR(O271="",G271=""),"",O271*IFERROR(INDEX(Listas!$B$2:$B$50,MATCH(G271,Listas!$A$2:$A$50,0)),0))</f>
        <v/>
      </c>
      <c r="AA271" s="32"/>
      <c r="AB271" s="32"/>
      <c r="AC271" s="32"/>
      <c r="AD271" s="35" t="str">
        <f aca="false">IF(OR(LEFT(H271,4)="Meta",LEFT(H271,6)="Google"),IF(AG271=3,"Lead calificado",IF(OR(AG271=4,AG271=5),"Tasación/visita",IF(OR(AG271=6,AG271=7),"Captación/oferta",IF(AG271=8,"Cierre","")))),"")</f>
        <v/>
      </c>
      <c r="AE271" s="32"/>
      <c r="AF271" s="32"/>
      <c r="AG271" s="37" t="n">
        <f aca="false">IF(R271="",0,IFERROR(MATCH(R271,Listas!$L$2:$L$50,0),0))</f>
        <v>0</v>
      </c>
    </row>
    <row r="272" customFormat="false" ht="15" hidden="false" customHeight="false" outlineLevel="0" collapsed="false">
      <c r="A272" s="30"/>
      <c r="B272" s="31"/>
      <c r="C272" s="32"/>
      <c r="D272" s="32"/>
      <c r="E272" s="33"/>
      <c r="F272" s="32"/>
      <c r="G272" s="32"/>
      <c r="H272" s="32"/>
      <c r="I272" s="32"/>
      <c r="J272" s="32"/>
      <c r="K272" s="32"/>
      <c r="L272" s="32"/>
      <c r="M272" s="30"/>
      <c r="N272" s="32"/>
      <c r="O272" s="34"/>
      <c r="P272" s="32"/>
      <c r="Q272" s="32"/>
      <c r="R272" s="32"/>
      <c r="S272" s="32"/>
      <c r="T272" s="32"/>
      <c r="U272" s="32"/>
      <c r="V272" s="31"/>
      <c r="W272" s="35" t="str">
        <f aca="true">IF(OR(V272="",AG272&gt;=8),"",IF(V272&lt;TODAY(),"Vencida",IF(V272=TODAY(),"Hoy","")))</f>
        <v/>
      </c>
      <c r="X272" s="36" t="str">
        <f aca="false">IF(A272="","",IF(COUNTIF(Seguimiento!$B$2:$B$5001,A272)=0,"",_xlfn.MAXIFS(Seguimiento!$A$2:$A$5001,Seguimiento!$B$2:$B$5001,A272)))</f>
        <v/>
      </c>
      <c r="Y272" s="37" t="str">
        <f aca="true">IF(B272="","",TODAY()-B272)</f>
        <v/>
      </c>
      <c r="Z272" s="38" t="str">
        <f aca="false">IF(OR(O272="",G272=""),"",O272*IFERROR(INDEX(Listas!$B$2:$B$50,MATCH(G272,Listas!$A$2:$A$50,0)),0))</f>
        <v/>
      </c>
      <c r="AA272" s="32"/>
      <c r="AB272" s="32"/>
      <c r="AC272" s="32"/>
      <c r="AD272" s="35" t="str">
        <f aca="false">IF(OR(LEFT(H272,4)="Meta",LEFT(H272,6)="Google"),IF(AG272=3,"Lead calificado",IF(OR(AG272=4,AG272=5),"Tasación/visita",IF(OR(AG272=6,AG272=7),"Captación/oferta",IF(AG272=8,"Cierre","")))),"")</f>
        <v/>
      </c>
      <c r="AE272" s="32"/>
      <c r="AF272" s="32"/>
      <c r="AG272" s="37" t="n">
        <f aca="false">IF(R272="",0,IFERROR(MATCH(R272,Listas!$L$2:$L$50,0),0))</f>
        <v>0</v>
      </c>
    </row>
    <row r="273" customFormat="false" ht="15" hidden="false" customHeight="false" outlineLevel="0" collapsed="false">
      <c r="A273" s="30"/>
      <c r="B273" s="31"/>
      <c r="C273" s="32"/>
      <c r="D273" s="32"/>
      <c r="E273" s="33"/>
      <c r="F273" s="32"/>
      <c r="G273" s="32"/>
      <c r="H273" s="32"/>
      <c r="I273" s="32"/>
      <c r="J273" s="32"/>
      <c r="K273" s="32"/>
      <c r="L273" s="32"/>
      <c r="M273" s="30"/>
      <c r="N273" s="32"/>
      <c r="O273" s="34"/>
      <c r="P273" s="32"/>
      <c r="Q273" s="32"/>
      <c r="R273" s="32"/>
      <c r="S273" s="32"/>
      <c r="T273" s="32"/>
      <c r="U273" s="32"/>
      <c r="V273" s="31"/>
      <c r="W273" s="35" t="str">
        <f aca="true">IF(OR(V273="",AG273&gt;=8),"",IF(V273&lt;TODAY(),"Vencida",IF(V273=TODAY(),"Hoy","")))</f>
        <v/>
      </c>
      <c r="X273" s="36" t="str">
        <f aca="false">IF(A273="","",IF(COUNTIF(Seguimiento!$B$2:$B$5001,A273)=0,"",_xlfn.MAXIFS(Seguimiento!$A$2:$A$5001,Seguimiento!$B$2:$B$5001,A273)))</f>
        <v/>
      </c>
      <c r="Y273" s="37" t="str">
        <f aca="true">IF(B273="","",TODAY()-B273)</f>
        <v/>
      </c>
      <c r="Z273" s="38" t="str">
        <f aca="false">IF(OR(O273="",G273=""),"",O273*IFERROR(INDEX(Listas!$B$2:$B$50,MATCH(G273,Listas!$A$2:$A$50,0)),0))</f>
        <v/>
      </c>
      <c r="AA273" s="32"/>
      <c r="AB273" s="32"/>
      <c r="AC273" s="32"/>
      <c r="AD273" s="35" t="str">
        <f aca="false">IF(OR(LEFT(H273,4)="Meta",LEFT(H273,6)="Google"),IF(AG273=3,"Lead calificado",IF(OR(AG273=4,AG273=5),"Tasación/visita",IF(OR(AG273=6,AG273=7),"Captación/oferta",IF(AG273=8,"Cierre","")))),"")</f>
        <v/>
      </c>
      <c r="AE273" s="32"/>
      <c r="AF273" s="32"/>
      <c r="AG273" s="37" t="n">
        <f aca="false">IF(R273="",0,IFERROR(MATCH(R273,Listas!$L$2:$L$50,0),0))</f>
        <v>0</v>
      </c>
    </row>
    <row r="274" customFormat="false" ht="15" hidden="false" customHeight="false" outlineLevel="0" collapsed="false">
      <c r="A274" s="30"/>
      <c r="B274" s="31"/>
      <c r="C274" s="32"/>
      <c r="D274" s="32"/>
      <c r="E274" s="33"/>
      <c r="F274" s="32"/>
      <c r="G274" s="32"/>
      <c r="H274" s="32"/>
      <c r="I274" s="32"/>
      <c r="J274" s="32"/>
      <c r="K274" s="32"/>
      <c r="L274" s="32"/>
      <c r="M274" s="30"/>
      <c r="N274" s="32"/>
      <c r="O274" s="34"/>
      <c r="P274" s="32"/>
      <c r="Q274" s="32"/>
      <c r="R274" s="32"/>
      <c r="S274" s="32"/>
      <c r="T274" s="32"/>
      <c r="U274" s="32"/>
      <c r="V274" s="31"/>
      <c r="W274" s="35" t="str">
        <f aca="true">IF(OR(V274="",AG274&gt;=8),"",IF(V274&lt;TODAY(),"Vencida",IF(V274=TODAY(),"Hoy","")))</f>
        <v/>
      </c>
      <c r="X274" s="36" t="str">
        <f aca="false">IF(A274="","",IF(COUNTIF(Seguimiento!$B$2:$B$5001,A274)=0,"",_xlfn.MAXIFS(Seguimiento!$A$2:$A$5001,Seguimiento!$B$2:$B$5001,A274)))</f>
        <v/>
      </c>
      <c r="Y274" s="37" t="str">
        <f aca="true">IF(B274="","",TODAY()-B274)</f>
        <v/>
      </c>
      <c r="Z274" s="38" t="str">
        <f aca="false">IF(OR(O274="",G274=""),"",O274*IFERROR(INDEX(Listas!$B$2:$B$50,MATCH(G274,Listas!$A$2:$A$50,0)),0))</f>
        <v/>
      </c>
      <c r="AA274" s="32"/>
      <c r="AB274" s="32"/>
      <c r="AC274" s="32"/>
      <c r="AD274" s="35" t="str">
        <f aca="false">IF(OR(LEFT(H274,4)="Meta",LEFT(H274,6)="Google"),IF(AG274=3,"Lead calificado",IF(OR(AG274=4,AG274=5),"Tasación/visita",IF(OR(AG274=6,AG274=7),"Captación/oferta",IF(AG274=8,"Cierre","")))),"")</f>
        <v/>
      </c>
      <c r="AE274" s="32"/>
      <c r="AF274" s="32"/>
      <c r="AG274" s="37" t="n">
        <f aca="false">IF(R274="",0,IFERROR(MATCH(R274,Listas!$L$2:$L$50,0),0))</f>
        <v>0</v>
      </c>
    </row>
    <row r="275" customFormat="false" ht="15" hidden="false" customHeight="false" outlineLevel="0" collapsed="false">
      <c r="A275" s="30"/>
      <c r="B275" s="31"/>
      <c r="C275" s="32"/>
      <c r="D275" s="32"/>
      <c r="E275" s="33"/>
      <c r="F275" s="32"/>
      <c r="G275" s="32"/>
      <c r="H275" s="32"/>
      <c r="I275" s="32"/>
      <c r="J275" s="32"/>
      <c r="K275" s="32"/>
      <c r="L275" s="32"/>
      <c r="M275" s="30"/>
      <c r="N275" s="32"/>
      <c r="O275" s="34"/>
      <c r="P275" s="32"/>
      <c r="Q275" s="32"/>
      <c r="R275" s="32"/>
      <c r="S275" s="32"/>
      <c r="T275" s="32"/>
      <c r="U275" s="32"/>
      <c r="V275" s="31"/>
      <c r="W275" s="35" t="str">
        <f aca="true">IF(OR(V275="",AG275&gt;=8),"",IF(V275&lt;TODAY(),"Vencida",IF(V275=TODAY(),"Hoy","")))</f>
        <v/>
      </c>
      <c r="X275" s="36" t="str">
        <f aca="false">IF(A275="","",IF(COUNTIF(Seguimiento!$B$2:$B$5001,A275)=0,"",_xlfn.MAXIFS(Seguimiento!$A$2:$A$5001,Seguimiento!$B$2:$B$5001,A275)))</f>
        <v/>
      </c>
      <c r="Y275" s="37" t="str">
        <f aca="true">IF(B275="","",TODAY()-B275)</f>
        <v/>
      </c>
      <c r="Z275" s="38" t="str">
        <f aca="false">IF(OR(O275="",G275=""),"",O275*IFERROR(INDEX(Listas!$B$2:$B$50,MATCH(G275,Listas!$A$2:$A$50,0)),0))</f>
        <v/>
      </c>
      <c r="AA275" s="32"/>
      <c r="AB275" s="32"/>
      <c r="AC275" s="32"/>
      <c r="AD275" s="35" t="str">
        <f aca="false">IF(OR(LEFT(H275,4)="Meta",LEFT(H275,6)="Google"),IF(AG275=3,"Lead calificado",IF(OR(AG275=4,AG275=5),"Tasación/visita",IF(OR(AG275=6,AG275=7),"Captación/oferta",IF(AG275=8,"Cierre","")))),"")</f>
        <v/>
      </c>
      <c r="AE275" s="32"/>
      <c r="AF275" s="32"/>
      <c r="AG275" s="37" t="n">
        <f aca="false">IF(R275="",0,IFERROR(MATCH(R275,Listas!$L$2:$L$50,0),0))</f>
        <v>0</v>
      </c>
    </row>
    <row r="276" customFormat="false" ht="15" hidden="false" customHeight="false" outlineLevel="0" collapsed="false">
      <c r="A276" s="30"/>
      <c r="B276" s="31"/>
      <c r="C276" s="32"/>
      <c r="D276" s="32"/>
      <c r="E276" s="33"/>
      <c r="F276" s="32"/>
      <c r="G276" s="32"/>
      <c r="H276" s="32"/>
      <c r="I276" s="32"/>
      <c r="J276" s="32"/>
      <c r="K276" s="32"/>
      <c r="L276" s="32"/>
      <c r="M276" s="30"/>
      <c r="N276" s="32"/>
      <c r="O276" s="34"/>
      <c r="P276" s="32"/>
      <c r="Q276" s="32"/>
      <c r="R276" s="32"/>
      <c r="S276" s="32"/>
      <c r="T276" s="32"/>
      <c r="U276" s="32"/>
      <c r="V276" s="31"/>
      <c r="W276" s="35" t="str">
        <f aca="true">IF(OR(V276="",AG276&gt;=8),"",IF(V276&lt;TODAY(),"Vencida",IF(V276=TODAY(),"Hoy","")))</f>
        <v/>
      </c>
      <c r="X276" s="36" t="str">
        <f aca="false">IF(A276="","",IF(COUNTIF(Seguimiento!$B$2:$B$5001,A276)=0,"",_xlfn.MAXIFS(Seguimiento!$A$2:$A$5001,Seguimiento!$B$2:$B$5001,A276)))</f>
        <v/>
      </c>
      <c r="Y276" s="37" t="str">
        <f aca="true">IF(B276="","",TODAY()-B276)</f>
        <v/>
      </c>
      <c r="Z276" s="38" t="str">
        <f aca="false">IF(OR(O276="",G276=""),"",O276*IFERROR(INDEX(Listas!$B$2:$B$50,MATCH(G276,Listas!$A$2:$A$50,0)),0))</f>
        <v/>
      </c>
      <c r="AA276" s="32"/>
      <c r="AB276" s="32"/>
      <c r="AC276" s="32"/>
      <c r="AD276" s="35" t="str">
        <f aca="false">IF(OR(LEFT(H276,4)="Meta",LEFT(H276,6)="Google"),IF(AG276=3,"Lead calificado",IF(OR(AG276=4,AG276=5),"Tasación/visita",IF(OR(AG276=6,AG276=7),"Captación/oferta",IF(AG276=8,"Cierre","")))),"")</f>
        <v/>
      </c>
      <c r="AE276" s="32"/>
      <c r="AF276" s="32"/>
      <c r="AG276" s="37" t="n">
        <f aca="false">IF(R276="",0,IFERROR(MATCH(R276,Listas!$L$2:$L$50,0),0))</f>
        <v>0</v>
      </c>
    </row>
    <row r="277" customFormat="false" ht="15" hidden="false" customHeight="false" outlineLevel="0" collapsed="false">
      <c r="A277" s="30"/>
      <c r="B277" s="31"/>
      <c r="C277" s="32"/>
      <c r="D277" s="32"/>
      <c r="E277" s="33"/>
      <c r="F277" s="32"/>
      <c r="G277" s="32"/>
      <c r="H277" s="32"/>
      <c r="I277" s="32"/>
      <c r="J277" s="32"/>
      <c r="K277" s="32"/>
      <c r="L277" s="32"/>
      <c r="M277" s="30"/>
      <c r="N277" s="32"/>
      <c r="O277" s="34"/>
      <c r="P277" s="32"/>
      <c r="Q277" s="32"/>
      <c r="R277" s="32"/>
      <c r="S277" s="32"/>
      <c r="T277" s="32"/>
      <c r="U277" s="32"/>
      <c r="V277" s="31"/>
      <c r="W277" s="35" t="str">
        <f aca="true">IF(OR(V277="",AG277&gt;=8),"",IF(V277&lt;TODAY(),"Vencida",IF(V277=TODAY(),"Hoy","")))</f>
        <v/>
      </c>
      <c r="X277" s="36" t="str">
        <f aca="false">IF(A277="","",IF(COUNTIF(Seguimiento!$B$2:$B$5001,A277)=0,"",_xlfn.MAXIFS(Seguimiento!$A$2:$A$5001,Seguimiento!$B$2:$B$5001,A277)))</f>
        <v/>
      </c>
      <c r="Y277" s="37" t="str">
        <f aca="true">IF(B277="","",TODAY()-B277)</f>
        <v/>
      </c>
      <c r="Z277" s="38" t="str">
        <f aca="false">IF(OR(O277="",G277=""),"",O277*IFERROR(INDEX(Listas!$B$2:$B$50,MATCH(G277,Listas!$A$2:$A$50,0)),0))</f>
        <v/>
      </c>
      <c r="AA277" s="32"/>
      <c r="AB277" s="32"/>
      <c r="AC277" s="32"/>
      <c r="AD277" s="35" t="str">
        <f aca="false">IF(OR(LEFT(H277,4)="Meta",LEFT(H277,6)="Google"),IF(AG277=3,"Lead calificado",IF(OR(AG277=4,AG277=5),"Tasación/visita",IF(OR(AG277=6,AG277=7),"Captación/oferta",IF(AG277=8,"Cierre","")))),"")</f>
        <v/>
      </c>
      <c r="AE277" s="32"/>
      <c r="AF277" s="32"/>
      <c r="AG277" s="37" t="n">
        <f aca="false">IF(R277="",0,IFERROR(MATCH(R277,Listas!$L$2:$L$50,0),0))</f>
        <v>0</v>
      </c>
    </row>
    <row r="278" customFormat="false" ht="15" hidden="false" customHeight="false" outlineLevel="0" collapsed="false">
      <c r="A278" s="30"/>
      <c r="B278" s="31"/>
      <c r="C278" s="32"/>
      <c r="D278" s="32"/>
      <c r="E278" s="33"/>
      <c r="F278" s="32"/>
      <c r="G278" s="32"/>
      <c r="H278" s="32"/>
      <c r="I278" s="32"/>
      <c r="J278" s="32"/>
      <c r="K278" s="32"/>
      <c r="L278" s="32"/>
      <c r="M278" s="30"/>
      <c r="N278" s="32"/>
      <c r="O278" s="34"/>
      <c r="P278" s="32"/>
      <c r="Q278" s="32"/>
      <c r="R278" s="32"/>
      <c r="S278" s="32"/>
      <c r="T278" s="32"/>
      <c r="U278" s="32"/>
      <c r="V278" s="31"/>
      <c r="W278" s="35" t="str">
        <f aca="true">IF(OR(V278="",AG278&gt;=8),"",IF(V278&lt;TODAY(),"Vencida",IF(V278=TODAY(),"Hoy","")))</f>
        <v/>
      </c>
      <c r="X278" s="36" t="str">
        <f aca="false">IF(A278="","",IF(COUNTIF(Seguimiento!$B$2:$B$5001,A278)=0,"",_xlfn.MAXIFS(Seguimiento!$A$2:$A$5001,Seguimiento!$B$2:$B$5001,A278)))</f>
        <v/>
      </c>
      <c r="Y278" s="37" t="str">
        <f aca="true">IF(B278="","",TODAY()-B278)</f>
        <v/>
      </c>
      <c r="Z278" s="38" t="str">
        <f aca="false">IF(OR(O278="",G278=""),"",O278*IFERROR(INDEX(Listas!$B$2:$B$50,MATCH(G278,Listas!$A$2:$A$50,0)),0))</f>
        <v/>
      </c>
      <c r="AA278" s="32"/>
      <c r="AB278" s="32"/>
      <c r="AC278" s="32"/>
      <c r="AD278" s="35" t="str">
        <f aca="false">IF(OR(LEFT(H278,4)="Meta",LEFT(H278,6)="Google"),IF(AG278=3,"Lead calificado",IF(OR(AG278=4,AG278=5),"Tasación/visita",IF(OR(AG278=6,AG278=7),"Captación/oferta",IF(AG278=8,"Cierre","")))),"")</f>
        <v/>
      </c>
      <c r="AE278" s="32"/>
      <c r="AF278" s="32"/>
      <c r="AG278" s="37" t="n">
        <f aca="false">IF(R278="",0,IFERROR(MATCH(R278,Listas!$L$2:$L$50,0),0))</f>
        <v>0</v>
      </c>
    </row>
    <row r="279" customFormat="false" ht="15" hidden="false" customHeight="false" outlineLevel="0" collapsed="false">
      <c r="A279" s="30"/>
      <c r="B279" s="31"/>
      <c r="C279" s="32"/>
      <c r="D279" s="32"/>
      <c r="E279" s="33"/>
      <c r="F279" s="32"/>
      <c r="G279" s="32"/>
      <c r="H279" s="32"/>
      <c r="I279" s="32"/>
      <c r="J279" s="32"/>
      <c r="K279" s="32"/>
      <c r="L279" s="32"/>
      <c r="M279" s="30"/>
      <c r="N279" s="32"/>
      <c r="O279" s="34"/>
      <c r="P279" s="32"/>
      <c r="Q279" s="32"/>
      <c r="R279" s="32"/>
      <c r="S279" s="32"/>
      <c r="T279" s="32"/>
      <c r="U279" s="32"/>
      <c r="V279" s="31"/>
      <c r="W279" s="35" t="str">
        <f aca="true">IF(OR(V279="",AG279&gt;=8),"",IF(V279&lt;TODAY(),"Vencida",IF(V279=TODAY(),"Hoy","")))</f>
        <v/>
      </c>
      <c r="X279" s="36" t="str">
        <f aca="false">IF(A279="","",IF(COUNTIF(Seguimiento!$B$2:$B$5001,A279)=0,"",_xlfn.MAXIFS(Seguimiento!$A$2:$A$5001,Seguimiento!$B$2:$B$5001,A279)))</f>
        <v/>
      </c>
      <c r="Y279" s="37" t="str">
        <f aca="true">IF(B279="","",TODAY()-B279)</f>
        <v/>
      </c>
      <c r="Z279" s="38" t="str">
        <f aca="false">IF(OR(O279="",G279=""),"",O279*IFERROR(INDEX(Listas!$B$2:$B$50,MATCH(G279,Listas!$A$2:$A$50,0)),0))</f>
        <v/>
      </c>
      <c r="AA279" s="32"/>
      <c r="AB279" s="32"/>
      <c r="AC279" s="32"/>
      <c r="AD279" s="35" t="str">
        <f aca="false">IF(OR(LEFT(H279,4)="Meta",LEFT(H279,6)="Google"),IF(AG279=3,"Lead calificado",IF(OR(AG279=4,AG279=5),"Tasación/visita",IF(OR(AG279=6,AG279=7),"Captación/oferta",IF(AG279=8,"Cierre","")))),"")</f>
        <v/>
      </c>
      <c r="AE279" s="32"/>
      <c r="AF279" s="32"/>
      <c r="AG279" s="37" t="n">
        <f aca="false">IF(R279="",0,IFERROR(MATCH(R279,Listas!$L$2:$L$50,0),0))</f>
        <v>0</v>
      </c>
    </row>
    <row r="280" customFormat="false" ht="15" hidden="false" customHeight="false" outlineLevel="0" collapsed="false">
      <c r="A280" s="30"/>
      <c r="B280" s="31"/>
      <c r="C280" s="32"/>
      <c r="D280" s="32"/>
      <c r="E280" s="33"/>
      <c r="F280" s="32"/>
      <c r="G280" s="32"/>
      <c r="H280" s="32"/>
      <c r="I280" s="32"/>
      <c r="J280" s="32"/>
      <c r="K280" s="32"/>
      <c r="L280" s="32"/>
      <c r="M280" s="30"/>
      <c r="N280" s="32"/>
      <c r="O280" s="34"/>
      <c r="P280" s="32"/>
      <c r="Q280" s="32"/>
      <c r="R280" s="32"/>
      <c r="S280" s="32"/>
      <c r="T280" s="32"/>
      <c r="U280" s="32"/>
      <c r="V280" s="31"/>
      <c r="W280" s="35" t="str">
        <f aca="true">IF(OR(V280="",AG280&gt;=8),"",IF(V280&lt;TODAY(),"Vencida",IF(V280=TODAY(),"Hoy","")))</f>
        <v/>
      </c>
      <c r="X280" s="36" t="str">
        <f aca="false">IF(A280="","",IF(COUNTIF(Seguimiento!$B$2:$B$5001,A280)=0,"",_xlfn.MAXIFS(Seguimiento!$A$2:$A$5001,Seguimiento!$B$2:$B$5001,A280)))</f>
        <v/>
      </c>
      <c r="Y280" s="37" t="str">
        <f aca="true">IF(B280="","",TODAY()-B280)</f>
        <v/>
      </c>
      <c r="Z280" s="38" t="str">
        <f aca="false">IF(OR(O280="",G280=""),"",O280*IFERROR(INDEX(Listas!$B$2:$B$50,MATCH(G280,Listas!$A$2:$A$50,0)),0))</f>
        <v/>
      </c>
      <c r="AA280" s="32"/>
      <c r="AB280" s="32"/>
      <c r="AC280" s="32"/>
      <c r="AD280" s="35" t="str">
        <f aca="false">IF(OR(LEFT(H280,4)="Meta",LEFT(H280,6)="Google"),IF(AG280=3,"Lead calificado",IF(OR(AG280=4,AG280=5),"Tasación/visita",IF(OR(AG280=6,AG280=7),"Captación/oferta",IF(AG280=8,"Cierre","")))),"")</f>
        <v/>
      </c>
      <c r="AE280" s="32"/>
      <c r="AF280" s="32"/>
      <c r="AG280" s="37" t="n">
        <f aca="false">IF(R280="",0,IFERROR(MATCH(R280,Listas!$L$2:$L$50,0),0))</f>
        <v>0</v>
      </c>
    </row>
    <row r="281" customFormat="false" ht="15" hidden="false" customHeight="false" outlineLevel="0" collapsed="false">
      <c r="A281" s="30"/>
      <c r="B281" s="31"/>
      <c r="C281" s="32"/>
      <c r="D281" s="32"/>
      <c r="E281" s="33"/>
      <c r="F281" s="32"/>
      <c r="G281" s="32"/>
      <c r="H281" s="32"/>
      <c r="I281" s="32"/>
      <c r="J281" s="32"/>
      <c r="K281" s="32"/>
      <c r="L281" s="32"/>
      <c r="M281" s="30"/>
      <c r="N281" s="32"/>
      <c r="O281" s="34"/>
      <c r="P281" s="32"/>
      <c r="Q281" s="32"/>
      <c r="R281" s="32"/>
      <c r="S281" s="32"/>
      <c r="T281" s="32"/>
      <c r="U281" s="32"/>
      <c r="V281" s="31"/>
      <c r="W281" s="35" t="str">
        <f aca="true">IF(OR(V281="",AG281&gt;=8),"",IF(V281&lt;TODAY(),"Vencida",IF(V281=TODAY(),"Hoy","")))</f>
        <v/>
      </c>
      <c r="X281" s="36" t="str">
        <f aca="false">IF(A281="","",IF(COUNTIF(Seguimiento!$B$2:$B$5001,A281)=0,"",_xlfn.MAXIFS(Seguimiento!$A$2:$A$5001,Seguimiento!$B$2:$B$5001,A281)))</f>
        <v/>
      </c>
      <c r="Y281" s="37" t="str">
        <f aca="true">IF(B281="","",TODAY()-B281)</f>
        <v/>
      </c>
      <c r="Z281" s="38" t="str">
        <f aca="false">IF(OR(O281="",G281=""),"",O281*IFERROR(INDEX(Listas!$B$2:$B$50,MATCH(G281,Listas!$A$2:$A$50,0)),0))</f>
        <v/>
      </c>
      <c r="AA281" s="32"/>
      <c r="AB281" s="32"/>
      <c r="AC281" s="32"/>
      <c r="AD281" s="35" t="str">
        <f aca="false">IF(OR(LEFT(H281,4)="Meta",LEFT(H281,6)="Google"),IF(AG281=3,"Lead calificado",IF(OR(AG281=4,AG281=5),"Tasación/visita",IF(OR(AG281=6,AG281=7),"Captación/oferta",IF(AG281=8,"Cierre","")))),"")</f>
        <v/>
      </c>
      <c r="AE281" s="32"/>
      <c r="AF281" s="32"/>
      <c r="AG281" s="37" t="n">
        <f aca="false">IF(R281="",0,IFERROR(MATCH(R281,Listas!$L$2:$L$50,0),0))</f>
        <v>0</v>
      </c>
    </row>
    <row r="282" customFormat="false" ht="15" hidden="false" customHeight="false" outlineLevel="0" collapsed="false">
      <c r="A282" s="30"/>
      <c r="B282" s="31"/>
      <c r="C282" s="32"/>
      <c r="D282" s="32"/>
      <c r="E282" s="33"/>
      <c r="F282" s="32"/>
      <c r="G282" s="32"/>
      <c r="H282" s="32"/>
      <c r="I282" s="32"/>
      <c r="J282" s="32"/>
      <c r="K282" s="32"/>
      <c r="L282" s="32"/>
      <c r="M282" s="30"/>
      <c r="N282" s="32"/>
      <c r="O282" s="34"/>
      <c r="P282" s="32"/>
      <c r="Q282" s="32"/>
      <c r="R282" s="32"/>
      <c r="S282" s="32"/>
      <c r="T282" s="32"/>
      <c r="U282" s="32"/>
      <c r="V282" s="31"/>
      <c r="W282" s="35" t="str">
        <f aca="true">IF(OR(V282="",AG282&gt;=8),"",IF(V282&lt;TODAY(),"Vencida",IF(V282=TODAY(),"Hoy","")))</f>
        <v/>
      </c>
      <c r="X282" s="36" t="str">
        <f aca="false">IF(A282="","",IF(COUNTIF(Seguimiento!$B$2:$B$5001,A282)=0,"",_xlfn.MAXIFS(Seguimiento!$A$2:$A$5001,Seguimiento!$B$2:$B$5001,A282)))</f>
        <v/>
      </c>
      <c r="Y282" s="37" t="str">
        <f aca="true">IF(B282="","",TODAY()-B282)</f>
        <v/>
      </c>
      <c r="Z282" s="38" t="str">
        <f aca="false">IF(OR(O282="",G282=""),"",O282*IFERROR(INDEX(Listas!$B$2:$B$50,MATCH(G282,Listas!$A$2:$A$50,0)),0))</f>
        <v/>
      </c>
      <c r="AA282" s="32"/>
      <c r="AB282" s="32"/>
      <c r="AC282" s="32"/>
      <c r="AD282" s="35" t="str">
        <f aca="false">IF(OR(LEFT(H282,4)="Meta",LEFT(H282,6)="Google"),IF(AG282=3,"Lead calificado",IF(OR(AG282=4,AG282=5),"Tasación/visita",IF(OR(AG282=6,AG282=7),"Captación/oferta",IF(AG282=8,"Cierre","")))),"")</f>
        <v/>
      </c>
      <c r="AE282" s="32"/>
      <c r="AF282" s="32"/>
      <c r="AG282" s="37" t="n">
        <f aca="false">IF(R282="",0,IFERROR(MATCH(R282,Listas!$L$2:$L$50,0),0))</f>
        <v>0</v>
      </c>
    </row>
    <row r="283" customFormat="false" ht="15" hidden="false" customHeight="false" outlineLevel="0" collapsed="false">
      <c r="A283" s="30"/>
      <c r="B283" s="31"/>
      <c r="C283" s="32"/>
      <c r="D283" s="32"/>
      <c r="E283" s="33"/>
      <c r="F283" s="32"/>
      <c r="G283" s="32"/>
      <c r="H283" s="32"/>
      <c r="I283" s="32"/>
      <c r="J283" s="32"/>
      <c r="K283" s="32"/>
      <c r="L283" s="32"/>
      <c r="M283" s="30"/>
      <c r="N283" s="32"/>
      <c r="O283" s="34"/>
      <c r="P283" s="32"/>
      <c r="Q283" s="32"/>
      <c r="R283" s="32"/>
      <c r="S283" s="32"/>
      <c r="T283" s="32"/>
      <c r="U283" s="32"/>
      <c r="V283" s="31"/>
      <c r="W283" s="35" t="str">
        <f aca="true">IF(OR(V283="",AG283&gt;=8),"",IF(V283&lt;TODAY(),"Vencida",IF(V283=TODAY(),"Hoy","")))</f>
        <v/>
      </c>
      <c r="X283" s="36" t="str">
        <f aca="false">IF(A283="","",IF(COUNTIF(Seguimiento!$B$2:$B$5001,A283)=0,"",_xlfn.MAXIFS(Seguimiento!$A$2:$A$5001,Seguimiento!$B$2:$B$5001,A283)))</f>
        <v/>
      </c>
      <c r="Y283" s="37" t="str">
        <f aca="true">IF(B283="","",TODAY()-B283)</f>
        <v/>
      </c>
      <c r="Z283" s="38" t="str">
        <f aca="false">IF(OR(O283="",G283=""),"",O283*IFERROR(INDEX(Listas!$B$2:$B$50,MATCH(G283,Listas!$A$2:$A$50,0)),0))</f>
        <v/>
      </c>
      <c r="AA283" s="32"/>
      <c r="AB283" s="32"/>
      <c r="AC283" s="32"/>
      <c r="AD283" s="35" t="str">
        <f aca="false">IF(OR(LEFT(H283,4)="Meta",LEFT(H283,6)="Google"),IF(AG283=3,"Lead calificado",IF(OR(AG283=4,AG283=5),"Tasación/visita",IF(OR(AG283=6,AG283=7),"Captación/oferta",IF(AG283=8,"Cierre","")))),"")</f>
        <v/>
      </c>
      <c r="AE283" s="32"/>
      <c r="AF283" s="32"/>
      <c r="AG283" s="37" t="n">
        <f aca="false">IF(R283="",0,IFERROR(MATCH(R283,Listas!$L$2:$L$50,0),0))</f>
        <v>0</v>
      </c>
    </row>
    <row r="284" customFormat="false" ht="15" hidden="false" customHeight="false" outlineLevel="0" collapsed="false">
      <c r="A284" s="30"/>
      <c r="B284" s="31"/>
      <c r="C284" s="32"/>
      <c r="D284" s="32"/>
      <c r="E284" s="33"/>
      <c r="F284" s="32"/>
      <c r="G284" s="32"/>
      <c r="H284" s="32"/>
      <c r="I284" s="32"/>
      <c r="J284" s="32"/>
      <c r="K284" s="32"/>
      <c r="L284" s="32"/>
      <c r="M284" s="30"/>
      <c r="N284" s="32"/>
      <c r="O284" s="34"/>
      <c r="P284" s="32"/>
      <c r="Q284" s="32"/>
      <c r="R284" s="32"/>
      <c r="S284" s="32"/>
      <c r="T284" s="32"/>
      <c r="U284" s="32"/>
      <c r="V284" s="31"/>
      <c r="W284" s="35" t="str">
        <f aca="true">IF(OR(V284="",AG284&gt;=8),"",IF(V284&lt;TODAY(),"Vencida",IF(V284=TODAY(),"Hoy","")))</f>
        <v/>
      </c>
      <c r="X284" s="36" t="str">
        <f aca="false">IF(A284="","",IF(COUNTIF(Seguimiento!$B$2:$B$5001,A284)=0,"",_xlfn.MAXIFS(Seguimiento!$A$2:$A$5001,Seguimiento!$B$2:$B$5001,A284)))</f>
        <v/>
      </c>
      <c r="Y284" s="37" t="str">
        <f aca="true">IF(B284="","",TODAY()-B284)</f>
        <v/>
      </c>
      <c r="Z284" s="38" t="str">
        <f aca="false">IF(OR(O284="",G284=""),"",O284*IFERROR(INDEX(Listas!$B$2:$B$50,MATCH(G284,Listas!$A$2:$A$50,0)),0))</f>
        <v/>
      </c>
      <c r="AA284" s="32"/>
      <c r="AB284" s="32"/>
      <c r="AC284" s="32"/>
      <c r="AD284" s="35" t="str">
        <f aca="false">IF(OR(LEFT(H284,4)="Meta",LEFT(H284,6)="Google"),IF(AG284=3,"Lead calificado",IF(OR(AG284=4,AG284=5),"Tasación/visita",IF(OR(AG284=6,AG284=7),"Captación/oferta",IF(AG284=8,"Cierre","")))),"")</f>
        <v/>
      </c>
      <c r="AE284" s="32"/>
      <c r="AF284" s="32"/>
      <c r="AG284" s="37" t="n">
        <f aca="false">IF(R284="",0,IFERROR(MATCH(R284,Listas!$L$2:$L$50,0),0))</f>
        <v>0</v>
      </c>
    </row>
    <row r="285" customFormat="false" ht="15" hidden="false" customHeight="false" outlineLevel="0" collapsed="false">
      <c r="A285" s="30"/>
      <c r="B285" s="31"/>
      <c r="C285" s="32"/>
      <c r="D285" s="32"/>
      <c r="E285" s="33"/>
      <c r="F285" s="32"/>
      <c r="G285" s="32"/>
      <c r="H285" s="32"/>
      <c r="I285" s="32"/>
      <c r="J285" s="32"/>
      <c r="K285" s="32"/>
      <c r="L285" s="32"/>
      <c r="M285" s="30"/>
      <c r="N285" s="32"/>
      <c r="O285" s="34"/>
      <c r="P285" s="32"/>
      <c r="Q285" s="32"/>
      <c r="R285" s="32"/>
      <c r="S285" s="32"/>
      <c r="T285" s="32"/>
      <c r="U285" s="32"/>
      <c r="V285" s="31"/>
      <c r="W285" s="35" t="str">
        <f aca="true">IF(OR(V285="",AG285&gt;=8),"",IF(V285&lt;TODAY(),"Vencida",IF(V285=TODAY(),"Hoy","")))</f>
        <v/>
      </c>
      <c r="X285" s="36" t="str">
        <f aca="false">IF(A285="","",IF(COUNTIF(Seguimiento!$B$2:$B$5001,A285)=0,"",_xlfn.MAXIFS(Seguimiento!$A$2:$A$5001,Seguimiento!$B$2:$B$5001,A285)))</f>
        <v/>
      </c>
      <c r="Y285" s="37" t="str">
        <f aca="true">IF(B285="","",TODAY()-B285)</f>
        <v/>
      </c>
      <c r="Z285" s="38" t="str">
        <f aca="false">IF(OR(O285="",G285=""),"",O285*IFERROR(INDEX(Listas!$B$2:$B$50,MATCH(G285,Listas!$A$2:$A$50,0)),0))</f>
        <v/>
      </c>
      <c r="AA285" s="32"/>
      <c r="AB285" s="32"/>
      <c r="AC285" s="32"/>
      <c r="AD285" s="35" t="str">
        <f aca="false">IF(OR(LEFT(H285,4)="Meta",LEFT(H285,6)="Google"),IF(AG285=3,"Lead calificado",IF(OR(AG285=4,AG285=5),"Tasación/visita",IF(OR(AG285=6,AG285=7),"Captación/oferta",IF(AG285=8,"Cierre","")))),"")</f>
        <v/>
      </c>
      <c r="AE285" s="32"/>
      <c r="AF285" s="32"/>
      <c r="AG285" s="37" t="n">
        <f aca="false">IF(R285="",0,IFERROR(MATCH(R285,Listas!$L$2:$L$50,0),0))</f>
        <v>0</v>
      </c>
    </row>
    <row r="286" customFormat="false" ht="15" hidden="false" customHeight="false" outlineLevel="0" collapsed="false">
      <c r="A286" s="30"/>
      <c r="B286" s="31"/>
      <c r="C286" s="32"/>
      <c r="D286" s="32"/>
      <c r="E286" s="33"/>
      <c r="F286" s="32"/>
      <c r="G286" s="32"/>
      <c r="H286" s="32"/>
      <c r="I286" s="32"/>
      <c r="J286" s="32"/>
      <c r="K286" s="32"/>
      <c r="L286" s="32"/>
      <c r="M286" s="30"/>
      <c r="N286" s="32"/>
      <c r="O286" s="34"/>
      <c r="P286" s="32"/>
      <c r="Q286" s="32"/>
      <c r="R286" s="32"/>
      <c r="S286" s="32"/>
      <c r="T286" s="32"/>
      <c r="U286" s="32"/>
      <c r="V286" s="31"/>
      <c r="W286" s="35" t="str">
        <f aca="true">IF(OR(V286="",AG286&gt;=8),"",IF(V286&lt;TODAY(),"Vencida",IF(V286=TODAY(),"Hoy","")))</f>
        <v/>
      </c>
      <c r="X286" s="36" t="str">
        <f aca="false">IF(A286="","",IF(COUNTIF(Seguimiento!$B$2:$B$5001,A286)=0,"",_xlfn.MAXIFS(Seguimiento!$A$2:$A$5001,Seguimiento!$B$2:$B$5001,A286)))</f>
        <v/>
      </c>
      <c r="Y286" s="37" t="str">
        <f aca="true">IF(B286="","",TODAY()-B286)</f>
        <v/>
      </c>
      <c r="Z286" s="38" t="str">
        <f aca="false">IF(OR(O286="",G286=""),"",O286*IFERROR(INDEX(Listas!$B$2:$B$50,MATCH(G286,Listas!$A$2:$A$50,0)),0))</f>
        <v/>
      </c>
      <c r="AA286" s="32"/>
      <c r="AB286" s="32"/>
      <c r="AC286" s="32"/>
      <c r="AD286" s="35" t="str">
        <f aca="false">IF(OR(LEFT(H286,4)="Meta",LEFT(H286,6)="Google"),IF(AG286=3,"Lead calificado",IF(OR(AG286=4,AG286=5),"Tasación/visita",IF(OR(AG286=6,AG286=7),"Captación/oferta",IF(AG286=8,"Cierre","")))),"")</f>
        <v/>
      </c>
      <c r="AE286" s="32"/>
      <c r="AF286" s="32"/>
      <c r="AG286" s="37" t="n">
        <f aca="false">IF(R286="",0,IFERROR(MATCH(R286,Listas!$L$2:$L$50,0),0))</f>
        <v>0</v>
      </c>
    </row>
    <row r="287" customFormat="false" ht="15" hidden="false" customHeight="false" outlineLevel="0" collapsed="false">
      <c r="A287" s="30"/>
      <c r="B287" s="31"/>
      <c r="C287" s="32"/>
      <c r="D287" s="32"/>
      <c r="E287" s="33"/>
      <c r="F287" s="32"/>
      <c r="G287" s="32"/>
      <c r="H287" s="32"/>
      <c r="I287" s="32"/>
      <c r="J287" s="32"/>
      <c r="K287" s="32"/>
      <c r="L287" s="32"/>
      <c r="M287" s="30"/>
      <c r="N287" s="32"/>
      <c r="O287" s="34"/>
      <c r="P287" s="32"/>
      <c r="Q287" s="32"/>
      <c r="R287" s="32"/>
      <c r="S287" s="32"/>
      <c r="T287" s="32"/>
      <c r="U287" s="32"/>
      <c r="V287" s="31"/>
      <c r="W287" s="35" t="str">
        <f aca="true">IF(OR(V287="",AG287&gt;=8),"",IF(V287&lt;TODAY(),"Vencida",IF(V287=TODAY(),"Hoy","")))</f>
        <v/>
      </c>
      <c r="X287" s="36" t="str">
        <f aca="false">IF(A287="","",IF(COUNTIF(Seguimiento!$B$2:$B$5001,A287)=0,"",_xlfn.MAXIFS(Seguimiento!$A$2:$A$5001,Seguimiento!$B$2:$B$5001,A287)))</f>
        <v/>
      </c>
      <c r="Y287" s="37" t="str">
        <f aca="true">IF(B287="","",TODAY()-B287)</f>
        <v/>
      </c>
      <c r="Z287" s="38" t="str">
        <f aca="false">IF(OR(O287="",G287=""),"",O287*IFERROR(INDEX(Listas!$B$2:$B$50,MATCH(G287,Listas!$A$2:$A$50,0)),0))</f>
        <v/>
      </c>
      <c r="AA287" s="32"/>
      <c r="AB287" s="32"/>
      <c r="AC287" s="32"/>
      <c r="AD287" s="35" t="str">
        <f aca="false">IF(OR(LEFT(H287,4)="Meta",LEFT(H287,6)="Google"),IF(AG287=3,"Lead calificado",IF(OR(AG287=4,AG287=5),"Tasación/visita",IF(OR(AG287=6,AG287=7),"Captación/oferta",IF(AG287=8,"Cierre","")))),"")</f>
        <v/>
      </c>
      <c r="AE287" s="32"/>
      <c r="AF287" s="32"/>
      <c r="AG287" s="37" t="n">
        <f aca="false">IF(R287="",0,IFERROR(MATCH(R287,Listas!$L$2:$L$50,0),0))</f>
        <v>0</v>
      </c>
    </row>
    <row r="288" customFormat="false" ht="15" hidden="false" customHeight="false" outlineLevel="0" collapsed="false">
      <c r="A288" s="30"/>
      <c r="B288" s="31"/>
      <c r="C288" s="32"/>
      <c r="D288" s="32"/>
      <c r="E288" s="33"/>
      <c r="F288" s="32"/>
      <c r="G288" s="32"/>
      <c r="H288" s="32"/>
      <c r="I288" s="32"/>
      <c r="J288" s="32"/>
      <c r="K288" s="32"/>
      <c r="L288" s="32"/>
      <c r="M288" s="30"/>
      <c r="N288" s="32"/>
      <c r="O288" s="34"/>
      <c r="P288" s="32"/>
      <c r="Q288" s="32"/>
      <c r="R288" s="32"/>
      <c r="S288" s="32"/>
      <c r="T288" s="32"/>
      <c r="U288" s="32"/>
      <c r="V288" s="31"/>
      <c r="W288" s="35" t="str">
        <f aca="true">IF(OR(V288="",AG288&gt;=8),"",IF(V288&lt;TODAY(),"Vencida",IF(V288=TODAY(),"Hoy","")))</f>
        <v/>
      </c>
      <c r="X288" s="36" t="str">
        <f aca="false">IF(A288="","",IF(COUNTIF(Seguimiento!$B$2:$B$5001,A288)=0,"",_xlfn.MAXIFS(Seguimiento!$A$2:$A$5001,Seguimiento!$B$2:$B$5001,A288)))</f>
        <v/>
      </c>
      <c r="Y288" s="37" t="str">
        <f aca="true">IF(B288="","",TODAY()-B288)</f>
        <v/>
      </c>
      <c r="Z288" s="38" t="str">
        <f aca="false">IF(OR(O288="",G288=""),"",O288*IFERROR(INDEX(Listas!$B$2:$B$50,MATCH(G288,Listas!$A$2:$A$50,0)),0))</f>
        <v/>
      </c>
      <c r="AA288" s="32"/>
      <c r="AB288" s="32"/>
      <c r="AC288" s="32"/>
      <c r="AD288" s="35" t="str">
        <f aca="false">IF(OR(LEFT(H288,4)="Meta",LEFT(H288,6)="Google"),IF(AG288=3,"Lead calificado",IF(OR(AG288=4,AG288=5),"Tasación/visita",IF(OR(AG288=6,AG288=7),"Captación/oferta",IF(AG288=8,"Cierre","")))),"")</f>
        <v/>
      </c>
      <c r="AE288" s="32"/>
      <c r="AF288" s="32"/>
      <c r="AG288" s="37" t="n">
        <f aca="false">IF(R288="",0,IFERROR(MATCH(R288,Listas!$L$2:$L$50,0),0))</f>
        <v>0</v>
      </c>
    </row>
    <row r="289" customFormat="false" ht="15" hidden="false" customHeight="false" outlineLevel="0" collapsed="false">
      <c r="A289" s="30"/>
      <c r="B289" s="31"/>
      <c r="C289" s="32"/>
      <c r="D289" s="32"/>
      <c r="E289" s="33"/>
      <c r="F289" s="32"/>
      <c r="G289" s="32"/>
      <c r="H289" s="32"/>
      <c r="I289" s="32"/>
      <c r="J289" s="32"/>
      <c r="K289" s="32"/>
      <c r="L289" s="32"/>
      <c r="M289" s="30"/>
      <c r="N289" s="32"/>
      <c r="O289" s="34"/>
      <c r="P289" s="32"/>
      <c r="Q289" s="32"/>
      <c r="R289" s="32"/>
      <c r="S289" s="32"/>
      <c r="T289" s="32"/>
      <c r="U289" s="32"/>
      <c r="V289" s="31"/>
      <c r="W289" s="35" t="str">
        <f aca="true">IF(OR(V289="",AG289&gt;=8),"",IF(V289&lt;TODAY(),"Vencida",IF(V289=TODAY(),"Hoy","")))</f>
        <v/>
      </c>
      <c r="X289" s="36" t="str">
        <f aca="false">IF(A289="","",IF(COUNTIF(Seguimiento!$B$2:$B$5001,A289)=0,"",_xlfn.MAXIFS(Seguimiento!$A$2:$A$5001,Seguimiento!$B$2:$B$5001,A289)))</f>
        <v/>
      </c>
      <c r="Y289" s="37" t="str">
        <f aca="true">IF(B289="","",TODAY()-B289)</f>
        <v/>
      </c>
      <c r="Z289" s="38" t="str">
        <f aca="false">IF(OR(O289="",G289=""),"",O289*IFERROR(INDEX(Listas!$B$2:$B$50,MATCH(G289,Listas!$A$2:$A$50,0)),0))</f>
        <v/>
      </c>
      <c r="AA289" s="32"/>
      <c r="AB289" s="32"/>
      <c r="AC289" s="32"/>
      <c r="AD289" s="35" t="str">
        <f aca="false">IF(OR(LEFT(H289,4)="Meta",LEFT(H289,6)="Google"),IF(AG289=3,"Lead calificado",IF(OR(AG289=4,AG289=5),"Tasación/visita",IF(OR(AG289=6,AG289=7),"Captación/oferta",IF(AG289=8,"Cierre","")))),"")</f>
        <v/>
      </c>
      <c r="AE289" s="32"/>
      <c r="AF289" s="32"/>
      <c r="AG289" s="37" t="n">
        <f aca="false">IF(R289="",0,IFERROR(MATCH(R289,Listas!$L$2:$L$50,0),0))</f>
        <v>0</v>
      </c>
    </row>
    <row r="290" customFormat="false" ht="15" hidden="false" customHeight="false" outlineLevel="0" collapsed="false">
      <c r="A290" s="30"/>
      <c r="B290" s="31"/>
      <c r="C290" s="32"/>
      <c r="D290" s="32"/>
      <c r="E290" s="33"/>
      <c r="F290" s="32"/>
      <c r="G290" s="32"/>
      <c r="H290" s="32"/>
      <c r="I290" s="32"/>
      <c r="J290" s="32"/>
      <c r="K290" s="32"/>
      <c r="L290" s="32"/>
      <c r="M290" s="30"/>
      <c r="N290" s="32"/>
      <c r="O290" s="34"/>
      <c r="P290" s="32"/>
      <c r="Q290" s="32"/>
      <c r="R290" s="32"/>
      <c r="S290" s="32"/>
      <c r="T290" s="32"/>
      <c r="U290" s="32"/>
      <c r="V290" s="31"/>
      <c r="W290" s="35" t="str">
        <f aca="true">IF(OR(V290="",AG290&gt;=8),"",IF(V290&lt;TODAY(),"Vencida",IF(V290=TODAY(),"Hoy","")))</f>
        <v/>
      </c>
      <c r="X290" s="36" t="str">
        <f aca="false">IF(A290="","",IF(COUNTIF(Seguimiento!$B$2:$B$5001,A290)=0,"",_xlfn.MAXIFS(Seguimiento!$A$2:$A$5001,Seguimiento!$B$2:$B$5001,A290)))</f>
        <v/>
      </c>
      <c r="Y290" s="37" t="str">
        <f aca="true">IF(B290="","",TODAY()-B290)</f>
        <v/>
      </c>
      <c r="Z290" s="38" t="str">
        <f aca="false">IF(OR(O290="",G290=""),"",O290*IFERROR(INDEX(Listas!$B$2:$B$50,MATCH(G290,Listas!$A$2:$A$50,0)),0))</f>
        <v/>
      </c>
      <c r="AA290" s="32"/>
      <c r="AB290" s="32"/>
      <c r="AC290" s="32"/>
      <c r="AD290" s="35" t="str">
        <f aca="false">IF(OR(LEFT(H290,4)="Meta",LEFT(H290,6)="Google"),IF(AG290=3,"Lead calificado",IF(OR(AG290=4,AG290=5),"Tasación/visita",IF(OR(AG290=6,AG290=7),"Captación/oferta",IF(AG290=8,"Cierre","")))),"")</f>
        <v/>
      </c>
      <c r="AE290" s="32"/>
      <c r="AF290" s="32"/>
      <c r="AG290" s="37" t="n">
        <f aca="false">IF(R290="",0,IFERROR(MATCH(R290,Listas!$L$2:$L$50,0),0))</f>
        <v>0</v>
      </c>
    </row>
    <row r="291" customFormat="false" ht="15" hidden="false" customHeight="false" outlineLevel="0" collapsed="false">
      <c r="A291" s="30"/>
      <c r="B291" s="31"/>
      <c r="C291" s="32"/>
      <c r="D291" s="32"/>
      <c r="E291" s="33"/>
      <c r="F291" s="32"/>
      <c r="G291" s="32"/>
      <c r="H291" s="32"/>
      <c r="I291" s="32"/>
      <c r="J291" s="32"/>
      <c r="K291" s="32"/>
      <c r="L291" s="32"/>
      <c r="M291" s="30"/>
      <c r="N291" s="32"/>
      <c r="O291" s="34"/>
      <c r="P291" s="32"/>
      <c r="Q291" s="32"/>
      <c r="R291" s="32"/>
      <c r="S291" s="32"/>
      <c r="T291" s="32"/>
      <c r="U291" s="32"/>
      <c r="V291" s="31"/>
      <c r="W291" s="35" t="str">
        <f aca="true">IF(OR(V291="",AG291&gt;=8),"",IF(V291&lt;TODAY(),"Vencida",IF(V291=TODAY(),"Hoy","")))</f>
        <v/>
      </c>
      <c r="X291" s="36" t="str">
        <f aca="false">IF(A291="","",IF(COUNTIF(Seguimiento!$B$2:$B$5001,A291)=0,"",_xlfn.MAXIFS(Seguimiento!$A$2:$A$5001,Seguimiento!$B$2:$B$5001,A291)))</f>
        <v/>
      </c>
      <c r="Y291" s="37" t="str">
        <f aca="true">IF(B291="","",TODAY()-B291)</f>
        <v/>
      </c>
      <c r="Z291" s="38" t="str">
        <f aca="false">IF(OR(O291="",G291=""),"",O291*IFERROR(INDEX(Listas!$B$2:$B$50,MATCH(G291,Listas!$A$2:$A$50,0)),0))</f>
        <v/>
      </c>
      <c r="AA291" s="32"/>
      <c r="AB291" s="32"/>
      <c r="AC291" s="32"/>
      <c r="AD291" s="35" t="str">
        <f aca="false">IF(OR(LEFT(H291,4)="Meta",LEFT(H291,6)="Google"),IF(AG291=3,"Lead calificado",IF(OR(AG291=4,AG291=5),"Tasación/visita",IF(OR(AG291=6,AG291=7),"Captación/oferta",IF(AG291=8,"Cierre","")))),"")</f>
        <v/>
      </c>
      <c r="AE291" s="32"/>
      <c r="AF291" s="32"/>
      <c r="AG291" s="37" t="n">
        <f aca="false">IF(R291="",0,IFERROR(MATCH(R291,Listas!$L$2:$L$50,0),0))</f>
        <v>0</v>
      </c>
    </row>
    <row r="292" customFormat="false" ht="15" hidden="false" customHeight="false" outlineLevel="0" collapsed="false">
      <c r="A292" s="30"/>
      <c r="B292" s="31"/>
      <c r="C292" s="32"/>
      <c r="D292" s="32"/>
      <c r="E292" s="33"/>
      <c r="F292" s="32"/>
      <c r="G292" s="32"/>
      <c r="H292" s="32"/>
      <c r="I292" s="32"/>
      <c r="J292" s="32"/>
      <c r="K292" s="32"/>
      <c r="L292" s="32"/>
      <c r="M292" s="30"/>
      <c r="N292" s="32"/>
      <c r="O292" s="34"/>
      <c r="P292" s="32"/>
      <c r="Q292" s="32"/>
      <c r="R292" s="32"/>
      <c r="S292" s="32"/>
      <c r="T292" s="32"/>
      <c r="U292" s="32"/>
      <c r="V292" s="31"/>
      <c r="W292" s="35" t="str">
        <f aca="true">IF(OR(V292="",AG292&gt;=8),"",IF(V292&lt;TODAY(),"Vencida",IF(V292=TODAY(),"Hoy","")))</f>
        <v/>
      </c>
      <c r="X292" s="36" t="str">
        <f aca="false">IF(A292="","",IF(COUNTIF(Seguimiento!$B$2:$B$5001,A292)=0,"",_xlfn.MAXIFS(Seguimiento!$A$2:$A$5001,Seguimiento!$B$2:$B$5001,A292)))</f>
        <v/>
      </c>
      <c r="Y292" s="37" t="str">
        <f aca="true">IF(B292="","",TODAY()-B292)</f>
        <v/>
      </c>
      <c r="Z292" s="38" t="str">
        <f aca="false">IF(OR(O292="",G292=""),"",O292*IFERROR(INDEX(Listas!$B$2:$B$50,MATCH(G292,Listas!$A$2:$A$50,0)),0))</f>
        <v/>
      </c>
      <c r="AA292" s="32"/>
      <c r="AB292" s="32"/>
      <c r="AC292" s="32"/>
      <c r="AD292" s="35" t="str">
        <f aca="false">IF(OR(LEFT(H292,4)="Meta",LEFT(H292,6)="Google"),IF(AG292=3,"Lead calificado",IF(OR(AG292=4,AG292=5),"Tasación/visita",IF(OR(AG292=6,AG292=7),"Captación/oferta",IF(AG292=8,"Cierre","")))),"")</f>
        <v/>
      </c>
      <c r="AE292" s="32"/>
      <c r="AF292" s="32"/>
      <c r="AG292" s="37" t="n">
        <f aca="false">IF(R292="",0,IFERROR(MATCH(R292,Listas!$L$2:$L$50,0),0))</f>
        <v>0</v>
      </c>
    </row>
    <row r="293" customFormat="false" ht="15" hidden="false" customHeight="false" outlineLevel="0" collapsed="false">
      <c r="A293" s="30"/>
      <c r="B293" s="31"/>
      <c r="C293" s="32"/>
      <c r="D293" s="32"/>
      <c r="E293" s="33"/>
      <c r="F293" s="32"/>
      <c r="G293" s="32"/>
      <c r="H293" s="32"/>
      <c r="I293" s="32"/>
      <c r="J293" s="32"/>
      <c r="K293" s="32"/>
      <c r="L293" s="32"/>
      <c r="M293" s="30"/>
      <c r="N293" s="32"/>
      <c r="O293" s="34"/>
      <c r="P293" s="32"/>
      <c r="Q293" s="32"/>
      <c r="R293" s="32"/>
      <c r="S293" s="32"/>
      <c r="T293" s="32"/>
      <c r="U293" s="32"/>
      <c r="V293" s="31"/>
      <c r="W293" s="35" t="str">
        <f aca="true">IF(OR(V293="",AG293&gt;=8),"",IF(V293&lt;TODAY(),"Vencida",IF(V293=TODAY(),"Hoy","")))</f>
        <v/>
      </c>
      <c r="X293" s="36" t="str">
        <f aca="false">IF(A293="","",IF(COUNTIF(Seguimiento!$B$2:$B$5001,A293)=0,"",_xlfn.MAXIFS(Seguimiento!$A$2:$A$5001,Seguimiento!$B$2:$B$5001,A293)))</f>
        <v/>
      </c>
      <c r="Y293" s="37" t="str">
        <f aca="true">IF(B293="","",TODAY()-B293)</f>
        <v/>
      </c>
      <c r="Z293" s="38" t="str">
        <f aca="false">IF(OR(O293="",G293=""),"",O293*IFERROR(INDEX(Listas!$B$2:$B$50,MATCH(G293,Listas!$A$2:$A$50,0)),0))</f>
        <v/>
      </c>
      <c r="AA293" s="32"/>
      <c r="AB293" s="32"/>
      <c r="AC293" s="32"/>
      <c r="AD293" s="35" t="str">
        <f aca="false">IF(OR(LEFT(H293,4)="Meta",LEFT(H293,6)="Google"),IF(AG293=3,"Lead calificado",IF(OR(AG293=4,AG293=5),"Tasación/visita",IF(OR(AG293=6,AG293=7),"Captación/oferta",IF(AG293=8,"Cierre","")))),"")</f>
        <v/>
      </c>
      <c r="AE293" s="32"/>
      <c r="AF293" s="32"/>
      <c r="AG293" s="37" t="n">
        <f aca="false">IF(R293="",0,IFERROR(MATCH(R293,Listas!$L$2:$L$50,0),0))</f>
        <v>0</v>
      </c>
    </row>
    <row r="294" customFormat="false" ht="15" hidden="false" customHeight="false" outlineLevel="0" collapsed="false">
      <c r="A294" s="30"/>
      <c r="B294" s="31"/>
      <c r="C294" s="32"/>
      <c r="D294" s="32"/>
      <c r="E294" s="33"/>
      <c r="F294" s="32"/>
      <c r="G294" s="32"/>
      <c r="H294" s="32"/>
      <c r="I294" s="32"/>
      <c r="J294" s="32"/>
      <c r="K294" s="32"/>
      <c r="L294" s="32"/>
      <c r="M294" s="30"/>
      <c r="N294" s="32"/>
      <c r="O294" s="34"/>
      <c r="P294" s="32"/>
      <c r="Q294" s="32"/>
      <c r="R294" s="32"/>
      <c r="S294" s="32"/>
      <c r="T294" s="32"/>
      <c r="U294" s="32"/>
      <c r="V294" s="31"/>
      <c r="W294" s="35" t="str">
        <f aca="true">IF(OR(V294="",AG294&gt;=8),"",IF(V294&lt;TODAY(),"Vencida",IF(V294=TODAY(),"Hoy","")))</f>
        <v/>
      </c>
      <c r="X294" s="36" t="str">
        <f aca="false">IF(A294="","",IF(COUNTIF(Seguimiento!$B$2:$B$5001,A294)=0,"",_xlfn.MAXIFS(Seguimiento!$A$2:$A$5001,Seguimiento!$B$2:$B$5001,A294)))</f>
        <v/>
      </c>
      <c r="Y294" s="37" t="str">
        <f aca="true">IF(B294="","",TODAY()-B294)</f>
        <v/>
      </c>
      <c r="Z294" s="38" t="str">
        <f aca="false">IF(OR(O294="",G294=""),"",O294*IFERROR(INDEX(Listas!$B$2:$B$50,MATCH(G294,Listas!$A$2:$A$50,0)),0))</f>
        <v/>
      </c>
      <c r="AA294" s="32"/>
      <c r="AB294" s="32"/>
      <c r="AC294" s="32"/>
      <c r="AD294" s="35" t="str">
        <f aca="false">IF(OR(LEFT(H294,4)="Meta",LEFT(H294,6)="Google"),IF(AG294=3,"Lead calificado",IF(OR(AG294=4,AG294=5),"Tasación/visita",IF(OR(AG294=6,AG294=7),"Captación/oferta",IF(AG294=8,"Cierre","")))),"")</f>
        <v/>
      </c>
      <c r="AE294" s="32"/>
      <c r="AF294" s="32"/>
      <c r="AG294" s="37" t="n">
        <f aca="false">IF(R294="",0,IFERROR(MATCH(R294,Listas!$L$2:$L$50,0),0))</f>
        <v>0</v>
      </c>
    </row>
    <row r="295" customFormat="false" ht="15" hidden="false" customHeight="false" outlineLevel="0" collapsed="false">
      <c r="A295" s="30"/>
      <c r="B295" s="31"/>
      <c r="C295" s="32"/>
      <c r="D295" s="32"/>
      <c r="E295" s="33"/>
      <c r="F295" s="32"/>
      <c r="G295" s="32"/>
      <c r="H295" s="32"/>
      <c r="I295" s="32"/>
      <c r="J295" s="32"/>
      <c r="K295" s="32"/>
      <c r="L295" s="32"/>
      <c r="M295" s="30"/>
      <c r="N295" s="32"/>
      <c r="O295" s="34"/>
      <c r="P295" s="32"/>
      <c r="Q295" s="32"/>
      <c r="R295" s="32"/>
      <c r="S295" s="32"/>
      <c r="T295" s="32"/>
      <c r="U295" s="32"/>
      <c r="V295" s="31"/>
      <c r="W295" s="35" t="str">
        <f aca="true">IF(OR(V295="",AG295&gt;=8),"",IF(V295&lt;TODAY(),"Vencida",IF(V295=TODAY(),"Hoy","")))</f>
        <v/>
      </c>
      <c r="X295" s="36" t="str">
        <f aca="false">IF(A295="","",IF(COUNTIF(Seguimiento!$B$2:$B$5001,A295)=0,"",_xlfn.MAXIFS(Seguimiento!$A$2:$A$5001,Seguimiento!$B$2:$B$5001,A295)))</f>
        <v/>
      </c>
      <c r="Y295" s="37" t="str">
        <f aca="true">IF(B295="","",TODAY()-B295)</f>
        <v/>
      </c>
      <c r="Z295" s="38" t="str">
        <f aca="false">IF(OR(O295="",G295=""),"",O295*IFERROR(INDEX(Listas!$B$2:$B$50,MATCH(G295,Listas!$A$2:$A$50,0)),0))</f>
        <v/>
      </c>
      <c r="AA295" s="32"/>
      <c r="AB295" s="32"/>
      <c r="AC295" s="32"/>
      <c r="AD295" s="35" t="str">
        <f aca="false">IF(OR(LEFT(H295,4)="Meta",LEFT(H295,6)="Google"),IF(AG295=3,"Lead calificado",IF(OR(AG295=4,AG295=5),"Tasación/visita",IF(OR(AG295=6,AG295=7),"Captación/oferta",IF(AG295=8,"Cierre","")))),"")</f>
        <v/>
      </c>
      <c r="AE295" s="32"/>
      <c r="AF295" s="32"/>
      <c r="AG295" s="37" t="n">
        <f aca="false">IF(R295="",0,IFERROR(MATCH(R295,Listas!$L$2:$L$50,0),0))</f>
        <v>0</v>
      </c>
    </row>
    <row r="296" customFormat="false" ht="15" hidden="false" customHeight="false" outlineLevel="0" collapsed="false">
      <c r="A296" s="30"/>
      <c r="B296" s="31"/>
      <c r="C296" s="32"/>
      <c r="D296" s="32"/>
      <c r="E296" s="33"/>
      <c r="F296" s="32"/>
      <c r="G296" s="32"/>
      <c r="H296" s="32"/>
      <c r="I296" s="32"/>
      <c r="J296" s="32"/>
      <c r="K296" s="32"/>
      <c r="L296" s="32"/>
      <c r="M296" s="30"/>
      <c r="N296" s="32"/>
      <c r="O296" s="34"/>
      <c r="P296" s="32"/>
      <c r="Q296" s="32"/>
      <c r="R296" s="32"/>
      <c r="S296" s="32"/>
      <c r="T296" s="32"/>
      <c r="U296" s="32"/>
      <c r="V296" s="31"/>
      <c r="W296" s="35" t="str">
        <f aca="true">IF(OR(V296="",AG296&gt;=8),"",IF(V296&lt;TODAY(),"Vencida",IF(V296=TODAY(),"Hoy","")))</f>
        <v/>
      </c>
      <c r="X296" s="36" t="str">
        <f aca="false">IF(A296="","",IF(COUNTIF(Seguimiento!$B$2:$B$5001,A296)=0,"",_xlfn.MAXIFS(Seguimiento!$A$2:$A$5001,Seguimiento!$B$2:$B$5001,A296)))</f>
        <v/>
      </c>
      <c r="Y296" s="37" t="str">
        <f aca="true">IF(B296="","",TODAY()-B296)</f>
        <v/>
      </c>
      <c r="Z296" s="38" t="str">
        <f aca="false">IF(OR(O296="",G296=""),"",O296*IFERROR(INDEX(Listas!$B$2:$B$50,MATCH(G296,Listas!$A$2:$A$50,0)),0))</f>
        <v/>
      </c>
      <c r="AA296" s="32"/>
      <c r="AB296" s="32"/>
      <c r="AC296" s="32"/>
      <c r="AD296" s="35" t="str">
        <f aca="false">IF(OR(LEFT(H296,4)="Meta",LEFT(H296,6)="Google"),IF(AG296=3,"Lead calificado",IF(OR(AG296=4,AG296=5),"Tasación/visita",IF(OR(AG296=6,AG296=7),"Captación/oferta",IF(AG296=8,"Cierre","")))),"")</f>
        <v/>
      </c>
      <c r="AE296" s="32"/>
      <c r="AF296" s="32"/>
      <c r="AG296" s="37" t="n">
        <f aca="false">IF(R296="",0,IFERROR(MATCH(R296,Listas!$L$2:$L$50,0),0))</f>
        <v>0</v>
      </c>
    </row>
    <row r="297" customFormat="false" ht="15" hidden="false" customHeight="false" outlineLevel="0" collapsed="false">
      <c r="A297" s="30"/>
      <c r="B297" s="31"/>
      <c r="C297" s="32"/>
      <c r="D297" s="32"/>
      <c r="E297" s="33"/>
      <c r="F297" s="32"/>
      <c r="G297" s="32"/>
      <c r="H297" s="32"/>
      <c r="I297" s="32"/>
      <c r="J297" s="32"/>
      <c r="K297" s="32"/>
      <c r="L297" s="32"/>
      <c r="M297" s="30"/>
      <c r="N297" s="32"/>
      <c r="O297" s="34"/>
      <c r="P297" s="32"/>
      <c r="Q297" s="32"/>
      <c r="R297" s="32"/>
      <c r="S297" s="32"/>
      <c r="T297" s="32"/>
      <c r="U297" s="32"/>
      <c r="V297" s="31"/>
      <c r="W297" s="35" t="str">
        <f aca="true">IF(OR(V297="",AG297&gt;=8),"",IF(V297&lt;TODAY(),"Vencida",IF(V297=TODAY(),"Hoy","")))</f>
        <v/>
      </c>
      <c r="X297" s="36" t="str">
        <f aca="false">IF(A297="","",IF(COUNTIF(Seguimiento!$B$2:$B$5001,A297)=0,"",_xlfn.MAXIFS(Seguimiento!$A$2:$A$5001,Seguimiento!$B$2:$B$5001,A297)))</f>
        <v/>
      </c>
      <c r="Y297" s="37" t="str">
        <f aca="true">IF(B297="","",TODAY()-B297)</f>
        <v/>
      </c>
      <c r="Z297" s="38" t="str">
        <f aca="false">IF(OR(O297="",G297=""),"",O297*IFERROR(INDEX(Listas!$B$2:$B$50,MATCH(G297,Listas!$A$2:$A$50,0)),0))</f>
        <v/>
      </c>
      <c r="AA297" s="32"/>
      <c r="AB297" s="32"/>
      <c r="AC297" s="32"/>
      <c r="AD297" s="35" t="str">
        <f aca="false">IF(OR(LEFT(H297,4)="Meta",LEFT(H297,6)="Google"),IF(AG297=3,"Lead calificado",IF(OR(AG297=4,AG297=5),"Tasación/visita",IF(OR(AG297=6,AG297=7),"Captación/oferta",IF(AG297=8,"Cierre","")))),"")</f>
        <v/>
      </c>
      <c r="AE297" s="32"/>
      <c r="AF297" s="32"/>
      <c r="AG297" s="37" t="n">
        <f aca="false">IF(R297="",0,IFERROR(MATCH(R297,Listas!$L$2:$L$50,0),0))</f>
        <v>0</v>
      </c>
    </row>
    <row r="298" customFormat="false" ht="15" hidden="false" customHeight="false" outlineLevel="0" collapsed="false">
      <c r="A298" s="30"/>
      <c r="B298" s="31"/>
      <c r="C298" s="32"/>
      <c r="D298" s="32"/>
      <c r="E298" s="33"/>
      <c r="F298" s="32"/>
      <c r="G298" s="32"/>
      <c r="H298" s="32"/>
      <c r="I298" s="32"/>
      <c r="J298" s="32"/>
      <c r="K298" s="32"/>
      <c r="L298" s="32"/>
      <c r="M298" s="30"/>
      <c r="N298" s="32"/>
      <c r="O298" s="34"/>
      <c r="P298" s="32"/>
      <c r="Q298" s="32"/>
      <c r="R298" s="32"/>
      <c r="S298" s="32"/>
      <c r="T298" s="32"/>
      <c r="U298" s="32"/>
      <c r="V298" s="31"/>
      <c r="W298" s="35" t="str">
        <f aca="true">IF(OR(V298="",AG298&gt;=8),"",IF(V298&lt;TODAY(),"Vencida",IF(V298=TODAY(),"Hoy","")))</f>
        <v/>
      </c>
      <c r="X298" s="36" t="str">
        <f aca="false">IF(A298="","",IF(COUNTIF(Seguimiento!$B$2:$B$5001,A298)=0,"",_xlfn.MAXIFS(Seguimiento!$A$2:$A$5001,Seguimiento!$B$2:$B$5001,A298)))</f>
        <v/>
      </c>
      <c r="Y298" s="37" t="str">
        <f aca="true">IF(B298="","",TODAY()-B298)</f>
        <v/>
      </c>
      <c r="Z298" s="38" t="str">
        <f aca="false">IF(OR(O298="",G298=""),"",O298*IFERROR(INDEX(Listas!$B$2:$B$50,MATCH(G298,Listas!$A$2:$A$50,0)),0))</f>
        <v/>
      </c>
      <c r="AA298" s="32"/>
      <c r="AB298" s="32"/>
      <c r="AC298" s="32"/>
      <c r="AD298" s="35" t="str">
        <f aca="false">IF(OR(LEFT(H298,4)="Meta",LEFT(H298,6)="Google"),IF(AG298=3,"Lead calificado",IF(OR(AG298=4,AG298=5),"Tasación/visita",IF(OR(AG298=6,AG298=7),"Captación/oferta",IF(AG298=8,"Cierre","")))),"")</f>
        <v/>
      </c>
      <c r="AE298" s="32"/>
      <c r="AF298" s="32"/>
      <c r="AG298" s="37" t="n">
        <f aca="false">IF(R298="",0,IFERROR(MATCH(R298,Listas!$L$2:$L$50,0),0))</f>
        <v>0</v>
      </c>
    </row>
    <row r="299" customFormat="false" ht="15" hidden="false" customHeight="false" outlineLevel="0" collapsed="false">
      <c r="A299" s="30"/>
      <c r="B299" s="31"/>
      <c r="C299" s="32"/>
      <c r="D299" s="32"/>
      <c r="E299" s="33"/>
      <c r="F299" s="32"/>
      <c r="G299" s="32"/>
      <c r="H299" s="32"/>
      <c r="I299" s="32"/>
      <c r="J299" s="32"/>
      <c r="K299" s="32"/>
      <c r="L299" s="32"/>
      <c r="M299" s="30"/>
      <c r="N299" s="32"/>
      <c r="O299" s="34"/>
      <c r="P299" s="32"/>
      <c r="Q299" s="32"/>
      <c r="R299" s="32"/>
      <c r="S299" s="32"/>
      <c r="T299" s="32"/>
      <c r="U299" s="32"/>
      <c r="V299" s="31"/>
      <c r="W299" s="35" t="str">
        <f aca="true">IF(OR(V299="",AG299&gt;=8),"",IF(V299&lt;TODAY(),"Vencida",IF(V299=TODAY(),"Hoy","")))</f>
        <v/>
      </c>
      <c r="X299" s="36" t="str">
        <f aca="false">IF(A299="","",IF(COUNTIF(Seguimiento!$B$2:$B$5001,A299)=0,"",_xlfn.MAXIFS(Seguimiento!$A$2:$A$5001,Seguimiento!$B$2:$B$5001,A299)))</f>
        <v/>
      </c>
      <c r="Y299" s="37" t="str">
        <f aca="true">IF(B299="","",TODAY()-B299)</f>
        <v/>
      </c>
      <c r="Z299" s="38" t="str">
        <f aca="false">IF(OR(O299="",G299=""),"",O299*IFERROR(INDEX(Listas!$B$2:$B$50,MATCH(G299,Listas!$A$2:$A$50,0)),0))</f>
        <v/>
      </c>
      <c r="AA299" s="32"/>
      <c r="AB299" s="32"/>
      <c r="AC299" s="32"/>
      <c r="AD299" s="35" t="str">
        <f aca="false">IF(OR(LEFT(H299,4)="Meta",LEFT(H299,6)="Google"),IF(AG299=3,"Lead calificado",IF(OR(AG299=4,AG299=5),"Tasación/visita",IF(OR(AG299=6,AG299=7),"Captación/oferta",IF(AG299=8,"Cierre","")))),"")</f>
        <v/>
      </c>
      <c r="AE299" s="32"/>
      <c r="AF299" s="32"/>
      <c r="AG299" s="37" t="n">
        <f aca="false">IF(R299="",0,IFERROR(MATCH(R299,Listas!$L$2:$L$50,0),0))</f>
        <v>0</v>
      </c>
    </row>
    <row r="300" customFormat="false" ht="15" hidden="false" customHeight="false" outlineLevel="0" collapsed="false">
      <c r="A300" s="30"/>
      <c r="B300" s="31"/>
      <c r="C300" s="32"/>
      <c r="D300" s="32"/>
      <c r="E300" s="33"/>
      <c r="F300" s="32"/>
      <c r="G300" s="32"/>
      <c r="H300" s="32"/>
      <c r="I300" s="32"/>
      <c r="J300" s="32"/>
      <c r="K300" s="32"/>
      <c r="L300" s="32"/>
      <c r="M300" s="30"/>
      <c r="N300" s="32"/>
      <c r="O300" s="34"/>
      <c r="P300" s="32"/>
      <c r="Q300" s="32"/>
      <c r="R300" s="32"/>
      <c r="S300" s="32"/>
      <c r="T300" s="32"/>
      <c r="U300" s="32"/>
      <c r="V300" s="31"/>
      <c r="W300" s="35" t="str">
        <f aca="true">IF(OR(V300="",AG300&gt;=8),"",IF(V300&lt;TODAY(),"Vencida",IF(V300=TODAY(),"Hoy","")))</f>
        <v/>
      </c>
      <c r="X300" s="36" t="str">
        <f aca="false">IF(A300="","",IF(COUNTIF(Seguimiento!$B$2:$B$5001,A300)=0,"",_xlfn.MAXIFS(Seguimiento!$A$2:$A$5001,Seguimiento!$B$2:$B$5001,A300)))</f>
        <v/>
      </c>
      <c r="Y300" s="37" t="str">
        <f aca="true">IF(B300="","",TODAY()-B300)</f>
        <v/>
      </c>
      <c r="Z300" s="38" t="str">
        <f aca="false">IF(OR(O300="",G300=""),"",O300*IFERROR(INDEX(Listas!$B$2:$B$50,MATCH(G300,Listas!$A$2:$A$50,0)),0))</f>
        <v/>
      </c>
      <c r="AA300" s="32"/>
      <c r="AB300" s="32"/>
      <c r="AC300" s="32"/>
      <c r="AD300" s="35" t="str">
        <f aca="false">IF(OR(LEFT(H300,4)="Meta",LEFT(H300,6)="Google"),IF(AG300=3,"Lead calificado",IF(OR(AG300=4,AG300=5),"Tasación/visita",IF(OR(AG300=6,AG300=7),"Captación/oferta",IF(AG300=8,"Cierre","")))),"")</f>
        <v/>
      </c>
      <c r="AE300" s="32"/>
      <c r="AF300" s="32"/>
      <c r="AG300" s="37" t="n">
        <f aca="false">IF(R300="",0,IFERROR(MATCH(R300,Listas!$L$2:$L$50,0),0))</f>
        <v>0</v>
      </c>
    </row>
    <row r="301" customFormat="false" ht="15" hidden="false" customHeight="false" outlineLevel="0" collapsed="false">
      <c r="A301" s="30"/>
      <c r="B301" s="31"/>
      <c r="C301" s="32"/>
      <c r="D301" s="32"/>
      <c r="E301" s="33"/>
      <c r="F301" s="32"/>
      <c r="G301" s="32"/>
      <c r="H301" s="32"/>
      <c r="I301" s="32"/>
      <c r="J301" s="32"/>
      <c r="K301" s="32"/>
      <c r="L301" s="32"/>
      <c r="M301" s="30"/>
      <c r="N301" s="32"/>
      <c r="O301" s="34"/>
      <c r="P301" s="32"/>
      <c r="Q301" s="32"/>
      <c r="R301" s="32"/>
      <c r="S301" s="32"/>
      <c r="T301" s="32"/>
      <c r="U301" s="32"/>
      <c r="V301" s="31"/>
      <c r="W301" s="35" t="str">
        <f aca="true">IF(OR(V301="",AG301&gt;=8),"",IF(V301&lt;TODAY(),"Vencida",IF(V301=TODAY(),"Hoy","")))</f>
        <v/>
      </c>
      <c r="X301" s="36" t="str">
        <f aca="false">IF(A301="","",IF(COUNTIF(Seguimiento!$B$2:$B$5001,A301)=0,"",_xlfn.MAXIFS(Seguimiento!$A$2:$A$5001,Seguimiento!$B$2:$B$5001,A301)))</f>
        <v/>
      </c>
      <c r="Y301" s="37" t="str">
        <f aca="true">IF(B301="","",TODAY()-B301)</f>
        <v/>
      </c>
      <c r="Z301" s="38" t="str">
        <f aca="false">IF(OR(O301="",G301=""),"",O301*IFERROR(INDEX(Listas!$B$2:$B$50,MATCH(G301,Listas!$A$2:$A$50,0)),0))</f>
        <v/>
      </c>
      <c r="AA301" s="32"/>
      <c r="AB301" s="32"/>
      <c r="AC301" s="32"/>
      <c r="AD301" s="35" t="str">
        <f aca="false">IF(OR(LEFT(H301,4)="Meta",LEFT(H301,6)="Google"),IF(AG301=3,"Lead calificado",IF(OR(AG301=4,AG301=5),"Tasación/visita",IF(OR(AG301=6,AG301=7),"Captación/oferta",IF(AG301=8,"Cierre","")))),"")</f>
        <v/>
      </c>
      <c r="AE301" s="32"/>
      <c r="AF301" s="32"/>
      <c r="AG301" s="37" t="n">
        <f aca="false">IF(R301="",0,IFERROR(MATCH(R301,Listas!$L$2:$L$50,0),0))</f>
        <v>0</v>
      </c>
    </row>
    <row r="302" customFormat="false" ht="15" hidden="false" customHeight="false" outlineLevel="0" collapsed="false">
      <c r="A302" s="30"/>
      <c r="B302" s="31"/>
      <c r="C302" s="32"/>
      <c r="D302" s="32"/>
      <c r="E302" s="33"/>
      <c r="F302" s="32"/>
      <c r="G302" s="32"/>
      <c r="H302" s="32"/>
      <c r="I302" s="32"/>
      <c r="J302" s="32"/>
      <c r="K302" s="32"/>
      <c r="L302" s="32"/>
      <c r="M302" s="30"/>
      <c r="N302" s="32"/>
      <c r="O302" s="34"/>
      <c r="P302" s="32"/>
      <c r="Q302" s="32"/>
      <c r="R302" s="32"/>
      <c r="S302" s="32"/>
      <c r="T302" s="32"/>
      <c r="U302" s="32"/>
      <c r="V302" s="31"/>
      <c r="W302" s="35" t="str">
        <f aca="true">IF(OR(V302="",AG302&gt;=8),"",IF(V302&lt;TODAY(),"Vencida",IF(V302=TODAY(),"Hoy","")))</f>
        <v/>
      </c>
      <c r="X302" s="36" t="str">
        <f aca="false">IF(A302="","",IF(COUNTIF(Seguimiento!$B$2:$B$5001,A302)=0,"",_xlfn.MAXIFS(Seguimiento!$A$2:$A$5001,Seguimiento!$B$2:$B$5001,A302)))</f>
        <v/>
      </c>
      <c r="Y302" s="37" t="str">
        <f aca="true">IF(B302="","",TODAY()-B302)</f>
        <v/>
      </c>
      <c r="Z302" s="38" t="str">
        <f aca="false">IF(OR(O302="",G302=""),"",O302*IFERROR(INDEX(Listas!$B$2:$B$50,MATCH(G302,Listas!$A$2:$A$50,0)),0))</f>
        <v/>
      </c>
      <c r="AA302" s="32"/>
      <c r="AB302" s="32"/>
      <c r="AC302" s="32"/>
      <c r="AD302" s="35" t="str">
        <f aca="false">IF(OR(LEFT(H302,4)="Meta",LEFT(H302,6)="Google"),IF(AG302=3,"Lead calificado",IF(OR(AG302=4,AG302=5),"Tasación/visita",IF(OR(AG302=6,AG302=7),"Captación/oferta",IF(AG302=8,"Cierre","")))),"")</f>
        <v/>
      </c>
      <c r="AE302" s="32"/>
      <c r="AF302" s="32"/>
      <c r="AG302" s="37" t="n">
        <f aca="false">IF(R302="",0,IFERROR(MATCH(R302,Listas!$L$2:$L$50,0),0))</f>
        <v>0</v>
      </c>
    </row>
    <row r="303" customFormat="false" ht="15" hidden="false" customHeight="false" outlineLevel="0" collapsed="false">
      <c r="A303" s="30"/>
      <c r="B303" s="31"/>
      <c r="C303" s="32"/>
      <c r="D303" s="32"/>
      <c r="E303" s="33"/>
      <c r="F303" s="32"/>
      <c r="G303" s="32"/>
      <c r="H303" s="32"/>
      <c r="I303" s="32"/>
      <c r="J303" s="32"/>
      <c r="K303" s="32"/>
      <c r="L303" s="32"/>
      <c r="M303" s="30"/>
      <c r="N303" s="32"/>
      <c r="O303" s="34"/>
      <c r="P303" s="32"/>
      <c r="Q303" s="32"/>
      <c r="R303" s="32"/>
      <c r="S303" s="32"/>
      <c r="T303" s="32"/>
      <c r="U303" s="32"/>
      <c r="V303" s="31"/>
      <c r="W303" s="35" t="str">
        <f aca="true">IF(OR(V303="",AG303&gt;=8),"",IF(V303&lt;TODAY(),"Vencida",IF(V303=TODAY(),"Hoy","")))</f>
        <v/>
      </c>
      <c r="X303" s="36" t="str">
        <f aca="false">IF(A303="","",IF(COUNTIF(Seguimiento!$B$2:$B$5001,A303)=0,"",_xlfn.MAXIFS(Seguimiento!$A$2:$A$5001,Seguimiento!$B$2:$B$5001,A303)))</f>
        <v/>
      </c>
      <c r="Y303" s="37" t="str">
        <f aca="true">IF(B303="","",TODAY()-B303)</f>
        <v/>
      </c>
      <c r="Z303" s="38" t="str">
        <f aca="false">IF(OR(O303="",G303=""),"",O303*IFERROR(INDEX(Listas!$B$2:$B$50,MATCH(G303,Listas!$A$2:$A$50,0)),0))</f>
        <v/>
      </c>
      <c r="AA303" s="32"/>
      <c r="AB303" s="32"/>
      <c r="AC303" s="32"/>
      <c r="AD303" s="35" t="str">
        <f aca="false">IF(OR(LEFT(H303,4)="Meta",LEFT(H303,6)="Google"),IF(AG303=3,"Lead calificado",IF(OR(AG303=4,AG303=5),"Tasación/visita",IF(OR(AG303=6,AG303=7),"Captación/oferta",IF(AG303=8,"Cierre","")))),"")</f>
        <v/>
      </c>
      <c r="AE303" s="32"/>
      <c r="AF303" s="32"/>
      <c r="AG303" s="37" t="n">
        <f aca="false">IF(R303="",0,IFERROR(MATCH(R303,Listas!$L$2:$L$50,0),0))</f>
        <v>0</v>
      </c>
    </row>
    <row r="304" customFormat="false" ht="15" hidden="false" customHeight="false" outlineLevel="0" collapsed="false">
      <c r="A304" s="30"/>
      <c r="B304" s="31"/>
      <c r="C304" s="32"/>
      <c r="D304" s="32"/>
      <c r="E304" s="33"/>
      <c r="F304" s="32"/>
      <c r="G304" s="32"/>
      <c r="H304" s="32"/>
      <c r="I304" s="32"/>
      <c r="J304" s="32"/>
      <c r="K304" s="32"/>
      <c r="L304" s="32"/>
      <c r="M304" s="30"/>
      <c r="N304" s="32"/>
      <c r="O304" s="34"/>
      <c r="P304" s="32"/>
      <c r="Q304" s="32"/>
      <c r="R304" s="32"/>
      <c r="S304" s="32"/>
      <c r="T304" s="32"/>
      <c r="U304" s="32"/>
      <c r="V304" s="31"/>
      <c r="W304" s="35" t="str">
        <f aca="true">IF(OR(V304="",AG304&gt;=8),"",IF(V304&lt;TODAY(),"Vencida",IF(V304=TODAY(),"Hoy","")))</f>
        <v/>
      </c>
      <c r="X304" s="36" t="str">
        <f aca="false">IF(A304="","",IF(COUNTIF(Seguimiento!$B$2:$B$5001,A304)=0,"",_xlfn.MAXIFS(Seguimiento!$A$2:$A$5001,Seguimiento!$B$2:$B$5001,A304)))</f>
        <v/>
      </c>
      <c r="Y304" s="37" t="str">
        <f aca="true">IF(B304="","",TODAY()-B304)</f>
        <v/>
      </c>
      <c r="Z304" s="38" t="str">
        <f aca="false">IF(OR(O304="",G304=""),"",O304*IFERROR(INDEX(Listas!$B$2:$B$50,MATCH(G304,Listas!$A$2:$A$50,0)),0))</f>
        <v/>
      </c>
      <c r="AA304" s="32"/>
      <c r="AB304" s="32"/>
      <c r="AC304" s="32"/>
      <c r="AD304" s="35" t="str">
        <f aca="false">IF(OR(LEFT(H304,4)="Meta",LEFT(H304,6)="Google"),IF(AG304=3,"Lead calificado",IF(OR(AG304=4,AG304=5),"Tasación/visita",IF(OR(AG304=6,AG304=7),"Captación/oferta",IF(AG304=8,"Cierre","")))),"")</f>
        <v/>
      </c>
      <c r="AE304" s="32"/>
      <c r="AF304" s="32"/>
      <c r="AG304" s="37" t="n">
        <f aca="false">IF(R304="",0,IFERROR(MATCH(R304,Listas!$L$2:$L$50,0),0))</f>
        <v>0</v>
      </c>
    </row>
    <row r="305" customFormat="false" ht="15" hidden="false" customHeight="false" outlineLevel="0" collapsed="false">
      <c r="A305" s="30"/>
      <c r="B305" s="31"/>
      <c r="C305" s="32"/>
      <c r="D305" s="32"/>
      <c r="E305" s="33"/>
      <c r="F305" s="32"/>
      <c r="G305" s="32"/>
      <c r="H305" s="32"/>
      <c r="I305" s="32"/>
      <c r="J305" s="32"/>
      <c r="K305" s="32"/>
      <c r="L305" s="32"/>
      <c r="M305" s="30"/>
      <c r="N305" s="32"/>
      <c r="O305" s="34"/>
      <c r="P305" s="32"/>
      <c r="Q305" s="32"/>
      <c r="R305" s="32"/>
      <c r="S305" s="32"/>
      <c r="T305" s="32"/>
      <c r="U305" s="32"/>
      <c r="V305" s="31"/>
      <c r="W305" s="35" t="str">
        <f aca="true">IF(OR(V305="",AG305&gt;=8),"",IF(V305&lt;TODAY(),"Vencida",IF(V305=TODAY(),"Hoy","")))</f>
        <v/>
      </c>
      <c r="X305" s="36" t="str">
        <f aca="false">IF(A305="","",IF(COUNTIF(Seguimiento!$B$2:$B$5001,A305)=0,"",_xlfn.MAXIFS(Seguimiento!$A$2:$A$5001,Seguimiento!$B$2:$B$5001,A305)))</f>
        <v/>
      </c>
      <c r="Y305" s="37" t="str">
        <f aca="true">IF(B305="","",TODAY()-B305)</f>
        <v/>
      </c>
      <c r="Z305" s="38" t="str">
        <f aca="false">IF(OR(O305="",G305=""),"",O305*IFERROR(INDEX(Listas!$B$2:$B$50,MATCH(G305,Listas!$A$2:$A$50,0)),0))</f>
        <v/>
      </c>
      <c r="AA305" s="32"/>
      <c r="AB305" s="32"/>
      <c r="AC305" s="32"/>
      <c r="AD305" s="35" t="str">
        <f aca="false">IF(OR(LEFT(H305,4)="Meta",LEFT(H305,6)="Google"),IF(AG305=3,"Lead calificado",IF(OR(AG305=4,AG305=5),"Tasación/visita",IF(OR(AG305=6,AG305=7),"Captación/oferta",IF(AG305=8,"Cierre","")))),"")</f>
        <v/>
      </c>
      <c r="AE305" s="32"/>
      <c r="AF305" s="32"/>
      <c r="AG305" s="37" t="n">
        <f aca="false">IF(R305="",0,IFERROR(MATCH(R305,Listas!$L$2:$L$50,0),0))</f>
        <v>0</v>
      </c>
    </row>
    <row r="306" customFormat="false" ht="15" hidden="false" customHeight="false" outlineLevel="0" collapsed="false">
      <c r="A306" s="30"/>
      <c r="B306" s="31"/>
      <c r="C306" s="32"/>
      <c r="D306" s="32"/>
      <c r="E306" s="33"/>
      <c r="F306" s="32"/>
      <c r="G306" s="32"/>
      <c r="H306" s="32"/>
      <c r="I306" s="32"/>
      <c r="J306" s="32"/>
      <c r="K306" s="32"/>
      <c r="L306" s="32"/>
      <c r="M306" s="30"/>
      <c r="N306" s="32"/>
      <c r="O306" s="34"/>
      <c r="P306" s="32"/>
      <c r="Q306" s="32"/>
      <c r="R306" s="32"/>
      <c r="S306" s="32"/>
      <c r="T306" s="32"/>
      <c r="U306" s="32"/>
      <c r="V306" s="31"/>
      <c r="W306" s="35" t="str">
        <f aca="true">IF(OR(V306="",AG306&gt;=8),"",IF(V306&lt;TODAY(),"Vencida",IF(V306=TODAY(),"Hoy","")))</f>
        <v/>
      </c>
      <c r="X306" s="36" t="str">
        <f aca="false">IF(A306="","",IF(COUNTIF(Seguimiento!$B$2:$B$5001,A306)=0,"",_xlfn.MAXIFS(Seguimiento!$A$2:$A$5001,Seguimiento!$B$2:$B$5001,A306)))</f>
        <v/>
      </c>
      <c r="Y306" s="37" t="str">
        <f aca="true">IF(B306="","",TODAY()-B306)</f>
        <v/>
      </c>
      <c r="Z306" s="38" t="str">
        <f aca="false">IF(OR(O306="",G306=""),"",O306*IFERROR(INDEX(Listas!$B$2:$B$50,MATCH(G306,Listas!$A$2:$A$50,0)),0))</f>
        <v/>
      </c>
      <c r="AA306" s="32"/>
      <c r="AB306" s="32"/>
      <c r="AC306" s="32"/>
      <c r="AD306" s="35" t="str">
        <f aca="false">IF(OR(LEFT(H306,4)="Meta",LEFT(H306,6)="Google"),IF(AG306=3,"Lead calificado",IF(OR(AG306=4,AG306=5),"Tasación/visita",IF(OR(AG306=6,AG306=7),"Captación/oferta",IF(AG306=8,"Cierre","")))),"")</f>
        <v/>
      </c>
      <c r="AE306" s="32"/>
      <c r="AF306" s="32"/>
      <c r="AG306" s="37" t="n">
        <f aca="false">IF(R306="",0,IFERROR(MATCH(R306,Listas!$L$2:$L$50,0),0))</f>
        <v>0</v>
      </c>
    </row>
    <row r="307" customFormat="false" ht="15" hidden="false" customHeight="false" outlineLevel="0" collapsed="false">
      <c r="A307" s="30"/>
      <c r="B307" s="31"/>
      <c r="C307" s="32"/>
      <c r="D307" s="32"/>
      <c r="E307" s="33"/>
      <c r="F307" s="32"/>
      <c r="G307" s="32"/>
      <c r="H307" s="32"/>
      <c r="I307" s="32"/>
      <c r="J307" s="32"/>
      <c r="K307" s="32"/>
      <c r="L307" s="32"/>
      <c r="M307" s="30"/>
      <c r="N307" s="32"/>
      <c r="O307" s="34"/>
      <c r="P307" s="32"/>
      <c r="Q307" s="32"/>
      <c r="R307" s="32"/>
      <c r="S307" s="32"/>
      <c r="T307" s="32"/>
      <c r="U307" s="32"/>
      <c r="V307" s="31"/>
      <c r="W307" s="35" t="str">
        <f aca="true">IF(OR(V307="",AG307&gt;=8),"",IF(V307&lt;TODAY(),"Vencida",IF(V307=TODAY(),"Hoy","")))</f>
        <v/>
      </c>
      <c r="X307" s="36" t="str">
        <f aca="false">IF(A307="","",IF(COUNTIF(Seguimiento!$B$2:$B$5001,A307)=0,"",_xlfn.MAXIFS(Seguimiento!$A$2:$A$5001,Seguimiento!$B$2:$B$5001,A307)))</f>
        <v/>
      </c>
      <c r="Y307" s="37" t="str">
        <f aca="true">IF(B307="","",TODAY()-B307)</f>
        <v/>
      </c>
      <c r="Z307" s="38" t="str">
        <f aca="false">IF(OR(O307="",G307=""),"",O307*IFERROR(INDEX(Listas!$B$2:$B$50,MATCH(G307,Listas!$A$2:$A$50,0)),0))</f>
        <v/>
      </c>
      <c r="AA307" s="32"/>
      <c r="AB307" s="32"/>
      <c r="AC307" s="32"/>
      <c r="AD307" s="35" t="str">
        <f aca="false">IF(OR(LEFT(H307,4)="Meta",LEFT(H307,6)="Google"),IF(AG307=3,"Lead calificado",IF(OR(AG307=4,AG307=5),"Tasación/visita",IF(OR(AG307=6,AG307=7),"Captación/oferta",IF(AG307=8,"Cierre","")))),"")</f>
        <v/>
      </c>
      <c r="AE307" s="32"/>
      <c r="AF307" s="32"/>
      <c r="AG307" s="37" t="n">
        <f aca="false">IF(R307="",0,IFERROR(MATCH(R307,Listas!$L$2:$L$50,0),0))</f>
        <v>0</v>
      </c>
    </row>
    <row r="308" customFormat="false" ht="15" hidden="false" customHeight="false" outlineLevel="0" collapsed="false">
      <c r="A308" s="30"/>
      <c r="B308" s="31"/>
      <c r="C308" s="32"/>
      <c r="D308" s="32"/>
      <c r="E308" s="33"/>
      <c r="F308" s="32"/>
      <c r="G308" s="32"/>
      <c r="H308" s="32"/>
      <c r="I308" s="32"/>
      <c r="J308" s="32"/>
      <c r="K308" s="32"/>
      <c r="L308" s="32"/>
      <c r="M308" s="30"/>
      <c r="N308" s="32"/>
      <c r="O308" s="34"/>
      <c r="P308" s="32"/>
      <c r="Q308" s="32"/>
      <c r="R308" s="32"/>
      <c r="S308" s="32"/>
      <c r="T308" s="32"/>
      <c r="U308" s="32"/>
      <c r="V308" s="31"/>
      <c r="W308" s="35" t="str">
        <f aca="true">IF(OR(V308="",AG308&gt;=8),"",IF(V308&lt;TODAY(),"Vencida",IF(V308=TODAY(),"Hoy","")))</f>
        <v/>
      </c>
      <c r="X308" s="36" t="str">
        <f aca="false">IF(A308="","",IF(COUNTIF(Seguimiento!$B$2:$B$5001,A308)=0,"",_xlfn.MAXIFS(Seguimiento!$A$2:$A$5001,Seguimiento!$B$2:$B$5001,A308)))</f>
        <v/>
      </c>
      <c r="Y308" s="37" t="str">
        <f aca="true">IF(B308="","",TODAY()-B308)</f>
        <v/>
      </c>
      <c r="Z308" s="38" t="str">
        <f aca="false">IF(OR(O308="",G308=""),"",O308*IFERROR(INDEX(Listas!$B$2:$B$50,MATCH(G308,Listas!$A$2:$A$50,0)),0))</f>
        <v/>
      </c>
      <c r="AA308" s="32"/>
      <c r="AB308" s="32"/>
      <c r="AC308" s="32"/>
      <c r="AD308" s="35" t="str">
        <f aca="false">IF(OR(LEFT(H308,4)="Meta",LEFT(H308,6)="Google"),IF(AG308=3,"Lead calificado",IF(OR(AG308=4,AG308=5),"Tasación/visita",IF(OR(AG308=6,AG308=7),"Captación/oferta",IF(AG308=8,"Cierre","")))),"")</f>
        <v/>
      </c>
      <c r="AE308" s="32"/>
      <c r="AF308" s="32"/>
      <c r="AG308" s="37" t="n">
        <f aca="false">IF(R308="",0,IFERROR(MATCH(R308,Listas!$L$2:$L$50,0),0))</f>
        <v>0</v>
      </c>
    </row>
    <row r="309" customFormat="false" ht="15" hidden="false" customHeight="false" outlineLevel="0" collapsed="false">
      <c r="A309" s="30"/>
      <c r="B309" s="31"/>
      <c r="C309" s="32"/>
      <c r="D309" s="32"/>
      <c r="E309" s="33"/>
      <c r="F309" s="32"/>
      <c r="G309" s="32"/>
      <c r="H309" s="32"/>
      <c r="I309" s="32"/>
      <c r="J309" s="32"/>
      <c r="K309" s="32"/>
      <c r="L309" s="32"/>
      <c r="M309" s="30"/>
      <c r="N309" s="32"/>
      <c r="O309" s="34"/>
      <c r="P309" s="32"/>
      <c r="Q309" s="32"/>
      <c r="R309" s="32"/>
      <c r="S309" s="32"/>
      <c r="T309" s="32"/>
      <c r="U309" s="32"/>
      <c r="V309" s="31"/>
      <c r="W309" s="35" t="str">
        <f aca="true">IF(OR(V309="",AG309&gt;=8),"",IF(V309&lt;TODAY(),"Vencida",IF(V309=TODAY(),"Hoy","")))</f>
        <v/>
      </c>
      <c r="X309" s="36" t="str">
        <f aca="false">IF(A309="","",IF(COUNTIF(Seguimiento!$B$2:$B$5001,A309)=0,"",_xlfn.MAXIFS(Seguimiento!$A$2:$A$5001,Seguimiento!$B$2:$B$5001,A309)))</f>
        <v/>
      </c>
      <c r="Y309" s="37" t="str">
        <f aca="true">IF(B309="","",TODAY()-B309)</f>
        <v/>
      </c>
      <c r="Z309" s="38" t="str">
        <f aca="false">IF(OR(O309="",G309=""),"",O309*IFERROR(INDEX(Listas!$B$2:$B$50,MATCH(G309,Listas!$A$2:$A$50,0)),0))</f>
        <v/>
      </c>
      <c r="AA309" s="32"/>
      <c r="AB309" s="32"/>
      <c r="AC309" s="32"/>
      <c r="AD309" s="35" t="str">
        <f aca="false">IF(OR(LEFT(H309,4)="Meta",LEFT(H309,6)="Google"),IF(AG309=3,"Lead calificado",IF(OR(AG309=4,AG309=5),"Tasación/visita",IF(OR(AG309=6,AG309=7),"Captación/oferta",IF(AG309=8,"Cierre","")))),"")</f>
        <v/>
      </c>
      <c r="AE309" s="32"/>
      <c r="AF309" s="32"/>
      <c r="AG309" s="37" t="n">
        <f aca="false">IF(R309="",0,IFERROR(MATCH(R309,Listas!$L$2:$L$50,0),0))</f>
        <v>0</v>
      </c>
    </row>
    <row r="310" customFormat="false" ht="15" hidden="false" customHeight="false" outlineLevel="0" collapsed="false">
      <c r="A310" s="30"/>
      <c r="B310" s="31"/>
      <c r="C310" s="32"/>
      <c r="D310" s="32"/>
      <c r="E310" s="33"/>
      <c r="F310" s="32"/>
      <c r="G310" s="32"/>
      <c r="H310" s="32"/>
      <c r="I310" s="32"/>
      <c r="J310" s="32"/>
      <c r="K310" s="32"/>
      <c r="L310" s="32"/>
      <c r="M310" s="30"/>
      <c r="N310" s="32"/>
      <c r="O310" s="34"/>
      <c r="P310" s="32"/>
      <c r="Q310" s="32"/>
      <c r="R310" s="32"/>
      <c r="S310" s="32"/>
      <c r="T310" s="32"/>
      <c r="U310" s="32"/>
      <c r="V310" s="31"/>
      <c r="W310" s="35" t="str">
        <f aca="true">IF(OR(V310="",AG310&gt;=8),"",IF(V310&lt;TODAY(),"Vencida",IF(V310=TODAY(),"Hoy","")))</f>
        <v/>
      </c>
      <c r="X310" s="36" t="str">
        <f aca="false">IF(A310="","",IF(COUNTIF(Seguimiento!$B$2:$B$5001,A310)=0,"",_xlfn.MAXIFS(Seguimiento!$A$2:$A$5001,Seguimiento!$B$2:$B$5001,A310)))</f>
        <v/>
      </c>
      <c r="Y310" s="37" t="str">
        <f aca="true">IF(B310="","",TODAY()-B310)</f>
        <v/>
      </c>
      <c r="Z310" s="38" t="str">
        <f aca="false">IF(OR(O310="",G310=""),"",O310*IFERROR(INDEX(Listas!$B$2:$B$50,MATCH(G310,Listas!$A$2:$A$50,0)),0))</f>
        <v/>
      </c>
      <c r="AA310" s="32"/>
      <c r="AB310" s="32"/>
      <c r="AC310" s="32"/>
      <c r="AD310" s="35" t="str">
        <f aca="false">IF(OR(LEFT(H310,4)="Meta",LEFT(H310,6)="Google"),IF(AG310=3,"Lead calificado",IF(OR(AG310=4,AG310=5),"Tasación/visita",IF(OR(AG310=6,AG310=7),"Captación/oferta",IF(AG310=8,"Cierre","")))),"")</f>
        <v/>
      </c>
      <c r="AE310" s="32"/>
      <c r="AF310" s="32"/>
      <c r="AG310" s="37" t="n">
        <f aca="false">IF(R310="",0,IFERROR(MATCH(R310,Listas!$L$2:$L$50,0),0))</f>
        <v>0</v>
      </c>
    </row>
    <row r="311" customFormat="false" ht="15" hidden="false" customHeight="false" outlineLevel="0" collapsed="false">
      <c r="A311" s="30"/>
      <c r="B311" s="31"/>
      <c r="C311" s="32"/>
      <c r="D311" s="32"/>
      <c r="E311" s="33"/>
      <c r="F311" s="32"/>
      <c r="G311" s="32"/>
      <c r="H311" s="32"/>
      <c r="I311" s="32"/>
      <c r="J311" s="32"/>
      <c r="K311" s="32"/>
      <c r="L311" s="32"/>
      <c r="M311" s="30"/>
      <c r="N311" s="32"/>
      <c r="O311" s="34"/>
      <c r="P311" s="32"/>
      <c r="Q311" s="32"/>
      <c r="R311" s="32"/>
      <c r="S311" s="32"/>
      <c r="T311" s="32"/>
      <c r="U311" s="32"/>
      <c r="V311" s="31"/>
      <c r="W311" s="35" t="str">
        <f aca="true">IF(OR(V311="",AG311&gt;=8),"",IF(V311&lt;TODAY(),"Vencida",IF(V311=TODAY(),"Hoy","")))</f>
        <v/>
      </c>
      <c r="X311" s="36" t="str">
        <f aca="false">IF(A311="","",IF(COUNTIF(Seguimiento!$B$2:$B$5001,A311)=0,"",_xlfn.MAXIFS(Seguimiento!$A$2:$A$5001,Seguimiento!$B$2:$B$5001,A311)))</f>
        <v/>
      </c>
      <c r="Y311" s="37" t="str">
        <f aca="true">IF(B311="","",TODAY()-B311)</f>
        <v/>
      </c>
      <c r="Z311" s="38" t="str">
        <f aca="false">IF(OR(O311="",G311=""),"",O311*IFERROR(INDEX(Listas!$B$2:$B$50,MATCH(G311,Listas!$A$2:$A$50,0)),0))</f>
        <v/>
      </c>
      <c r="AA311" s="32"/>
      <c r="AB311" s="32"/>
      <c r="AC311" s="32"/>
      <c r="AD311" s="35" t="str">
        <f aca="false">IF(OR(LEFT(H311,4)="Meta",LEFT(H311,6)="Google"),IF(AG311=3,"Lead calificado",IF(OR(AG311=4,AG311=5),"Tasación/visita",IF(OR(AG311=6,AG311=7),"Captación/oferta",IF(AG311=8,"Cierre","")))),"")</f>
        <v/>
      </c>
      <c r="AE311" s="32"/>
      <c r="AF311" s="32"/>
      <c r="AG311" s="37" t="n">
        <f aca="false">IF(R311="",0,IFERROR(MATCH(R311,Listas!$L$2:$L$50,0),0))</f>
        <v>0</v>
      </c>
    </row>
    <row r="312" customFormat="false" ht="15" hidden="false" customHeight="false" outlineLevel="0" collapsed="false">
      <c r="A312" s="30"/>
      <c r="B312" s="31"/>
      <c r="C312" s="32"/>
      <c r="D312" s="32"/>
      <c r="E312" s="33"/>
      <c r="F312" s="32"/>
      <c r="G312" s="32"/>
      <c r="H312" s="32"/>
      <c r="I312" s="32"/>
      <c r="J312" s="32"/>
      <c r="K312" s="32"/>
      <c r="L312" s="32"/>
      <c r="M312" s="30"/>
      <c r="N312" s="32"/>
      <c r="O312" s="34"/>
      <c r="P312" s="32"/>
      <c r="Q312" s="32"/>
      <c r="R312" s="32"/>
      <c r="S312" s="32"/>
      <c r="T312" s="32"/>
      <c r="U312" s="32"/>
      <c r="V312" s="31"/>
      <c r="W312" s="35" t="str">
        <f aca="true">IF(OR(V312="",AG312&gt;=8),"",IF(V312&lt;TODAY(),"Vencida",IF(V312=TODAY(),"Hoy","")))</f>
        <v/>
      </c>
      <c r="X312" s="36" t="str">
        <f aca="false">IF(A312="","",IF(COUNTIF(Seguimiento!$B$2:$B$5001,A312)=0,"",_xlfn.MAXIFS(Seguimiento!$A$2:$A$5001,Seguimiento!$B$2:$B$5001,A312)))</f>
        <v/>
      </c>
      <c r="Y312" s="37" t="str">
        <f aca="true">IF(B312="","",TODAY()-B312)</f>
        <v/>
      </c>
      <c r="Z312" s="38" t="str">
        <f aca="false">IF(OR(O312="",G312=""),"",O312*IFERROR(INDEX(Listas!$B$2:$B$50,MATCH(G312,Listas!$A$2:$A$50,0)),0))</f>
        <v/>
      </c>
      <c r="AA312" s="32"/>
      <c r="AB312" s="32"/>
      <c r="AC312" s="32"/>
      <c r="AD312" s="35" t="str">
        <f aca="false">IF(OR(LEFT(H312,4)="Meta",LEFT(H312,6)="Google"),IF(AG312=3,"Lead calificado",IF(OR(AG312=4,AG312=5),"Tasación/visita",IF(OR(AG312=6,AG312=7),"Captación/oferta",IF(AG312=8,"Cierre","")))),"")</f>
        <v/>
      </c>
      <c r="AE312" s="32"/>
      <c r="AF312" s="32"/>
      <c r="AG312" s="37" t="n">
        <f aca="false">IF(R312="",0,IFERROR(MATCH(R312,Listas!$L$2:$L$50,0),0))</f>
        <v>0</v>
      </c>
    </row>
    <row r="313" customFormat="false" ht="15" hidden="false" customHeight="false" outlineLevel="0" collapsed="false">
      <c r="A313" s="30"/>
      <c r="B313" s="31"/>
      <c r="C313" s="32"/>
      <c r="D313" s="32"/>
      <c r="E313" s="33"/>
      <c r="F313" s="32"/>
      <c r="G313" s="32"/>
      <c r="H313" s="32"/>
      <c r="I313" s="32"/>
      <c r="J313" s="32"/>
      <c r="K313" s="32"/>
      <c r="L313" s="32"/>
      <c r="M313" s="30"/>
      <c r="N313" s="32"/>
      <c r="O313" s="34"/>
      <c r="P313" s="32"/>
      <c r="Q313" s="32"/>
      <c r="R313" s="32"/>
      <c r="S313" s="32"/>
      <c r="T313" s="32"/>
      <c r="U313" s="32"/>
      <c r="V313" s="31"/>
      <c r="W313" s="35" t="str">
        <f aca="true">IF(OR(V313="",AG313&gt;=8),"",IF(V313&lt;TODAY(),"Vencida",IF(V313=TODAY(),"Hoy","")))</f>
        <v/>
      </c>
      <c r="X313" s="36" t="str">
        <f aca="false">IF(A313="","",IF(COUNTIF(Seguimiento!$B$2:$B$5001,A313)=0,"",_xlfn.MAXIFS(Seguimiento!$A$2:$A$5001,Seguimiento!$B$2:$B$5001,A313)))</f>
        <v/>
      </c>
      <c r="Y313" s="37" t="str">
        <f aca="true">IF(B313="","",TODAY()-B313)</f>
        <v/>
      </c>
      <c r="Z313" s="38" t="str">
        <f aca="false">IF(OR(O313="",G313=""),"",O313*IFERROR(INDEX(Listas!$B$2:$B$50,MATCH(G313,Listas!$A$2:$A$50,0)),0))</f>
        <v/>
      </c>
      <c r="AA313" s="32"/>
      <c r="AB313" s="32"/>
      <c r="AC313" s="32"/>
      <c r="AD313" s="35" t="str">
        <f aca="false">IF(OR(LEFT(H313,4)="Meta",LEFT(H313,6)="Google"),IF(AG313=3,"Lead calificado",IF(OR(AG313=4,AG313=5),"Tasación/visita",IF(OR(AG313=6,AG313=7),"Captación/oferta",IF(AG313=8,"Cierre","")))),"")</f>
        <v/>
      </c>
      <c r="AE313" s="32"/>
      <c r="AF313" s="32"/>
      <c r="AG313" s="37" t="n">
        <f aca="false">IF(R313="",0,IFERROR(MATCH(R313,Listas!$L$2:$L$50,0),0))</f>
        <v>0</v>
      </c>
    </row>
    <row r="314" customFormat="false" ht="15" hidden="false" customHeight="false" outlineLevel="0" collapsed="false">
      <c r="A314" s="30"/>
      <c r="B314" s="31"/>
      <c r="C314" s="32"/>
      <c r="D314" s="32"/>
      <c r="E314" s="33"/>
      <c r="F314" s="32"/>
      <c r="G314" s="32"/>
      <c r="H314" s="32"/>
      <c r="I314" s="32"/>
      <c r="J314" s="32"/>
      <c r="K314" s="32"/>
      <c r="L314" s="32"/>
      <c r="M314" s="30"/>
      <c r="N314" s="32"/>
      <c r="O314" s="34"/>
      <c r="P314" s="32"/>
      <c r="Q314" s="32"/>
      <c r="R314" s="32"/>
      <c r="S314" s="32"/>
      <c r="T314" s="32"/>
      <c r="U314" s="32"/>
      <c r="V314" s="31"/>
      <c r="W314" s="35" t="str">
        <f aca="true">IF(OR(V314="",AG314&gt;=8),"",IF(V314&lt;TODAY(),"Vencida",IF(V314=TODAY(),"Hoy","")))</f>
        <v/>
      </c>
      <c r="X314" s="36" t="str">
        <f aca="false">IF(A314="","",IF(COUNTIF(Seguimiento!$B$2:$B$5001,A314)=0,"",_xlfn.MAXIFS(Seguimiento!$A$2:$A$5001,Seguimiento!$B$2:$B$5001,A314)))</f>
        <v/>
      </c>
      <c r="Y314" s="37" t="str">
        <f aca="true">IF(B314="","",TODAY()-B314)</f>
        <v/>
      </c>
      <c r="Z314" s="38" t="str">
        <f aca="false">IF(OR(O314="",G314=""),"",O314*IFERROR(INDEX(Listas!$B$2:$B$50,MATCH(G314,Listas!$A$2:$A$50,0)),0))</f>
        <v/>
      </c>
      <c r="AA314" s="32"/>
      <c r="AB314" s="32"/>
      <c r="AC314" s="32"/>
      <c r="AD314" s="35" t="str">
        <f aca="false">IF(OR(LEFT(H314,4)="Meta",LEFT(H314,6)="Google"),IF(AG314=3,"Lead calificado",IF(OR(AG314=4,AG314=5),"Tasación/visita",IF(OR(AG314=6,AG314=7),"Captación/oferta",IF(AG314=8,"Cierre","")))),"")</f>
        <v/>
      </c>
      <c r="AE314" s="32"/>
      <c r="AF314" s="32"/>
      <c r="AG314" s="37" t="n">
        <f aca="false">IF(R314="",0,IFERROR(MATCH(R314,Listas!$L$2:$L$50,0),0))</f>
        <v>0</v>
      </c>
    </row>
    <row r="315" customFormat="false" ht="15" hidden="false" customHeight="false" outlineLevel="0" collapsed="false">
      <c r="A315" s="30"/>
      <c r="B315" s="31"/>
      <c r="C315" s="32"/>
      <c r="D315" s="32"/>
      <c r="E315" s="33"/>
      <c r="F315" s="32"/>
      <c r="G315" s="32"/>
      <c r="H315" s="32"/>
      <c r="I315" s="32"/>
      <c r="J315" s="32"/>
      <c r="K315" s="32"/>
      <c r="L315" s="32"/>
      <c r="M315" s="30"/>
      <c r="N315" s="32"/>
      <c r="O315" s="34"/>
      <c r="P315" s="32"/>
      <c r="Q315" s="32"/>
      <c r="R315" s="32"/>
      <c r="S315" s="32"/>
      <c r="T315" s="32"/>
      <c r="U315" s="32"/>
      <c r="V315" s="31"/>
      <c r="W315" s="35" t="str">
        <f aca="true">IF(OR(V315="",AG315&gt;=8),"",IF(V315&lt;TODAY(),"Vencida",IF(V315=TODAY(),"Hoy","")))</f>
        <v/>
      </c>
      <c r="X315" s="36" t="str">
        <f aca="false">IF(A315="","",IF(COUNTIF(Seguimiento!$B$2:$B$5001,A315)=0,"",_xlfn.MAXIFS(Seguimiento!$A$2:$A$5001,Seguimiento!$B$2:$B$5001,A315)))</f>
        <v/>
      </c>
      <c r="Y315" s="37" t="str">
        <f aca="true">IF(B315="","",TODAY()-B315)</f>
        <v/>
      </c>
      <c r="Z315" s="38" t="str">
        <f aca="false">IF(OR(O315="",G315=""),"",O315*IFERROR(INDEX(Listas!$B$2:$B$50,MATCH(G315,Listas!$A$2:$A$50,0)),0))</f>
        <v/>
      </c>
      <c r="AA315" s="32"/>
      <c r="AB315" s="32"/>
      <c r="AC315" s="32"/>
      <c r="AD315" s="35" t="str">
        <f aca="false">IF(OR(LEFT(H315,4)="Meta",LEFT(H315,6)="Google"),IF(AG315=3,"Lead calificado",IF(OR(AG315=4,AG315=5),"Tasación/visita",IF(OR(AG315=6,AG315=7),"Captación/oferta",IF(AG315=8,"Cierre","")))),"")</f>
        <v/>
      </c>
      <c r="AE315" s="32"/>
      <c r="AF315" s="32"/>
      <c r="AG315" s="37" t="n">
        <f aca="false">IF(R315="",0,IFERROR(MATCH(R315,Listas!$L$2:$L$50,0),0))</f>
        <v>0</v>
      </c>
    </row>
    <row r="316" customFormat="false" ht="15" hidden="false" customHeight="false" outlineLevel="0" collapsed="false">
      <c r="A316" s="30"/>
      <c r="B316" s="31"/>
      <c r="C316" s="32"/>
      <c r="D316" s="32"/>
      <c r="E316" s="33"/>
      <c r="F316" s="32"/>
      <c r="G316" s="32"/>
      <c r="H316" s="32"/>
      <c r="I316" s="32"/>
      <c r="J316" s="32"/>
      <c r="K316" s="32"/>
      <c r="L316" s="32"/>
      <c r="M316" s="30"/>
      <c r="N316" s="32"/>
      <c r="O316" s="34"/>
      <c r="P316" s="32"/>
      <c r="Q316" s="32"/>
      <c r="R316" s="32"/>
      <c r="S316" s="32"/>
      <c r="T316" s="32"/>
      <c r="U316" s="32"/>
      <c r="V316" s="31"/>
      <c r="W316" s="35" t="str">
        <f aca="true">IF(OR(V316="",AG316&gt;=8),"",IF(V316&lt;TODAY(),"Vencida",IF(V316=TODAY(),"Hoy","")))</f>
        <v/>
      </c>
      <c r="X316" s="36" t="str">
        <f aca="false">IF(A316="","",IF(COUNTIF(Seguimiento!$B$2:$B$5001,A316)=0,"",_xlfn.MAXIFS(Seguimiento!$A$2:$A$5001,Seguimiento!$B$2:$B$5001,A316)))</f>
        <v/>
      </c>
      <c r="Y316" s="37" t="str">
        <f aca="true">IF(B316="","",TODAY()-B316)</f>
        <v/>
      </c>
      <c r="Z316" s="38" t="str">
        <f aca="false">IF(OR(O316="",G316=""),"",O316*IFERROR(INDEX(Listas!$B$2:$B$50,MATCH(G316,Listas!$A$2:$A$50,0)),0))</f>
        <v/>
      </c>
      <c r="AA316" s="32"/>
      <c r="AB316" s="32"/>
      <c r="AC316" s="32"/>
      <c r="AD316" s="35" t="str">
        <f aca="false">IF(OR(LEFT(H316,4)="Meta",LEFT(H316,6)="Google"),IF(AG316=3,"Lead calificado",IF(OR(AG316=4,AG316=5),"Tasación/visita",IF(OR(AG316=6,AG316=7),"Captación/oferta",IF(AG316=8,"Cierre","")))),"")</f>
        <v/>
      </c>
      <c r="AE316" s="32"/>
      <c r="AF316" s="32"/>
      <c r="AG316" s="37" t="n">
        <f aca="false">IF(R316="",0,IFERROR(MATCH(R316,Listas!$L$2:$L$50,0),0))</f>
        <v>0</v>
      </c>
    </row>
    <row r="317" customFormat="false" ht="15" hidden="false" customHeight="false" outlineLevel="0" collapsed="false">
      <c r="A317" s="30"/>
      <c r="B317" s="31"/>
      <c r="C317" s="32"/>
      <c r="D317" s="32"/>
      <c r="E317" s="33"/>
      <c r="F317" s="32"/>
      <c r="G317" s="32"/>
      <c r="H317" s="32"/>
      <c r="I317" s="32"/>
      <c r="J317" s="32"/>
      <c r="K317" s="32"/>
      <c r="L317" s="32"/>
      <c r="M317" s="30"/>
      <c r="N317" s="32"/>
      <c r="O317" s="34"/>
      <c r="P317" s="32"/>
      <c r="Q317" s="32"/>
      <c r="R317" s="32"/>
      <c r="S317" s="32"/>
      <c r="T317" s="32"/>
      <c r="U317" s="32"/>
      <c r="V317" s="31"/>
      <c r="W317" s="35" t="str">
        <f aca="true">IF(OR(V317="",AG317&gt;=8),"",IF(V317&lt;TODAY(),"Vencida",IF(V317=TODAY(),"Hoy","")))</f>
        <v/>
      </c>
      <c r="X317" s="36" t="str">
        <f aca="false">IF(A317="","",IF(COUNTIF(Seguimiento!$B$2:$B$5001,A317)=0,"",_xlfn.MAXIFS(Seguimiento!$A$2:$A$5001,Seguimiento!$B$2:$B$5001,A317)))</f>
        <v/>
      </c>
      <c r="Y317" s="37" t="str">
        <f aca="true">IF(B317="","",TODAY()-B317)</f>
        <v/>
      </c>
      <c r="Z317" s="38" t="str">
        <f aca="false">IF(OR(O317="",G317=""),"",O317*IFERROR(INDEX(Listas!$B$2:$B$50,MATCH(G317,Listas!$A$2:$A$50,0)),0))</f>
        <v/>
      </c>
      <c r="AA317" s="32"/>
      <c r="AB317" s="32"/>
      <c r="AC317" s="32"/>
      <c r="AD317" s="35" t="str">
        <f aca="false">IF(OR(LEFT(H317,4)="Meta",LEFT(H317,6)="Google"),IF(AG317=3,"Lead calificado",IF(OR(AG317=4,AG317=5),"Tasación/visita",IF(OR(AG317=6,AG317=7),"Captación/oferta",IF(AG317=8,"Cierre","")))),"")</f>
        <v/>
      </c>
      <c r="AE317" s="32"/>
      <c r="AF317" s="32"/>
      <c r="AG317" s="37" t="n">
        <f aca="false">IF(R317="",0,IFERROR(MATCH(R317,Listas!$L$2:$L$50,0),0))</f>
        <v>0</v>
      </c>
    </row>
    <row r="318" customFormat="false" ht="15" hidden="false" customHeight="false" outlineLevel="0" collapsed="false">
      <c r="A318" s="30"/>
      <c r="B318" s="31"/>
      <c r="C318" s="32"/>
      <c r="D318" s="32"/>
      <c r="E318" s="33"/>
      <c r="F318" s="32"/>
      <c r="G318" s="32"/>
      <c r="H318" s="32"/>
      <c r="I318" s="32"/>
      <c r="J318" s="32"/>
      <c r="K318" s="32"/>
      <c r="L318" s="32"/>
      <c r="M318" s="30"/>
      <c r="N318" s="32"/>
      <c r="O318" s="34"/>
      <c r="P318" s="32"/>
      <c r="Q318" s="32"/>
      <c r="R318" s="32"/>
      <c r="S318" s="32"/>
      <c r="T318" s="32"/>
      <c r="U318" s="32"/>
      <c r="V318" s="31"/>
      <c r="W318" s="35" t="str">
        <f aca="true">IF(OR(V318="",AG318&gt;=8),"",IF(V318&lt;TODAY(),"Vencida",IF(V318=TODAY(),"Hoy","")))</f>
        <v/>
      </c>
      <c r="X318" s="36" t="str">
        <f aca="false">IF(A318="","",IF(COUNTIF(Seguimiento!$B$2:$B$5001,A318)=0,"",_xlfn.MAXIFS(Seguimiento!$A$2:$A$5001,Seguimiento!$B$2:$B$5001,A318)))</f>
        <v/>
      </c>
      <c r="Y318" s="37" t="str">
        <f aca="true">IF(B318="","",TODAY()-B318)</f>
        <v/>
      </c>
      <c r="Z318" s="38" t="str">
        <f aca="false">IF(OR(O318="",G318=""),"",O318*IFERROR(INDEX(Listas!$B$2:$B$50,MATCH(G318,Listas!$A$2:$A$50,0)),0))</f>
        <v/>
      </c>
      <c r="AA318" s="32"/>
      <c r="AB318" s="32"/>
      <c r="AC318" s="32"/>
      <c r="AD318" s="35" t="str">
        <f aca="false">IF(OR(LEFT(H318,4)="Meta",LEFT(H318,6)="Google"),IF(AG318=3,"Lead calificado",IF(OR(AG318=4,AG318=5),"Tasación/visita",IF(OR(AG318=6,AG318=7),"Captación/oferta",IF(AG318=8,"Cierre","")))),"")</f>
        <v/>
      </c>
      <c r="AE318" s="32"/>
      <c r="AF318" s="32"/>
      <c r="AG318" s="37" t="n">
        <f aca="false">IF(R318="",0,IFERROR(MATCH(R318,Listas!$L$2:$L$50,0),0))</f>
        <v>0</v>
      </c>
    </row>
    <row r="319" customFormat="false" ht="15" hidden="false" customHeight="false" outlineLevel="0" collapsed="false">
      <c r="A319" s="30"/>
      <c r="B319" s="31"/>
      <c r="C319" s="32"/>
      <c r="D319" s="32"/>
      <c r="E319" s="33"/>
      <c r="F319" s="32"/>
      <c r="G319" s="32"/>
      <c r="H319" s="32"/>
      <c r="I319" s="32"/>
      <c r="J319" s="32"/>
      <c r="K319" s="32"/>
      <c r="L319" s="32"/>
      <c r="M319" s="30"/>
      <c r="N319" s="32"/>
      <c r="O319" s="34"/>
      <c r="P319" s="32"/>
      <c r="Q319" s="32"/>
      <c r="R319" s="32"/>
      <c r="S319" s="32"/>
      <c r="T319" s="32"/>
      <c r="U319" s="32"/>
      <c r="V319" s="31"/>
      <c r="W319" s="35" t="str">
        <f aca="true">IF(OR(V319="",AG319&gt;=8),"",IF(V319&lt;TODAY(),"Vencida",IF(V319=TODAY(),"Hoy","")))</f>
        <v/>
      </c>
      <c r="X319" s="36" t="str">
        <f aca="false">IF(A319="","",IF(COUNTIF(Seguimiento!$B$2:$B$5001,A319)=0,"",_xlfn.MAXIFS(Seguimiento!$A$2:$A$5001,Seguimiento!$B$2:$B$5001,A319)))</f>
        <v/>
      </c>
      <c r="Y319" s="37" t="str">
        <f aca="true">IF(B319="","",TODAY()-B319)</f>
        <v/>
      </c>
      <c r="Z319" s="38" t="str">
        <f aca="false">IF(OR(O319="",G319=""),"",O319*IFERROR(INDEX(Listas!$B$2:$B$50,MATCH(G319,Listas!$A$2:$A$50,0)),0))</f>
        <v/>
      </c>
      <c r="AA319" s="32"/>
      <c r="AB319" s="32"/>
      <c r="AC319" s="32"/>
      <c r="AD319" s="35" t="str">
        <f aca="false">IF(OR(LEFT(H319,4)="Meta",LEFT(H319,6)="Google"),IF(AG319=3,"Lead calificado",IF(OR(AG319=4,AG319=5),"Tasación/visita",IF(OR(AG319=6,AG319=7),"Captación/oferta",IF(AG319=8,"Cierre","")))),"")</f>
        <v/>
      </c>
      <c r="AE319" s="32"/>
      <c r="AF319" s="32"/>
      <c r="AG319" s="37" t="n">
        <f aca="false">IF(R319="",0,IFERROR(MATCH(R319,Listas!$L$2:$L$50,0),0))</f>
        <v>0</v>
      </c>
    </row>
    <row r="320" customFormat="false" ht="15" hidden="false" customHeight="false" outlineLevel="0" collapsed="false">
      <c r="A320" s="30"/>
      <c r="B320" s="31"/>
      <c r="C320" s="32"/>
      <c r="D320" s="32"/>
      <c r="E320" s="33"/>
      <c r="F320" s="32"/>
      <c r="G320" s="32"/>
      <c r="H320" s="32"/>
      <c r="I320" s="32"/>
      <c r="J320" s="32"/>
      <c r="K320" s="32"/>
      <c r="L320" s="32"/>
      <c r="M320" s="30"/>
      <c r="N320" s="32"/>
      <c r="O320" s="34"/>
      <c r="P320" s="32"/>
      <c r="Q320" s="32"/>
      <c r="R320" s="32"/>
      <c r="S320" s="32"/>
      <c r="T320" s="32"/>
      <c r="U320" s="32"/>
      <c r="V320" s="31"/>
      <c r="W320" s="35" t="str">
        <f aca="true">IF(OR(V320="",AG320&gt;=8),"",IF(V320&lt;TODAY(),"Vencida",IF(V320=TODAY(),"Hoy","")))</f>
        <v/>
      </c>
      <c r="X320" s="36" t="str">
        <f aca="false">IF(A320="","",IF(COUNTIF(Seguimiento!$B$2:$B$5001,A320)=0,"",_xlfn.MAXIFS(Seguimiento!$A$2:$A$5001,Seguimiento!$B$2:$B$5001,A320)))</f>
        <v/>
      </c>
      <c r="Y320" s="37" t="str">
        <f aca="true">IF(B320="","",TODAY()-B320)</f>
        <v/>
      </c>
      <c r="Z320" s="38" t="str">
        <f aca="false">IF(OR(O320="",G320=""),"",O320*IFERROR(INDEX(Listas!$B$2:$B$50,MATCH(G320,Listas!$A$2:$A$50,0)),0))</f>
        <v/>
      </c>
      <c r="AA320" s="32"/>
      <c r="AB320" s="32"/>
      <c r="AC320" s="32"/>
      <c r="AD320" s="35" t="str">
        <f aca="false">IF(OR(LEFT(H320,4)="Meta",LEFT(H320,6)="Google"),IF(AG320=3,"Lead calificado",IF(OR(AG320=4,AG320=5),"Tasación/visita",IF(OR(AG320=6,AG320=7),"Captación/oferta",IF(AG320=8,"Cierre","")))),"")</f>
        <v/>
      </c>
      <c r="AE320" s="32"/>
      <c r="AF320" s="32"/>
      <c r="AG320" s="37" t="n">
        <f aca="false">IF(R320="",0,IFERROR(MATCH(R320,Listas!$L$2:$L$50,0),0))</f>
        <v>0</v>
      </c>
    </row>
    <row r="321" customFormat="false" ht="15" hidden="false" customHeight="false" outlineLevel="0" collapsed="false">
      <c r="A321" s="30"/>
      <c r="B321" s="31"/>
      <c r="C321" s="32"/>
      <c r="D321" s="32"/>
      <c r="E321" s="33"/>
      <c r="F321" s="32"/>
      <c r="G321" s="32"/>
      <c r="H321" s="32"/>
      <c r="I321" s="32"/>
      <c r="J321" s="32"/>
      <c r="K321" s="32"/>
      <c r="L321" s="32"/>
      <c r="M321" s="30"/>
      <c r="N321" s="32"/>
      <c r="O321" s="34"/>
      <c r="P321" s="32"/>
      <c r="Q321" s="32"/>
      <c r="R321" s="32"/>
      <c r="S321" s="32"/>
      <c r="T321" s="32"/>
      <c r="U321" s="32"/>
      <c r="V321" s="31"/>
      <c r="W321" s="35" t="str">
        <f aca="true">IF(OR(V321="",AG321&gt;=8),"",IF(V321&lt;TODAY(),"Vencida",IF(V321=TODAY(),"Hoy","")))</f>
        <v/>
      </c>
      <c r="X321" s="36" t="str">
        <f aca="false">IF(A321="","",IF(COUNTIF(Seguimiento!$B$2:$B$5001,A321)=0,"",_xlfn.MAXIFS(Seguimiento!$A$2:$A$5001,Seguimiento!$B$2:$B$5001,A321)))</f>
        <v/>
      </c>
      <c r="Y321" s="37" t="str">
        <f aca="true">IF(B321="","",TODAY()-B321)</f>
        <v/>
      </c>
      <c r="Z321" s="38" t="str">
        <f aca="false">IF(OR(O321="",G321=""),"",O321*IFERROR(INDEX(Listas!$B$2:$B$50,MATCH(G321,Listas!$A$2:$A$50,0)),0))</f>
        <v/>
      </c>
      <c r="AA321" s="32"/>
      <c r="AB321" s="32"/>
      <c r="AC321" s="32"/>
      <c r="AD321" s="35" t="str">
        <f aca="false">IF(OR(LEFT(H321,4)="Meta",LEFT(H321,6)="Google"),IF(AG321=3,"Lead calificado",IF(OR(AG321=4,AG321=5),"Tasación/visita",IF(OR(AG321=6,AG321=7),"Captación/oferta",IF(AG321=8,"Cierre","")))),"")</f>
        <v/>
      </c>
      <c r="AE321" s="32"/>
      <c r="AF321" s="32"/>
      <c r="AG321" s="37" t="n">
        <f aca="false">IF(R321="",0,IFERROR(MATCH(R321,Listas!$L$2:$L$50,0),0))</f>
        <v>0</v>
      </c>
    </row>
    <row r="322" customFormat="false" ht="15" hidden="false" customHeight="false" outlineLevel="0" collapsed="false">
      <c r="A322" s="30"/>
      <c r="B322" s="31"/>
      <c r="C322" s="32"/>
      <c r="D322" s="32"/>
      <c r="E322" s="33"/>
      <c r="F322" s="32"/>
      <c r="G322" s="32"/>
      <c r="H322" s="32"/>
      <c r="I322" s="32"/>
      <c r="J322" s="32"/>
      <c r="K322" s="32"/>
      <c r="L322" s="32"/>
      <c r="M322" s="30"/>
      <c r="N322" s="32"/>
      <c r="O322" s="34"/>
      <c r="P322" s="32"/>
      <c r="Q322" s="32"/>
      <c r="R322" s="32"/>
      <c r="S322" s="32"/>
      <c r="T322" s="32"/>
      <c r="U322" s="32"/>
      <c r="V322" s="31"/>
      <c r="W322" s="35" t="str">
        <f aca="true">IF(OR(V322="",AG322&gt;=8),"",IF(V322&lt;TODAY(),"Vencida",IF(V322=TODAY(),"Hoy","")))</f>
        <v/>
      </c>
      <c r="X322" s="36" t="str">
        <f aca="false">IF(A322="","",IF(COUNTIF(Seguimiento!$B$2:$B$5001,A322)=0,"",_xlfn.MAXIFS(Seguimiento!$A$2:$A$5001,Seguimiento!$B$2:$B$5001,A322)))</f>
        <v/>
      </c>
      <c r="Y322" s="37" t="str">
        <f aca="true">IF(B322="","",TODAY()-B322)</f>
        <v/>
      </c>
      <c r="Z322" s="38" t="str">
        <f aca="false">IF(OR(O322="",G322=""),"",O322*IFERROR(INDEX(Listas!$B$2:$B$50,MATCH(G322,Listas!$A$2:$A$50,0)),0))</f>
        <v/>
      </c>
      <c r="AA322" s="32"/>
      <c r="AB322" s="32"/>
      <c r="AC322" s="32"/>
      <c r="AD322" s="35" t="str">
        <f aca="false">IF(OR(LEFT(H322,4)="Meta",LEFT(H322,6)="Google"),IF(AG322=3,"Lead calificado",IF(OR(AG322=4,AG322=5),"Tasación/visita",IF(OR(AG322=6,AG322=7),"Captación/oferta",IF(AG322=8,"Cierre","")))),"")</f>
        <v/>
      </c>
      <c r="AE322" s="32"/>
      <c r="AF322" s="32"/>
      <c r="AG322" s="37" t="n">
        <f aca="false">IF(R322="",0,IFERROR(MATCH(R322,Listas!$L$2:$L$50,0),0))</f>
        <v>0</v>
      </c>
    </row>
    <row r="323" customFormat="false" ht="15" hidden="false" customHeight="false" outlineLevel="0" collapsed="false">
      <c r="A323" s="30"/>
      <c r="B323" s="31"/>
      <c r="C323" s="32"/>
      <c r="D323" s="32"/>
      <c r="E323" s="33"/>
      <c r="F323" s="32"/>
      <c r="G323" s="32"/>
      <c r="H323" s="32"/>
      <c r="I323" s="32"/>
      <c r="J323" s="32"/>
      <c r="K323" s="32"/>
      <c r="L323" s="32"/>
      <c r="M323" s="30"/>
      <c r="N323" s="32"/>
      <c r="O323" s="34"/>
      <c r="P323" s="32"/>
      <c r="Q323" s="32"/>
      <c r="R323" s="32"/>
      <c r="S323" s="32"/>
      <c r="T323" s="32"/>
      <c r="U323" s="32"/>
      <c r="V323" s="31"/>
      <c r="W323" s="35" t="str">
        <f aca="true">IF(OR(V323="",AG323&gt;=8),"",IF(V323&lt;TODAY(),"Vencida",IF(V323=TODAY(),"Hoy","")))</f>
        <v/>
      </c>
      <c r="X323" s="36" t="str">
        <f aca="false">IF(A323="","",IF(COUNTIF(Seguimiento!$B$2:$B$5001,A323)=0,"",_xlfn.MAXIFS(Seguimiento!$A$2:$A$5001,Seguimiento!$B$2:$B$5001,A323)))</f>
        <v/>
      </c>
      <c r="Y323" s="37" t="str">
        <f aca="true">IF(B323="","",TODAY()-B323)</f>
        <v/>
      </c>
      <c r="Z323" s="38" t="str">
        <f aca="false">IF(OR(O323="",G323=""),"",O323*IFERROR(INDEX(Listas!$B$2:$B$50,MATCH(G323,Listas!$A$2:$A$50,0)),0))</f>
        <v/>
      </c>
      <c r="AA323" s="32"/>
      <c r="AB323" s="32"/>
      <c r="AC323" s="32"/>
      <c r="AD323" s="35" t="str">
        <f aca="false">IF(OR(LEFT(H323,4)="Meta",LEFT(H323,6)="Google"),IF(AG323=3,"Lead calificado",IF(OR(AG323=4,AG323=5),"Tasación/visita",IF(OR(AG323=6,AG323=7),"Captación/oferta",IF(AG323=8,"Cierre","")))),"")</f>
        <v/>
      </c>
      <c r="AE323" s="32"/>
      <c r="AF323" s="32"/>
      <c r="AG323" s="37" t="n">
        <f aca="false">IF(R323="",0,IFERROR(MATCH(R323,Listas!$L$2:$L$50,0),0))</f>
        <v>0</v>
      </c>
    </row>
    <row r="324" customFormat="false" ht="15" hidden="false" customHeight="false" outlineLevel="0" collapsed="false">
      <c r="A324" s="30"/>
      <c r="B324" s="31"/>
      <c r="C324" s="32"/>
      <c r="D324" s="32"/>
      <c r="E324" s="33"/>
      <c r="F324" s="32"/>
      <c r="G324" s="32"/>
      <c r="H324" s="32"/>
      <c r="I324" s="32"/>
      <c r="J324" s="32"/>
      <c r="K324" s="32"/>
      <c r="L324" s="32"/>
      <c r="M324" s="30"/>
      <c r="N324" s="32"/>
      <c r="O324" s="34"/>
      <c r="P324" s="32"/>
      <c r="Q324" s="32"/>
      <c r="R324" s="32"/>
      <c r="S324" s="32"/>
      <c r="T324" s="32"/>
      <c r="U324" s="32"/>
      <c r="V324" s="31"/>
      <c r="W324" s="35" t="str">
        <f aca="true">IF(OR(V324="",AG324&gt;=8),"",IF(V324&lt;TODAY(),"Vencida",IF(V324=TODAY(),"Hoy","")))</f>
        <v/>
      </c>
      <c r="X324" s="36" t="str">
        <f aca="false">IF(A324="","",IF(COUNTIF(Seguimiento!$B$2:$B$5001,A324)=0,"",_xlfn.MAXIFS(Seguimiento!$A$2:$A$5001,Seguimiento!$B$2:$B$5001,A324)))</f>
        <v/>
      </c>
      <c r="Y324" s="37" t="str">
        <f aca="true">IF(B324="","",TODAY()-B324)</f>
        <v/>
      </c>
      <c r="Z324" s="38" t="str">
        <f aca="false">IF(OR(O324="",G324=""),"",O324*IFERROR(INDEX(Listas!$B$2:$B$50,MATCH(G324,Listas!$A$2:$A$50,0)),0))</f>
        <v/>
      </c>
      <c r="AA324" s="32"/>
      <c r="AB324" s="32"/>
      <c r="AC324" s="32"/>
      <c r="AD324" s="35" t="str">
        <f aca="false">IF(OR(LEFT(H324,4)="Meta",LEFT(H324,6)="Google"),IF(AG324=3,"Lead calificado",IF(OR(AG324=4,AG324=5),"Tasación/visita",IF(OR(AG324=6,AG324=7),"Captación/oferta",IF(AG324=8,"Cierre","")))),"")</f>
        <v/>
      </c>
      <c r="AE324" s="32"/>
      <c r="AF324" s="32"/>
      <c r="AG324" s="37" t="n">
        <f aca="false">IF(R324="",0,IFERROR(MATCH(R324,Listas!$L$2:$L$50,0),0))</f>
        <v>0</v>
      </c>
    </row>
    <row r="325" customFormat="false" ht="15" hidden="false" customHeight="false" outlineLevel="0" collapsed="false">
      <c r="A325" s="30"/>
      <c r="B325" s="31"/>
      <c r="C325" s="32"/>
      <c r="D325" s="32"/>
      <c r="E325" s="33"/>
      <c r="F325" s="32"/>
      <c r="G325" s="32"/>
      <c r="H325" s="32"/>
      <c r="I325" s="32"/>
      <c r="J325" s="32"/>
      <c r="K325" s="32"/>
      <c r="L325" s="32"/>
      <c r="M325" s="30"/>
      <c r="N325" s="32"/>
      <c r="O325" s="34"/>
      <c r="P325" s="32"/>
      <c r="Q325" s="32"/>
      <c r="R325" s="32"/>
      <c r="S325" s="32"/>
      <c r="T325" s="32"/>
      <c r="U325" s="32"/>
      <c r="V325" s="31"/>
      <c r="W325" s="35" t="str">
        <f aca="true">IF(OR(V325="",AG325&gt;=8),"",IF(V325&lt;TODAY(),"Vencida",IF(V325=TODAY(),"Hoy","")))</f>
        <v/>
      </c>
      <c r="X325" s="36" t="str">
        <f aca="false">IF(A325="","",IF(COUNTIF(Seguimiento!$B$2:$B$5001,A325)=0,"",_xlfn.MAXIFS(Seguimiento!$A$2:$A$5001,Seguimiento!$B$2:$B$5001,A325)))</f>
        <v/>
      </c>
      <c r="Y325" s="37" t="str">
        <f aca="true">IF(B325="","",TODAY()-B325)</f>
        <v/>
      </c>
      <c r="Z325" s="38" t="str">
        <f aca="false">IF(OR(O325="",G325=""),"",O325*IFERROR(INDEX(Listas!$B$2:$B$50,MATCH(G325,Listas!$A$2:$A$50,0)),0))</f>
        <v/>
      </c>
      <c r="AA325" s="32"/>
      <c r="AB325" s="32"/>
      <c r="AC325" s="32"/>
      <c r="AD325" s="35" t="str">
        <f aca="false">IF(OR(LEFT(H325,4)="Meta",LEFT(H325,6)="Google"),IF(AG325=3,"Lead calificado",IF(OR(AG325=4,AG325=5),"Tasación/visita",IF(OR(AG325=6,AG325=7),"Captación/oferta",IF(AG325=8,"Cierre","")))),"")</f>
        <v/>
      </c>
      <c r="AE325" s="32"/>
      <c r="AF325" s="32"/>
      <c r="AG325" s="37" t="n">
        <f aca="false">IF(R325="",0,IFERROR(MATCH(R325,Listas!$L$2:$L$50,0),0))</f>
        <v>0</v>
      </c>
    </row>
    <row r="326" customFormat="false" ht="15" hidden="false" customHeight="false" outlineLevel="0" collapsed="false">
      <c r="A326" s="30"/>
      <c r="B326" s="31"/>
      <c r="C326" s="32"/>
      <c r="D326" s="32"/>
      <c r="E326" s="33"/>
      <c r="F326" s="32"/>
      <c r="G326" s="32"/>
      <c r="H326" s="32"/>
      <c r="I326" s="32"/>
      <c r="J326" s="32"/>
      <c r="K326" s="32"/>
      <c r="L326" s="32"/>
      <c r="M326" s="30"/>
      <c r="N326" s="32"/>
      <c r="O326" s="34"/>
      <c r="P326" s="32"/>
      <c r="Q326" s="32"/>
      <c r="R326" s="32"/>
      <c r="S326" s="32"/>
      <c r="T326" s="32"/>
      <c r="U326" s="32"/>
      <c r="V326" s="31"/>
      <c r="W326" s="35" t="str">
        <f aca="true">IF(OR(V326="",AG326&gt;=8),"",IF(V326&lt;TODAY(),"Vencida",IF(V326=TODAY(),"Hoy","")))</f>
        <v/>
      </c>
      <c r="X326" s="36" t="str">
        <f aca="false">IF(A326="","",IF(COUNTIF(Seguimiento!$B$2:$B$5001,A326)=0,"",_xlfn.MAXIFS(Seguimiento!$A$2:$A$5001,Seguimiento!$B$2:$B$5001,A326)))</f>
        <v/>
      </c>
      <c r="Y326" s="37" t="str">
        <f aca="true">IF(B326="","",TODAY()-B326)</f>
        <v/>
      </c>
      <c r="Z326" s="38" t="str">
        <f aca="false">IF(OR(O326="",G326=""),"",O326*IFERROR(INDEX(Listas!$B$2:$B$50,MATCH(G326,Listas!$A$2:$A$50,0)),0))</f>
        <v/>
      </c>
      <c r="AA326" s="32"/>
      <c r="AB326" s="32"/>
      <c r="AC326" s="32"/>
      <c r="AD326" s="35" t="str">
        <f aca="false">IF(OR(LEFT(H326,4)="Meta",LEFT(H326,6)="Google"),IF(AG326=3,"Lead calificado",IF(OR(AG326=4,AG326=5),"Tasación/visita",IF(OR(AG326=6,AG326=7),"Captación/oferta",IF(AG326=8,"Cierre","")))),"")</f>
        <v/>
      </c>
      <c r="AE326" s="32"/>
      <c r="AF326" s="32"/>
      <c r="AG326" s="37" t="n">
        <f aca="false">IF(R326="",0,IFERROR(MATCH(R326,Listas!$L$2:$L$50,0),0))</f>
        <v>0</v>
      </c>
    </row>
    <row r="327" customFormat="false" ht="15" hidden="false" customHeight="false" outlineLevel="0" collapsed="false">
      <c r="A327" s="30"/>
      <c r="B327" s="31"/>
      <c r="C327" s="32"/>
      <c r="D327" s="32"/>
      <c r="E327" s="33"/>
      <c r="F327" s="32"/>
      <c r="G327" s="32"/>
      <c r="H327" s="32"/>
      <c r="I327" s="32"/>
      <c r="J327" s="32"/>
      <c r="K327" s="32"/>
      <c r="L327" s="32"/>
      <c r="M327" s="30"/>
      <c r="N327" s="32"/>
      <c r="O327" s="34"/>
      <c r="P327" s="32"/>
      <c r="Q327" s="32"/>
      <c r="R327" s="32"/>
      <c r="S327" s="32"/>
      <c r="T327" s="32"/>
      <c r="U327" s="32"/>
      <c r="V327" s="31"/>
      <c r="W327" s="35" t="str">
        <f aca="true">IF(OR(V327="",AG327&gt;=8),"",IF(V327&lt;TODAY(),"Vencida",IF(V327=TODAY(),"Hoy","")))</f>
        <v/>
      </c>
      <c r="X327" s="36" t="str">
        <f aca="false">IF(A327="","",IF(COUNTIF(Seguimiento!$B$2:$B$5001,A327)=0,"",_xlfn.MAXIFS(Seguimiento!$A$2:$A$5001,Seguimiento!$B$2:$B$5001,A327)))</f>
        <v/>
      </c>
      <c r="Y327" s="37" t="str">
        <f aca="true">IF(B327="","",TODAY()-B327)</f>
        <v/>
      </c>
      <c r="Z327" s="38" t="str">
        <f aca="false">IF(OR(O327="",G327=""),"",O327*IFERROR(INDEX(Listas!$B$2:$B$50,MATCH(G327,Listas!$A$2:$A$50,0)),0))</f>
        <v/>
      </c>
      <c r="AA327" s="32"/>
      <c r="AB327" s="32"/>
      <c r="AC327" s="32"/>
      <c r="AD327" s="35" t="str">
        <f aca="false">IF(OR(LEFT(H327,4)="Meta",LEFT(H327,6)="Google"),IF(AG327=3,"Lead calificado",IF(OR(AG327=4,AG327=5),"Tasación/visita",IF(OR(AG327=6,AG327=7),"Captación/oferta",IF(AG327=8,"Cierre","")))),"")</f>
        <v/>
      </c>
      <c r="AE327" s="32"/>
      <c r="AF327" s="32"/>
      <c r="AG327" s="37" t="n">
        <f aca="false">IF(R327="",0,IFERROR(MATCH(R327,Listas!$L$2:$L$50,0),0))</f>
        <v>0</v>
      </c>
    </row>
    <row r="328" customFormat="false" ht="15" hidden="false" customHeight="false" outlineLevel="0" collapsed="false">
      <c r="A328" s="30"/>
      <c r="B328" s="31"/>
      <c r="C328" s="32"/>
      <c r="D328" s="32"/>
      <c r="E328" s="33"/>
      <c r="F328" s="32"/>
      <c r="G328" s="32"/>
      <c r="H328" s="32"/>
      <c r="I328" s="32"/>
      <c r="J328" s="32"/>
      <c r="K328" s="32"/>
      <c r="L328" s="32"/>
      <c r="M328" s="30"/>
      <c r="N328" s="32"/>
      <c r="O328" s="34"/>
      <c r="P328" s="32"/>
      <c r="Q328" s="32"/>
      <c r="R328" s="32"/>
      <c r="S328" s="32"/>
      <c r="T328" s="32"/>
      <c r="U328" s="32"/>
      <c r="V328" s="31"/>
      <c r="W328" s="35" t="str">
        <f aca="true">IF(OR(V328="",AG328&gt;=8),"",IF(V328&lt;TODAY(),"Vencida",IF(V328=TODAY(),"Hoy","")))</f>
        <v/>
      </c>
      <c r="X328" s="36" t="str">
        <f aca="false">IF(A328="","",IF(COUNTIF(Seguimiento!$B$2:$B$5001,A328)=0,"",_xlfn.MAXIFS(Seguimiento!$A$2:$A$5001,Seguimiento!$B$2:$B$5001,A328)))</f>
        <v/>
      </c>
      <c r="Y328" s="37" t="str">
        <f aca="true">IF(B328="","",TODAY()-B328)</f>
        <v/>
      </c>
      <c r="Z328" s="38" t="str">
        <f aca="false">IF(OR(O328="",G328=""),"",O328*IFERROR(INDEX(Listas!$B$2:$B$50,MATCH(G328,Listas!$A$2:$A$50,0)),0))</f>
        <v/>
      </c>
      <c r="AA328" s="32"/>
      <c r="AB328" s="32"/>
      <c r="AC328" s="32"/>
      <c r="AD328" s="35" t="str">
        <f aca="false">IF(OR(LEFT(H328,4)="Meta",LEFT(H328,6)="Google"),IF(AG328=3,"Lead calificado",IF(OR(AG328=4,AG328=5),"Tasación/visita",IF(OR(AG328=6,AG328=7),"Captación/oferta",IF(AG328=8,"Cierre","")))),"")</f>
        <v/>
      </c>
      <c r="AE328" s="32"/>
      <c r="AF328" s="32"/>
      <c r="AG328" s="37" t="n">
        <f aca="false">IF(R328="",0,IFERROR(MATCH(R328,Listas!$L$2:$L$50,0),0))</f>
        <v>0</v>
      </c>
    </row>
    <row r="329" customFormat="false" ht="15" hidden="false" customHeight="false" outlineLevel="0" collapsed="false">
      <c r="A329" s="30"/>
      <c r="B329" s="31"/>
      <c r="C329" s="32"/>
      <c r="D329" s="32"/>
      <c r="E329" s="33"/>
      <c r="F329" s="32"/>
      <c r="G329" s="32"/>
      <c r="H329" s="32"/>
      <c r="I329" s="32"/>
      <c r="J329" s="32"/>
      <c r="K329" s="32"/>
      <c r="L329" s="32"/>
      <c r="M329" s="30"/>
      <c r="N329" s="32"/>
      <c r="O329" s="34"/>
      <c r="P329" s="32"/>
      <c r="Q329" s="32"/>
      <c r="R329" s="32"/>
      <c r="S329" s="32"/>
      <c r="T329" s="32"/>
      <c r="U329" s="32"/>
      <c r="V329" s="31"/>
      <c r="W329" s="35" t="str">
        <f aca="true">IF(OR(V329="",AG329&gt;=8),"",IF(V329&lt;TODAY(),"Vencida",IF(V329=TODAY(),"Hoy","")))</f>
        <v/>
      </c>
      <c r="X329" s="36" t="str">
        <f aca="false">IF(A329="","",IF(COUNTIF(Seguimiento!$B$2:$B$5001,A329)=0,"",_xlfn.MAXIFS(Seguimiento!$A$2:$A$5001,Seguimiento!$B$2:$B$5001,A329)))</f>
        <v/>
      </c>
      <c r="Y329" s="37" t="str">
        <f aca="true">IF(B329="","",TODAY()-B329)</f>
        <v/>
      </c>
      <c r="Z329" s="38" t="str">
        <f aca="false">IF(OR(O329="",G329=""),"",O329*IFERROR(INDEX(Listas!$B$2:$B$50,MATCH(G329,Listas!$A$2:$A$50,0)),0))</f>
        <v/>
      </c>
      <c r="AA329" s="32"/>
      <c r="AB329" s="32"/>
      <c r="AC329" s="32"/>
      <c r="AD329" s="35" t="str">
        <f aca="false">IF(OR(LEFT(H329,4)="Meta",LEFT(H329,6)="Google"),IF(AG329=3,"Lead calificado",IF(OR(AG329=4,AG329=5),"Tasación/visita",IF(OR(AG329=6,AG329=7),"Captación/oferta",IF(AG329=8,"Cierre","")))),"")</f>
        <v/>
      </c>
      <c r="AE329" s="32"/>
      <c r="AF329" s="32"/>
      <c r="AG329" s="37" t="n">
        <f aca="false">IF(R329="",0,IFERROR(MATCH(R329,Listas!$L$2:$L$50,0),0))</f>
        <v>0</v>
      </c>
    </row>
    <row r="330" customFormat="false" ht="15" hidden="false" customHeight="false" outlineLevel="0" collapsed="false">
      <c r="A330" s="30"/>
      <c r="B330" s="31"/>
      <c r="C330" s="32"/>
      <c r="D330" s="32"/>
      <c r="E330" s="33"/>
      <c r="F330" s="32"/>
      <c r="G330" s="32"/>
      <c r="H330" s="32"/>
      <c r="I330" s="32"/>
      <c r="J330" s="32"/>
      <c r="K330" s="32"/>
      <c r="L330" s="32"/>
      <c r="M330" s="30"/>
      <c r="N330" s="32"/>
      <c r="O330" s="34"/>
      <c r="P330" s="32"/>
      <c r="Q330" s="32"/>
      <c r="R330" s="32"/>
      <c r="S330" s="32"/>
      <c r="T330" s="32"/>
      <c r="U330" s="32"/>
      <c r="V330" s="31"/>
      <c r="W330" s="35" t="str">
        <f aca="true">IF(OR(V330="",AG330&gt;=8),"",IF(V330&lt;TODAY(),"Vencida",IF(V330=TODAY(),"Hoy","")))</f>
        <v/>
      </c>
      <c r="X330" s="36" t="str">
        <f aca="false">IF(A330="","",IF(COUNTIF(Seguimiento!$B$2:$B$5001,A330)=0,"",_xlfn.MAXIFS(Seguimiento!$A$2:$A$5001,Seguimiento!$B$2:$B$5001,A330)))</f>
        <v/>
      </c>
      <c r="Y330" s="37" t="str">
        <f aca="true">IF(B330="","",TODAY()-B330)</f>
        <v/>
      </c>
      <c r="Z330" s="38" t="str">
        <f aca="false">IF(OR(O330="",G330=""),"",O330*IFERROR(INDEX(Listas!$B$2:$B$50,MATCH(G330,Listas!$A$2:$A$50,0)),0))</f>
        <v/>
      </c>
      <c r="AA330" s="32"/>
      <c r="AB330" s="32"/>
      <c r="AC330" s="32"/>
      <c r="AD330" s="35" t="str">
        <f aca="false">IF(OR(LEFT(H330,4)="Meta",LEFT(H330,6)="Google"),IF(AG330=3,"Lead calificado",IF(OR(AG330=4,AG330=5),"Tasación/visita",IF(OR(AG330=6,AG330=7),"Captación/oferta",IF(AG330=8,"Cierre","")))),"")</f>
        <v/>
      </c>
      <c r="AE330" s="32"/>
      <c r="AF330" s="32"/>
      <c r="AG330" s="37" t="n">
        <f aca="false">IF(R330="",0,IFERROR(MATCH(R330,Listas!$L$2:$L$50,0),0))</f>
        <v>0</v>
      </c>
    </row>
    <row r="331" customFormat="false" ht="15" hidden="false" customHeight="false" outlineLevel="0" collapsed="false">
      <c r="A331" s="30"/>
      <c r="B331" s="31"/>
      <c r="C331" s="32"/>
      <c r="D331" s="32"/>
      <c r="E331" s="33"/>
      <c r="F331" s="32"/>
      <c r="G331" s="32"/>
      <c r="H331" s="32"/>
      <c r="I331" s="32"/>
      <c r="J331" s="32"/>
      <c r="K331" s="32"/>
      <c r="L331" s="32"/>
      <c r="M331" s="30"/>
      <c r="N331" s="32"/>
      <c r="O331" s="34"/>
      <c r="P331" s="32"/>
      <c r="Q331" s="32"/>
      <c r="R331" s="32"/>
      <c r="S331" s="32"/>
      <c r="T331" s="32"/>
      <c r="U331" s="32"/>
      <c r="V331" s="31"/>
      <c r="W331" s="35" t="str">
        <f aca="true">IF(OR(V331="",AG331&gt;=8),"",IF(V331&lt;TODAY(),"Vencida",IF(V331=TODAY(),"Hoy","")))</f>
        <v/>
      </c>
      <c r="X331" s="36" t="str">
        <f aca="false">IF(A331="","",IF(COUNTIF(Seguimiento!$B$2:$B$5001,A331)=0,"",_xlfn.MAXIFS(Seguimiento!$A$2:$A$5001,Seguimiento!$B$2:$B$5001,A331)))</f>
        <v/>
      </c>
      <c r="Y331" s="37" t="str">
        <f aca="true">IF(B331="","",TODAY()-B331)</f>
        <v/>
      </c>
      <c r="Z331" s="38" t="str">
        <f aca="false">IF(OR(O331="",G331=""),"",O331*IFERROR(INDEX(Listas!$B$2:$B$50,MATCH(G331,Listas!$A$2:$A$50,0)),0))</f>
        <v/>
      </c>
      <c r="AA331" s="32"/>
      <c r="AB331" s="32"/>
      <c r="AC331" s="32"/>
      <c r="AD331" s="35" t="str">
        <f aca="false">IF(OR(LEFT(H331,4)="Meta",LEFT(H331,6)="Google"),IF(AG331=3,"Lead calificado",IF(OR(AG331=4,AG331=5),"Tasación/visita",IF(OR(AG331=6,AG331=7),"Captación/oferta",IF(AG331=8,"Cierre","")))),"")</f>
        <v/>
      </c>
      <c r="AE331" s="32"/>
      <c r="AF331" s="32"/>
      <c r="AG331" s="37" t="n">
        <f aca="false">IF(R331="",0,IFERROR(MATCH(R331,Listas!$L$2:$L$50,0),0))</f>
        <v>0</v>
      </c>
    </row>
    <row r="332" customFormat="false" ht="15" hidden="false" customHeight="false" outlineLevel="0" collapsed="false">
      <c r="A332" s="30"/>
      <c r="B332" s="31"/>
      <c r="C332" s="32"/>
      <c r="D332" s="32"/>
      <c r="E332" s="33"/>
      <c r="F332" s="32"/>
      <c r="G332" s="32"/>
      <c r="H332" s="32"/>
      <c r="I332" s="32"/>
      <c r="J332" s="32"/>
      <c r="K332" s="32"/>
      <c r="L332" s="32"/>
      <c r="M332" s="30"/>
      <c r="N332" s="32"/>
      <c r="O332" s="34"/>
      <c r="P332" s="32"/>
      <c r="Q332" s="32"/>
      <c r="R332" s="32"/>
      <c r="S332" s="32"/>
      <c r="T332" s="32"/>
      <c r="U332" s="32"/>
      <c r="V332" s="31"/>
      <c r="W332" s="35" t="str">
        <f aca="true">IF(OR(V332="",AG332&gt;=8),"",IF(V332&lt;TODAY(),"Vencida",IF(V332=TODAY(),"Hoy","")))</f>
        <v/>
      </c>
      <c r="X332" s="36" t="str">
        <f aca="false">IF(A332="","",IF(COUNTIF(Seguimiento!$B$2:$B$5001,A332)=0,"",_xlfn.MAXIFS(Seguimiento!$A$2:$A$5001,Seguimiento!$B$2:$B$5001,A332)))</f>
        <v/>
      </c>
      <c r="Y332" s="37" t="str">
        <f aca="true">IF(B332="","",TODAY()-B332)</f>
        <v/>
      </c>
      <c r="Z332" s="38" t="str">
        <f aca="false">IF(OR(O332="",G332=""),"",O332*IFERROR(INDEX(Listas!$B$2:$B$50,MATCH(G332,Listas!$A$2:$A$50,0)),0))</f>
        <v/>
      </c>
      <c r="AA332" s="32"/>
      <c r="AB332" s="32"/>
      <c r="AC332" s="32"/>
      <c r="AD332" s="35" t="str">
        <f aca="false">IF(OR(LEFT(H332,4)="Meta",LEFT(H332,6)="Google"),IF(AG332=3,"Lead calificado",IF(OR(AG332=4,AG332=5),"Tasación/visita",IF(OR(AG332=6,AG332=7),"Captación/oferta",IF(AG332=8,"Cierre","")))),"")</f>
        <v/>
      </c>
      <c r="AE332" s="32"/>
      <c r="AF332" s="32"/>
      <c r="AG332" s="37" t="n">
        <f aca="false">IF(R332="",0,IFERROR(MATCH(R332,Listas!$L$2:$L$50,0),0))</f>
        <v>0</v>
      </c>
    </row>
    <row r="333" customFormat="false" ht="15" hidden="false" customHeight="false" outlineLevel="0" collapsed="false">
      <c r="A333" s="30"/>
      <c r="B333" s="31"/>
      <c r="C333" s="32"/>
      <c r="D333" s="32"/>
      <c r="E333" s="33"/>
      <c r="F333" s="32"/>
      <c r="G333" s="32"/>
      <c r="H333" s="32"/>
      <c r="I333" s="32"/>
      <c r="J333" s="32"/>
      <c r="K333" s="32"/>
      <c r="L333" s="32"/>
      <c r="M333" s="30"/>
      <c r="N333" s="32"/>
      <c r="O333" s="34"/>
      <c r="P333" s="32"/>
      <c r="Q333" s="32"/>
      <c r="R333" s="32"/>
      <c r="S333" s="32"/>
      <c r="T333" s="32"/>
      <c r="U333" s="32"/>
      <c r="V333" s="31"/>
      <c r="W333" s="35" t="str">
        <f aca="true">IF(OR(V333="",AG333&gt;=8),"",IF(V333&lt;TODAY(),"Vencida",IF(V333=TODAY(),"Hoy","")))</f>
        <v/>
      </c>
      <c r="X333" s="36" t="str">
        <f aca="false">IF(A333="","",IF(COUNTIF(Seguimiento!$B$2:$B$5001,A333)=0,"",_xlfn.MAXIFS(Seguimiento!$A$2:$A$5001,Seguimiento!$B$2:$B$5001,A333)))</f>
        <v/>
      </c>
      <c r="Y333" s="37" t="str">
        <f aca="true">IF(B333="","",TODAY()-B333)</f>
        <v/>
      </c>
      <c r="Z333" s="38" t="str">
        <f aca="false">IF(OR(O333="",G333=""),"",O333*IFERROR(INDEX(Listas!$B$2:$B$50,MATCH(G333,Listas!$A$2:$A$50,0)),0))</f>
        <v/>
      </c>
      <c r="AA333" s="32"/>
      <c r="AB333" s="32"/>
      <c r="AC333" s="32"/>
      <c r="AD333" s="35" t="str">
        <f aca="false">IF(OR(LEFT(H333,4)="Meta",LEFT(H333,6)="Google"),IF(AG333=3,"Lead calificado",IF(OR(AG333=4,AG333=5),"Tasación/visita",IF(OR(AG333=6,AG333=7),"Captación/oferta",IF(AG333=8,"Cierre","")))),"")</f>
        <v/>
      </c>
      <c r="AE333" s="32"/>
      <c r="AF333" s="32"/>
      <c r="AG333" s="37" t="n">
        <f aca="false">IF(R333="",0,IFERROR(MATCH(R333,Listas!$L$2:$L$50,0),0))</f>
        <v>0</v>
      </c>
    </row>
    <row r="334" customFormat="false" ht="15" hidden="false" customHeight="false" outlineLevel="0" collapsed="false">
      <c r="A334" s="30"/>
      <c r="B334" s="31"/>
      <c r="C334" s="32"/>
      <c r="D334" s="32"/>
      <c r="E334" s="33"/>
      <c r="F334" s="32"/>
      <c r="G334" s="32"/>
      <c r="H334" s="32"/>
      <c r="I334" s="32"/>
      <c r="J334" s="32"/>
      <c r="K334" s="32"/>
      <c r="L334" s="32"/>
      <c r="M334" s="30"/>
      <c r="N334" s="32"/>
      <c r="O334" s="34"/>
      <c r="P334" s="32"/>
      <c r="Q334" s="32"/>
      <c r="R334" s="32"/>
      <c r="S334" s="32"/>
      <c r="T334" s="32"/>
      <c r="U334" s="32"/>
      <c r="V334" s="31"/>
      <c r="W334" s="35" t="str">
        <f aca="true">IF(OR(V334="",AG334&gt;=8),"",IF(V334&lt;TODAY(),"Vencida",IF(V334=TODAY(),"Hoy","")))</f>
        <v/>
      </c>
      <c r="X334" s="36" t="str">
        <f aca="false">IF(A334="","",IF(COUNTIF(Seguimiento!$B$2:$B$5001,A334)=0,"",_xlfn.MAXIFS(Seguimiento!$A$2:$A$5001,Seguimiento!$B$2:$B$5001,A334)))</f>
        <v/>
      </c>
      <c r="Y334" s="37" t="str">
        <f aca="true">IF(B334="","",TODAY()-B334)</f>
        <v/>
      </c>
      <c r="Z334" s="38" t="str">
        <f aca="false">IF(OR(O334="",G334=""),"",O334*IFERROR(INDEX(Listas!$B$2:$B$50,MATCH(G334,Listas!$A$2:$A$50,0)),0))</f>
        <v/>
      </c>
      <c r="AA334" s="32"/>
      <c r="AB334" s="32"/>
      <c r="AC334" s="32"/>
      <c r="AD334" s="35" t="str">
        <f aca="false">IF(OR(LEFT(H334,4)="Meta",LEFT(H334,6)="Google"),IF(AG334=3,"Lead calificado",IF(OR(AG334=4,AG334=5),"Tasación/visita",IF(OR(AG334=6,AG334=7),"Captación/oferta",IF(AG334=8,"Cierre","")))),"")</f>
        <v/>
      </c>
      <c r="AE334" s="32"/>
      <c r="AF334" s="32"/>
      <c r="AG334" s="37" t="n">
        <f aca="false">IF(R334="",0,IFERROR(MATCH(R334,Listas!$L$2:$L$50,0),0))</f>
        <v>0</v>
      </c>
    </row>
    <row r="335" customFormat="false" ht="15" hidden="false" customHeight="false" outlineLevel="0" collapsed="false">
      <c r="A335" s="30"/>
      <c r="B335" s="31"/>
      <c r="C335" s="32"/>
      <c r="D335" s="32"/>
      <c r="E335" s="33"/>
      <c r="F335" s="32"/>
      <c r="G335" s="32"/>
      <c r="H335" s="32"/>
      <c r="I335" s="32"/>
      <c r="J335" s="32"/>
      <c r="K335" s="32"/>
      <c r="L335" s="32"/>
      <c r="M335" s="30"/>
      <c r="N335" s="32"/>
      <c r="O335" s="34"/>
      <c r="P335" s="32"/>
      <c r="Q335" s="32"/>
      <c r="R335" s="32"/>
      <c r="S335" s="32"/>
      <c r="T335" s="32"/>
      <c r="U335" s="32"/>
      <c r="V335" s="31"/>
      <c r="W335" s="35" t="str">
        <f aca="true">IF(OR(V335="",AG335&gt;=8),"",IF(V335&lt;TODAY(),"Vencida",IF(V335=TODAY(),"Hoy","")))</f>
        <v/>
      </c>
      <c r="X335" s="36" t="str">
        <f aca="false">IF(A335="","",IF(COUNTIF(Seguimiento!$B$2:$B$5001,A335)=0,"",_xlfn.MAXIFS(Seguimiento!$A$2:$A$5001,Seguimiento!$B$2:$B$5001,A335)))</f>
        <v/>
      </c>
      <c r="Y335" s="37" t="str">
        <f aca="true">IF(B335="","",TODAY()-B335)</f>
        <v/>
      </c>
      <c r="Z335" s="38" t="str">
        <f aca="false">IF(OR(O335="",G335=""),"",O335*IFERROR(INDEX(Listas!$B$2:$B$50,MATCH(G335,Listas!$A$2:$A$50,0)),0))</f>
        <v/>
      </c>
      <c r="AA335" s="32"/>
      <c r="AB335" s="32"/>
      <c r="AC335" s="32"/>
      <c r="AD335" s="35" t="str">
        <f aca="false">IF(OR(LEFT(H335,4)="Meta",LEFT(H335,6)="Google"),IF(AG335=3,"Lead calificado",IF(OR(AG335=4,AG335=5),"Tasación/visita",IF(OR(AG335=6,AG335=7),"Captación/oferta",IF(AG335=8,"Cierre","")))),"")</f>
        <v/>
      </c>
      <c r="AE335" s="32"/>
      <c r="AF335" s="32"/>
      <c r="AG335" s="37" t="n">
        <f aca="false">IF(R335="",0,IFERROR(MATCH(R335,Listas!$L$2:$L$50,0),0))</f>
        <v>0</v>
      </c>
    </row>
    <row r="336" customFormat="false" ht="15" hidden="false" customHeight="false" outlineLevel="0" collapsed="false">
      <c r="A336" s="30"/>
      <c r="B336" s="31"/>
      <c r="C336" s="32"/>
      <c r="D336" s="32"/>
      <c r="E336" s="33"/>
      <c r="F336" s="32"/>
      <c r="G336" s="32"/>
      <c r="H336" s="32"/>
      <c r="I336" s="32"/>
      <c r="J336" s="32"/>
      <c r="K336" s="32"/>
      <c r="L336" s="32"/>
      <c r="M336" s="30"/>
      <c r="N336" s="32"/>
      <c r="O336" s="34"/>
      <c r="P336" s="32"/>
      <c r="Q336" s="32"/>
      <c r="R336" s="32"/>
      <c r="S336" s="32"/>
      <c r="T336" s="32"/>
      <c r="U336" s="32"/>
      <c r="V336" s="31"/>
      <c r="W336" s="35" t="str">
        <f aca="true">IF(OR(V336="",AG336&gt;=8),"",IF(V336&lt;TODAY(),"Vencida",IF(V336=TODAY(),"Hoy","")))</f>
        <v/>
      </c>
      <c r="X336" s="36" t="str">
        <f aca="false">IF(A336="","",IF(COUNTIF(Seguimiento!$B$2:$B$5001,A336)=0,"",_xlfn.MAXIFS(Seguimiento!$A$2:$A$5001,Seguimiento!$B$2:$B$5001,A336)))</f>
        <v/>
      </c>
      <c r="Y336" s="37" t="str">
        <f aca="true">IF(B336="","",TODAY()-B336)</f>
        <v/>
      </c>
      <c r="Z336" s="38" t="str">
        <f aca="false">IF(OR(O336="",G336=""),"",O336*IFERROR(INDEX(Listas!$B$2:$B$50,MATCH(G336,Listas!$A$2:$A$50,0)),0))</f>
        <v/>
      </c>
      <c r="AA336" s="32"/>
      <c r="AB336" s="32"/>
      <c r="AC336" s="32"/>
      <c r="AD336" s="35" t="str">
        <f aca="false">IF(OR(LEFT(H336,4)="Meta",LEFT(H336,6)="Google"),IF(AG336=3,"Lead calificado",IF(OR(AG336=4,AG336=5),"Tasación/visita",IF(OR(AG336=6,AG336=7),"Captación/oferta",IF(AG336=8,"Cierre","")))),"")</f>
        <v/>
      </c>
      <c r="AE336" s="32"/>
      <c r="AF336" s="32"/>
      <c r="AG336" s="37" t="n">
        <f aca="false">IF(R336="",0,IFERROR(MATCH(R336,Listas!$L$2:$L$50,0),0))</f>
        <v>0</v>
      </c>
    </row>
    <row r="337" customFormat="false" ht="15" hidden="false" customHeight="false" outlineLevel="0" collapsed="false">
      <c r="A337" s="30"/>
      <c r="B337" s="31"/>
      <c r="C337" s="32"/>
      <c r="D337" s="32"/>
      <c r="E337" s="33"/>
      <c r="F337" s="32"/>
      <c r="G337" s="32"/>
      <c r="H337" s="32"/>
      <c r="I337" s="32"/>
      <c r="J337" s="32"/>
      <c r="K337" s="32"/>
      <c r="L337" s="32"/>
      <c r="M337" s="30"/>
      <c r="N337" s="32"/>
      <c r="O337" s="34"/>
      <c r="P337" s="32"/>
      <c r="Q337" s="32"/>
      <c r="R337" s="32"/>
      <c r="S337" s="32"/>
      <c r="T337" s="32"/>
      <c r="U337" s="32"/>
      <c r="V337" s="31"/>
      <c r="W337" s="35" t="str">
        <f aca="true">IF(OR(V337="",AG337&gt;=8),"",IF(V337&lt;TODAY(),"Vencida",IF(V337=TODAY(),"Hoy","")))</f>
        <v/>
      </c>
      <c r="X337" s="36" t="str">
        <f aca="false">IF(A337="","",IF(COUNTIF(Seguimiento!$B$2:$B$5001,A337)=0,"",_xlfn.MAXIFS(Seguimiento!$A$2:$A$5001,Seguimiento!$B$2:$B$5001,A337)))</f>
        <v/>
      </c>
      <c r="Y337" s="37" t="str">
        <f aca="true">IF(B337="","",TODAY()-B337)</f>
        <v/>
      </c>
      <c r="Z337" s="38" t="str">
        <f aca="false">IF(OR(O337="",G337=""),"",O337*IFERROR(INDEX(Listas!$B$2:$B$50,MATCH(G337,Listas!$A$2:$A$50,0)),0))</f>
        <v/>
      </c>
      <c r="AA337" s="32"/>
      <c r="AB337" s="32"/>
      <c r="AC337" s="32"/>
      <c r="AD337" s="35" t="str">
        <f aca="false">IF(OR(LEFT(H337,4)="Meta",LEFT(H337,6)="Google"),IF(AG337=3,"Lead calificado",IF(OR(AG337=4,AG337=5),"Tasación/visita",IF(OR(AG337=6,AG337=7),"Captación/oferta",IF(AG337=8,"Cierre","")))),"")</f>
        <v/>
      </c>
      <c r="AE337" s="32"/>
      <c r="AF337" s="32"/>
      <c r="AG337" s="37" t="n">
        <f aca="false">IF(R337="",0,IFERROR(MATCH(R337,Listas!$L$2:$L$50,0),0))</f>
        <v>0</v>
      </c>
    </row>
    <row r="338" customFormat="false" ht="15" hidden="false" customHeight="false" outlineLevel="0" collapsed="false">
      <c r="A338" s="30"/>
      <c r="B338" s="31"/>
      <c r="C338" s="32"/>
      <c r="D338" s="32"/>
      <c r="E338" s="33"/>
      <c r="F338" s="32"/>
      <c r="G338" s="32"/>
      <c r="H338" s="32"/>
      <c r="I338" s="32"/>
      <c r="J338" s="32"/>
      <c r="K338" s="32"/>
      <c r="L338" s="32"/>
      <c r="M338" s="30"/>
      <c r="N338" s="32"/>
      <c r="O338" s="34"/>
      <c r="P338" s="32"/>
      <c r="Q338" s="32"/>
      <c r="R338" s="32"/>
      <c r="S338" s="32"/>
      <c r="T338" s="32"/>
      <c r="U338" s="32"/>
      <c r="V338" s="31"/>
      <c r="W338" s="35" t="str">
        <f aca="true">IF(OR(V338="",AG338&gt;=8),"",IF(V338&lt;TODAY(),"Vencida",IF(V338=TODAY(),"Hoy","")))</f>
        <v/>
      </c>
      <c r="X338" s="36" t="str">
        <f aca="false">IF(A338="","",IF(COUNTIF(Seguimiento!$B$2:$B$5001,A338)=0,"",_xlfn.MAXIFS(Seguimiento!$A$2:$A$5001,Seguimiento!$B$2:$B$5001,A338)))</f>
        <v/>
      </c>
      <c r="Y338" s="37" t="str">
        <f aca="true">IF(B338="","",TODAY()-B338)</f>
        <v/>
      </c>
      <c r="Z338" s="38" t="str">
        <f aca="false">IF(OR(O338="",G338=""),"",O338*IFERROR(INDEX(Listas!$B$2:$B$50,MATCH(G338,Listas!$A$2:$A$50,0)),0))</f>
        <v/>
      </c>
      <c r="AA338" s="32"/>
      <c r="AB338" s="32"/>
      <c r="AC338" s="32"/>
      <c r="AD338" s="35" t="str">
        <f aca="false">IF(OR(LEFT(H338,4)="Meta",LEFT(H338,6)="Google"),IF(AG338=3,"Lead calificado",IF(OR(AG338=4,AG338=5),"Tasación/visita",IF(OR(AG338=6,AG338=7),"Captación/oferta",IF(AG338=8,"Cierre","")))),"")</f>
        <v/>
      </c>
      <c r="AE338" s="32"/>
      <c r="AF338" s="32"/>
      <c r="AG338" s="37" t="n">
        <f aca="false">IF(R338="",0,IFERROR(MATCH(R338,Listas!$L$2:$L$50,0),0))</f>
        <v>0</v>
      </c>
    </row>
    <row r="339" customFormat="false" ht="15" hidden="false" customHeight="false" outlineLevel="0" collapsed="false">
      <c r="A339" s="30"/>
      <c r="B339" s="31"/>
      <c r="C339" s="32"/>
      <c r="D339" s="32"/>
      <c r="E339" s="33"/>
      <c r="F339" s="32"/>
      <c r="G339" s="32"/>
      <c r="H339" s="32"/>
      <c r="I339" s="32"/>
      <c r="J339" s="32"/>
      <c r="K339" s="32"/>
      <c r="L339" s="32"/>
      <c r="M339" s="30"/>
      <c r="N339" s="32"/>
      <c r="O339" s="34"/>
      <c r="P339" s="32"/>
      <c r="Q339" s="32"/>
      <c r="R339" s="32"/>
      <c r="S339" s="32"/>
      <c r="T339" s="32"/>
      <c r="U339" s="32"/>
      <c r="V339" s="31"/>
      <c r="W339" s="35" t="str">
        <f aca="true">IF(OR(V339="",AG339&gt;=8),"",IF(V339&lt;TODAY(),"Vencida",IF(V339=TODAY(),"Hoy","")))</f>
        <v/>
      </c>
      <c r="X339" s="36" t="str">
        <f aca="false">IF(A339="","",IF(COUNTIF(Seguimiento!$B$2:$B$5001,A339)=0,"",_xlfn.MAXIFS(Seguimiento!$A$2:$A$5001,Seguimiento!$B$2:$B$5001,A339)))</f>
        <v/>
      </c>
      <c r="Y339" s="37" t="str">
        <f aca="true">IF(B339="","",TODAY()-B339)</f>
        <v/>
      </c>
      <c r="Z339" s="38" t="str">
        <f aca="false">IF(OR(O339="",G339=""),"",O339*IFERROR(INDEX(Listas!$B$2:$B$50,MATCH(G339,Listas!$A$2:$A$50,0)),0))</f>
        <v/>
      </c>
      <c r="AA339" s="32"/>
      <c r="AB339" s="32"/>
      <c r="AC339" s="32"/>
      <c r="AD339" s="35" t="str">
        <f aca="false">IF(OR(LEFT(H339,4)="Meta",LEFT(H339,6)="Google"),IF(AG339=3,"Lead calificado",IF(OR(AG339=4,AG339=5),"Tasación/visita",IF(OR(AG339=6,AG339=7),"Captación/oferta",IF(AG339=8,"Cierre","")))),"")</f>
        <v/>
      </c>
      <c r="AE339" s="32"/>
      <c r="AF339" s="32"/>
      <c r="AG339" s="37" t="n">
        <f aca="false">IF(R339="",0,IFERROR(MATCH(R339,Listas!$L$2:$L$50,0),0))</f>
        <v>0</v>
      </c>
    </row>
    <row r="340" customFormat="false" ht="15" hidden="false" customHeight="false" outlineLevel="0" collapsed="false">
      <c r="A340" s="30"/>
      <c r="B340" s="31"/>
      <c r="C340" s="32"/>
      <c r="D340" s="32"/>
      <c r="E340" s="33"/>
      <c r="F340" s="32"/>
      <c r="G340" s="32"/>
      <c r="H340" s="32"/>
      <c r="I340" s="32"/>
      <c r="J340" s="32"/>
      <c r="K340" s="32"/>
      <c r="L340" s="32"/>
      <c r="M340" s="30"/>
      <c r="N340" s="32"/>
      <c r="O340" s="34"/>
      <c r="P340" s="32"/>
      <c r="Q340" s="32"/>
      <c r="R340" s="32"/>
      <c r="S340" s="32"/>
      <c r="T340" s="32"/>
      <c r="U340" s="32"/>
      <c r="V340" s="31"/>
      <c r="W340" s="35" t="str">
        <f aca="true">IF(OR(V340="",AG340&gt;=8),"",IF(V340&lt;TODAY(),"Vencida",IF(V340=TODAY(),"Hoy","")))</f>
        <v/>
      </c>
      <c r="X340" s="36" t="str">
        <f aca="false">IF(A340="","",IF(COUNTIF(Seguimiento!$B$2:$B$5001,A340)=0,"",_xlfn.MAXIFS(Seguimiento!$A$2:$A$5001,Seguimiento!$B$2:$B$5001,A340)))</f>
        <v/>
      </c>
      <c r="Y340" s="37" t="str">
        <f aca="true">IF(B340="","",TODAY()-B340)</f>
        <v/>
      </c>
      <c r="Z340" s="38" t="str">
        <f aca="false">IF(OR(O340="",G340=""),"",O340*IFERROR(INDEX(Listas!$B$2:$B$50,MATCH(G340,Listas!$A$2:$A$50,0)),0))</f>
        <v/>
      </c>
      <c r="AA340" s="32"/>
      <c r="AB340" s="32"/>
      <c r="AC340" s="32"/>
      <c r="AD340" s="35" t="str">
        <f aca="false">IF(OR(LEFT(H340,4)="Meta",LEFT(H340,6)="Google"),IF(AG340=3,"Lead calificado",IF(OR(AG340=4,AG340=5),"Tasación/visita",IF(OR(AG340=6,AG340=7),"Captación/oferta",IF(AG340=8,"Cierre","")))),"")</f>
        <v/>
      </c>
      <c r="AE340" s="32"/>
      <c r="AF340" s="32"/>
      <c r="AG340" s="37" t="n">
        <f aca="false">IF(R340="",0,IFERROR(MATCH(R340,Listas!$L$2:$L$50,0),0))</f>
        <v>0</v>
      </c>
    </row>
    <row r="341" customFormat="false" ht="15" hidden="false" customHeight="false" outlineLevel="0" collapsed="false">
      <c r="A341" s="30"/>
      <c r="B341" s="31"/>
      <c r="C341" s="32"/>
      <c r="D341" s="32"/>
      <c r="E341" s="33"/>
      <c r="F341" s="32"/>
      <c r="G341" s="32"/>
      <c r="H341" s="32"/>
      <c r="I341" s="32"/>
      <c r="J341" s="32"/>
      <c r="K341" s="32"/>
      <c r="L341" s="32"/>
      <c r="M341" s="30"/>
      <c r="N341" s="32"/>
      <c r="O341" s="34"/>
      <c r="P341" s="32"/>
      <c r="Q341" s="32"/>
      <c r="R341" s="32"/>
      <c r="S341" s="32"/>
      <c r="T341" s="32"/>
      <c r="U341" s="32"/>
      <c r="V341" s="31"/>
      <c r="W341" s="35" t="str">
        <f aca="true">IF(OR(V341="",AG341&gt;=8),"",IF(V341&lt;TODAY(),"Vencida",IF(V341=TODAY(),"Hoy","")))</f>
        <v/>
      </c>
      <c r="X341" s="36" t="str">
        <f aca="false">IF(A341="","",IF(COUNTIF(Seguimiento!$B$2:$B$5001,A341)=0,"",_xlfn.MAXIFS(Seguimiento!$A$2:$A$5001,Seguimiento!$B$2:$B$5001,A341)))</f>
        <v/>
      </c>
      <c r="Y341" s="37" t="str">
        <f aca="true">IF(B341="","",TODAY()-B341)</f>
        <v/>
      </c>
      <c r="Z341" s="38" t="str">
        <f aca="false">IF(OR(O341="",G341=""),"",O341*IFERROR(INDEX(Listas!$B$2:$B$50,MATCH(G341,Listas!$A$2:$A$50,0)),0))</f>
        <v/>
      </c>
      <c r="AA341" s="32"/>
      <c r="AB341" s="32"/>
      <c r="AC341" s="32"/>
      <c r="AD341" s="35" t="str">
        <f aca="false">IF(OR(LEFT(H341,4)="Meta",LEFT(H341,6)="Google"),IF(AG341=3,"Lead calificado",IF(OR(AG341=4,AG341=5),"Tasación/visita",IF(OR(AG341=6,AG341=7),"Captación/oferta",IF(AG341=8,"Cierre","")))),"")</f>
        <v/>
      </c>
      <c r="AE341" s="32"/>
      <c r="AF341" s="32"/>
      <c r="AG341" s="37" t="n">
        <f aca="false">IF(R341="",0,IFERROR(MATCH(R341,Listas!$L$2:$L$50,0),0))</f>
        <v>0</v>
      </c>
    </row>
    <row r="342" customFormat="false" ht="15" hidden="false" customHeight="false" outlineLevel="0" collapsed="false">
      <c r="A342" s="30"/>
      <c r="B342" s="31"/>
      <c r="C342" s="32"/>
      <c r="D342" s="32"/>
      <c r="E342" s="33"/>
      <c r="F342" s="32"/>
      <c r="G342" s="32"/>
      <c r="H342" s="32"/>
      <c r="I342" s="32"/>
      <c r="J342" s="32"/>
      <c r="K342" s="32"/>
      <c r="L342" s="32"/>
      <c r="M342" s="30"/>
      <c r="N342" s="32"/>
      <c r="O342" s="34"/>
      <c r="P342" s="32"/>
      <c r="Q342" s="32"/>
      <c r="R342" s="32"/>
      <c r="S342" s="32"/>
      <c r="T342" s="32"/>
      <c r="U342" s="32"/>
      <c r="V342" s="31"/>
      <c r="W342" s="35" t="str">
        <f aca="true">IF(OR(V342="",AG342&gt;=8),"",IF(V342&lt;TODAY(),"Vencida",IF(V342=TODAY(),"Hoy","")))</f>
        <v/>
      </c>
      <c r="X342" s="36" t="str">
        <f aca="false">IF(A342="","",IF(COUNTIF(Seguimiento!$B$2:$B$5001,A342)=0,"",_xlfn.MAXIFS(Seguimiento!$A$2:$A$5001,Seguimiento!$B$2:$B$5001,A342)))</f>
        <v/>
      </c>
      <c r="Y342" s="37" t="str">
        <f aca="true">IF(B342="","",TODAY()-B342)</f>
        <v/>
      </c>
      <c r="Z342" s="38" t="str">
        <f aca="false">IF(OR(O342="",G342=""),"",O342*IFERROR(INDEX(Listas!$B$2:$B$50,MATCH(G342,Listas!$A$2:$A$50,0)),0))</f>
        <v/>
      </c>
      <c r="AA342" s="32"/>
      <c r="AB342" s="32"/>
      <c r="AC342" s="32"/>
      <c r="AD342" s="35" t="str">
        <f aca="false">IF(OR(LEFT(H342,4)="Meta",LEFT(H342,6)="Google"),IF(AG342=3,"Lead calificado",IF(OR(AG342=4,AG342=5),"Tasación/visita",IF(OR(AG342=6,AG342=7),"Captación/oferta",IF(AG342=8,"Cierre","")))),"")</f>
        <v/>
      </c>
      <c r="AE342" s="32"/>
      <c r="AF342" s="32"/>
      <c r="AG342" s="37" t="n">
        <f aca="false">IF(R342="",0,IFERROR(MATCH(R342,Listas!$L$2:$L$50,0),0))</f>
        <v>0</v>
      </c>
    </row>
    <row r="343" customFormat="false" ht="15" hidden="false" customHeight="false" outlineLevel="0" collapsed="false">
      <c r="A343" s="30"/>
      <c r="B343" s="31"/>
      <c r="C343" s="32"/>
      <c r="D343" s="32"/>
      <c r="E343" s="33"/>
      <c r="F343" s="32"/>
      <c r="G343" s="32"/>
      <c r="H343" s="32"/>
      <c r="I343" s="32"/>
      <c r="J343" s="32"/>
      <c r="K343" s="32"/>
      <c r="L343" s="32"/>
      <c r="M343" s="30"/>
      <c r="N343" s="32"/>
      <c r="O343" s="34"/>
      <c r="P343" s="32"/>
      <c r="Q343" s="32"/>
      <c r="R343" s="32"/>
      <c r="S343" s="32"/>
      <c r="T343" s="32"/>
      <c r="U343" s="32"/>
      <c r="V343" s="31"/>
      <c r="W343" s="35" t="str">
        <f aca="true">IF(OR(V343="",AG343&gt;=8),"",IF(V343&lt;TODAY(),"Vencida",IF(V343=TODAY(),"Hoy","")))</f>
        <v/>
      </c>
      <c r="X343" s="36" t="str">
        <f aca="false">IF(A343="","",IF(COUNTIF(Seguimiento!$B$2:$B$5001,A343)=0,"",_xlfn.MAXIFS(Seguimiento!$A$2:$A$5001,Seguimiento!$B$2:$B$5001,A343)))</f>
        <v/>
      </c>
      <c r="Y343" s="37" t="str">
        <f aca="true">IF(B343="","",TODAY()-B343)</f>
        <v/>
      </c>
      <c r="Z343" s="38" t="str">
        <f aca="false">IF(OR(O343="",G343=""),"",O343*IFERROR(INDEX(Listas!$B$2:$B$50,MATCH(G343,Listas!$A$2:$A$50,0)),0))</f>
        <v/>
      </c>
      <c r="AA343" s="32"/>
      <c r="AB343" s="32"/>
      <c r="AC343" s="32"/>
      <c r="AD343" s="35" t="str">
        <f aca="false">IF(OR(LEFT(H343,4)="Meta",LEFT(H343,6)="Google"),IF(AG343=3,"Lead calificado",IF(OR(AG343=4,AG343=5),"Tasación/visita",IF(OR(AG343=6,AG343=7),"Captación/oferta",IF(AG343=8,"Cierre","")))),"")</f>
        <v/>
      </c>
      <c r="AE343" s="32"/>
      <c r="AF343" s="32"/>
      <c r="AG343" s="37" t="n">
        <f aca="false">IF(R343="",0,IFERROR(MATCH(R343,Listas!$L$2:$L$50,0),0))</f>
        <v>0</v>
      </c>
    </row>
    <row r="344" customFormat="false" ht="15" hidden="false" customHeight="false" outlineLevel="0" collapsed="false">
      <c r="A344" s="30"/>
      <c r="B344" s="31"/>
      <c r="C344" s="32"/>
      <c r="D344" s="32"/>
      <c r="E344" s="33"/>
      <c r="F344" s="32"/>
      <c r="G344" s="32"/>
      <c r="H344" s="32"/>
      <c r="I344" s="32"/>
      <c r="J344" s="32"/>
      <c r="K344" s="32"/>
      <c r="L344" s="32"/>
      <c r="M344" s="30"/>
      <c r="N344" s="32"/>
      <c r="O344" s="34"/>
      <c r="P344" s="32"/>
      <c r="Q344" s="32"/>
      <c r="R344" s="32"/>
      <c r="S344" s="32"/>
      <c r="T344" s="32"/>
      <c r="U344" s="32"/>
      <c r="V344" s="31"/>
      <c r="W344" s="35" t="str">
        <f aca="true">IF(OR(V344="",AG344&gt;=8),"",IF(V344&lt;TODAY(),"Vencida",IF(V344=TODAY(),"Hoy","")))</f>
        <v/>
      </c>
      <c r="X344" s="36" t="str">
        <f aca="false">IF(A344="","",IF(COUNTIF(Seguimiento!$B$2:$B$5001,A344)=0,"",_xlfn.MAXIFS(Seguimiento!$A$2:$A$5001,Seguimiento!$B$2:$B$5001,A344)))</f>
        <v/>
      </c>
      <c r="Y344" s="37" t="str">
        <f aca="true">IF(B344="","",TODAY()-B344)</f>
        <v/>
      </c>
      <c r="Z344" s="38" t="str">
        <f aca="false">IF(OR(O344="",G344=""),"",O344*IFERROR(INDEX(Listas!$B$2:$B$50,MATCH(G344,Listas!$A$2:$A$50,0)),0))</f>
        <v/>
      </c>
      <c r="AA344" s="32"/>
      <c r="AB344" s="32"/>
      <c r="AC344" s="32"/>
      <c r="AD344" s="35" t="str">
        <f aca="false">IF(OR(LEFT(H344,4)="Meta",LEFT(H344,6)="Google"),IF(AG344=3,"Lead calificado",IF(OR(AG344=4,AG344=5),"Tasación/visita",IF(OR(AG344=6,AG344=7),"Captación/oferta",IF(AG344=8,"Cierre","")))),"")</f>
        <v/>
      </c>
      <c r="AE344" s="32"/>
      <c r="AF344" s="32"/>
      <c r="AG344" s="37" t="n">
        <f aca="false">IF(R344="",0,IFERROR(MATCH(R344,Listas!$L$2:$L$50,0),0))</f>
        <v>0</v>
      </c>
    </row>
    <row r="345" customFormat="false" ht="15" hidden="false" customHeight="false" outlineLevel="0" collapsed="false">
      <c r="A345" s="30"/>
      <c r="B345" s="31"/>
      <c r="C345" s="32"/>
      <c r="D345" s="32"/>
      <c r="E345" s="33"/>
      <c r="F345" s="32"/>
      <c r="G345" s="32"/>
      <c r="H345" s="32"/>
      <c r="I345" s="32"/>
      <c r="J345" s="32"/>
      <c r="K345" s="32"/>
      <c r="L345" s="32"/>
      <c r="M345" s="30"/>
      <c r="N345" s="32"/>
      <c r="O345" s="34"/>
      <c r="P345" s="32"/>
      <c r="Q345" s="32"/>
      <c r="R345" s="32"/>
      <c r="S345" s="32"/>
      <c r="T345" s="32"/>
      <c r="U345" s="32"/>
      <c r="V345" s="31"/>
      <c r="W345" s="35" t="str">
        <f aca="true">IF(OR(V345="",AG345&gt;=8),"",IF(V345&lt;TODAY(),"Vencida",IF(V345=TODAY(),"Hoy","")))</f>
        <v/>
      </c>
      <c r="X345" s="36" t="str">
        <f aca="false">IF(A345="","",IF(COUNTIF(Seguimiento!$B$2:$B$5001,A345)=0,"",_xlfn.MAXIFS(Seguimiento!$A$2:$A$5001,Seguimiento!$B$2:$B$5001,A345)))</f>
        <v/>
      </c>
      <c r="Y345" s="37" t="str">
        <f aca="true">IF(B345="","",TODAY()-B345)</f>
        <v/>
      </c>
      <c r="Z345" s="38" t="str">
        <f aca="false">IF(OR(O345="",G345=""),"",O345*IFERROR(INDEX(Listas!$B$2:$B$50,MATCH(G345,Listas!$A$2:$A$50,0)),0))</f>
        <v/>
      </c>
      <c r="AA345" s="32"/>
      <c r="AB345" s="32"/>
      <c r="AC345" s="32"/>
      <c r="AD345" s="35" t="str">
        <f aca="false">IF(OR(LEFT(H345,4)="Meta",LEFT(H345,6)="Google"),IF(AG345=3,"Lead calificado",IF(OR(AG345=4,AG345=5),"Tasación/visita",IF(OR(AG345=6,AG345=7),"Captación/oferta",IF(AG345=8,"Cierre","")))),"")</f>
        <v/>
      </c>
      <c r="AE345" s="32"/>
      <c r="AF345" s="32"/>
      <c r="AG345" s="37" t="n">
        <f aca="false">IF(R345="",0,IFERROR(MATCH(R345,Listas!$L$2:$L$50,0),0))</f>
        <v>0</v>
      </c>
    </row>
    <row r="346" customFormat="false" ht="15" hidden="false" customHeight="false" outlineLevel="0" collapsed="false">
      <c r="A346" s="30"/>
      <c r="B346" s="31"/>
      <c r="C346" s="32"/>
      <c r="D346" s="32"/>
      <c r="E346" s="33"/>
      <c r="F346" s="32"/>
      <c r="G346" s="32"/>
      <c r="H346" s="32"/>
      <c r="I346" s="32"/>
      <c r="J346" s="32"/>
      <c r="K346" s="32"/>
      <c r="L346" s="32"/>
      <c r="M346" s="30"/>
      <c r="N346" s="32"/>
      <c r="O346" s="34"/>
      <c r="P346" s="32"/>
      <c r="Q346" s="32"/>
      <c r="R346" s="32"/>
      <c r="S346" s="32"/>
      <c r="T346" s="32"/>
      <c r="U346" s="32"/>
      <c r="V346" s="31"/>
      <c r="W346" s="35" t="str">
        <f aca="true">IF(OR(V346="",AG346&gt;=8),"",IF(V346&lt;TODAY(),"Vencida",IF(V346=TODAY(),"Hoy","")))</f>
        <v/>
      </c>
      <c r="X346" s="36" t="str">
        <f aca="false">IF(A346="","",IF(COUNTIF(Seguimiento!$B$2:$B$5001,A346)=0,"",_xlfn.MAXIFS(Seguimiento!$A$2:$A$5001,Seguimiento!$B$2:$B$5001,A346)))</f>
        <v/>
      </c>
      <c r="Y346" s="37" t="str">
        <f aca="true">IF(B346="","",TODAY()-B346)</f>
        <v/>
      </c>
      <c r="Z346" s="38" t="str">
        <f aca="false">IF(OR(O346="",G346=""),"",O346*IFERROR(INDEX(Listas!$B$2:$B$50,MATCH(G346,Listas!$A$2:$A$50,0)),0))</f>
        <v/>
      </c>
      <c r="AA346" s="32"/>
      <c r="AB346" s="32"/>
      <c r="AC346" s="32"/>
      <c r="AD346" s="35" t="str">
        <f aca="false">IF(OR(LEFT(H346,4)="Meta",LEFT(H346,6)="Google"),IF(AG346=3,"Lead calificado",IF(OR(AG346=4,AG346=5),"Tasación/visita",IF(OR(AG346=6,AG346=7),"Captación/oferta",IF(AG346=8,"Cierre","")))),"")</f>
        <v/>
      </c>
      <c r="AE346" s="32"/>
      <c r="AF346" s="32"/>
      <c r="AG346" s="37" t="n">
        <f aca="false">IF(R346="",0,IFERROR(MATCH(R346,Listas!$L$2:$L$50,0),0))</f>
        <v>0</v>
      </c>
    </row>
    <row r="347" customFormat="false" ht="15" hidden="false" customHeight="false" outlineLevel="0" collapsed="false">
      <c r="A347" s="30"/>
      <c r="B347" s="31"/>
      <c r="C347" s="32"/>
      <c r="D347" s="32"/>
      <c r="E347" s="33"/>
      <c r="F347" s="32"/>
      <c r="G347" s="32"/>
      <c r="H347" s="32"/>
      <c r="I347" s="32"/>
      <c r="J347" s="32"/>
      <c r="K347" s="32"/>
      <c r="L347" s="32"/>
      <c r="M347" s="30"/>
      <c r="N347" s="32"/>
      <c r="O347" s="34"/>
      <c r="P347" s="32"/>
      <c r="Q347" s="32"/>
      <c r="R347" s="32"/>
      <c r="S347" s="32"/>
      <c r="T347" s="32"/>
      <c r="U347" s="32"/>
      <c r="V347" s="31"/>
      <c r="W347" s="35" t="str">
        <f aca="true">IF(OR(V347="",AG347&gt;=8),"",IF(V347&lt;TODAY(),"Vencida",IF(V347=TODAY(),"Hoy","")))</f>
        <v/>
      </c>
      <c r="X347" s="36" t="str">
        <f aca="false">IF(A347="","",IF(COUNTIF(Seguimiento!$B$2:$B$5001,A347)=0,"",_xlfn.MAXIFS(Seguimiento!$A$2:$A$5001,Seguimiento!$B$2:$B$5001,A347)))</f>
        <v/>
      </c>
      <c r="Y347" s="37" t="str">
        <f aca="true">IF(B347="","",TODAY()-B347)</f>
        <v/>
      </c>
      <c r="Z347" s="38" t="str">
        <f aca="false">IF(OR(O347="",G347=""),"",O347*IFERROR(INDEX(Listas!$B$2:$B$50,MATCH(G347,Listas!$A$2:$A$50,0)),0))</f>
        <v/>
      </c>
      <c r="AA347" s="32"/>
      <c r="AB347" s="32"/>
      <c r="AC347" s="32"/>
      <c r="AD347" s="35" t="str">
        <f aca="false">IF(OR(LEFT(H347,4)="Meta",LEFT(H347,6)="Google"),IF(AG347=3,"Lead calificado",IF(OR(AG347=4,AG347=5),"Tasación/visita",IF(OR(AG347=6,AG347=7),"Captación/oferta",IF(AG347=8,"Cierre","")))),"")</f>
        <v/>
      </c>
      <c r="AE347" s="32"/>
      <c r="AF347" s="32"/>
      <c r="AG347" s="37" t="n">
        <f aca="false">IF(R347="",0,IFERROR(MATCH(R347,Listas!$L$2:$L$50,0),0))</f>
        <v>0</v>
      </c>
    </row>
    <row r="348" customFormat="false" ht="15" hidden="false" customHeight="false" outlineLevel="0" collapsed="false">
      <c r="A348" s="30"/>
      <c r="B348" s="31"/>
      <c r="C348" s="32"/>
      <c r="D348" s="32"/>
      <c r="E348" s="33"/>
      <c r="F348" s="32"/>
      <c r="G348" s="32"/>
      <c r="H348" s="32"/>
      <c r="I348" s="32"/>
      <c r="J348" s="32"/>
      <c r="K348" s="32"/>
      <c r="L348" s="32"/>
      <c r="M348" s="30"/>
      <c r="N348" s="32"/>
      <c r="O348" s="34"/>
      <c r="P348" s="32"/>
      <c r="Q348" s="32"/>
      <c r="R348" s="32"/>
      <c r="S348" s="32"/>
      <c r="T348" s="32"/>
      <c r="U348" s="32"/>
      <c r="V348" s="31"/>
      <c r="W348" s="35" t="str">
        <f aca="true">IF(OR(V348="",AG348&gt;=8),"",IF(V348&lt;TODAY(),"Vencida",IF(V348=TODAY(),"Hoy","")))</f>
        <v/>
      </c>
      <c r="X348" s="36" t="str">
        <f aca="false">IF(A348="","",IF(COUNTIF(Seguimiento!$B$2:$B$5001,A348)=0,"",_xlfn.MAXIFS(Seguimiento!$A$2:$A$5001,Seguimiento!$B$2:$B$5001,A348)))</f>
        <v/>
      </c>
      <c r="Y348" s="37" t="str">
        <f aca="true">IF(B348="","",TODAY()-B348)</f>
        <v/>
      </c>
      <c r="Z348" s="38" t="str">
        <f aca="false">IF(OR(O348="",G348=""),"",O348*IFERROR(INDEX(Listas!$B$2:$B$50,MATCH(G348,Listas!$A$2:$A$50,0)),0))</f>
        <v/>
      </c>
      <c r="AA348" s="32"/>
      <c r="AB348" s="32"/>
      <c r="AC348" s="32"/>
      <c r="AD348" s="35" t="str">
        <f aca="false">IF(OR(LEFT(H348,4)="Meta",LEFT(H348,6)="Google"),IF(AG348=3,"Lead calificado",IF(OR(AG348=4,AG348=5),"Tasación/visita",IF(OR(AG348=6,AG348=7),"Captación/oferta",IF(AG348=8,"Cierre","")))),"")</f>
        <v/>
      </c>
      <c r="AE348" s="32"/>
      <c r="AF348" s="32"/>
      <c r="AG348" s="37" t="n">
        <f aca="false">IF(R348="",0,IFERROR(MATCH(R348,Listas!$L$2:$L$50,0),0))</f>
        <v>0</v>
      </c>
    </row>
    <row r="349" customFormat="false" ht="15" hidden="false" customHeight="false" outlineLevel="0" collapsed="false">
      <c r="A349" s="30"/>
      <c r="B349" s="31"/>
      <c r="C349" s="32"/>
      <c r="D349" s="32"/>
      <c r="E349" s="33"/>
      <c r="F349" s="32"/>
      <c r="G349" s="32"/>
      <c r="H349" s="32"/>
      <c r="I349" s="32"/>
      <c r="J349" s="32"/>
      <c r="K349" s="32"/>
      <c r="L349" s="32"/>
      <c r="M349" s="30"/>
      <c r="N349" s="32"/>
      <c r="O349" s="34"/>
      <c r="P349" s="32"/>
      <c r="Q349" s="32"/>
      <c r="R349" s="32"/>
      <c r="S349" s="32"/>
      <c r="T349" s="32"/>
      <c r="U349" s="32"/>
      <c r="V349" s="31"/>
      <c r="W349" s="35" t="str">
        <f aca="true">IF(OR(V349="",AG349&gt;=8),"",IF(V349&lt;TODAY(),"Vencida",IF(V349=TODAY(),"Hoy","")))</f>
        <v/>
      </c>
      <c r="X349" s="36" t="str">
        <f aca="false">IF(A349="","",IF(COUNTIF(Seguimiento!$B$2:$B$5001,A349)=0,"",_xlfn.MAXIFS(Seguimiento!$A$2:$A$5001,Seguimiento!$B$2:$B$5001,A349)))</f>
        <v/>
      </c>
      <c r="Y349" s="37" t="str">
        <f aca="true">IF(B349="","",TODAY()-B349)</f>
        <v/>
      </c>
      <c r="Z349" s="38" t="str">
        <f aca="false">IF(OR(O349="",G349=""),"",O349*IFERROR(INDEX(Listas!$B$2:$B$50,MATCH(G349,Listas!$A$2:$A$50,0)),0))</f>
        <v/>
      </c>
      <c r="AA349" s="32"/>
      <c r="AB349" s="32"/>
      <c r="AC349" s="32"/>
      <c r="AD349" s="35" t="str">
        <f aca="false">IF(OR(LEFT(H349,4)="Meta",LEFT(H349,6)="Google"),IF(AG349=3,"Lead calificado",IF(OR(AG349=4,AG349=5),"Tasación/visita",IF(OR(AG349=6,AG349=7),"Captación/oferta",IF(AG349=8,"Cierre","")))),"")</f>
        <v/>
      </c>
      <c r="AE349" s="32"/>
      <c r="AF349" s="32"/>
      <c r="AG349" s="37" t="n">
        <f aca="false">IF(R349="",0,IFERROR(MATCH(R349,Listas!$L$2:$L$50,0),0))</f>
        <v>0</v>
      </c>
    </row>
    <row r="350" customFormat="false" ht="15" hidden="false" customHeight="false" outlineLevel="0" collapsed="false">
      <c r="A350" s="30"/>
      <c r="B350" s="31"/>
      <c r="C350" s="32"/>
      <c r="D350" s="32"/>
      <c r="E350" s="33"/>
      <c r="F350" s="32"/>
      <c r="G350" s="32"/>
      <c r="H350" s="32"/>
      <c r="I350" s="32"/>
      <c r="J350" s="32"/>
      <c r="K350" s="32"/>
      <c r="L350" s="32"/>
      <c r="M350" s="30"/>
      <c r="N350" s="32"/>
      <c r="O350" s="34"/>
      <c r="P350" s="32"/>
      <c r="Q350" s="32"/>
      <c r="R350" s="32"/>
      <c r="S350" s="32"/>
      <c r="T350" s="32"/>
      <c r="U350" s="32"/>
      <c r="V350" s="31"/>
      <c r="W350" s="35" t="str">
        <f aca="true">IF(OR(V350="",AG350&gt;=8),"",IF(V350&lt;TODAY(),"Vencida",IF(V350=TODAY(),"Hoy","")))</f>
        <v/>
      </c>
      <c r="X350" s="36" t="str">
        <f aca="false">IF(A350="","",IF(COUNTIF(Seguimiento!$B$2:$B$5001,A350)=0,"",_xlfn.MAXIFS(Seguimiento!$A$2:$A$5001,Seguimiento!$B$2:$B$5001,A350)))</f>
        <v/>
      </c>
      <c r="Y350" s="37" t="str">
        <f aca="true">IF(B350="","",TODAY()-B350)</f>
        <v/>
      </c>
      <c r="Z350" s="38" t="str">
        <f aca="false">IF(OR(O350="",G350=""),"",O350*IFERROR(INDEX(Listas!$B$2:$B$50,MATCH(G350,Listas!$A$2:$A$50,0)),0))</f>
        <v/>
      </c>
      <c r="AA350" s="32"/>
      <c r="AB350" s="32"/>
      <c r="AC350" s="32"/>
      <c r="AD350" s="35" t="str">
        <f aca="false">IF(OR(LEFT(H350,4)="Meta",LEFT(H350,6)="Google"),IF(AG350=3,"Lead calificado",IF(OR(AG350=4,AG350=5),"Tasación/visita",IF(OR(AG350=6,AG350=7),"Captación/oferta",IF(AG350=8,"Cierre","")))),"")</f>
        <v/>
      </c>
      <c r="AE350" s="32"/>
      <c r="AF350" s="32"/>
      <c r="AG350" s="37" t="n">
        <f aca="false">IF(R350="",0,IFERROR(MATCH(R350,Listas!$L$2:$L$50,0),0))</f>
        <v>0</v>
      </c>
    </row>
    <row r="351" customFormat="false" ht="15" hidden="false" customHeight="false" outlineLevel="0" collapsed="false">
      <c r="A351" s="30"/>
      <c r="B351" s="31"/>
      <c r="C351" s="32"/>
      <c r="D351" s="32"/>
      <c r="E351" s="33"/>
      <c r="F351" s="32"/>
      <c r="G351" s="32"/>
      <c r="H351" s="32"/>
      <c r="I351" s="32"/>
      <c r="J351" s="32"/>
      <c r="K351" s="32"/>
      <c r="L351" s="32"/>
      <c r="M351" s="30"/>
      <c r="N351" s="32"/>
      <c r="O351" s="34"/>
      <c r="P351" s="32"/>
      <c r="Q351" s="32"/>
      <c r="R351" s="32"/>
      <c r="S351" s="32"/>
      <c r="T351" s="32"/>
      <c r="U351" s="32"/>
      <c r="V351" s="31"/>
      <c r="W351" s="35" t="str">
        <f aca="true">IF(OR(V351="",AG351&gt;=8),"",IF(V351&lt;TODAY(),"Vencida",IF(V351=TODAY(),"Hoy","")))</f>
        <v/>
      </c>
      <c r="X351" s="36" t="str">
        <f aca="false">IF(A351="","",IF(COUNTIF(Seguimiento!$B$2:$B$5001,A351)=0,"",_xlfn.MAXIFS(Seguimiento!$A$2:$A$5001,Seguimiento!$B$2:$B$5001,A351)))</f>
        <v/>
      </c>
      <c r="Y351" s="37" t="str">
        <f aca="true">IF(B351="","",TODAY()-B351)</f>
        <v/>
      </c>
      <c r="Z351" s="38" t="str">
        <f aca="false">IF(OR(O351="",G351=""),"",O351*IFERROR(INDEX(Listas!$B$2:$B$50,MATCH(G351,Listas!$A$2:$A$50,0)),0))</f>
        <v/>
      </c>
      <c r="AA351" s="32"/>
      <c r="AB351" s="32"/>
      <c r="AC351" s="32"/>
      <c r="AD351" s="35" t="str">
        <f aca="false">IF(OR(LEFT(H351,4)="Meta",LEFT(H351,6)="Google"),IF(AG351=3,"Lead calificado",IF(OR(AG351=4,AG351=5),"Tasación/visita",IF(OR(AG351=6,AG351=7),"Captación/oferta",IF(AG351=8,"Cierre","")))),"")</f>
        <v/>
      </c>
      <c r="AE351" s="32"/>
      <c r="AF351" s="32"/>
      <c r="AG351" s="37" t="n">
        <f aca="false">IF(R351="",0,IFERROR(MATCH(R351,Listas!$L$2:$L$50,0),0))</f>
        <v>0</v>
      </c>
    </row>
    <row r="352" customFormat="false" ht="15" hidden="false" customHeight="false" outlineLevel="0" collapsed="false">
      <c r="A352" s="30"/>
      <c r="B352" s="31"/>
      <c r="C352" s="32"/>
      <c r="D352" s="32"/>
      <c r="E352" s="33"/>
      <c r="F352" s="32"/>
      <c r="G352" s="32"/>
      <c r="H352" s="32"/>
      <c r="I352" s="32"/>
      <c r="J352" s="32"/>
      <c r="K352" s="32"/>
      <c r="L352" s="32"/>
      <c r="M352" s="30"/>
      <c r="N352" s="32"/>
      <c r="O352" s="34"/>
      <c r="P352" s="32"/>
      <c r="Q352" s="32"/>
      <c r="R352" s="32"/>
      <c r="S352" s="32"/>
      <c r="T352" s="32"/>
      <c r="U352" s="32"/>
      <c r="V352" s="31"/>
      <c r="W352" s="35" t="str">
        <f aca="true">IF(OR(V352="",AG352&gt;=8),"",IF(V352&lt;TODAY(),"Vencida",IF(V352=TODAY(),"Hoy","")))</f>
        <v/>
      </c>
      <c r="X352" s="36" t="str">
        <f aca="false">IF(A352="","",IF(COUNTIF(Seguimiento!$B$2:$B$5001,A352)=0,"",_xlfn.MAXIFS(Seguimiento!$A$2:$A$5001,Seguimiento!$B$2:$B$5001,A352)))</f>
        <v/>
      </c>
      <c r="Y352" s="37" t="str">
        <f aca="true">IF(B352="","",TODAY()-B352)</f>
        <v/>
      </c>
      <c r="Z352" s="38" t="str">
        <f aca="false">IF(OR(O352="",G352=""),"",O352*IFERROR(INDEX(Listas!$B$2:$B$50,MATCH(G352,Listas!$A$2:$A$50,0)),0))</f>
        <v/>
      </c>
      <c r="AA352" s="32"/>
      <c r="AB352" s="32"/>
      <c r="AC352" s="32"/>
      <c r="AD352" s="35" t="str">
        <f aca="false">IF(OR(LEFT(H352,4)="Meta",LEFT(H352,6)="Google"),IF(AG352=3,"Lead calificado",IF(OR(AG352=4,AG352=5),"Tasación/visita",IF(OR(AG352=6,AG352=7),"Captación/oferta",IF(AG352=8,"Cierre","")))),"")</f>
        <v/>
      </c>
      <c r="AE352" s="32"/>
      <c r="AF352" s="32"/>
      <c r="AG352" s="37" t="n">
        <f aca="false">IF(R352="",0,IFERROR(MATCH(R352,Listas!$L$2:$L$50,0),0))</f>
        <v>0</v>
      </c>
    </row>
    <row r="353" customFormat="false" ht="15" hidden="false" customHeight="false" outlineLevel="0" collapsed="false">
      <c r="A353" s="30"/>
      <c r="B353" s="31"/>
      <c r="C353" s="32"/>
      <c r="D353" s="32"/>
      <c r="E353" s="33"/>
      <c r="F353" s="32"/>
      <c r="G353" s="32"/>
      <c r="H353" s="32"/>
      <c r="I353" s="32"/>
      <c r="J353" s="32"/>
      <c r="K353" s="32"/>
      <c r="L353" s="32"/>
      <c r="M353" s="30"/>
      <c r="N353" s="32"/>
      <c r="O353" s="34"/>
      <c r="P353" s="32"/>
      <c r="Q353" s="32"/>
      <c r="R353" s="32"/>
      <c r="S353" s="32"/>
      <c r="T353" s="32"/>
      <c r="U353" s="32"/>
      <c r="V353" s="31"/>
      <c r="W353" s="35" t="str">
        <f aca="true">IF(OR(V353="",AG353&gt;=8),"",IF(V353&lt;TODAY(),"Vencida",IF(V353=TODAY(),"Hoy","")))</f>
        <v/>
      </c>
      <c r="X353" s="36" t="str">
        <f aca="false">IF(A353="","",IF(COUNTIF(Seguimiento!$B$2:$B$5001,A353)=0,"",_xlfn.MAXIFS(Seguimiento!$A$2:$A$5001,Seguimiento!$B$2:$B$5001,A353)))</f>
        <v/>
      </c>
      <c r="Y353" s="37" t="str">
        <f aca="true">IF(B353="","",TODAY()-B353)</f>
        <v/>
      </c>
      <c r="Z353" s="38" t="str">
        <f aca="false">IF(OR(O353="",G353=""),"",O353*IFERROR(INDEX(Listas!$B$2:$B$50,MATCH(G353,Listas!$A$2:$A$50,0)),0))</f>
        <v/>
      </c>
      <c r="AA353" s="32"/>
      <c r="AB353" s="32"/>
      <c r="AC353" s="32"/>
      <c r="AD353" s="35" t="str">
        <f aca="false">IF(OR(LEFT(H353,4)="Meta",LEFT(H353,6)="Google"),IF(AG353=3,"Lead calificado",IF(OR(AG353=4,AG353=5),"Tasación/visita",IF(OR(AG353=6,AG353=7),"Captación/oferta",IF(AG353=8,"Cierre","")))),"")</f>
        <v/>
      </c>
      <c r="AE353" s="32"/>
      <c r="AF353" s="32"/>
      <c r="AG353" s="37" t="n">
        <f aca="false">IF(R353="",0,IFERROR(MATCH(R353,Listas!$L$2:$L$50,0),0))</f>
        <v>0</v>
      </c>
    </row>
    <row r="354" customFormat="false" ht="15" hidden="false" customHeight="false" outlineLevel="0" collapsed="false">
      <c r="A354" s="30"/>
      <c r="B354" s="31"/>
      <c r="C354" s="32"/>
      <c r="D354" s="32"/>
      <c r="E354" s="33"/>
      <c r="F354" s="32"/>
      <c r="G354" s="32"/>
      <c r="H354" s="32"/>
      <c r="I354" s="32"/>
      <c r="J354" s="32"/>
      <c r="K354" s="32"/>
      <c r="L354" s="32"/>
      <c r="M354" s="30"/>
      <c r="N354" s="32"/>
      <c r="O354" s="34"/>
      <c r="P354" s="32"/>
      <c r="Q354" s="32"/>
      <c r="R354" s="32"/>
      <c r="S354" s="32"/>
      <c r="T354" s="32"/>
      <c r="U354" s="32"/>
      <c r="V354" s="31"/>
      <c r="W354" s="35" t="str">
        <f aca="true">IF(OR(V354="",AG354&gt;=8),"",IF(V354&lt;TODAY(),"Vencida",IF(V354=TODAY(),"Hoy","")))</f>
        <v/>
      </c>
      <c r="X354" s="36" t="str">
        <f aca="false">IF(A354="","",IF(COUNTIF(Seguimiento!$B$2:$B$5001,A354)=0,"",_xlfn.MAXIFS(Seguimiento!$A$2:$A$5001,Seguimiento!$B$2:$B$5001,A354)))</f>
        <v/>
      </c>
      <c r="Y354" s="37" t="str">
        <f aca="true">IF(B354="","",TODAY()-B354)</f>
        <v/>
      </c>
      <c r="Z354" s="38" t="str">
        <f aca="false">IF(OR(O354="",G354=""),"",O354*IFERROR(INDEX(Listas!$B$2:$B$50,MATCH(G354,Listas!$A$2:$A$50,0)),0))</f>
        <v/>
      </c>
      <c r="AA354" s="32"/>
      <c r="AB354" s="32"/>
      <c r="AC354" s="32"/>
      <c r="AD354" s="35" t="str">
        <f aca="false">IF(OR(LEFT(H354,4)="Meta",LEFT(H354,6)="Google"),IF(AG354=3,"Lead calificado",IF(OR(AG354=4,AG354=5),"Tasación/visita",IF(OR(AG354=6,AG354=7),"Captación/oferta",IF(AG354=8,"Cierre","")))),"")</f>
        <v/>
      </c>
      <c r="AE354" s="32"/>
      <c r="AF354" s="32"/>
      <c r="AG354" s="37" t="n">
        <f aca="false">IF(R354="",0,IFERROR(MATCH(R354,Listas!$L$2:$L$50,0),0))</f>
        <v>0</v>
      </c>
    </row>
    <row r="355" customFormat="false" ht="15" hidden="false" customHeight="false" outlineLevel="0" collapsed="false">
      <c r="A355" s="30"/>
      <c r="B355" s="31"/>
      <c r="C355" s="32"/>
      <c r="D355" s="32"/>
      <c r="E355" s="33"/>
      <c r="F355" s="32"/>
      <c r="G355" s="32"/>
      <c r="H355" s="32"/>
      <c r="I355" s="32"/>
      <c r="J355" s="32"/>
      <c r="K355" s="32"/>
      <c r="L355" s="32"/>
      <c r="M355" s="30"/>
      <c r="N355" s="32"/>
      <c r="O355" s="34"/>
      <c r="P355" s="32"/>
      <c r="Q355" s="32"/>
      <c r="R355" s="32"/>
      <c r="S355" s="32"/>
      <c r="T355" s="32"/>
      <c r="U355" s="32"/>
      <c r="V355" s="31"/>
      <c r="W355" s="35" t="str">
        <f aca="true">IF(OR(V355="",AG355&gt;=8),"",IF(V355&lt;TODAY(),"Vencida",IF(V355=TODAY(),"Hoy","")))</f>
        <v/>
      </c>
      <c r="X355" s="36" t="str">
        <f aca="false">IF(A355="","",IF(COUNTIF(Seguimiento!$B$2:$B$5001,A355)=0,"",_xlfn.MAXIFS(Seguimiento!$A$2:$A$5001,Seguimiento!$B$2:$B$5001,A355)))</f>
        <v/>
      </c>
      <c r="Y355" s="37" t="str">
        <f aca="true">IF(B355="","",TODAY()-B355)</f>
        <v/>
      </c>
      <c r="Z355" s="38" t="str">
        <f aca="false">IF(OR(O355="",G355=""),"",O355*IFERROR(INDEX(Listas!$B$2:$B$50,MATCH(G355,Listas!$A$2:$A$50,0)),0))</f>
        <v/>
      </c>
      <c r="AA355" s="32"/>
      <c r="AB355" s="32"/>
      <c r="AC355" s="32"/>
      <c r="AD355" s="35" t="str">
        <f aca="false">IF(OR(LEFT(H355,4)="Meta",LEFT(H355,6)="Google"),IF(AG355=3,"Lead calificado",IF(OR(AG355=4,AG355=5),"Tasación/visita",IF(OR(AG355=6,AG355=7),"Captación/oferta",IF(AG355=8,"Cierre","")))),"")</f>
        <v/>
      </c>
      <c r="AE355" s="32"/>
      <c r="AF355" s="32"/>
      <c r="AG355" s="37" t="n">
        <f aca="false">IF(R355="",0,IFERROR(MATCH(R355,Listas!$L$2:$L$50,0),0))</f>
        <v>0</v>
      </c>
    </row>
    <row r="356" customFormat="false" ht="15" hidden="false" customHeight="false" outlineLevel="0" collapsed="false">
      <c r="A356" s="30"/>
      <c r="B356" s="31"/>
      <c r="C356" s="32"/>
      <c r="D356" s="32"/>
      <c r="E356" s="33"/>
      <c r="F356" s="32"/>
      <c r="G356" s="32"/>
      <c r="H356" s="32"/>
      <c r="I356" s="32"/>
      <c r="J356" s="32"/>
      <c r="K356" s="32"/>
      <c r="L356" s="32"/>
      <c r="M356" s="30"/>
      <c r="N356" s="32"/>
      <c r="O356" s="34"/>
      <c r="P356" s="32"/>
      <c r="Q356" s="32"/>
      <c r="R356" s="32"/>
      <c r="S356" s="32"/>
      <c r="T356" s="32"/>
      <c r="U356" s="32"/>
      <c r="V356" s="31"/>
      <c r="W356" s="35" t="str">
        <f aca="true">IF(OR(V356="",AG356&gt;=8),"",IF(V356&lt;TODAY(),"Vencida",IF(V356=TODAY(),"Hoy","")))</f>
        <v/>
      </c>
      <c r="X356" s="36" t="str">
        <f aca="false">IF(A356="","",IF(COUNTIF(Seguimiento!$B$2:$B$5001,A356)=0,"",_xlfn.MAXIFS(Seguimiento!$A$2:$A$5001,Seguimiento!$B$2:$B$5001,A356)))</f>
        <v/>
      </c>
      <c r="Y356" s="37" t="str">
        <f aca="true">IF(B356="","",TODAY()-B356)</f>
        <v/>
      </c>
      <c r="Z356" s="38" t="str">
        <f aca="false">IF(OR(O356="",G356=""),"",O356*IFERROR(INDEX(Listas!$B$2:$B$50,MATCH(G356,Listas!$A$2:$A$50,0)),0))</f>
        <v/>
      </c>
      <c r="AA356" s="32"/>
      <c r="AB356" s="32"/>
      <c r="AC356" s="32"/>
      <c r="AD356" s="35" t="str">
        <f aca="false">IF(OR(LEFT(H356,4)="Meta",LEFT(H356,6)="Google"),IF(AG356=3,"Lead calificado",IF(OR(AG356=4,AG356=5),"Tasación/visita",IF(OR(AG356=6,AG356=7),"Captación/oferta",IF(AG356=8,"Cierre","")))),"")</f>
        <v/>
      </c>
      <c r="AE356" s="32"/>
      <c r="AF356" s="32"/>
      <c r="AG356" s="37" t="n">
        <f aca="false">IF(R356="",0,IFERROR(MATCH(R356,Listas!$L$2:$L$50,0),0))</f>
        <v>0</v>
      </c>
    </row>
    <row r="357" customFormat="false" ht="15" hidden="false" customHeight="false" outlineLevel="0" collapsed="false">
      <c r="A357" s="30"/>
      <c r="B357" s="31"/>
      <c r="C357" s="32"/>
      <c r="D357" s="32"/>
      <c r="E357" s="33"/>
      <c r="F357" s="32"/>
      <c r="G357" s="32"/>
      <c r="H357" s="32"/>
      <c r="I357" s="32"/>
      <c r="J357" s="32"/>
      <c r="K357" s="32"/>
      <c r="L357" s="32"/>
      <c r="M357" s="30"/>
      <c r="N357" s="32"/>
      <c r="O357" s="34"/>
      <c r="P357" s="32"/>
      <c r="Q357" s="32"/>
      <c r="R357" s="32"/>
      <c r="S357" s="32"/>
      <c r="T357" s="32"/>
      <c r="U357" s="32"/>
      <c r="V357" s="31"/>
      <c r="W357" s="35" t="str">
        <f aca="true">IF(OR(V357="",AG357&gt;=8),"",IF(V357&lt;TODAY(),"Vencida",IF(V357=TODAY(),"Hoy","")))</f>
        <v/>
      </c>
      <c r="X357" s="36" t="str">
        <f aca="false">IF(A357="","",IF(COUNTIF(Seguimiento!$B$2:$B$5001,A357)=0,"",_xlfn.MAXIFS(Seguimiento!$A$2:$A$5001,Seguimiento!$B$2:$B$5001,A357)))</f>
        <v/>
      </c>
      <c r="Y357" s="37" t="str">
        <f aca="true">IF(B357="","",TODAY()-B357)</f>
        <v/>
      </c>
      <c r="Z357" s="38" t="str">
        <f aca="false">IF(OR(O357="",G357=""),"",O357*IFERROR(INDEX(Listas!$B$2:$B$50,MATCH(G357,Listas!$A$2:$A$50,0)),0))</f>
        <v/>
      </c>
      <c r="AA357" s="32"/>
      <c r="AB357" s="32"/>
      <c r="AC357" s="32"/>
      <c r="AD357" s="35" t="str">
        <f aca="false">IF(OR(LEFT(H357,4)="Meta",LEFT(H357,6)="Google"),IF(AG357=3,"Lead calificado",IF(OR(AG357=4,AG357=5),"Tasación/visita",IF(OR(AG357=6,AG357=7),"Captación/oferta",IF(AG357=8,"Cierre","")))),"")</f>
        <v/>
      </c>
      <c r="AE357" s="32"/>
      <c r="AF357" s="32"/>
      <c r="AG357" s="37" t="n">
        <f aca="false">IF(R357="",0,IFERROR(MATCH(R357,Listas!$L$2:$L$50,0),0))</f>
        <v>0</v>
      </c>
    </row>
    <row r="358" customFormat="false" ht="15" hidden="false" customHeight="false" outlineLevel="0" collapsed="false">
      <c r="A358" s="30"/>
      <c r="B358" s="31"/>
      <c r="C358" s="32"/>
      <c r="D358" s="32"/>
      <c r="E358" s="33"/>
      <c r="F358" s="32"/>
      <c r="G358" s="32"/>
      <c r="H358" s="32"/>
      <c r="I358" s="32"/>
      <c r="J358" s="32"/>
      <c r="K358" s="32"/>
      <c r="L358" s="32"/>
      <c r="M358" s="30"/>
      <c r="N358" s="32"/>
      <c r="O358" s="34"/>
      <c r="P358" s="32"/>
      <c r="Q358" s="32"/>
      <c r="R358" s="32"/>
      <c r="S358" s="32"/>
      <c r="T358" s="32"/>
      <c r="U358" s="32"/>
      <c r="V358" s="31"/>
      <c r="W358" s="35" t="str">
        <f aca="true">IF(OR(V358="",AG358&gt;=8),"",IF(V358&lt;TODAY(),"Vencida",IF(V358=TODAY(),"Hoy","")))</f>
        <v/>
      </c>
      <c r="X358" s="36" t="str">
        <f aca="false">IF(A358="","",IF(COUNTIF(Seguimiento!$B$2:$B$5001,A358)=0,"",_xlfn.MAXIFS(Seguimiento!$A$2:$A$5001,Seguimiento!$B$2:$B$5001,A358)))</f>
        <v/>
      </c>
      <c r="Y358" s="37" t="str">
        <f aca="true">IF(B358="","",TODAY()-B358)</f>
        <v/>
      </c>
      <c r="Z358" s="38" t="str">
        <f aca="false">IF(OR(O358="",G358=""),"",O358*IFERROR(INDEX(Listas!$B$2:$B$50,MATCH(G358,Listas!$A$2:$A$50,0)),0))</f>
        <v/>
      </c>
      <c r="AA358" s="32"/>
      <c r="AB358" s="32"/>
      <c r="AC358" s="32"/>
      <c r="AD358" s="35" t="str">
        <f aca="false">IF(OR(LEFT(H358,4)="Meta",LEFT(H358,6)="Google"),IF(AG358=3,"Lead calificado",IF(OR(AG358=4,AG358=5),"Tasación/visita",IF(OR(AG358=6,AG358=7),"Captación/oferta",IF(AG358=8,"Cierre","")))),"")</f>
        <v/>
      </c>
      <c r="AE358" s="32"/>
      <c r="AF358" s="32"/>
      <c r="AG358" s="37" t="n">
        <f aca="false">IF(R358="",0,IFERROR(MATCH(R358,Listas!$L$2:$L$50,0),0))</f>
        <v>0</v>
      </c>
    </row>
    <row r="359" customFormat="false" ht="15" hidden="false" customHeight="false" outlineLevel="0" collapsed="false">
      <c r="A359" s="30"/>
      <c r="B359" s="31"/>
      <c r="C359" s="32"/>
      <c r="D359" s="32"/>
      <c r="E359" s="33"/>
      <c r="F359" s="32"/>
      <c r="G359" s="32"/>
      <c r="H359" s="32"/>
      <c r="I359" s="32"/>
      <c r="J359" s="32"/>
      <c r="K359" s="32"/>
      <c r="L359" s="32"/>
      <c r="M359" s="30"/>
      <c r="N359" s="32"/>
      <c r="O359" s="34"/>
      <c r="P359" s="32"/>
      <c r="Q359" s="32"/>
      <c r="R359" s="32"/>
      <c r="S359" s="32"/>
      <c r="T359" s="32"/>
      <c r="U359" s="32"/>
      <c r="V359" s="31"/>
      <c r="W359" s="35" t="str">
        <f aca="true">IF(OR(V359="",AG359&gt;=8),"",IF(V359&lt;TODAY(),"Vencida",IF(V359=TODAY(),"Hoy","")))</f>
        <v/>
      </c>
      <c r="X359" s="36" t="str">
        <f aca="false">IF(A359="","",IF(COUNTIF(Seguimiento!$B$2:$B$5001,A359)=0,"",_xlfn.MAXIFS(Seguimiento!$A$2:$A$5001,Seguimiento!$B$2:$B$5001,A359)))</f>
        <v/>
      </c>
      <c r="Y359" s="37" t="str">
        <f aca="true">IF(B359="","",TODAY()-B359)</f>
        <v/>
      </c>
      <c r="Z359" s="38" t="str">
        <f aca="false">IF(OR(O359="",G359=""),"",O359*IFERROR(INDEX(Listas!$B$2:$B$50,MATCH(G359,Listas!$A$2:$A$50,0)),0))</f>
        <v/>
      </c>
      <c r="AA359" s="32"/>
      <c r="AB359" s="32"/>
      <c r="AC359" s="32"/>
      <c r="AD359" s="35" t="str">
        <f aca="false">IF(OR(LEFT(H359,4)="Meta",LEFT(H359,6)="Google"),IF(AG359=3,"Lead calificado",IF(OR(AG359=4,AG359=5),"Tasación/visita",IF(OR(AG359=6,AG359=7),"Captación/oferta",IF(AG359=8,"Cierre","")))),"")</f>
        <v/>
      </c>
      <c r="AE359" s="32"/>
      <c r="AF359" s="32"/>
      <c r="AG359" s="37" t="n">
        <f aca="false">IF(R359="",0,IFERROR(MATCH(R359,Listas!$L$2:$L$50,0),0))</f>
        <v>0</v>
      </c>
    </row>
    <row r="360" customFormat="false" ht="15" hidden="false" customHeight="false" outlineLevel="0" collapsed="false">
      <c r="A360" s="30"/>
      <c r="B360" s="31"/>
      <c r="C360" s="32"/>
      <c r="D360" s="32"/>
      <c r="E360" s="33"/>
      <c r="F360" s="32"/>
      <c r="G360" s="32"/>
      <c r="H360" s="32"/>
      <c r="I360" s="32"/>
      <c r="J360" s="32"/>
      <c r="K360" s="32"/>
      <c r="L360" s="32"/>
      <c r="M360" s="30"/>
      <c r="N360" s="32"/>
      <c r="O360" s="34"/>
      <c r="P360" s="32"/>
      <c r="Q360" s="32"/>
      <c r="R360" s="32"/>
      <c r="S360" s="32"/>
      <c r="T360" s="32"/>
      <c r="U360" s="32"/>
      <c r="V360" s="31"/>
      <c r="W360" s="35" t="str">
        <f aca="true">IF(OR(V360="",AG360&gt;=8),"",IF(V360&lt;TODAY(),"Vencida",IF(V360=TODAY(),"Hoy","")))</f>
        <v/>
      </c>
      <c r="X360" s="36" t="str">
        <f aca="false">IF(A360="","",IF(COUNTIF(Seguimiento!$B$2:$B$5001,A360)=0,"",_xlfn.MAXIFS(Seguimiento!$A$2:$A$5001,Seguimiento!$B$2:$B$5001,A360)))</f>
        <v/>
      </c>
      <c r="Y360" s="37" t="str">
        <f aca="true">IF(B360="","",TODAY()-B360)</f>
        <v/>
      </c>
      <c r="Z360" s="38" t="str">
        <f aca="false">IF(OR(O360="",G360=""),"",O360*IFERROR(INDEX(Listas!$B$2:$B$50,MATCH(G360,Listas!$A$2:$A$50,0)),0))</f>
        <v/>
      </c>
      <c r="AA360" s="32"/>
      <c r="AB360" s="32"/>
      <c r="AC360" s="32"/>
      <c r="AD360" s="35" t="str">
        <f aca="false">IF(OR(LEFT(H360,4)="Meta",LEFT(H360,6)="Google"),IF(AG360=3,"Lead calificado",IF(OR(AG360=4,AG360=5),"Tasación/visita",IF(OR(AG360=6,AG360=7),"Captación/oferta",IF(AG360=8,"Cierre","")))),"")</f>
        <v/>
      </c>
      <c r="AE360" s="32"/>
      <c r="AF360" s="32"/>
      <c r="AG360" s="37" t="n">
        <f aca="false">IF(R360="",0,IFERROR(MATCH(R360,Listas!$L$2:$L$50,0),0))</f>
        <v>0</v>
      </c>
    </row>
    <row r="361" customFormat="false" ht="15" hidden="false" customHeight="false" outlineLevel="0" collapsed="false">
      <c r="A361" s="30"/>
      <c r="B361" s="31"/>
      <c r="C361" s="32"/>
      <c r="D361" s="32"/>
      <c r="E361" s="33"/>
      <c r="F361" s="32"/>
      <c r="G361" s="32"/>
      <c r="H361" s="32"/>
      <c r="I361" s="32"/>
      <c r="J361" s="32"/>
      <c r="K361" s="32"/>
      <c r="L361" s="32"/>
      <c r="M361" s="30"/>
      <c r="N361" s="32"/>
      <c r="O361" s="34"/>
      <c r="P361" s="32"/>
      <c r="Q361" s="32"/>
      <c r="R361" s="32"/>
      <c r="S361" s="32"/>
      <c r="T361" s="32"/>
      <c r="U361" s="32"/>
      <c r="V361" s="31"/>
      <c r="W361" s="35" t="str">
        <f aca="true">IF(OR(V361="",AG361&gt;=8),"",IF(V361&lt;TODAY(),"Vencida",IF(V361=TODAY(),"Hoy","")))</f>
        <v/>
      </c>
      <c r="X361" s="36" t="str">
        <f aca="false">IF(A361="","",IF(COUNTIF(Seguimiento!$B$2:$B$5001,A361)=0,"",_xlfn.MAXIFS(Seguimiento!$A$2:$A$5001,Seguimiento!$B$2:$B$5001,A361)))</f>
        <v/>
      </c>
      <c r="Y361" s="37" t="str">
        <f aca="true">IF(B361="","",TODAY()-B361)</f>
        <v/>
      </c>
      <c r="Z361" s="38" t="str">
        <f aca="false">IF(OR(O361="",G361=""),"",O361*IFERROR(INDEX(Listas!$B$2:$B$50,MATCH(G361,Listas!$A$2:$A$50,0)),0))</f>
        <v/>
      </c>
      <c r="AA361" s="32"/>
      <c r="AB361" s="32"/>
      <c r="AC361" s="32"/>
      <c r="AD361" s="35" t="str">
        <f aca="false">IF(OR(LEFT(H361,4)="Meta",LEFT(H361,6)="Google"),IF(AG361=3,"Lead calificado",IF(OR(AG361=4,AG361=5),"Tasación/visita",IF(OR(AG361=6,AG361=7),"Captación/oferta",IF(AG361=8,"Cierre","")))),"")</f>
        <v/>
      </c>
      <c r="AE361" s="32"/>
      <c r="AF361" s="32"/>
      <c r="AG361" s="37" t="n">
        <f aca="false">IF(R361="",0,IFERROR(MATCH(R361,Listas!$L$2:$L$50,0),0))</f>
        <v>0</v>
      </c>
    </row>
    <row r="362" customFormat="false" ht="15" hidden="false" customHeight="false" outlineLevel="0" collapsed="false">
      <c r="A362" s="30"/>
      <c r="B362" s="31"/>
      <c r="C362" s="32"/>
      <c r="D362" s="32"/>
      <c r="E362" s="33"/>
      <c r="F362" s="32"/>
      <c r="G362" s="32"/>
      <c r="H362" s="32"/>
      <c r="I362" s="32"/>
      <c r="J362" s="32"/>
      <c r="K362" s="32"/>
      <c r="L362" s="32"/>
      <c r="M362" s="30"/>
      <c r="N362" s="32"/>
      <c r="O362" s="34"/>
      <c r="P362" s="32"/>
      <c r="Q362" s="32"/>
      <c r="R362" s="32"/>
      <c r="S362" s="32"/>
      <c r="T362" s="32"/>
      <c r="U362" s="32"/>
      <c r="V362" s="31"/>
      <c r="W362" s="35" t="str">
        <f aca="true">IF(OR(V362="",AG362&gt;=8),"",IF(V362&lt;TODAY(),"Vencida",IF(V362=TODAY(),"Hoy","")))</f>
        <v/>
      </c>
      <c r="X362" s="36" t="str">
        <f aca="false">IF(A362="","",IF(COUNTIF(Seguimiento!$B$2:$B$5001,A362)=0,"",_xlfn.MAXIFS(Seguimiento!$A$2:$A$5001,Seguimiento!$B$2:$B$5001,A362)))</f>
        <v/>
      </c>
      <c r="Y362" s="37" t="str">
        <f aca="true">IF(B362="","",TODAY()-B362)</f>
        <v/>
      </c>
      <c r="Z362" s="38" t="str">
        <f aca="false">IF(OR(O362="",G362=""),"",O362*IFERROR(INDEX(Listas!$B$2:$B$50,MATCH(G362,Listas!$A$2:$A$50,0)),0))</f>
        <v/>
      </c>
      <c r="AA362" s="32"/>
      <c r="AB362" s="32"/>
      <c r="AC362" s="32"/>
      <c r="AD362" s="35" t="str">
        <f aca="false">IF(OR(LEFT(H362,4)="Meta",LEFT(H362,6)="Google"),IF(AG362=3,"Lead calificado",IF(OR(AG362=4,AG362=5),"Tasación/visita",IF(OR(AG362=6,AG362=7),"Captación/oferta",IF(AG362=8,"Cierre","")))),"")</f>
        <v/>
      </c>
      <c r="AE362" s="32"/>
      <c r="AF362" s="32"/>
      <c r="AG362" s="37" t="n">
        <f aca="false">IF(R362="",0,IFERROR(MATCH(R362,Listas!$L$2:$L$50,0),0))</f>
        <v>0</v>
      </c>
    </row>
    <row r="363" customFormat="false" ht="15" hidden="false" customHeight="false" outlineLevel="0" collapsed="false">
      <c r="A363" s="30"/>
      <c r="B363" s="31"/>
      <c r="C363" s="32"/>
      <c r="D363" s="32"/>
      <c r="E363" s="33"/>
      <c r="F363" s="32"/>
      <c r="G363" s="32"/>
      <c r="H363" s="32"/>
      <c r="I363" s="32"/>
      <c r="J363" s="32"/>
      <c r="K363" s="32"/>
      <c r="L363" s="32"/>
      <c r="M363" s="30"/>
      <c r="N363" s="32"/>
      <c r="O363" s="34"/>
      <c r="P363" s="32"/>
      <c r="Q363" s="32"/>
      <c r="R363" s="32"/>
      <c r="S363" s="32"/>
      <c r="T363" s="32"/>
      <c r="U363" s="32"/>
      <c r="V363" s="31"/>
      <c r="W363" s="35" t="str">
        <f aca="true">IF(OR(V363="",AG363&gt;=8),"",IF(V363&lt;TODAY(),"Vencida",IF(V363=TODAY(),"Hoy","")))</f>
        <v/>
      </c>
      <c r="X363" s="36" t="str">
        <f aca="false">IF(A363="","",IF(COUNTIF(Seguimiento!$B$2:$B$5001,A363)=0,"",_xlfn.MAXIFS(Seguimiento!$A$2:$A$5001,Seguimiento!$B$2:$B$5001,A363)))</f>
        <v/>
      </c>
      <c r="Y363" s="37" t="str">
        <f aca="true">IF(B363="","",TODAY()-B363)</f>
        <v/>
      </c>
      <c r="Z363" s="38" t="str">
        <f aca="false">IF(OR(O363="",G363=""),"",O363*IFERROR(INDEX(Listas!$B$2:$B$50,MATCH(G363,Listas!$A$2:$A$50,0)),0))</f>
        <v/>
      </c>
      <c r="AA363" s="32"/>
      <c r="AB363" s="32"/>
      <c r="AC363" s="32"/>
      <c r="AD363" s="35" t="str">
        <f aca="false">IF(OR(LEFT(H363,4)="Meta",LEFT(H363,6)="Google"),IF(AG363=3,"Lead calificado",IF(OR(AG363=4,AG363=5),"Tasación/visita",IF(OR(AG363=6,AG363=7),"Captación/oferta",IF(AG363=8,"Cierre","")))),"")</f>
        <v/>
      </c>
      <c r="AE363" s="32"/>
      <c r="AF363" s="32"/>
      <c r="AG363" s="37" t="n">
        <f aca="false">IF(R363="",0,IFERROR(MATCH(R363,Listas!$L$2:$L$50,0),0))</f>
        <v>0</v>
      </c>
    </row>
    <row r="364" customFormat="false" ht="15" hidden="false" customHeight="false" outlineLevel="0" collapsed="false">
      <c r="A364" s="30"/>
      <c r="B364" s="31"/>
      <c r="C364" s="32"/>
      <c r="D364" s="32"/>
      <c r="E364" s="33"/>
      <c r="F364" s="32"/>
      <c r="G364" s="32"/>
      <c r="H364" s="32"/>
      <c r="I364" s="32"/>
      <c r="J364" s="32"/>
      <c r="K364" s="32"/>
      <c r="L364" s="32"/>
      <c r="M364" s="30"/>
      <c r="N364" s="32"/>
      <c r="O364" s="34"/>
      <c r="P364" s="32"/>
      <c r="Q364" s="32"/>
      <c r="R364" s="32"/>
      <c r="S364" s="32"/>
      <c r="T364" s="32"/>
      <c r="U364" s="32"/>
      <c r="V364" s="31"/>
      <c r="W364" s="35" t="str">
        <f aca="true">IF(OR(V364="",AG364&gt;=8),"",IF(V364&lt;TODAY(),"Vencida",IF(V364=TODAY(),"Hoy","")))</f>
        <v/>
      </c>
      <c r="X364" s="36" t="str">
        <f aca="false">IF(A364="","",IF(COUNTIF(Seguimiento!$B$2:$B$5001,A364)=0,"",_xlfn.MAXIFS(Seguimiento!$A$2:$A$5001,Seguimiento!$B$2:$B$5001,A364)))</f>
        <v/>
      </c>
      <c r="Y364" s="37" t="str">
        <f aca="true">IF(B364="","",TODAY()-B364)</f>
        <v/>
      </c>
      <c r="Z364" s="38" t="str">
        <f aca="false">IF(OR(O364="",G364=""),"",O364*IFERROR(INDEX(Listas!$B$2:$B$50,MATCH(G364,Listas!$A$2:$A$50,0)),0))</f>
        <v/>
      </c>
      <c r="AA364" s="32"/>
      <c r="AB364" s="32"/>
      <c r="AC364" s="32"/>
      <c r="AD364" s="35" t="str">
        <f aca="false">IF(OR(LEFT(H364,4)="Meta",LEFT(H364,6)="Google"),IF(AG364=3,"Lead calificado",IF(OR(AG364=4,AG364=5),"Tasación/visita",IF(OR(AG364=6,AG364=7),"Captación/oferta",IF(AG364=8,"Cierre","")))),"")</f>
        <v/>
      </c>
      <c r="AE364" s="32"/>
      <c r="AF364" s="32"/>
      <c r="AG364" s="37" t="n">
        <f aca="false">IF(R364="",0,IFERROR(MATCH(R364,Listas!$L$2:$L$50,0),0))</f>
        <v>0</v>
      </c>
    </row>
    <row r="365" customFormat="false" ht="15" hidden="false" customHeight="false" outlineLevel="0" collapsed="false">
      <c r="A365" s="30"/>
      <c r="B365" s="31"/>
      <c r="C365" s="32"/>
      <c r="D365" s="32"/>
      <c r="E365" s="33"/>
      <c r="F365" s="32"/>
      <c r="G365" s="32"/>
      <c r="H365" s="32"/>
      <c r="I365" s="32"/>
      <c r="J365" s="32"/>
      <c r="K365" s="32"/>
      <c r="L365" s="32"/>
      <c r="M365" s="30"/>
      <c r="N365" s="32"/>
      <c r="O365" s="34"/>
      <c r="P365" s="32"/>
      <c r="Q365" s="32"/>
      <c r="R365" s="32"/>
      <c r="S365" s="32"/>
      <c r="T365" s="32"/>
      <c r="U365" s="32"/>
      <c r="V365" s="31"/>
      <c r="W365" s="35" t="str">
        <f aca="true">IF(OR(V365="",AG365&gt;=8),"",IF(V365&lt;TODAY(),"Vencida",IF(V365=TODAY(),"Hoy","")))</f>
        <v/>
      </c>
      <c r="X365" s="36" t="str">
        <f aca="false">IF(A365="","",IF(COUNTIF(Seguimiento!$B$2:$B$5001,A365)=0,"",_xlfn.MAXIFS(Seguimiento!$A$2:$A$5001,Seguimiento!$B$2:$B$5001,A365)))</f>
        <v/>
      </c>
      <c r="Y365" s="37" t="str">
        <f aca="true">IF(B365="","",TODAY()-B365)</f>
        <v/>
      </c>
      <c r="Z365" s="38" t="str">
        <f aca="false">IF(OR(O365="",G365=""),"",O365*IFERROR(INDEX(Listas!$B$2:$B$50,MATCH(G365,Listas!$A$2:$A$50,0)),0))</f>
        <v/>
      </c>
      <c r="AA365" s="32"/>
      <c r="AB365" s="32"/>
      <c r="AC365" s="32"/>
      <c r="AD365" s="35" t="str">
        <f aca="false">IF(OR(LEFT(H365,4)="Meta",LEFT(H365,6)="Google"),IF(AG365=3,"Lead calificado",IF(OR(AG365=4,AG365=5),"Tasación/visita",IF(OR(AG365=6,AG365=7),"Captación/oferta",IF(AG365=8,"Cierre","")))),"")</f>
        <v/>
      </c>
      <c r="AE365" s="32"/>
      <c r="AF365" s="32"/>
      <c r="AG365" s="37" t="n">
        <f aca="false">IF(R365="",0,IFERROR(MATCH(R365,Listas!$L$2:$L$50,0),0))</f>
        <v>0</v>
      </c>
    </row>
    <row r="366" customFormat="false" ht="15" hidden="false" customHeight="false" outlineLevel="0" collapsed="false">
      <c r="A366" s="30"/>
      <c r="B366" s="31"/>
      <c r="C366" s="32"/>
      <c r="D366" s="32"/>
      <c r="E366" s="33"/>
      <c r="F366" s="32"/>
      <c r="G366" s="32"/>
      <c r="H366" s="32"/>
      <c r="I366" s="32"/>
      <c r="J366" s="32"/>
      <c r="K366" s="32"/>
      <c r="L366" s="32"/>
      <c r="M366" s="30"/>
      <c r="N366" s="32"/>
      <c r="O366" s="34"/>
      <c r="P366" s="32"/>
      <c r="Q366" s="32"/>
      <c r="R366" s="32"/>
      <c r="S366" s="32"/>
      <c r="T366" s="32"/>
      <c r="U366" s="32"/>
      <c r="V366" s="31"/>
      <c r="W366" s="35" t="str">
        <f aca="true">IF(OR(V366="",AG366&gt;=8),"",IF(V366&lt;TODAY(),"Vencida",IF(V366=TODAY(),"Hoy","")))</f>
        <v/>
      </c>
      <c r="X366" s="36" t="str">
        <f aca="false">IF(A366="","",IF(COUNTIF(Seguimiento!$B$2:$B$5001,A366)=0,"",_xlfn.MAXIFS(Seguimiento!$A$2:$A$5001,Seguimiento!$B$2:$B$5001,A366)))</f>
        <v/>
      </c>
      <c r="Y366" s="37" t="str">
        <f aca="true">IF(B366="","",TODAY()-B366)</f>
        <v/>
      </c>
      <c r="Z366" s="38" t="str">
        <f aca="false">IF(OR(O366="",G366=""),"",O366*IFERROR(INDEX(Listas!$B$2:$B$50,MATCH(G366,Listas!$A$2:$A$50,0)),0))</f>
        <v/>
      </c>
      <c r="AA366" s="32"/>
      <c r="AB366" s="32"/>
      <c r="AC366" s="32"/>
      <c r="AD366" s="35" t="str">
        <f aca="false">IF(OR(LEFT(H366,4)="Meta",LEFT(H366,6)="Google"),IF(AG366=3,"Lead calificado",IF(OR(AG366=4,AG366=5),"Tasación/visita",IF(OR(AG366=6,AG366=7),"Captación/oferta",IF(AG366=8,"Cierre","")))),"")</f>
        <v/>
      </c>
      <c r="AE366" s="32"/>
      <c r="AF366" s="32"/>
      <c r="AG366" s="37" t="n">
        <f aca="false">IF(R366="",0,IFERROR(MATCH(R366,Listas!$L$2:$L$50,0),0))</f>
        <v>0</v>
      </c>
    </row>
    <row r="367" customFormat="false" ht="15" hidden="false" customHeight="false" outlineLevel="0" collapsed="false">
      <c r="A367" s="30"/>
      <c r="B367" s="31"/>
      <c r="C367" s="32"/>
      <c r="D367" s="32"/>
      <c r="E367" s="33"/>
      <c r="F367" s="32"/>
      <c r="G367" s="32"/>
      <c r="H367" s="32"/>
      <c r="I367" s="32"/>
      <c r="J367" s="32"/>
      <c r="K367" s="32"/>
      <c r="L367" s="32"/>
      <c r="M367" s="30"/>
      <c r="N367" s="32"/>
      <c r="O367" s="34"/>
      <c r="P367" s="32"/>
      <c r="Q367" s="32"/>
      <c r="R367" s="32"/>
      <c r="S367" s="32"/>
      <c r="T367" s="32"/>
      <c r="U367" s="32"/>
      <c r="V367" s="31"/>
      <c r="W367" s="35" t="str">
        <f aca="true">IF(OR(V367="",AG367&gt;=8),"",IF(V367&lt;TODAY(),"Vencida",IF(V367=TODAY(),"Hoy","")))</f>
        <v/>
      </c>
      <c r="X367" s="36" t="str">
        <f aca="false">IF(A367="","",IF(COUNTIF(Seguimiento!$B$2:$B$5001,A367)=0,"",_xlfn.MAXIFS(Seguimiento!$A$2:$A$5001,Seguimiento!$B$2:$B$5001,A367)))</f>
        <v/>
      </c>
      <c r="Y367" s="37" t="str">
        <f aca="true">IF(B367="","",TODAY()-B367)</f>
        <v/>
      </c>
      <c r="Z367" s="38" t="str">
        <f aca="false">IF(OR(O367="",G367=""),"",O367*IFERROR(INDEX(Listas!$B$2:$B$50,MATCH(G367,Listas!$A$2:$A$50,0)),0))</f>
        <v/>
      </c>
      <c r="AA367" s="32"/>
      <c r="AB367" s="32"/>
      <c r="AC367" s="32"/>
      <c r="AD367" s="35" t="str">
        <f aca="false">IF(OR(LEFT(H367,4)="Meta",LEFT(H367,6)="Google"),IF(AG367=3,"Lead calificado",IF(OR(AG367=4,AG367=5),"Tasación/visita",IF(OR(AG367=6,AG367=7),"Captación/oferta",IF(AG367=8,"Cierre","")))),"")</f>
        <v/>
      </c>
      <c r="AE367" s="32"/>
      <c r="AF367" s="32"/>
      <c r="AG367" s="37" t="n">
        <f aca="false">IF(R367="",0,IFERROR(MATCH(R367,Listas!$L$2:$L$50,0),0))</f>
        <v>0</v>
      </c>
    </row>
    <row r="368" customFormat="false" ht="15" hidden="false" customHeight="false" outlineLevel="0" collapsed="false">
      <c r="A368" s="30"/>
      <c r="B368" s="31"/>
      <c r="C368" s="32"/>
      <c r="D368" s="32"/>
      <c r="E368" s="33"/>
      <c r="F368" s="32"/>
      <c r="G368" s="32"/>
      <c r="H368" s="32"/>
      <c r="I368" s="32"/>
      <c r="J368" s="32"/>
      <c r="K368" s="32"/>
      <c r="L368" s="32"/>
      <c r="M368" s="30"/>
      <c r="N368" s="32"/>
      <c r="O368" s="34"/>
      <c r="P368" s="32"/>
      <c r="Q368" s="32"/>
      <c r="R368" s="32"/>
      <c r="S368" s="32"/>
      <c r="T368" s="32"/>
      <c r="U368" s="32"/>
      <c r="V368" s="31"/>
      <c r="W368" s="35" t="str">
        <f aca="true">IF(OR(V368="",AG368&gt;=8),"",IF(V368&lt;TODAY(),"Vencida",IF(V368=TODAY(),"Hoy","")))</f>
        <v/>
      </c>
      <c r="X368" s="36" t="str">
        <f aca="false">IF(A368="","",IF(COUNTIF(Seguimiento!$B$2:$B$5001,A368)=0,"",_xlfn.MAXIFS(Seguimiento!$A$2:$A$5001,Seguimiento!$B$2:$B$5001,A368)))</f>
        <v/>
      </c>
      <c r="Y368" s="37" t="str">
        <f aca="true">IF(B368="","",TODAY()-B368)</f>
        <v/>
      </c>
      <c r="Z368" s="38" t="str">
        <f aca="false">IF(OR(O368="",G368=""),"",O368*IFERROR(INDEX(Listas!$B$2:$B$50,MATCH(G368,Listas!$A$2:$A$50,0)),0))</f>
        <v/>
      </c>
      <c r="AA368" s="32"/>
      <c r="AB368" s="32"/>
      <c r="AC368" s="32"/>
      <c r="AD368" s="35" t="str">
        <f aca="false">IF(OR(LEFT(H368,4)="Meta",LEFT(H368,6)="Google"),IF(AG368=3,"Lead calificado",IF(OR(AG368=4,AG368=5),"Tasación/visita",IF(OR(AG368=6,AG368=7),"Captación/oferta",IF(AG368=8,"Cierre","")))),"")</f>
        <v/>
      </c>
      <c r="AE368" s="32"/>
      <c r="AF368" s="32"/>
      <c r="AG368" s="37" t="n">
        <f aca="false">IF(R368="",0,IFERROR(MATCH(R368,Listas!$L$2:$L$50,0),0))</f>
        <v>0</v>
      </c>
    </row>
    <row r="369" customFormat="false" ht="15" hidden="false" customHeight="false" outlineLevel="0" collapsed="false">
      <c r="A369" s="30"/>
      <c r="B369" s="31"/>
      <c r="C369" s="32"/>
      <c r="D369" s="32"/>
      <c r="E369" s="33"/>
      <c r="F369" s="32"/>
      <c r="G369" s="32"/>
      <c r="H369" s="32"/>
      <c r="I369" s="32"/>
      <c r="J369" s="32"/>
      <c r="K369" s="32"/>
      <c r="L369" s="32"/>
      <c r="M369" s="30"/>
      <c r="N369" s="32"/>
      <c r="O369" s="34"/>
      <c r="P369" s="32"/>
      <c r="Q369" s="32"/>
      <c r="R369" s="32"/>
      <c r="S369" s="32"/>
      <c r="T369" s="32"/>
      <c r="U369" s="32"/>
      <c r="V369" s="31"/>
      <c r="W369" s="35" t="str">
        <f aca="true">IF(OR(V369="",AG369&gt;=8),"",IF(V369&lt;TODAY(),"Vencida",IF(V369=TODAY(),"Hoy","")))</f>
        <v/>
      </c>
      <c r="X369" s="36" t="str">
        <f aca="false">IF(A369="","",IF(COUNTIF(Seguimiento!$B$2:$B$5001,A369)=0,"",_xlfn.MAXIFS(Seguimiento!$A$2:$A$5001,Seguimiento!$B$2:$B$5001,A369)))</f>
        <v/>
      </c>
      <c r="Y369" s="37" t="str">
        <f aca="true">IF(B369="","",TODAY()-B369)</f>
        <v/>
      </c>
      <c r="Z369" s="38" t="str">
        <f aca="false">IF(OR(O369="",G369=""),"",O369*IFERROR(INDEX(Listas!$B$2:$B$50,MATCH(G369,Listas!$A$2:$A$50,0)),0))</f>
        <v/>
      </c>
      <c r="AA369" s="32"/>
      <c r="AB369" s="32"/>
      <c r="AC369" s="32"/>
      <c r="AD369" s="35" t="str">
        <f aca="false">IF(OR(LEFT(H369,4)="Meta",LEFT(H369,6)="Google"),IF(AG369=3,"Lead calificado",IF(OR(AG369=4,AG369=5),"Tasación/visita",IF(OR(AG369=6,AG369=7),"Captación/oferta",IF(AG369=8,"Cierre","")))),"")</f>
        <v/>
      </c>
      <c r="AE369" s="32"/>
      <c r="AF369" s="32"/>
      <c r="AG369" s="37" t="n">
        <f aca="false">IF(R369="",0,IFERROR(MATCH(R369,Listas!$L$2:$L$50,0),0))</f>
        <v>0</v>
      </c>
    </row>
    <row r="370" customFormat="false" ht="15" hidden="false" customHeight="false" outlineLevel="0" collapsed="false">
      <c r="A370" s="30"/>
      <c r="B370" s="31"/>
      <c r="C370" s="32"/>
      <c r="D370" s="32"/>
      <c r="E370" s="33"/>
      <c r="F370" s="32"/>
      <c r="G370" s="32"/>
      <c r="H370" s="32"/>
      <c r="I370" s="32"/>
      <c r="J370" s="32"/>
      <c r="K370" s="32"/>
      <c r="L370" s="32"/>
      <c r="M370" s="30"/>
      <c r="N370" s="32"/>
      <c r="O370" s="34"/>
      <c r="P370" s="32"/>
      <c r="Q370" s="32"/>
      <c r="R370" s="32"/>
      <c r="S370" s="32"/>
      <c r="T370" s="32"/>
      <c r="U370" s="32"/>
      <c r="V370" s="31"/>
      <c r="W370" s="35" t="str">
        <f aca="true">IF(OR(V370="",AG370&gt;=8),"",IF(V370&lt;TODAY(),"Vencida",IF(V370=TODAY(),"Hoy","")))</f>
        <v/>
      </c>
      <c r="X370" s="36" t="str">
        <f aca="false">IF(A370="","",IF(COUNTIF(Seguimiento!$B$2:$B$5001,A370)=0,"",_xlfn.MAXIFS(Seguimiento!$A$2:$A$5001,Seguimiento!$B$2:$B$5001,A370)))</f>
        <v/>
      </c>
      <c r="Y370" s="37" t="str">
        <f aca="true">IF(B370="","",TODAY()-B370)</f>
        <v/>
      </c>
      <c r="Z370" s="38" t="str">
        <f aca="false">IF(OR(O370="",G370=""),"",O370*IFERROR(INDEX(Listas!$B$2:$B$50,MATCH(G370,Listas!$A$2:$A$50,0)),0))</f>
        <v/>
      </c>
      <c r="AA370" s="32"/>
      <c r="AB370" s="32"/>
      <c r="AC370" s="32"/>
      <c r="AD370" s="35" t="str">
        <f aca="false">IF(OR(LEFT(H370,4)="Meta",LEFT(H370,6)="Google"),IF(AG370=3,"Lead calificado",IF(OR(AG370=4,AG370=5),"Tasación/visita",IF(OR(AG370=6,AG370=7),"Captación/oferta",IF(AG370=8,"Cierre","")))),"")</f>
        <v/>
      </c>
      <c r="AE370" s="32"/>
      <c r="AF370" s="32"/>
      <c r="AG370" s="37" t="n">
        <f aca="false">IF(R370="",0,IFERROR(MATCH(R370,Listas!$L$2:$L$50,0),0))</f>
        <v>0</v>
      </c>
    </row>
    <row r="371" customFormat="false" ht="15" hidden="false" customHeight="false" outlineLevel="0" collapsed="false">
      <c r="A371" s="30"/>
      <c r="B371" s="31"/>
      <c r="C371" s="32"/>
      <c r="D371" s="32"/>
      <c r="E371" s="33"/>
      <c r="F371" s="32"/>
      <c r="G371" s="32"/>
      <c r="H371" s="32"/>
      <c r="I371" s="32"/>
      <c r="J371" s="32"/>
      <c r="K371" s="32"/>
      <c r="L371" s="32"/>
      <c r="M371" s="30"/>
      <c r="N371" s="32"/>
      <c r="O371" s="34"/>
      <c r="P371" s="32"/>
      <c r="Q371" s="32"/>
      <c r="R371" s="32"/>
      <c r="S371" s="32"/>
      <c r="T371" s="32"/>
      <c r="U371" s="32"/>
      <c r="V371" s="31"/>
      <c r="W371" s="35" t="str">
        <f aca="true">IF(OR(V371="",AG371&gt;=8),"",IF(V371&lt;TODAY(),"Vencida",IF(V371=TODAY(),"Hoy","")))</f>
        <v/>
      </c>
      <c r="X371" s="36" t="str">
        <f aca="false">IF(A371="","",IF(COUNTIF(Seguimiento!$B$2:$B$5001,A371)=0,"",_xlfn.MAXIFS(Seguimiento!$A$2:$A$5001,Seguimiento!$B$2:$B$5001,A371)))</f>
        <v/>
      </c>
      <c r="Y371" s="37" t="str">
        <f aca="true">IF(B371="","",TODAY()-B371)</f>
        <v/>
      </c>
      <c r="Z371" s="38" t="str">
        <f aca="false">IF(OR(O371="",G371=""),"",O371*IFERROR(INDEX(Listas!$B$2:$B$50,MATCH(G371,Listas!$A$2:$A$50,0)),0))</f>
        <v/>
      </c>
      <c r="AA371" s="32"/>
      <c r="AB371" s="32"/>
      <c r="AC371" s="32"/>
      <c r="AD371" s="35" t="str">
        <f aca="false">IF(OR(LEFT(H371,4)="Meta",LEFT(H371,6)="Google"),IF(AG371=3,"Lead calificado",IF(OR(AG371=4,AG371=5),"Tasación/visita",IF(OR(AG371=6,AG371=7),"Captación/oferta",IF(AG371=8,"Cierre","")))),"")</f>
        <v/>
      </c>
      <c r="AE371" s="32"/>
      <c r="AF371" s="32"/>
      <c r="AG371" s="37" t="n">
        <f aca="false">IF(R371="",0,IFERROR(MATCH(R371,Listas!$L$2:$L$50,0),0))</f>
        <v>0</v>
      </c>
    </row>
    <row r="372" customFormat="false" ht="15" hidden="false" customHeight="false" outlineLevel="0" collapsed="false">
      <c r="A372" s="30"/>
      <c r="B372" s="31"/>
      <c r="C372" s="32"/>
      <c r="D372" s="32"/>
      <c r="E372" s="33"/>
      <c r="F372" s="32"/>
      <c r="G372" s="32"/>
      <c r="H372" s="32"/>
      <c r="I372" s="32"/>
      <c r="J372" s="32"/>
      <c r="K372" s="32"/>
      <c r="L372" s="32"/>
      <c r="M372" s="30"/>
      <c r="N372" s="32"/>
      <c r="O372" s="34"/>
      <c r="P372" s="32"/>
      <c r="Q372" s="32"/>
      <c r="R372" s="32"/>
      <c r="S372" s="32"/>
      <c r="T372" s="32"/>
      <c r="U372" s="32"/>
      <c r="V372" s="31"/>
      <c r="W372" s="35" t="str">
        <f aca="true">IF(OR(V372="",AG372&gt;=8),"",IF(V372&lt;TODAY(),"Vencida",IF(V372=TODAY(),"Hoy","")))</f>
        <v/>
      </c>
      <c r="X372" s="36" t="str">
        <f aca="false">IF(A372="","",IF(COUNTIF(Seguimiento!$B$2:$B$5001,A372)=0,"",_xlfn.MAXIFS(Seguimiento!$A$2:$A$5001,Seguimiento!$B$2:$B$5001,A372)))</f>
        <v/>
      </c>
      <c r="Y372" s="37" t="str">
        <f aca="true">IF(B372="","",TODAY()-B372)</f>
        <v/>
      </c>
      <c r="Z372" s="38" t="str">
        <f aca="false">IF(OR(O372="",G372=""),"",O372*IFERROR(INDEX(Listas!$B$2:$B$50,MATCH(G372,Listas!$A$2:$A$50,0)),0))</f>
        <v/>
      </c>
      <c r="AA372" s="32"/>
      <c r="AB372" s="32"/>
      <c r="AC372" s="32"/>
      <c r="AD372" s="35" t="str">
        <f aca="false">IF(OR(LEFT(H372,4)="Meta",LEFT(H372,6)="Google"),IF(AG372=3,"Lead calificado",IF(OR(AG372=4,AG372=5),"Tasación/visita",IF(OR(AG372=6,AG372=7),"Captación/oferta",IF(AG372=8,"Cierre","")))),"")</f>
        <v/>
      </c>
      <c r="AE372" s="32"/>
      <c r="AF372" s="32"/>
      <c r="AG372" s="37" t="n">
        <f aca="false">IF(R372="",0,IFERROR(MATCH(R372,Listas!$L$2:$L$50,0),0))</f>
        <v>0</v>
      </c>
    </row>
    <row r="373" customFormat="false" ht="15" hidden="false" customHeight="false" outlineLevel="0" collapsed="false">
      <c r="A373" s="30"/>
      <c r="B373" s="31"/>
      <c r="C373" s="32"/>
      <c r="D373" s="32"/>
      <c r="E373" s="33"/>
      <c r="F373" s="32"/>
      <c r="G373" s="32"/>
      <c r="H373" s="32"/>
      <c r="I373" s="32"/>
      <c r="J373" s="32"/>
      <c r="K373" s="32"/>
      <c r="L373" s="32"/>
      <c r="M373" s="30"/>
      <c r="N373" s="32"/>
      <c r="O373" s="34"/>
      <c r="P373" s="32"/>
      <c r="Q373" s="32"/>
      <c r="R373" s="32"/>
      <c r="S373" s="32"/>
      <c r="T373" s="32"/>
      <c r="U373" s="32"/>
      <c r="V373" s="31"/>
      <c r="W373" s="35" t="str">
        <f aca="true">IF(OR(V373="",AG373&gt;=8),"",IF(V373&lt;TODAY(),"Vencida",IF(V373=TODAY(),"Hoy","")))</f>
        <v/>
      </c>
      <c r="X373" s="36" t="str">
        <f aca="false">IF(A373="","",IF(COUNTIF(Seguimiento!$B$2:$B$5001,A373)=0,"",_xlfn.MAXIFS(Seguimiento!$A$2:$A$5001,Seguimiento!$B$2:$B$5001,A373)))</f>
        <v/>
      </c>
      <c r="Y373" s="37" t="str">
        <f aca="true">IF(B373="","",TODAY()-B373)</f>
        <v/>
      </c>
      <c r="Z373" s="38" t="str">
        <f aca="false">IF(OR(O373="",G373=""),"",O373*IFERROR(INDEX(Listas!$B$2:$B$50,MATCH(G373,Listas!$A$2:$A$50,0)),0))</f>
        <v/>
      </c>
      <c r="AA373" s="32"/>
      <c r="AB373" s="32"/>
      <c r="AC373" s="32"/>
      <c r="AD373" s="35" t="str">
        <f aca="false">IF(OR(LEFT(H373,4)="Meta",LEFT(H373,6)="Google"),IF(AG373=3,"Lead calificado",IF(OR(AG373=4,AG373=5),"Tasación/visita",IF(OR(AG373=6,AG373=7),"Captación/oferta",IF(AG373=8,"Cierre","")))),"")</f>
        <v/>
      </c>
      <c r="AE373" s="32"/>
      <c r="AF373" s="32"/>
      <c r="AG373" s="37" t="n">
        <f aca="false">IF(R373="",0,IFERROR(MATCH(R373,Listas!$L$2:$L$50,0),0))</f>
        <v>0</v>
      </c>
    </row>
    <row r="374" customFormat="false" ht="15" hidden="false" customHeight="false" outlineLevel="0" collapsed="false">
      <c r="A374" s="30"/>
      <c r="B374" s="31"/>
      <c r="C374" s="32"/>
      <c r="D374" s="32"/>
      <c r="E374" s="33"/>
      <c r="F374" s="32"/>
      <c r="G374" s="32"/>
      <c r="H374" s="32"/>
      <c r="I374" s="32"/>
      <c r="J374" s="32"/>
      <c r="K374" s="32"/>
      <c r="L374" s="32"/>
      <c r="M374" s="30"/>
      <c r="N374" s="32"/>
      <c r="O374" s="34"/>
      <c r="P374" s="32"/>
      <c r="Q374" s="32"/>
      <c r="R374" s="32"/>
      <c r="S374" s="32"/>
      <c r="T374" s="32"/>
      <c r="U374" s="32"/>
      <c r="V374" s="31"/>
      <c r="W374" s="35" t="str">
        <f aca="true">IF(OR(V374="",AG374&gt;=8),"",IF(V374&lt;TODAY(),"Vencida",IF(V374=TODAY(),"Hoy","")))</f>
        <v/>
      </c>
      <c r="X374" s="36" t="str">
        <f aca="false">IF(A374="","",IF(COUNTIF(Seguimiento!$B$2:$B$5001,A374)=0,"",_xlfn.MAXIFS(Seguimiento!$A$2:$A$5001,Seguimiento!$B$2:$B$5001,A374)))</f>
        <v/>
      </c>
      <c r="Y374" s="37" t="str">
        <f aca="true">IF(B374="","",TODAY()-B374)</f>
        <v/>
      </c>
      <c r="Z374" s="38" t="str">
        <f aca="false">IF(OR(O374="",G374=""),"",O374*IFERROR(INDEX(Listas!$B$2:$B$50,MATCH(G374,Listas!$A$2:$A$50,0)),0))</f>
        <v/>
      </c>
      <c r="AA374" s="32"/>
      <c r="AB374" s="32"/>
      <c r="AC374" s="32"/>
      <c r="AD374" s="35" t="str">
        <f aca="false">IF(OR(LEFT(H374,4)="Meta",LEFT(H374,6)="Google"),IF(AG374=3,"Lead calificado",IF(OR(AG374=4,AG374=5),"Tasación/visita",IF(OR(AG374=6,AG374=7),"Captación/oferta",IF(AG374=8,"Cierre","")))),"")</f>
        <v/>
      </c>
      <c r="AE374" s="32"/>
      <c r="AF374" s="32"/>
      <c r="AG374" s="37" t="n">
        <f aca="false">IF(R374="",0,IFERROR(MATCH(R374,Listas!$L$2:$L$50,0),0))</f>
        <v>0</v>
      </c>
    </row>
    <row r="375" customFormat="false" ht="15" hidden="false" customHeight="false" outlineLevel="0" collapsed="false">
      <c r="A375" s="30"/>
      <c r="B375" s="31"/>
      <c r="C375" s="32"/>
      <c r="D375" s="32"/>
      <c r="E375" s="33"/>
      <c r="F375" s="32"/>
      <c r="G375" s="32"/>
      <c r="H375" s="32"/>
      <c r="I375" s="32"/>
      <c r="J375" s="32"/>
      <c r="K375" s="32"/>
      <c r="L375" s="32"/>
      <c r="M375" s="30"/>
      <c r="N375" s="32"/>
      <c r="O375" s="34"/>
      <c r="P375" s="32"/>
      <c r="Q375" s="32"/>
      <c r="R375" s="32"/>
      <c r="S375" s="32"/>
      <c r="T375" s="32"/>
      <c r="U375" s="32"/>
      <c r="V375" s="31"/>
      <c r="W375" s="35" t="str">
        <f aca="true">IF(OR(V375="",AG375&gt;=8),"",IF(V375&lt;TODAY(),"Vencida",IF(V375=TODAY(),"Hoy","")))</f>
        <v/>
      </c>
      <c r="X375" s="36" t="str">
        <f aca="false">IF(A375="","",IF(COUNTIF(Seguimiento!$B$2:$B$5001,A375)=0,"",_xlfn.MAXIFS(Seguimiento!$A$2:$A$5001,Seguimiento!$B$2:$B$5001,A375)))</f>
        <v/>
      </c>
      <c r="Y375" s="37" t="str">
        <f aca="true">IF(B375="","",TODAY()-B375)</f>
        <v/>
      </c>
      <c r="Z375" s="38" t="str">
        <f aca="false">IF(OR(O375="",G375=""),"",O375*IFERROR(INDEX(Listas!$B$2:$B$50,MATCH(G375,Listas!$A$2:$A$50,0)),0))</f>
        <v/>
      </c>
      <c r="AA375" s="32"/>
      <c r="AB375" s="32"/>
      <c r="AC375" s="32"/>
      <c r="AD375" s="35" t="str">
        <f aca="false">IF(OR(LEFT(H375,4)="Meta",LEFT(H375,6)="Google"),IF(AG375=3,"Lead calificado",IF(OR(AG375=4,AG375=5),"Tasación/visita",IF(OR(AG375=6,AG375=7),"Captación/oferta",IF(AG375=8,"Cierre","")))),"")</f>
        <v/>
      </c>
      <c r="AE375" s="32"/>
      <c r="AF375" s="32"/>
      <c r="AG375" s="37" t="n">
        <f aca="false">IF(R375="",0,IFERROR(MATCH(R375,Listas!$L$2:$L$50,0),0))</f>
        <v>0</v>
      </c>
    </row>
    <row r="376" customFormat="false" ht="15" hidden="false" customHeight="false" outlineLevel="0" collapsed="false">
      <c r="A376" s="30"/>
      <c r="B376" s="31"/>
      <c r="C376" s="32"/>
      <c r="D376" s="32"/>
      <c r="E376" s="33"/>
      <c r="F376" s="32"/>
      <c r="G376" s="32"/>
      <c r="H376" s="32"/>
      <c r="I376" s="32"/>
      <c r="J376" s="32"/>
      <c r="K376" s="32"/>
      <c r="L376" s="32"/>
      <c r="M376" s="30"/>
      <c r="N376" s="32"/>
      <c r="O376" s="34"/>
      <c r="P376" s="32"/>
      <c r="Q376" s="32"/>
      <c r="R376" s="32"/>
      <c r="S376" s="32"/>
      <c r="T376" s="32"/>
      <c r="U376" s="32"/>
      <c r="V376" s="31"/>
      <c r="W376" s="35" t="str">
        <f aca="true">IF(OR(V376="",AG376&gt;=8),"",IF(V376&lt;TODAY(),"Vencida",IF(V376=TODAY(),"Hoy","")))</f>
        <v/>
      </c>
      <c r="X376" s="36" t="str">
        <f aca="false">IF(A376="","",IF(COUNTIF(Seguimiento!$B$2:$B$5001,A376)=0,"",_xlfn.MAXIFS(Seguimiento!$A$2:$A$5001,Seguimiento!$B$2:$B$5001,A376)))</f>
        <v/>
      </c>
      <c r="Y376" s="37" t="str">
        <f aca="true">IF(B376="","",TODAY()-B376)</f>
        <v/>
      </c>
      <c r="Z376" s="38" t="str">
        <f aca="false">IF(OR(O376="",G376=""),"",O376*IFERROR(INDEX(Listas!$B$2:$B$50,MATCH(G376,Listas!$A$2:$A$50,0)),0))</f>
        <v/>
      </c>
      <c r="AA376" s="32"/>
      <c r="AB376" s="32"/>
      <c r="AC376" s="32"/>
      <c r="AD376" s="35" t="str">
        <f aca="false">IF(OR(LEFT(H376,4)="Meta",LEFT(H376,6)="Google"),IF(AG376=3,"Lead calificado",IF(OR(AG376=4,AG376=5),"Tasación/visita",IF(OR(AG376=6,AG376=7),"Captación/oferta",IF(AG376=8,"Cierre","")))),"")</f>
        <v/>
      </c>
      <c r="AE376" s="32"/>
      <c r="AF376" s="32"/>
      <c r="AG376" s="37" t="n">
        <f aca="false">IF(R376="",0,IFERROR(MATCH(R376,Listas!$L$2:$L$50,0),0))</f>
        <v>0</v>
      </c>
    </row>
    <row r="377" customFormat="false" ht="15" hidden="false" customHeight="false" outlineLevel="0" collapsed="false">
      <c r="A377" s="30"/>
      <c r="B377" s="31"/>
      <c r="C377" s="32"/>
      <c r="D377" s="32"/>
      <c r="E377" s="33"/>
      <c r="F377" s="32"/>
      <c r="G377" s="32"/>
      <c r="H377" s="32"/>
      <c r="I377" s="32"/>
      <c r="J377" s="32"/>
      <c r="K377" s="32"/>
      <c r="L377" s="32"/>
      <c r="M377" s="30"/>
      <c r="N377" s="32"/>
      <c r="O377" s="34"/>
      <c r="P377" s="32"/>
      <c r="Q377" s="32"/>
      <c r="R377" s="32"/>
      <c r="S377" s="32"/>
      <c r="T377" s="32"/>
      <c r="U377" s="32"/>
      <c r="V377" s="31"/>
      <c r="W377" s="35" t="str">
        <f aca="true">IF(OR(V377="",AG377&gt;=8),"",IF(V377&lt;TODAY(),"Vencida",IF(V377=TODAY(),"Hoy","")))</f>
        <v/>
      </c>
      <c r="X377" s="36" t="str">
        <f aca="false">IF(A377="","",IF(COUNTIF(Seguimiento!$B$2:$B$5001,A377)=0,"",_xlfn.MAXIFS(Seguimiento!$A$2:$A$5001,Seguimiento!$B$2:$B$5001,A377)))</f>
        <v/>
      </c>
      <c r="Y377" s="37" t="str">
        <f aca="true">IF(B377="","",TODAY()-B377)</f>
        <v/>
      </c>
      <c r="Z377" s="38" t="str">
        <f aca="false">IF(OR(O377="",G377=""),"",O377*IFERROR(INDEX(Listas!$B$2:$B$50,MATCH(G377,Listas!$A$2:$A$50,0)),0))</f>
        <v/>
      </c>
      <c r="AA377" s="32"/>
      <c r="AB377" s="32"/>
      <c r="AC377" s="32"/>
      <c r="AD377" s="35" t="str">
        <f aca="false">IF(OR(LEFT(H377,4)="Meta",LEFT(H377,6)="Google"),IF(AG377=3,"Lead calificado",IF(OR(AG377=4,AG377=5),"Tasación/visita",IF(OR(AG377=6,AG377=7),"Captación/oferta",IF(AG377=8,"Cierre","")))),"")</f>
        <v/>
      </c>
      <c r="AE377" s="32"/>
      <c r="AF377" s="32"/>
      <c r="AG377" s="37" t="n">
        <f aca="false">IF(R377="",0,IFERROR(MATCH(R377,Listas!$L$2:$L$50,0),0))</f>
        <v>0</v>
      </c>
    </row>
    <row r="378" customFormat="false" ht="15" hidden="false" customHeight="false" outlineLevel="0" collapsed="false">
      <c r="A378" s="30"/>
      <c r="B378" s="31"/>
      <c r="C378" s="32"/>
      <c r="D378" s="32"/>
      <c r="E378" s="33"/>
      <c r="F378" s="32"/>
      <c r="G378" s="32"/>
      <c r="H378" s="32"/>
      <c r="I378" s="32"/>
      <c r="J378" s="32"/>
      <c r="K378" s="32"/>
      <c r="L378" s="32"/>
      <c r="M378" s="30"/>
      <c r="N378" s="32"/>
      <c r="O378" s="34"/>
      <c r="P378" s="32"/>
      <c r="Q378" s="32"/>
      <c r="R378" s="32"/>
      <c r="S378" s="32"/>
      <c r="T378" s="32"/>
      <c r="U378" s="32"/>
      <c r="V378" s="31"/>
      <c r="W378" s="35" t="str">
        <f aca="true">IF(OR(V378="",AG378&gt;=8),"",IF(V378&lt;TODAY(),"Vencida",IF(V378=TODAY(),"Hoy","")))</f>
        <v/>
      </c>
      <c r="X378" s="36" t="str">
        <f aca="false">IF(A378="","",IF(COUNTIF(Seguimiento!$B$2:$B$5001,A378)=0,"",_xlfn.MAXIFS(Seguimiento!$A$2:$A$5001,Seguimiento!$B$2:$B$5001,A378)))</f>
        <v/>
      </c>
      <c r="Y378" s="37" t="str">
        <f aca="true">IF(B378="","",TODAY()-B378)</f>
        <v/>
      </c>
      <c r="Z378" s="38" t="str">
        <f aca="false">IF(OR(O378="",G378=""),"",O378*IFERROR(INDEX(Listas!$B$2:$B$50,MATCH(G378,Listas!$A$2:$A$50,0)),0))</f>
        <v/>
      </c>
      <c r="AA378" s="32"/>
      <c r="AB378" s="32"/>
      <c r="AC378" s="32"/>
      <c r="AD378" s="35" t="str">
        <f aca="false">IF(OR(LEFT(H378,4)="Meta",LEFT(H378,6)="Google"),IF(AG378=3,"Lead calificado",IF(OR(AG378=4,AG378=5),"Tasación/visita",IF(OR(AG378=6,AG378=7),"Captación/oferta",IF(AG378=8,"Cierre","")))),"")</f>
        <v/>
      </c>
      <c r="AE378" s="32"/>
      <c r="AF378" s="32"/>
      <c r="AG378" s="37" t="n">
        <f aca="false">IF(R378="",0,IFERROR(MATCH(R378,Listas!$L$2:$L$50,0),0))</f>
        <v>0</v>
      </c>
    </row>
    <row r="379" customFormat="false" ht="15" hidden="false" customHeight="false" outlineLevel="0" collapsed="false">
      <c r="A379" s="30"/>
      <c r="B379" s="31"/>
      <c r="C379" s="32"/>
      <c r="D379" s="32"/>
      <c r="E379" s="33"/>
      <c r="F379" s="32"/>
      <c r="G379" s="32"/>
      <c r="H379" s="32"/>
      <c r="I379" s="32"/>
      <c r="J379" s="32"/>
      <c r="K379" s="32"/>
      <c r="L379" s="32"/>
      <c r="M379" s="30"/>
      <c r="N379" s="32"/>
      <c r="O379" s="34"/>
      <c r="P379" s="32"/>
      <c r="Q379" s="32"/>
      <c r="R379" s="32"/>
      <c r="S379" s="32"/>
      <c r="T379" s="32"/>
      <c r="U379" s="32"/>
      <c r="V379" s="31"/>
      <c r="W379" s="35" t="str">
        <f aca="true">IF(OR(V379="",AG379&gt;=8),"",IF(V379&lt;TODAY(),"Vencida",IF(V379=TODAY(),"Hoy","")))</f>
        <v/>
      </c>
      <c r="X379" s="36" t="str">
        <f aca="false">IF(A379="","",IF(COUNTIF(Seguimiento!$B$2:$B$5001,A379)=0,"",_xlfn.MAXIFS(Seguimiento!$A$2:$A$5001,Seguimiento!$B$2:$B$5001,A379)))</f>
        <v/>
      </c>
      <c r="Y379" s="37" t="str">
        <f aca="true">IF(B379="","",TODAY()-B379)</f>
        <v/>
      </c>
      <c r="Z379" s="38" t="str">
        <f aca="false">IF(OR(O379="",G379=""),"",O379*IFERROR(INDEX(Listas!$B$2:$B$50,MATCH(G379,Listas!$A$2:$A$50,0)),0))</f>
        <v/>
      </c>
      <c r="AA379" s="32"/>
      <c r="AB379" s="32"/>
      <c r="AC379" s="32"/>
      <c r="AD379" s="35" t="str">
        <f aca="false">IF(OR(LEFT(H379,4)="Meta",LEFT(H379,6)="Google"),IF(AG379=3,"Lead calificado",IF(OR(AG379=4,AG379=5),"Tasación/visita",IF(OR(AG379=6,AG379=7),"Captación/oferta",IF(AG379=8,"Cierre","")))),"")</f>
        <v/>
      </c>
      <c r="AE379" s="32"/>
      <c r="AF379" s="32"/>
      <c r="AG379" s="37" t="n">
        <f aca="false">IF(R379="",0,IFERROR(MATCH(R379,Listas!$L$2:$L$50,0),0))</f>
        <v>0</v>
      </c>
    </row>
    <row r="380" customFormat="false" ht="15" hidden="false" customHeight="false" outlineLevel="0" collapsed="false">
      <c r="A380" s="30"/>
      <c r="B380" s="31"/>
      <c r="C380" s="32"/>
      <c r="D380" s="32"/>
      <c r="E380" s="33"/>
      <c r="F380" s="32"/>
      <c r="G380" s="32"/>
      <c r="H380" s="32"/>
      <c r="I380" s="32"/>
      <c r="J380" s="32"/>
      <c r="K380" s="32"/>
      <c r="L380" s="32"/>
      <c r="M380" s="30"/>
      <c r="N380" s="32"/>
      <c r="O380" s="34"/>
      <c r="P380" s="32"/>
      <c r="Q380" s="32"/>
      <c r="R380" s="32"/>
      <c r="S380" s="32"/>
      <c r="T380" s="32"/>
      <c r="U380" s="32"/>
      <c r="V380" s="31"/>
      <c r="W380" s="35" t="str">
        <f aca="true">IF(OR(V380="",AG380&gt;=8),"",IF(V380&lt;TODAY(),"Vencida",IF(V380=TODAY(),"Hoy","")))</f>
        <v/>
      </c>
      <c r="X380" s="36" t="str">
        <f aca="false">IF(A380="","",IF(COUNTIF(Seguimiento!$B$2:$B$5001,A380)=0,"",_xlfn.MAXIFS(Seguimiento!$A$2:$A$5001,Seguimiento!$B$2:$B$5001,A380)))</f>
        <v/>
      </c>
      <c r="Y380" s="37" t="str">
        <f aca="true">IF(B380="","",TODAY()-B380)</f>
        <v/>
      </c>
      <c r="Z380" s="38" t="str">
        <f aca="false">IF(OR(O380="",G380=""),"",O380*IFERROR(INDEX(Listas!$B$2:$B$50,MATCH(G380,Listas!$A$2:$A$50,0)),0))</f>
        <v/>
      </c>
      <c r="AA380" s="32"/>
      <c r="AB380" s="32"/>
      <c r="AC380" s="32"/>
      <c r="AD380" s="35" t="str">
        <f aca="false">IF(OR(LEFT(H380,4)="Meta",LEFT(H380,6)="Google"),IF(AG380=3,"Lead calificado",IF(OR(AG380=4,AG380=5),"Tasación/visita",IF(OR(AG380=6,AG380=7),"Captación/oferta",IF(AG380=8,"Cierre","")))),"")</f>
        <v/>
      </c>
      <c r="AE380" s="32"/>
      <c r="AF380" s="32"/>
      <c r="AG380" s="37" t="n">
        <f aca="false">IF(R380="",0,IFERROR(MATCH(R380,Listas!$L$2:$L$50,0),0))</f>
        <v>0</v>
      </c>
    </row>
    <row r="381" customFormat="false" ht="15" hidden="false" customHeight="false" outlineLevel="0" collapsed="false">
      <c r="A381" s="30"/>
      <c r="B381" s="31"/>
      <c r="C381" s="32"/>
      <c r="D381" s="32"/>
      <c r="E381" s="33"/>
      <c r="F381" s="32"/>
      <c r="G381" s="32"/>
      <c r="H381" s="32"/>
      <c r="I381" s="32"/>
      <c r="J381" s="32"/>
      <c r="K381" s="32"/>
      <c r="L381" s="32"/>
      <c r="M381" s="30"/>
      <c r="N381" s="32"/>
      <c r="O381" s="34"/>
      <c r="P381" s="32"/>
      <c r="Q381" s="32"/>
      <c r="R381" s="32"/>
      <c r="S381" s="32"/>
      <c r="T381" s="32"/>
      <c r="U381" s="32"/>
      <c r="V381" s="31"/>
      <c r="W381" s="35" t="str">
        <f aca="true">IF(OR(V381="",AG381&gt;=8),"",IF(V381&lt;TODAY(),"Vencida",IF(V381=TODAY(),"Hoy","")))</f>
        <v/>
      </c>
      <c r="X381" s="36" t="str">
        <f aca="false">IF(A381="","",IF(COUNTIF(Seguimiento!$B$2:$B$5001,A381)=0,"",_xlfn.MAXIFS(Seguimiento!$A$2:$A$5001,Seguimiento!$B$2:$B$5001,A381)))</f>
        <v/>
      </c>
      <c r="Y381" s="37" t="str">
        <f aca="true">IF(B381="","",TODAY()-B381)</f>
        <v/>
      </c>
      <c r="Z381" s="38" t="str">
        <f aca="false">IF(OR(O381="",G381=""),"",O381*IFERROR(INDEX(Listas!$B$2:$B$50,MATCH(G381,Listas!$A$2:$A$50,0)),0))</f>
        <v/>
      </c>
      <c r="AA381" s="32"/>
      <c r="AB381" s="32"/>
      <c r="AC381" s="32"/>
      <c r="AD381" s="35" t="str">
        <f aca="false">IF(OR(LEFT(H381,4)="Meta",LEFT(H381,6)="Google"),IF(AG381=3,"Lead calificado",IF(OR(AG381=4,AG381=5),"Tasación/visita",IF(OR(AG381=6,AG381=7),"Captación/oferta",IF(AG381=8,"Cierre","")))),"")</f>
        <v/>
      </c>
      <c r="AE381" s="32"/>
      <c r="AF381" s="32"/>
      <c r="AG381" s="37" t="n">
        <f aca="false">IF(R381="",0,IFERROR(MATCH(R381,Listas!$L$2:$L$50,0),0))</f>
        <v>0</v>
      </c>
    </row>
    <row r="382" customFormat="false" ht="15" hidden="false" customHeight="false" outlineLevel="0" collapsed="false">
      <c r="A382" s="30"/>
      <c r="B382" s="31"/>
      <c r="C382" s="32"/>
      <c r="D382" s="32"/>
      <c r="E382" s="33"/>
      <c r="F382" s="32"/>
      <c r="G382" s="32"/>
      <c r="H382" s="32"/>
      <c r="I382" s="32"/>
      <c r="J382" s="32"/>
      <c r="K382" s="32"/>
      <c r="L382" s="32"/>
      <c r="M382" s="30"/>
      <c r="N382" s="32"/>
      <c r="O382" s="34"/>
      <c r="P382" s="32"/>
      <c r="Q382" s="32"/>
      <c r="R382" s="32"/>
      <c r="S382" s="32"/>
      <c r="T382" s="32"/>
      <c r="U382" s="32"/>
      <c r="V382" s="31"/>
      <c r="W382" s="35" t="str">
        <f aca="true">IF(OR(V382="",AG382&gt;=8),"",IF(V382&lt;TODAY(),"Vencida",IF(V382=TODAY(),"Hoy","")))</f>
        <v/>
      </c>
      <c r="X382" s="36" t="str">
        <f aca="false">IF(A382="","",IF(COUNTIF(Seguimiento!$B$2:$B$5001,A382)=0,"",_xlfn.MAXIFS(Seguimiento!$A$2:$A$5001,Seguimiento!$B$2:$B$5001,A382)))</f>
        <v/>
      </c>
      <c r="Y382" s="37" t="str">
        <f aca="true">IF(B382="","",TODAY()-B382)</f>
        <v/>
      </c>
      <c r="Z382" s="38" t="str">
        <f aca="false">IF(OR(O382="",G382=""),"",O382*IFERROR(INDEX(Listas!$B$2:$B$50,MATCH(G382,Listas!$A$2:$A$50,0)),0))</f>
        <v/>
      </c>
      <c r="AA382" s="32"/>
      <c r="AB382" s="32"/>
      <c r="AC382" s="32"/>
      <c r="AD382" s="35" t="str">
        <f aca="false">IF(OR(LEFT(H382,4)="Meta",LEFT(H382,6)="Google"),IF(AG382=3,"Lead calificado",IF(OR(AG382=4,AG382=5),"Tasación/visita",IF(OR(AG382=6,AG382=7),"Captación/oferta",IF(AG382=8,"Cierre","")))),"")</f>
        <v/>
      </c>
      <c r="AE382" s="32"/>
      <c r="AF382" s="32"/>
      <c r="AG382" s="37" t="n">
        <f aca="false">IF(R382="",0,IFERROR(MATCH(R382,Listas!$L$2:$L$50,0),0))</f>
        <v>0</v>
      </c>
    </row>
    <row r="383" customFormat="false" ht="15" hidden="false" customHeight="false" outlineLevel="0" collapsed="false">
      <c r="A383" s="30"/>
      <c r="B383" s="31"/>
      <c r="C383" s="32"/>
      <c r="D383" s="32"/>
      <c r="E383" s="33"/>
      <c r="F383" s="32"/>
      <c r="G383" s="32"/>
      <c r="H383" s="32"/>
      <c r="I383" s="32"/>
      <c r="J383" s="32"/>
      <c r="K383" s="32"/>
      <c r="L383" s="32"/>
      <c r="M383" s="30"/>
      <c r="N383" s="32"/>
      <c r="O383" s="34"/>
      <c r="P383" s="32"/>
      <c r="Q383" s="32"/>
      <c r="R383" s="32"/>
      <c r="S383" s="32"/>
      <c r="T383" s="32"/>
      <c r="U383" s="32"/>
      <c r="V383" s="31"/>
      <c r="W383" s="35" t="str">
        <f aca="true">IF(OR(V383="",AG383&gt;=8),"",IF(V383&lt;TODAY(),"Vencida",IF(V383=TODAY(),"Hoy","")))</f>
        <v/>
      </c>
      <c r="X383" s="36" t="str">
        <f aca="false">IF(A383="","",IF(COUNTIF(Seguimiento!$B$2:$B$5001,A383)=0,"",_xlfn.MAXIFS(Seguimiento!$A$2:$A$5001,Seguimiento!$B$2:$B$5001,A383)))</f>
        <v/>
      </c>
      <c r="Y383" s="37" t="str">
        <f aca="true">IF(B383="","",TODAY()-B383)</f>
        <v/>
      </c>
      <c r="Z383" s="38" t="str">
        <f aca="false">IF(OR(O383="",G383=""),"",O383*IFERROR(INDEX(Listas!$B$2:$B$50,MATCH(G383,Listas!$A$2:$A$50,0)),0))</f>
        <v/>
      </c>
      <c r="AA383" s="32"/>
      <c r="AB383" s="32"/>
      <c r="AC383" s="32"/>
      <c r="AD383" s="35" t="str">
        <f aca="false">IF(OR(LEFT(H383,4)="Meta",LEFT(H383,6)="Google"),IF(AG383=3,"Lead calificado",IF(OR(AG383=4,AG383=5),"Tasación/visita",IF(OR(AG383=6,AG383=7),"Captación/oferta",IF(AG383=8,"Cierre","")))),"")</f>
        <v/>
      </c>
      <c r="AE383" s="32"/>
      <c r="AF383" s="32"/>
      <c r="AG383" s="37" t="n">
        <f aca="false">IF(R383="",0,IFERROR(MATCH(R383,Listas!$L$2:$L$50,0),0))</f>
        <v>0</v>
      </c>
    </row>
    <row r="384" customFormat="false" ht="15" hidden="false" customHeight="false" outlineLevel="0" collapsed="false">
      <c r="A384" s="30"/>
      <c r="B384" s="31"/>
      <c r="C384" s="32"/>
      <c r="D384" s="32"/>
      <c r="E384" s="33"/>
      <c r="F384" s="32"/>
      <c r="G384" s="32"/>
      <c r="H384" s="32"/>
      <c r="I384" s="32"/>
      <c r="J384" s="32"/>
      <c r="K384" s="32"/>
      <c r="L384" s="32"/>
      <c r="M384" s="30"/>
      <c r="N384" s="32"/>
      <c r="O384" s="34"/>
      <c r="P384" s="32"/>
      <c r="Q384" s="32"/>
      <c r="R384" s="32"/>
      <c r="S384" s="32"/>
      <c r="T384" s="32"/>
      <c r="U384" s="32"/>
      <c r="V384" s="31"/>
      <c r="W384" s="35" t="str">
        <f aca="true">IF(OR(V384="",AG384&gt;=8),"",IF(V384&lt;TODAY(),"Vencida",IF(V384=TODAY(),"Hoy","")))</f>
        <v/>
      </c>
      <c r="X384" s="36" t="str">
        <f aca="false">IF(A384="","",IF(COUNTIF(Seguimiento!$B$2:$B$5001,A384)=0,"",_xlfn.MAXIFS(Seguimiento!$A$2:$A$5001,Seguimiento!$B$2:$B$5001,A384)))</f>
        <v/>
      </c>
      <c r="Y384" s="37" t="str">
        <f aca="true">IF(B384="","",TODAY()-B384)</f>
        <v/>
      </c>
      <c r="Z384" s="38" t="str">
        <f aca="false">IF(OR(O384="",G384=""),"",O384*IFERROR(INDEX(Listas!$B$2:$B$50,MATCH(G384,Listas!$A$2:$A$50,0)),0))</f>
        <v/>
      </c>
      <c r="AA384" s="32"/>
      <c r="AB384" s="32"/>
      <c r="AC384" s="32"/>
      <c r="AD384" s="35" t="str">
        <f aca="false">IF(OR(LEFT(H384,4)="Meta",LEFT(H384,6)="Google"),IF(AG384=3,"Lead calificado",IF(OR(AG384=4,AG384=5),"Tasación/visita",IF(OR(AG384=6,AG384=7),"Captación/oferta",IF(AG384=8,"Cierre","")))),"")</f>
        <v/>
      </c>
      <c r="AE384" s="32"/>
      <c r="AF384" s="32"/>
      <c r="AG384" s="37" t="n">
        <f aca="false">IF(R384="",0,IFERROR(MATCH(R384,Listas!$L$2:$L$50,0),0))</f>
        <v>0</v>
      </c>
    </row>
    <row r="385" customFormat="false" ht="15" hidden="false" customHeight="false" outlineLevel="0" collapsed="false">
      <c r="A385" s="30"/>
      <c r="B385" s="31"/>
      <c r="C385" s="32"/>
      <c r="D385" s="32"/>
      <c r="E385" s="33"/>
      <c r="F385" s="32"/>
      <c r="G385" s="32"/>
      <c r="H385" s="32"/>
      <c r="I385" s="32"/>
      <c r="J385" s="32"/>
      <c r="K385" s="32"/>
      <c r="L385" s="32"/>
      <c r="M385" s="30"/>
      <c r="N385" s="32"/>
      <c r="O385" s="34"/>
      <c r="P385" s="32"/>
      <c r="Q385" s="32"/>
      <c r="R385" s="32"/>
      <c r="S385" s="32"/>
      <c r="T385" s="32"/>
      <c r="U385" s="32"/>
      <c r="V385" s="31"/>
      <c r="W385" s="35" t="str">
        <f aca="true">IF(OR(V385="",AG385&gt;=8),"",IF(V385&lt;TODAY(),"Vencida",IF(V385=TODAY(),"Hoy","")))</f>
        <v/>
      </c>
      <c r="X385" s="36" t="str">
        <f aca="false">IF(A385="","",IF(COUNTIF(Seguimiento!$B$2:$B$5001,A385)=0,"",_xlfn.MAXIFS(Seguimiento!$A$2:$A$5001,Seguimiento!$B$2:$B$5001,A385)))</f>
        <v/>
      </c>
      <c r="Y385" s="37" t="str">
        <f aca="true">IF(B385="","",TODAY()-B385)</f>
        <v/>
      </c>
      <c r="Z385" s="38" t="str">
        <f aca="false">IF(OR(O385="",G385=""),"",O385*IFERROR(INDEX(Listas!$B$2:$B$50,MATCH(G385,Listas!$A$2:$A$50,0)),0))</f>
        <v/>
      </c>
      <c r="AA385" s="32"/>
      <c r="AB385" s="32"/>
      <c r="AC385" s="32"/>
      <c r="AD385" s="35" t="str">
        <f aca="false">IF(OR(LEFT(H385,4)="Meta",LEFT(H385,6)="Google"),IF(AG385=3,"Lead calificado",IF(OR(AG385=4,AG385=5),"Tasación/visita",IF(OR(AG385=6,AG385=7),"Captación/oferta",IF(AG385=8,"Cierre","")))),"")</f>
        <v/>
      </c>
      <c r="AE385" s="32"/>
      <c r="AF385" s="32"/>
      <c r="AG385" s="37" t="n">
        <f aca="false">IF(R385="",0,IFERROR(MATCH(R385,Listas!$L$2:$L$50,0),0))</f>
        <v>0</v>
      </c>
    </row>
    <row r="386" customFormat="false" ht="15" hidden="false" customHeight="false" outlineLevel="0" collapsed="false">
      <c r="A386" s="30"/>
      <c r="B386" s="31"/>
      <c r="C386" s="32"/>
      <c r="D386" s="32"/>
      <c r="E386" s="33"/>
      <c r="F386" s="32"/>
      <c r="G386" s="32"/>
      <c r="H386" s="32"/>
      <c r="I386" s="32"/>
      <c r="J386" s="32"/>
      <c r="K386" s="32"/>
      <c r="L386" s="32"/>
      <c r="M386" s="30"/>
      <c r="N386" s="32"/>
      <c r="O386" s="34"/>
      <c r="P386" s="32"/>
      <c r="Q386" s="32"/>
      <c r="R386" s="32"/>
      <c r="S386" s="32"/>
      <c r="T386" s="32"/>
      <c r="U386" s="32"/>
      <c r="V386" s="31"/>
      <c r="W386" s="35" t="str">
        <f aca="true">IF(OR(V386="",AG386&gt;=8),"",IF(V386&lt;TODAY(),"Vencida",IF(V386=TODAY(),"Hoy","")))</f>
        <v/>
      </c>
      <c r="X386" s="36" t="str">
        <f aca="false">IF(A386="","",IF(COUNTIF(Seguimiento!$B$2:$B$5001,A386)=0,"",_xlfn.MAXIFS(Seguimiento!$A$2:$A$5001,Seguimiento!$B$2:$B$5001,A386)))</f>
        <v/>
      </c>
      <c r="Y386" s="37" t="str">
        <f aca="true">IF(B386="","",TODAY()-B386)</f>
        <v/>
      </c>
      <c r="Z386" s="38" t="str">
        <f aca="false">IF(OR(O386="",G386=""),"",O386*IFERROR(INDEX(Listas!$B$2:$B$50,MATCH(G386,Listas!$A$2:$A$50,0)),0))</f>
        <v/>
      </c>
      <c r="AA386" s="32"/>
      <c r="AB386" s="32"/>
      <c r="AC386" s="32"/>
      <c r="AD386" s="35" t="str">
        <f aca="false">IF(OR(LEFT(H386,4)="Meta",LEFT(H386,6)="Google"),IF(AG386=3,"Lead calificado",IF(OR(AG386=4,AG386=5),"Tasación/visita",IF(OR(AG386=6,AG386=7),"Captación/oferta",IF(AG386=8,"Cierre","")))),"")</f>
        <v/>
      </c>
      <c r="AE386" s="32"/>
      <c r="AF386" s="32"/>
      <c r="AG386" s="37" t="n">
        <f aca="false">IF(R386="",0,IFERROR(MATCH(R386,Listas!$L$2:$L$50,0),0))</f>
        <v>0</v>
      </c>
    </row>
    <row r="387" customFormat="false" ht="15" hidden="false" customHeight="false" outlineLevel="0" collapsed="false">
      <c r="A387" s="30"/>
      <c r="B387" s="31"/>
      <c r="C387" s="32"/>
      <c r="D387" s="32"/>
      <c r="E387" s="33"/>
      <c r="F387" s="32"/>
      <c r="G387" s="32"/>
      <c r="H387" s="32"/>
      <c r="I387" s="32"/>
      <c r="J387" s="32"/>
      <c r="K387" s="32"/>
      <c r="L387" s="32"/>
      <c r="M387" s="30"/>
      <c r="N387" s="32"/>
      <c r="O387" s="34"/>
      <c r="P387" s="32"/>
      <c r="Q387" s="32"/>
      <c r="R387" s="32"/>
      <c r="S387" s="32"/>
      <c r="T387" s="32"/>
      <c r="U387" s="32"/>
      <c r="V387" s="31"/>
      <c r="W387" s="35" t="str">
        <f aca="true">IF(OR(V387="",AG387&gt;=8),"",IF(V387&lt;TODAY(),"Vencida",IF(V387=TODAY(),"Hoy","")))</f>
        <v/>
      </c>
      <c r="X387" s="36" t="str">
        <f aca="false">IF(A387="","",IF(COUNTIF(Seguimiento!$B$2:$B$5001,A387)=0,"",_xlfn.MAXIFS(Seguimiento!$A$2:$A$5001,Seguimiento!$B$2:$B$5001,A387)))</f>
        <v/>
      </c>
      <c r="Y387" s="37" t="str">
        <f aca="true">IF(B387="","",TODAY()-B387)</f>
        <v/>
      </c>
      <c r="Z387" s="38" t="str">
        <f aca="false">IF(OR(O387="",G387=""),"",O387*IFERROR(INDEX(Listas!$B$2:$B$50,MATCH(G387,Listas!$A$2:$A$50,0)),0))</f>
        <v/>
      </c>
      <c r="AA387" s="32"/>
      <c r="AB387" s="32"/>
      <c r="AC387" s="32"/>
      <c r="AD387" s="35" t="str">
        <f aca="false">IF(OR(LEFT(H387,4)="Meta",LEFT(H387,6)="Google"),IF(AG387=3,"Lead calificado",IF(OR(AG387=4,AG387=5),"Tasación/visita",IF(OR(AG387=6,AG387=7),"Captación/oferta",IF(AG387=8,"Cierre","")))),"")</f>
        <v/>
      </c>
      <c r="AE387" s="32"/>
      <c r="AF387" s="32"/>
      <c r="AG387" s="37" t="n">
        <f aca="false">IF(R387="",0,IFERROR(MATCH(R387,Listas!$L$2:$L$50,0),0))</f>
        <v>0</v>
      </c>
    </row>
    <row r="388" customFormat="false" ht="15" hidden="false" customHeight="false" outlineLevel="0" collapsed="false">
      <c r="A388" s="30"/>
      <c r="B388" s="31"/>
      <c r="C388" s="32"/>
      <c r="D388" s="32"/>
      <c r="E388" s="33"/>
      <c r="F388" s="32"/>
      <c r="G388" s="32"/>
      <c r="H388" s="32"/>
      <c r="I388" s="32"/>
      <c r="J388" s="32"/>
      <c r="K388" s="32"/>
      <c r="L388" s="32"/>
      <c r="M388" s="30"/>
      <c r="N388" s="32"/>
      <c r="O388" s="34"/>
      <c r="P388" s="32"/>
      <c r="Q388" s="32"/>
      <c r="R388" s="32"/>
      <c r="S388" s="32"/>
      <c r="T388" s="32"/>
      <c r="U388" s="32"/>
      <c r="V388" s="31"/>
      <c r="W388" s="35" t="str">
        <f aca="true">IF(OR(V388="",AG388&gt;=8),"",IF(V388&lt;TODAY(),"Vencida",IF(V388=TODAY(),"Hoy","")))</f>
        <v/>
      </c>
      <c r="X388" s="36" t="str">
        <f aca="false">IF(A388="","",IF(COUNTIF(Seguimiento!$B$2:$B$5001,A388)=0,"",_xlfn.MAXIFS(Seguimiento!$A$2:$A$5001,Seguimiento!$B$2:$B$5001,A388)))</f>
        <v/>
      </c>
      <c r="Y388" s="37" t="str">
        <f aca="true">IF(B388="","",TODAY()-B388)</f>
        <v/>
      </c>
      <c r="Z388" s="38" t="str">
        <f aca="false">IF(OR(O388="",G388=""),"",O388*IFERROR(INDEX(Listas!$B$2:$B$50,MATCH(G388,Listas!$A$2:$A$50,0)),0))</f>
        <v/>
      </c>
      <c r="AA388" s="32"/>
      <c r="AB388" s="32"/>
      <c r="AC388" s="32"/>
      <c r="AD388" s="35" t="str">
        <f aca="false">IF(OR(LEFT(H388,4)="Meta",LEFT(H388,6)="Google"),IF(AG388=3,"Lead calificado",IF(OR(AG388=4,AG388=5),"Tasación/visita",IF(OR(AG388=6,AG388=7),"Captación/oferta",IF(AG388=8,"Cierre","")))),"")</f>
        <v/>
      </c>
      <c r="AE388" s="32"/>
      <c r="AF388" s="32"/>
      <c r="AG388" s="37" t="n">
        <f aca="false">IF(R388="",0,IFERROR(MATCH(R388,Listas!$L$2:$L$50,0),0))</f>
        <v>0</v>
      </c>
    </row>
    <row r="389" customFormat="false" ht="15" hidden="false" customHeight="false" outlineLevel="0" collapsed="false">
      <c r="A389" s="30"/>
      <c r="B389" s="31"/>
      <c r="C389" s="32"/>
      <c r="D389" s="32"/>
      <c r="E389" s="33"/>
      <c r="F389" s="32"/>
      <c r="G389" s="32"/>
      <c r="H389" s="32"/>
      <c r="I389" s="32"/>
      <c r="J389" s="32"/>
      <c r="K389" s="32"/>
      <c r="L389" s="32"/>
      <c r="M389" s="30"/>
      <c r="N389" s="32"/>
      <c r="O389" s="34"/>
      <c r="P389" s="32"/>
      <c r="Q389" s="32"/>
      <c r="R389" s="32"/>
      <c r="S389" s="32"/>
      <c r="T389" s="32"/>
      <c r="U389" s="32"/>
      <c r="V389" s="31"/>
      <c r="W389" s="35" t="str">
        <f aca="true">IF(OR(V389="",AG389&gt;=8),"",IF(V389&lt;TODAY(),"Vencida",IF(V389=TODAY(),"Hoy","")))</f>
        <v/>
      </c>
      <c r="X389" s="36" t="str">
        <f aca="false">IF(A389="","",IF(COUNTIF(Seguimiento!$B$2:$B$5001,A389)=0,"",_xlfn.MAXIFS(Seguimiento!$A$2:$A$5001,Seguimiento!$B$2:$B$5001,A389)))</f>
        <v/>
      </c>
      <c r="Y389" s="37" t="str">
        <f aca="true">IF(B389="","",TODAY()-B389)</f>
        <v/>
      </c>
      <c r="Z389" s="38" t="str">
        <f aca="false">IF(OR(O389="",G389=""),"",O389*IFERROR(INDEX(Listas!$B$2:$B$50,MATCH(G389,Listas!$A$2:$A$50,0)),0))</f>
        <v/>
      </c>
      <c r="AA389" s="32"/>
      <c r="AB389" s="32"/>
      <c r="AC389" s="32"/>
      <c r="AD389" s="35" t="str">
        <f aca="false">IF(OR(LEFT(H389,4)="Meta",LEFT(H389,6)="Google"),IF(AG389=3,"Lead calificado",IF(OR(AG389=4,AG389=5),"Tasación/visita",IF(OR(AG389=6,AG389=7),"Captación/oferta",IF(AG389=8,"Cierre","")))),"")</f>
        <v/>
      </c>
      <c r="AE389" s="32"/>
      <c r="AF389" s="32"/>
      <c r="AG389" s="37" t="n">
        <f aca="false">IF(R389="",0,IFERROR(MATCH(R389,Listas!$L$2:$L$50,0),0))</f>
        <v>0</v>
      </c>
    </row>
    <row r="390" customFormat="false" ht="15" hidden="false" customHeight="false" outlineLevel="0" collapsed="false">
      <c r="A390" s="30"/>
      <c r="B390" s="31"/>
      <c r="C390" s="32"/>
      <c r="D390" s="32"/>
      <c r="E390" s="33"/>
      <c r="F390" s="32"/>
      <c r="G390" s="32"/>
      <c r="H390" s="32"/>
      <c r="I390" s="32"/>
      <c r="J390" s="32"/>
      <c r="K390" s="32"/>
      <c r="L390" s="32"/>
      <c r="M390" s="30"/>
      <c r="N390" s="32"/>
      <c r="O390" s="34"/>
      <c r="P390" s="32"/>
      <c r="Q390" s="32"/>
      <c r="R390" s="32"/>
      <c r="S390" s="32"/>
      <c r="T390" s="32"/>
      <c r="U390" s="32"/>
      <c r="V390" s="31"/>
      <c r="W390" s="35" t="str">
        <f aca="true">IF(OR(V390="",AG390&gt;=8),"",IF(V390&lt;TODAY(),"Vencida",IF(V390=TODAY(),"Hoy","")))</f>
        <v/>
      </c>
      <c r="X390" s="36" t="str">
        <f aca="false">IF(A390="","",IF(COUNTIF(Seguimiento!$B$2:$B$5001,A390)=0,"",_xlfn.MAXIFS(Seguimiento!$A$2:$A$5001,Seguimiento!$B$2:$B$5001,A390)))</f>
        <v/>
      </c>
      <c r="Y390" s="37" t="str">
        <f aca="true">IF(B390="","",TODAY()-B390)</f>
        <v/>
      </c>
      <c r="Z390" s="38" t="str">
        <f aca="false">IF(OR(O390="",G390=""),"",O390*IFERROR(INDEX(Listas!$B$2:$B$50,MATCH(G390,Listas!$A$2:$A$50,0)),0))</f>
        <v/>
      </c>
      <c r="AA390" s="32"/>
      <c r="AB390" s="32"/>
      <c r="AC390" s="32"/>
      <c r="AD390" s="35" t="str">
        <f aca="false">IF(OR(LEFT(H390,4)="Meta",LEFT(H390,6)="Google"),IF(AG390=3,"Lead calificado",IF(OR(AG390=4,AG390=5),"Tasación/visita",IF(OR(AG390=6,AG390=7),"Captación/oferta",IF(AG390=8,"Cierre","")))),"")</f>
        <v/>
      </c>
      <c r="AE390" s="32"/>
      <c r="AF390" s="32"/>
      <c r="AG390" s="37" t="n">
        <f aca="false">IF(R390="",0,IFERROR(MATCH(R390,Listas!$L$2:$L$50,0),0))</f>
        <v>0</v>
      </c>
    </row>
    <row r="391" customFormat="false" ht="15" hidden="false" customHeight="false" outlineLevel="0" collapsed="false">
      <c r="A391" s="30"/>
      <c r="B391" s="31"/>
      <c r="C391" s="32"/>
      <c r="D391" s="32"/>
      <c r="E391" s="33"/>
      <c r="F391" s="32"/>
      <c r="G391" s="32"/>
      <c r="H391" s="32"/>
      <c r="I391" s="32"/>
      <c r="J391" s="32"/>
      <c r="K391" s="32"/>
      <c r="L391" s="32"/>
      <c r="M391" s="30"/>
      <c r="N391" s="32"/>
      <c r="O391" s="34"/>
      <c r="P391" s="32"/>
      <c r="Q391" s="32"/>
      <c r="R391" s="32"/>
      <c r="S391" s="32"/>
      <c r="T391" s="32"/>
      <c r="U391" s="32"/>
      <c r="V391" s="31"/>
      <c r="W391" s="35" t="str">
        <f aca="true">IF(OR(V391="",AG391&gt;=8),"",IF(V391&lt;TODAY(),"Vencida",IF(V391=TODAY(),"Hoy","")))</f>
        <v/>
      </c>
      <c r="X391" s="36" t="str">
        <f aca="false">IF(A391="","",IF(COUNTIF(Seguimiento!$B$2:$B$5001,A391)=0,"",_xlfn.MAXIFS(Seguimiento!$A$2:$A$5001,Seguimiento!$B$2:$B$5001,A391)))</f>
        <v/>
      </c>
      <c r="Y391" s="37" t="str">
        <f aca="true">IF(B391="","",TODAY()-B391)</f>
        <v/>
      </c>
      <c r="Z391" s="38" t="str">
        <f aca="false">IF(OR(O391="",G391=""),"",O391*IFERROR(INDEX(Listas!$B$2:$B$50,MATCH(G391,Listas!$A$2:$A$50,0)),0))</f>
        <v/>
      </c>
      <c r="AA391" s="32"/>
      <c r="AB391" s="32"/>
      <c r="AC391" s="32"/>
      <c r="AD391" s="35" t="str">
        <f aca="false">IF(OR(LEFT(H391,4)="Meta",LEFT(H391,6)="Google"),IF(AG391=3,"Lead calificado",IF(OR(AG391=4,AG391=5),"Tasación/visita",IF(OR(AG391=6,AG391=7),"Captación/oferta",IF(AG391=8,"Cierre","")))),"")</f>
        <v/>
      </c>
      <c r="AE391" s="32"/>
      <c r="AF391" s="32"/>
      <c r="AG391" s="37" t="n">
        <f aca="false">IF(R391="",0,IFERROR(MATCH(R391,Listas!$L$2:$L$50,0),0))</f>
        <v>0</v>
      </c>
    </row>
    <row r="392" customFormat="false" ht="15" hidden="false" customHeight="false" outlineLevel="0" collapsed="false">
      <c r="A392" s="30"/>
      <c r="B392" s="31"/>
      <c r="C392" s="32"/>
      <c r="D392" s="32"/>
      <c r="E392" s="33"/>
      <c r="F392" s="32"/>
      <c r="G392" s="32"/>
      <c r="H392" s="32"/>
      <c r="I392" s="32"/>
      <c r="J392" s="32"/>
      <c r="K392" s="32"/>
      <c r="L392" s="32"/>
      <c r="M392" s="30"/>
      <c r="N392" s="32"/>
      <c r="O392" s="34"/>
      <c r="P392" s="32"/>
      <c r="Q392" s="32"/>
      <c r="R392" s="32"/>
      <c r="S392" s="32"/>
      <c r="T392" s="32"/>
      <c r="U392" s="32"/>
      <c r="V392" s="31"/>
      <c r="W392" s="35" t="str">
        <f aca="true">IF(OR(V392="",AG392&gt;=8),"",IF(V392&lt;TODAY(),"Vencida",IF(V392=TODAY(),"Hoy","")))</f>
        <v/>
      </c>
      <c r="X392" s="36" t="str">
        <f aca="false">IF(A392="","",IF(COUNTIF(Seguimiento!$B$2:$B$5001,A392)=0,"",_xlfn.MAXIFS(Seguimiento!$A$2:$A$5001,Seguimiento!$B$2:$B$5001,A392)))</f>
        <v/>
      </c>
      <c r="Y392" s="37" t="str">
        <f aca="true">IF(B392="","",TODAY()-B392)</f>
        <v/>
      </c>
      <c r="Z392" s="38" t="str">
        <f aca="false">IF(OR(O392="",G392=""),"",O392*IFERROR(INDEX(Listas!$B$2:$B$50,MATCH(G392,Listas!$A$2:$A$50,0)),0))</f>
        <v/>
      </c>
      <c r="AA392" s="32"/>
      <c r="AB392" s="32"/>
      <c r="AC392" s="32"/>
      <c r="AD392" s="35" t="str">
        <f aca="false">IF(OR(LEFT(H392,4)="Meta",LEFT(H392,6)="Google"),IF(AG392=3,"Lead calificado",IF(OR(AG392=4,AG392=5),"Tasación/visita",IF(OR(AG392=6,AG392=7),"Captación/oferta",IF(AG392=8,"Cierre","")))),"")</f>
        <v/>
      </c>
      <c r="AE392" s="32"/>
      <c r="AF392" s="32"/>
      <c r="AG392" s="37" t="n">
        <f aca="false">IF(R392="",0,IFERROR(MATCH(R392,Listas!$L$2:$L$50,0),0))</f>
        <v>0</v>
      </c>
    </row>
    <row r="393" customFormat="false" ht="15" hidden="false" customHeight="false" outlineLevel="0" collapsed="false">
      <c r="A393" s="30"/>
      <c r="B393" s="31"/>
      <c r="C393" s="32"/>
      <c r="D393" s="32"/>
      <c r="E393" s="33"/>
      <c r="F393" s="32"/>
      <c r="G393" s="32"/>
      <c r="H393" s="32"/>
      <c r="I393" s="32"/>
      <c r="J393" s="32"/>
      <c r="K393" s="32"/>
      <c r="L393" s="32"/>
      <c r="M393" s="30"/>
      <c r="N393" s="32"/>
      <c r="O393" s="34"/>
      <c r="P393" s="32"/>
      <c r="Q393" s="32"/>
      <c r="R393" s="32"/>
      <c r="S393" s="32"/>
      <c r="T393" s="32"/>
      <c r="U393" s="32"/>
      <c r="V393" s="31"/>
      <c r="W393" s="35" t="str">
        <f aca="true">IF(OR(V393="",AG393&gt;=8),"",IF(V393&lt;TODAY(),"Vencida",IF(V393=TODAY(),"Hoy","")))</f>
        <v/>
      </c>
      <c r="X393" s="36" t="str">
        <f aca="false">IF(A393="","",IF(COUNTIF(Seguimiento!$B$2:$B$5001,A393)=0,"",_xlfn.MAXIFS(Seguimiento!$A$2:$A$5001,Seguimiento!$B$2:$B$5001,A393)))</f>
        <v/>
      </c>
      <c r="Y393" s="37" t="str">
        <f aca="true">IF(B393="","",TODAY()-B393)</f>
        <v/>
      </c>
      <c r="Z393" s="38" t="str">
        <f aca="false">IF(OR(O393="",G393=""),"",O393*IFERROR(INDEX(Listas!$B$2:$B$50,MATCH(G393,Listas!$A$2:$A$50,0)),0))</f>
        <v/>
      </c>
      <c r="AA393" s="32"/>
      <c r="AB393" s="32"/>
      <c r="AC393" s="32"/>
      <c r="AD393" s="35" t="str">
        <f aca="false">IF(OR(LEFT(H393,4)="Meta",LEFT(H393,6)="Google"),IF(AG393=3,"Lead calificado",IF(OR(AG393=4,AG393=5),"Tasación/visita",IF(OR(AG393=6,AG393=7),"Captación/oferta",IF(AG393=8,"Cierre","")))),"")</f>
        <v/>
      </c>
      <c r="AE393" s="32"/>
      <c r="AF393" s="32"/>
      <c r="AG393" s="37" t="n">
        <f aca="false">IF(R393="",0,IFERROR(MATCH(R393,Listas!$L$2:$L$50,0),0))</f>
        <v>0</v>
      </c>
    </row>
    <row r="394" customFormat="false" ht="15" hidden="false" customHeight="false" outlineLevel="0" collapsed="false">
      <c r="A394" s="30"/>
      <c r="B394" s="31"/>
      <c r="C394" s="32"/>
      <c r="D394" s="32"/>
      <c r="E394" s="33"/>
      <c r="F394" s="32"/>
      <c r="G394" s="32"/>
      <c r="H394" s="32"/>
      <c r="I394" s="32"/>
      <c r="J394" s="32"/>
      <c r="K394" s="32"/>
      <c r="L394" s="32"/>
      <c r="M394" s="30"/>
      <c r="N394" s="32"/>
      <c r="O394" s="34"/>
      <c r="P394" s="32"/>
      <c r="Q394" s="32"/>
      <c r="R394" s="32"/>
      <c r="S394" s="32"/>
      <c r="T394" s="32"/>
      <c r="U394" s="32"/>
      <c r="V394" s="31"/>
      <c r="W394" s="35" t="str">
        <f aca="true">IF(OR(V394="",AG394&gt;=8),"",IF(V394&lt;TODAY(),"Vencida",IF(V394=TODAY(),"Hoy","")))</f>
        <v/>
      </c>
      <c r="X394" s="36" t="str">
        <f aca="false">IF(A394="","",IF(COUNTIF(Seguimiento!$B$2:$B$5001,A394)=0,"",_xlfn.MAXIFS(Seguimiento!$A$2:$A$5001,Seguimiento!$B$2:$B$5001,A394)))</f>
        <v/>
      </c>
      <c r="Y394" s="37" t="str">
        <f aca="true">IF(B394="","",TODAY()-B394)</f>
        <v/>
      </c>
      <c r="Z394" s="38" t="str">
        <f aca="false">IF(OR(O394="",G394=""),"",O394*IFERROR(INDEX(Listas!$B$2:$B$50,MATCH(G394,Listas!$A$2:$A$50,0)),0))</f>
        <v/>
      </c>
      <c r="AA394" s="32"/>
      <c r="AB394" s="32"/>
      <c r="AC394" s="32"/>
      <c r="AD394" s="35" t="str">
        <f aca="false">IF(OR(LEFT(H394,4)="Meta",LEFT(H394,6)="Google"),IF(AG394=3,"Lead calificado",IF(OR(AG394=4,AG394=5),"Tasación/visita",IF(OR(AG394=6,AG394=7),"Captación/oferta",IF(AG394=8,"Cierre","")))),"")</f>
        <v/>
      </c>
      <c r="AE394" s="32"/>
      <c r="AF394" s="32"/>
      <c r="AG394" s="37" t="n">
        <f aca="false">IF(R394="",0,IFERROR(MATCH(R394,Listas!$L$2:$L$50,0),0))</f>
        <v>0</v>
      </c>
    </row>
    <row r="395" customFormat="false" ht="15" hidden="false" customHeight="false" outlineLevel="0" collapsed="false">
      <c r="A395" s="30"/>
      <c r="B395" s="31"/>
      <c r="C395" s="32"/>
      <c r="D395" s="32"/>
      <c r="E395" s="33"/>
      <c r="F395" s="32"/>
      <c r="G395" s="32"/>
      <c r="H395" s="32"/>
      <c r="I395" s="32"/>
      <c r="J395" s="32"/>
      <c r="K395" s="32"/>
      <c r="L395" s="32"/>
      <c r="M395" s="30"/>
      <c r="N395" s="32"/>
      <c r="O395" s="34"/>
      <c r="P395" s="32"/>
      <c r="Q395" s="32"/>
      <c r="R395" s="32"/>
      <c r="S395" s="32"/>
      <c r="T395" s="32"/>
      <c r="U395" s="32"/>
      <c r="V395" s="31"/>
      <c r="W395" s="35" t="str">
        <f aca="true">IF(OR(V395="",AG395&gt;=8),"",IF(V395&lt;TODAY(),"Vencida",IF(V395=TODAY(),"Hoy","")))</f>
        <v/>
      </c>
      <c r="X395" s="36" t="str">
        <f aca="false">IF(A395="","",IF(COUNTIF(Seguimiento!$B$2:$B$5001,A395)=0,"",_xlfn.MAXIFS(Seguimiento!$A$2:$A$5001,Seguimiento!$B$2:$B$5001,A395)))</f>
        <v/>
      </c>
      <c r="Y395" s="37" t="str">
        <f aca="true">IF(B395="","",TODAY()-B395)</f>
        <v/>
      </c>
      <c r="Z395" s="38" t="str">
        <f aca="false">IF(OR(O395="",G395=""),"",O395*IFERROR(INDEX(Listas!$B$2:$B$50,MATCH(G395,Listas!$A$2:$A$50,0)),0))</f>
        <v/>
      </c>
      <c r="AA395" s="32"/>
      <c r="AB395" s="32"/>
      <c r="AC395" s="32"/>
      <c r="AD395" s="35" t="str">
        <f aca="false">IF(OR(LEFT(H395,4)="Meta",LEFT(H395,6)="Google"),IF(AG395=3,"Lead calificado",IF(OR(AG395=4,AG395=5),"Tasación/visita",IF(OR(AG395=6,AG395=7),"Captación/oferta",IF(AG395=8,"Cierre","")))),"")</f>
        <v/>
      </c>
      <c r="AE395" s="32"/>
      <c r="AF395" s="32"/>
      <c r="AG395" s="37" t="n">
        <f aca="false">IF(R395="",0,IFERROR(MATCH(R395,Listas!$L$2:$L$50,0),0))</f>
        <v>0</v>
      </c>
    </row>
    <row r="396" customFormat="false" ht="15" hidden="false" customHeight="false" outlineLevel="0" collapsed="false">
      <c r="A396" s="30"/>
      <c r="B396" s="31"/>
      <c r="C396" s="32"/>
      <c r="D396" s="32"/>
      <c r="E396" s="33"/>
      <c r="F396" s="32"/>
      <c r="G396" s="32"/>
      <c r="H396" s="32"/>
      <c r="I396" s="32"/>
      <c r="J396" s="32"/>
      <c r="K396" s="32"/>
      <c r="L396" s="32"/>
      <c r="M396" s="30"/>
      <c r="N396" s="32"/>
      <c r="O396" s="34"/>
      <c r="P396" s="32"/>
      <c r="Q396" s="32"/>
      <c r="R396" s="32"/>
      <c r="S396" s="32"/>
      <c r="T396" s="32"/>
      <c r="U396" s="32"/>
      <c r="V396" s="31"/>
      <c r="W396" s="35" t="str">
        <f aca="true">IF(OR(V396="",AG396&gt;=8),"",IF(V396&lt;TODAY(),"Vencida",IF(V396=TODAY(),"Hoy","")))</f>
        <v/>
      </c>
      <c r="X396" s="36" t="str">
        <f aca="false">IF(A396="","",IF(COUNTIF(Seguimiento!$B$2:$B$5001,A396)=0,"",_xlfn.MAXIFS(Seguimiento!$A$2:$A$5001,Seguimiento!$B$2:$B$5001,A396)))</f>
        <v/>
      </c>
      <c r="Y396" s="37" t="str">
        <f aca="true">IF(B396="","",TODAY()-B396)</f>
        <v/>
      </c>
      <c r="Z396" s="38" t="str">
        <f aca="false">IF(OR(O396="",G396=""),"",O396*IFERROR(INDEX(Listas!$B$2:$B$50,MATCH(G396,Listas!$A$2:$A$50,0)),0))</f>
        <v/>
      </c>
      <c r="AA396" s="32"/>
      <c r="AB396" s="32"/>
      <c r="AC396" s="32"/>
      <c r="AD396" s="35" t="str">
        <f aca="false">IF(OR(LEFT(H396,4)="Meta",LEFT(H396,6)="Google"),IF(AG396=3,"Lead calificado",IF(OR(AG396=4,AG396=5),"Tasación/visita",IF(OR(AG396=6,AG396=7),"Captación/oferta",IF(AG396=8,"Cierre","")))),"")</f>
        <v/>
      </c>
      <c r="AE396" s="32"/>
      <c r="AF396" s="32"/>
      <c r="AG396" s="37" t="n">
        <f aca="false">IF(R396="",0,IFERROR(MATCH(R396,Listas!$L$2:$L$50,0),0))</f>
        <v>0</v>
      </c>
    </row>
    <row r="397" customFormat="false" ht="15" hidden="false" customHeight="false" outlineLevel="0" collapsed="false">
      <c r="A397" s="30"/>
      <c r="B397" s="31"/>
      <c r="C397" s="32"/>
      <c r="D397" s="32"/>
      <c r="E397" s="33"/>
      <c r="F397" s="32"/>
      <c r="G397" s="32"/>
      <c r="H397" s="32"/>
      <c r="I397" s="32"/>
      <c r="J397" s="32"/>
      <c r="K397" s="32"/>
      <c r="L397" s="32"/>
      <c r="M397" s="30"/>
      <c r="N397" s="32"/>
      <c r="O397" s="34"/>
      <c r="P397" s="32"/>
      <c r="Q397" s="32"/>
      <c r="R397" s="32"/>
      <c r="S397" s="32"/>
      <c r="T397" s="32"/>
      <c r="U397" s="32"/>
      <c r="V397" s="31"/>
      <c r="W397" s="35" t="str">
        <f aca="true">IF(OR(V397="",AG397&gt;=8),"",IF(V397&lt;TODAY(),"Vencida",IF(V397=TODAY(),"Hoy","")))</f>
        <v/>
      </c>
      <c r="X397" s="36" t="str">
        <f aca="false">IF(A397="","",IF(COUNTIF(Seguimiento!$B$2:$B$5001,A397)=0,"",_xlfn.MAXIFS(Seguimiento!$A$2:$A$5001,Seguimiento!$B$2:$B$5001,A397)))</f>
        <v/>
      </c>
      <c r="Y397" s="37" t="str">
        <f aca="true">IF(B397="","",TODAY()-B397)</f>
        <v/>
      </c>
      <c r="Z397" s="38" t="str">
        <f aca="false">IF(OR(O397="",G397=""),"",O397*IFERROR(INDEX(Listas!$B$2:$B$50,MATCH(G397,Listas!$A$2:$A$50,0)),0))</f>
        <v/>
      </c>
      <c r="AA397" s="32"/>
      <c r="AB397" s="32"/>
      <c r="AC397" s="32"/>
      <c r="AD397" s="35" t="str">
        <f aca="false">IF(OR(LEFT(H397,4)="Meta",LEFT(H397,6)="Google"),IF(AG397=3,"Lead calificado",IF(OR(AG397=4,AG397=5),"Tasación/visita",IF(OR(AG397=6,AG397=7),"Captación/oferta",IF(AG397=8,"Cierre","")))),"")</f>
        <v/>
      </c>
      <c r="AE397" s="32"/>
      <c r="AF397" s="32"/>
      <c r="AG397" s="37" t="n">
        <f aca="false">IF(R397="",0,IFERROR(MATCH(R397,Listas!$L$2:$L$50,0),0))</f>
        <v>0</v>
      </c>
    </row>
    <row r="398" customFormat="false" ht="15" hidden="false" customHeight="false" outlineLevel="0" collapsed="false">
      <c r="A398" s="30"/>
      <c r="B398" s="31"/>
      <c r="C398" s="32"/>
      <c r="D398" s="32"/>
      <c r="E398" s="33"/>
      <c r="F398" s="32"/>
      <c r="G398" s="32"/>
      <c r="H398" s="32"/>
      <c r="I398" s="32"/>
      <c r="J398" s="32"/>
      <c r="K398" s="32"/>
      <c r="L398" s="32"/>
      <c r="M398" s="30"/>
      <c r="N398" s="32"/>
      <c r="O398" s="34"/>
      <c r="P398" s="32"/>
      <c r="Q398" s="32"/>
      <c r="R398" s="32"/>
      <c r="S398" s="32"/>
      <c r="T398" s="32"/>
      <c r="U398" s="32"/>
      <c r="V398" s="31"/>
      <c r="W398" s="35" t="str">
        <f aca="true">IF(OR(V398="",AG398&gt;=8),"",IF(V398&lt;TODAY(),"Vencida",IF(V398=TODAY(),"Hoy","")))</f>
        <v/>
      </c>
      <c r="X398" s="36" t="str">
        <f aca="false">IF(A398="","",IF(COUNTIF(Seguimiento!$B$2:$B$5001,A398)=0,"",_xlfn.MAXIFS(Seguimiento!$A$2:$A$5001,Seguimiento!$B$2:$B$5001,A398)))</f>
        <v/>
      </c>
      <c r="Y398" s="37" t="str">
        <f aca="true">IF(B398="","",TODAY()-B398)</f>
        <v/>
      </c>
      <c r="Z398" s="38" t="str">
        <f aca="false">IF(OR(O398="",G398=""),"",O398*IFERROR(INDEX(Listas!$B$2:$B$50,MATCH(G398,Listas!$A$2:$A$50,0)),0))</f>
        <v/>
      </c>
      <c r="AA398" s="32"/>
      <c r="AB398" s="32"/>
      <c r="AC398" s="32"/>
      <c r="AD398" s="35" t="str">
        <f aca="false">IF(OR(LEFT(H398,4)="Meta",LEFT(H398,6)="Google"),IF(AG398=3,"Lead calificado",IF(OR(AG398=4,AG398=5),"Tasación/visita",IF(OR(AG398=6,AG398=7),"Captación/oferta",IF(AG398=8,"Cierre","")))),"")</f>
        <v/>
      </c>
      <c r="AE398" s="32"/>
      <c r="AF398" s="32"/>
      <c r="AG398" s="37" t="n">
        <f aca="false">IF(R398="",0,IFERROR(MATCH(R398,Listas!$L$2:$L$50,0),0))</f>
        <v>0</v>
      </c>
    </row>
    <row r="399" customFormat="false" ht="15" hidden="false" customHeight="false" outlineLevel="0" collapsed="false">
      <c r="A399" s="30"/>
      <c r="B399" s="31"/>
      <c r="C399" s="32"/>
      <c r="D399" s="32"/>
      <c r="E399" s="33"/>
      <c r="F399" s="32"/>
      <c r="G399" s="32"/>
      <c r="H399" s="32"/>
      <c r="I399" s="32"/>
      <c r="J399" s="32"/>
      <c r="K399" s="32"/>
      <c r="L399" s="32"/>
      <c r="M399" s="30"/>
      <c r="N399" s="32"/>
      <c r="O399" s="34"/>
      <c r="P399" s="32"/>
      <c r="Q399" s="32"/>
      <c r="R399" s="32"/>
      <c r="S399" s="32"/>
      <c r="T399" s="32"/>
      <c r="U399" s="32"/>
      <c r="V399" s="31"/>
      <c r="W399" s="35" t="str">
        <f aca="true">IF(OR(V399="",AG399&gt;=8),"",IF(V399&lt;TODAY(),"Vencida",IF(V399=TODAY(),"Hoy","")))</f>
        <v/>
      </c>
      <c r="X399" s="36" t="str">
        <f aca="false">IF(A399="","",IF(COUNTIF(Seguimiento!$B$2:$B$5001,A399)=0,"",_xlfn.MAXIFS(Seguimiento!$A$2:$A$5001,Seguimiento!$B$2:$B$5001,A399)))</f>
        <v/>
      </c>
      <c r="Y399" s="37" t="str">
        <f aca="true">IF(B399="","",TODAY()-B399)</f>
        <v/>
      </c>
      <c r="Z399" s="38" t="str">
        <f aca="false">IF(OR(O399="",G399=""),"",O399*IFERROR(INDEX(Listas!$B$2:$B$50,MATCH(G399,Listas!$A$2:$A$50,0)),0))</f>
        <v/>
      </c>
      <c r="AA399" s="32"/>
      <c r="AB399" s="32"/>
      <c r="AC399" s="32"/>
      <c r="AD399" s="35" t="str">
        <f aca="false">IF(OR(LEFT(H399,4)="Meta",LEFT(H399,6)="Google"),IF(AG399=3,"Lead calificado",IF(OR(AG399=4,AG399=5),"Tasación/visita",IF(OR(AG399=6,AG399=7),"Captación/oferta",IF(AG399=8,"Cierre","")))),"")</f>
        <v/>
      </c>
      <c r="AE399" s="32"/>
      <c r="AF399" s="32"/>
      <c r="AG399" s="37" t="n">
        <f aca="false">IF(R399="",0,IFERROR(MATCH(R399,Listas!$L$2:$L$50,0),0))</f>
        <v>0</v>
      </c>
    </row>
    <row r="400" customFormat="false" ht="15" hidden="false" customHeight="false" outlineLevel="0" collapsed="false">
      <c r="A400" s="30"/>
      <c r="B400" s="31"/>
      <c r="C400" s="32"/>
      <c r="D400" s="32"/>
      <c r="E400" s="33"/>
      <c r="F400" s="32"/>
      <c r="G400" s="32"/>
      <c r="H400" s="32"/>
      <c r="I400" s="32"/>
      <c r="J400" s="32"/>
      <c r="K400" s="32"/>
      <c r="L400" s="32"/>
      <c r="M400" s="30"/>
      <c r="N400" s="32"/>
      <c r="O400" s="34"/>
      <c r="P400" s="32"/>
      <c r="Q400" s="32"/>
      <c r="R400" s="32"/>
      <c r="S400" s="32"/>
      <c r="T400" s="32"/>
      <c r="U400" s="32"/>
      <c r="V400" s="31"/>
      <c r="W400" s="35" t="str">
        <f aca="true">IF(OR(V400="",AG400&gt;=8),"",IF(V400&lt;TODAY(),"Vencida",IF(V400=TODAY(),"Hoy","")))</f>
        <v/>
      </c>
      <c r="X400" s="36" t="str">
        <f aca="false">IF(A400="","",IF(COUNTIF(Seguimiento!$B$2:$B$5001,A400)=0,"",_xlfn.MAXIFS(Seguimiento!$A$2:$A$5001,Seguimiento!$B$2:$B$5001,A400)))</f>
        <v/>
      </c>
      <c r="Y400" s="37" t="str">
        <f aca="true">IF(B400="","",TODAY()-B400)</f>
        <v/>
      </c>
      <c r="Z400" s="38" t="str">
        <f aca="false">IF(OR(O400="",G400=""),"",O400*IFERROR(INDEX(Listas!$B$2:$B$50,MATCH(G400,Listas!$A$2:$A$50,0)),0))</f>
        <v/>
      </c>
      <c r="AA400" s="32"/>
      <c r="AB400" s="32"/>
      <c r="AC400" s="32"/>
      <c r="AD400" s="35" t="str">
        <f aca="false">IF(OR(LEFT(H400,4)="Meta",LEFT(H400,6)="Google"),IF(AG400=3,"Lead calificado",IF(OR(AG400=4,AG400=5),"Tasación/visita",IF(OR(AG400=6,AG400=7),"Captación/oferta",IF(AG400=8,"Cierre","")))),"")</f>
        <v/>
      </c>
      <c r="AE400" s="32"/>
      <c r="AF400" s="32"/>
      <c r="AG400" s="37" t="n">
        <f aca="false">IF(R400="",0,IFERROR(MATCH(R400,Listas!$L$2:$L$50,0),0))</f>
        <v>0</v>
      </c>
    </row>
    <row r="401" customFormat="false" ht="15" hidden="false" customHeight="false" outlineLevel="0" collapsed="false">
      <c r="A401" s="30"/>
      <c r="B401" s="31"/>
      <c r="C401" s="32"/>
      <c r="D401" s="32"/>
      <c r="E401" s="33"/>
      <c r="F401" s="32"/>
      <c r="G401" s="32"/>
      <c r="H401" s="32"/>
      <c r="I401" s="32"/>
      <c r="J401" s="32"/>
      <c r="K401" s="32"/>
      <c r="L401" s="32"/>
      <c r="M401" s="30"/>
      <c r="N401" s="32"/>
      <c r="O401" s="34"/>
      <c r="P401" s="32"/>
      <c r="Q401" s="32"/>
      <c r="R401" s="32"/>
      <c r="S401" s="32"/>
      <c r="T401" s="32"/>
      <c r="U401" s="32"/>
      <c r="V401" s="31"/>
      <c r="W401" s="35" t="str">
        <f aca="true">IF(OR(V401="",AG401&gt;=8),"",IF(V401&lt;TODAY(),"Vencida",IF(V401=TODAY(),"Hoy","")))</f>
        <v/>
      </c>
      <c r="X401" s="36" t="str">
        <f aca="false">IF(A401="","",IF(COUNTIF(Seguimiento!$B$2:$B$5001,A401)=0,"",_xlfn.MAXIFS(Seguimiento!$A$2:$A$5001,Seguimiento!$B$2:$B$5001,A401)))</f>
        <v/>
      </c>
      <c r="Y401" s="37" t="str">
        <f aca="true">IF(B401="","",TODAY()-B401)</f>
        <v/>
      </c>
      <c r="Z401" s="38" t="str">
        <f aca="false">IF(OR(O401="",G401=""),"",O401*IFERROR(INDEX(Listas!$B$2:$B$50,MATCH(G401,Listas!$A$2:$A$50,0)),0))</f>
        <v/>
      </c>
      <c r="AA401" s="32"/>
      <c r="AB401" s="32"/>
      <c r="AC401" s="32"/>
      <c r="AD401" s="35" t="str">
        <f aca="false">IF(OR(LEFT(H401,4)="Meta",LEFT(H401,6)="Google"),IF(AG401=3,"Lead calificado",IF(OR(AG401=4,AG401=5),"Tasación/visita",IF(OR(AG401=6,AG401=7),"Captación/oferta",IF(AG401=8,"Cierre","")))),"")</f>
        <v/>
      </c>
      <c r="AE401" s="32"/>
      <c r="AF401" s="32"/>
      <c r="AG401" s="37" t="n">
        <f aca="false">IF(R401="",0,IFERROR(MATCH(R401,Listas!$L$2:$L$50,0),0))</f>
        <v>0</v>
      </c>
    </row>
    <row r="402" customFormat="false" ht="15" hidden="false" customHeight="false" outlineLevel="0" collapsed="false">
      <c r="A402" s="30"/>
      <c r="B402" s="31"/>
      <c r="C402" s="32"/>
      <c r="D402" s="32"/>
      <c r="E402" s="33"/>
      <c r="F402" s="32"/>
      <c r="G402" s="32"/>
      <c r="H402" s="32"/>
      <c r="I402" s="32"/>
      <c r="J402" s="32"/>
      <c r="K402" s="32"/>
      <c r="L402" s="32"/>
      <c r="M402" s="30"/>
      <c r="N402" s="32"/>
      <c r="O402" s="34"/>
      <c r="P402" s="32"/>
      <c r="Q402" s="32"/>
      <c r="R402" s="32"/>
      <c r="S402" s="32"/>
      <c r="T402" s="32"/>
      <c r="U402" s="32"/>
      <c r="V402" s="31"/>
      <c r="W402" s="35" t="str">
        <f aca="true">IF(OR(V402="",AG402&gt;=8),"",IF(V402&lt;TODAY(),"Vencida",IF(V402=TODAY(),"Hoy","")))</f>
        <v/>
      </c>
      <c r="X402" s="36" t="str">
        <f aca="false">IF(A402="","",IF(COUNTIF(Seguimiento!$B$2:$B$5001,A402)=0,"",_xlfn.MAXIFS(Seguimiento!$A$2:$A$5001,Seguimiento!$B$2:$B$5001,A402)))</f>
        <v/>
      </c>
      <c r="Y402" s="37" t="str">
        <f aca="true">IF(B402="","",TODAY()-B402)</f>
        <v/>
      </c>
      <c r="Z402" s="38" t="str">
        <f aca="false">IF(OR(O402="",G402=""),"",O402*IFERROR(INDEX(Listas!$B$2:$B$50,MATCH(G402,Listas!$A$2:$A$50,0)),0))</f>
        <v/>
      </c>
      <c r="AA402" s="32"/>
      <c r="AB402" s="32"/>
      <c r="AC402" s="32"/>
      <c r="AD402" s="35" t="str">
        <f aca="false">IF(OR(LEFT(H402,4)="Meta",LEFT(H402,6)="Google"),IF(AG402=3,"Lead calificado",IF(OR(AG402=4,AG402=5),"Tasación/visita",IF(OR(AG402=6,AG402=7),"Captación/oferta",IF(AG402=8,"Cierre","")))),"")</f>
        <v/>
      </c>
      <c r="AE402" s="32"/>
      <c r="AF402" s="32"/>
      <c r="AG402" s="37" t="n">
        <f aca="false">IF(R402="",0,IFERROR(MATCH(R402,Listas!$L$2:$L$50,0),0))</f>
        <v>0</v>
      </c>
    </row>
    <row r="403" customFormat="false" ht="15" hidden="false" customHeight="false" outlineLevel="0" collapsed="false">
      <c r="A403" s="30"/>
      <c r="B403" s="31"/>
      <c r="C403" s="32"/>
      <c r="D403" s="32"/>
      <c r="E403" s="33"/>
      <c r="F403" s="32"/>
      <c r="G403" s="32"/>
      <c r="H403" s="32"/>
      <c r="I403" s="32"/>
      <c r="J403" s="32"/>
      <c r="K403" s="32"/>
      <c r="L403" s="32"/>
      <c r="M403" s="30"/>
      <c r="N403" s="32"/>
      <c r="O403" s="34"/>
      <c r="P403" s="32"/>
      <c r="Q403" s="32"/>
      <c r="R403" s="32"/>
      <c r="S403" s="32"/>
      <c r="T403" s="32"/>
      <c r="U403" s="32"/>
      <c r="V403" s="31"/>
      <c r="W403" s="35" t="str">
        <f aca="true">IF(OR(V403="",AG403&gt;=8),"",IF(V403&lt;TODAY(),"Vencida",IF(V403=TODAY(),"Hoy","")))</f>
        <v/>
      </c>
      <c r="X403" s="36" t="str">
        <f aca="false">IF(A403="","",IF(COUNTIF(Seguimiento!$B$2:$B$5001,A403)=0,"",_xlfn.MAXIFS(Seguimiento!$A$2:$A$5001,Seguimiento!$B$2:$B$5001,A403)))</f>
        <v/>
      </c>
      <c r="Y403" s="37" t="str">
        <f aca="true">IF(B403="","",TODAY()-B403)</f>
        <v/>
      </c>
      <c r="Z403" s="38" t="str">
        <f aca="false">IF(OR(O403="",G403=""),"",O403*IFERROR(INDEX(Listas!$B$2:$B$50,MATCH(G403,Listas!$A$2:$A$50,0)),0))</f>
        <v/>
      </c>
      <c r="AA403" s="32"/>
      <c r="AB403" s="32"/>
      <c r="AC403" s="32"/>
      <c r="AD403" s="35" t="str">
        <f aca="false">IF(OR(LEFT(H403,4)="Meta",LEFT(H403,6)="Google"),IF(AG403=3,"Lead calificado",IF(OR(AG403=4,AG403=5),"Tasación/visita",IF(OR(AG403=6,AG403=7),"Captación/oferta",IF(AG403=8,"Cierre","")))),"")</f>
        <v/>
      </c>
      <c r="AE403" s="32"/>
      <c r="AF403" s="32"/>
      <c r="AG403" s="37" t="n">
        <f aca="false">IF(R403="",0,IFERROR(MATCH(R403,Listas!$L$2:$L$50,0),0))</f>
        <v>0</v>
      </c>
    </row>
    <row r="404" customFormat="false" ht="15" hidden="false" customHeight="false" outlineLevel="0" collapsed="false">
      <c r="A404" s="30"/>
      <c r="B404" s="31"/>
      <c r="C404" s="32"/>
      <c r="D404" s="32"/>
      <c r="E404" s="33"/>
      <c r="F404" s="32"/>
      <c r="G404" s="32"/>
      <c r="H404" s="32"/>
      <c r="I404" s="32"/>
      <c r="J404" s="32"/>
      <c r="K404" s="32"/>
      <c r="L404" s="32"/>
      <c r="M404" s="30"/>
      <c r="N404" s="32"/>
      <c r="O404" s="34"/>
      <c r="P404" s="32"/>
      <c r="Q404" s="32"/>
      <c r="R404" s="32"/>
      <c r="S404" s="32"/>
      <c r="T404" s="32"/>
      <c r="U404" s="32"/>
      <c r="V404" s="31"/>
      <c r="W404" s="35" t="str">
        <f aca="true">IF(OR(V404="",AG404&gt;=8),"",IF(V404&lt;TODAY(),"Vencida",IF(V404=TODAY(),"Hoy","")))</f>
        <v/>
      </c>
      <c r="X404" s="36" t="str">
        <f aca="false">IF(A404="","",IF(COUNTIF(Seguimiento!$B$2:$B$5001,A404)=0,"",_xlfn.MAXIFS(Seguimiento!$A$2:$A$5001,Seguimiento!$B$2:$B$5001,A404)))</f>
        <v/>
      </c>
      <c r="Y404" s="37" t="str">
        <f aca="true">IF(B404="","",TODAY()-B404)</f>
        <v/>
      </c>
      <c r="Z404" s="38" t="str">
        <f aca="false">IF(OR(O404="",G404=""),"",O404*IFERROR(INDEX(Listas!$B$2:$B$50,MATCH(G404,Listas!$A$2:$A$50,0)),0))</f>
        <v/>
      </c>
      <c r="AA404" s="32"/>
      <c r="AB404" s="32"/>
      <c r="AC404" s="32"/>
      <c r="AD404" s="35" t="str">
        <f aca="false">IF(OR(LEFT(H404,4)="Meta",LEFT(H404,6)="Google"),IF(AG404=3,"Lead calificado",IF(OR(AG404=4,AG404=5),"Tasación/visita",IF(OR(AG404=6,AG404=7),"Captación/oferta",IF(AG404=8,"Cierre","")))),"")</f>
        <v/>
      </c>
      <c r="AE404" s="32"/>
      <c r="AF404" s="32"/>
      <c r="AG404" s="37" t="n">
        <f aca="false">IF(R404="",0,IFERROR(MATCH(R404,Listas!$L$2:$L$50,0),0))</f>
        <v>0</v>
      </c>
    </row>
    <row r="405" customFormat="false" ht="15" hidden="false" customHeight="false" outlineLevel="0" collapsed="false">
      <c r="A405" s="30"/>
      <c r="B405" s="31"/>
      <c r="C405" s="32"/>
      <c r="D405" s="32"/>
      <c r="E405" s="33"/>
      <c r="F405" s="32"/>
      <c r="G405" s="32"/>
      <c r="H405" s="32"/>
      <c r="I405" s="32"/>
      <c r="J405" s="32"/>
      <c r="K405" s="32"/>
      <c r="L405" s="32"/>
      <c r="M405" s="30"/>
      <c r="N405" s="32"/>
      <c r="O405" s="34"/>
      <c r="P405" s="32"/>
      <c r="Q405" s="32"/>
      <c r="R405" s="32"/>
      <c r="S405" s="32"/>
      <c r="T405" s="32"/>
      <c r="U405" s="32"/>
      <c r="V405" s="31"/>
      <c r="W405" s="35" t="str">
        <f aca="true">IF(OR(V405="",AG405&gt;=8),"",IF(V405&lt;TODAY(),"Vencida",IF(V405=TODAY(),"Hoy","")))</f>
        <v/>
      </c>
      <c r="X405" s="36" t="str">
        <f aca="false">IF(A405="","",IF(COUNTIF(Seguimiento!$B$2:$B$5001,A405)=0,"",_xlfn.MAXIFS(Seguimiento!$A$2:$A$5001,Seguimiento!$B$2:$B$5001,A405)))</f>
        <v/>
      </c>
      <c r="Y405" s="37" t="str">
        <f aca="true">IF(B405="","",TODAY()-B405)</f>
        <v/>
      </c>
      <c r="Z405" s="38" t="str">
        <f aca="false">IF(OR(O405="",G405=""),"",O405*IFERROR(INDEX(Listas!$B$2:$B$50,MATCH(G405,Listas!$A$2:$A$50,0)),0))</f>
        <v/>
      </c>
      <c r="AA405" s="32"/>
      <c r="AB405" s="32"/>
      <c r="AC405" s="32"/>
      <c r="AD405" s="35" t="str">
        <f aca="false">IF(OR(LEFT(H405,4)="Meta",LEFT(H405,6)="Google"),IF(AG405=3,"Lead calificado",IF(OR(AG405=4,AG405=5),"Tasación/visita",IF(OR(AG405=6,AG405=7),"Captación/oferta",IF(AG405=8,"Cierre","")))),"")</f>
        <v/>
      </c>
      <c r="AE405" s="32"/>
      <c r="AF405" s="32"/>
      <c r="AG405" s="37" t="n">
        <f aca="false">IF(R405="",0,IFERROR(MATCH(R405,Listas!$L$2:$L$50,0),0))</f>
        <v>0</v>
      </c>
    </row>
    <row r="406" customFormat="false" ht="15" hidden="false" customHeight="false" outlineLevel="0" collapsed="false">
      <c r="A406" s="30"/>
      <c r="B406" s="31"/>
      <c r="C406" s="32"/>
      <c r="D406" s="32"/>
      <c r="E406" s="33"/>
      <c r="F406" s="32"/>
      <c r="G406" s="32"/>
      <c r="H406" s="32"/>
      <c r="I406" s="32"/>
      <c r="J406" s="32"/>
      <c r="K406" s="32"/>
      <c r="L406" s="32"/>
      <c r="M406" s="30"/>
      <c r="N406" s="32"/>
      <c r="O406" s="34"/>
      <c r="P406" s="32"/>
      <c r="Q406" s="32"/>
      <c r="R406" s="32"/>
      <c r="S406" s="32"/>
      <c r="T406" s="32"/>
      <c r="U406" s="32"/>
      <c r="V406" s="31"/>
      <c r="W406" s="35" t="str">
        <f aca="true">IF(OR(V406="",AG406&gt;=8),"",IF(V406&lt;TODAY(),"Vencida",IF(V406=TODAY(),"Hoy","")))</f>
        <v/>
      </c>
      <c r="X406" s="36" t="str">
        <f aca="false">IF(A406="","",IF(COUNTIF(Seguimiento!$B$2:$B$5001,A406)=0,"",_xlfn.MAXIFS(Seguimiento!$A$2:$A$5001,Seguimiento!$B$2:$B$5001,A406)))</f>
        <v/>
      </c>
      <c r="Y406" s="37" t="str">
        <f aca="true">IF(B406="","",TODAY()-B406)</f>
        <v/>
      </c>
      <c r="Z406" s="38" t="str">
        <f aca="false">IF(OR(O406="",G406=""),"",O406*IFERROR(INDEX(Listas!$B$2:$B$50,MATCH(G406,Listas!$A$2:$A$50,0)),0))</f>
        <v/>
      </c>
      <c r="AA406" s="32"/>
      <c r="AB406" s="32"/>
      <c r="AC406" s="32"/>
      <c r="AD406" s="35" t="str">
        <f aca="false">IF(OR(LEFT(H406,4)="Meta",LEFT(H406,6)="Google"),IF(AG406=3,"Lead calificado",IF(OR(AG406=4,AG406=5),"Tasación/visita",IF(OR(AG406=6,AG406=7),"Captación/oferta",IF(AG406=8,"Cierre","")))),"")</f>
        <v/>
      </c>
      <c r="AE406" s="32"/>
      <c r="AF406" s="32"/>
      <c r="AG406" s="37" t="n">
        <f aca="false">IF(R406="",0,IFERROR(MATCH(R406,Listas!$L$2:$L$50,0),0))</f>
        <v>0</v>
      </c>
    </row>
    <row r="407" customFormat="false" ht="15" hidden="false" customHeight="false" outlineLevel="0" collapsed="false">
      <c r="A407" s="30"/>
      <c r="B407" s="31"/>
      <c r="C407" s="32"/>
      <c r="D407" s="32"/>
      <c r="E407" s="33"/>
      <c r="F407" s="32"/>
      <c r="G407" s="32"/>
      <c r="H407" s="32"/>
      <c r="I407" s="32"/>
      <c r="J407" s="32"/>
      <c r="K407" s="32"/>
      <c r="L407" s="32"/>
      <c r="M407" s="30"/>
      <c r="N407" s="32"/>
      <c r="O407" s="34"/>
      <c r="P407" s="32"/>
      <c r="Q407" s="32"/>
      <c r="R407" s="32"/>
      <c r="S407" s="32"/>
      <c r="T407" s="32"/>
      <c r="U407" s="32"/>
      <c r="V407" s="31"/>
      <c r="W407" s="35" t="str">
        <f aca="true">IF(OR(V407="",AG407&gt;=8),"",IF(V407&lt;TODAY(),"Vencida",IF(V407=TODAY(),"Hoy","")))</f>
        <v/>
      </c>
      <c r="X407" s="36" t="str">
        <f aca="false">IF(A407="","",IF(COUNTIF(Seguimiento!$B$2:$B$5001,A407)=0,"",_xlfn.MAXIFS(Seguimiento!$A$2:$A$5001,Seguimiento!$B$2:$B$5001,A407)))</f>
        <v/>
      </c>
      <c r="Y407" s="37" t="str">
        <f aca="true">IF(B407="","",TODAY()-B407)</f>
        <v/>
      </c>
      <c r="Z407" s="38" t="str">
        <f aca="false">IF(OR(O407="",G407=""),"",O407*IFERROR(INDEX(Listas!$B$2:$B$50,MATCH(G407,Listas!$A$2:$A$50,0)),0))</f>
        <v/>
      </c>
      <c r="AA407" s="32"/>
      <c r="AB407" s="32"/>
      <c r="AC407" s="32"/>
      <c r="AD407" s="35" t="str">
        <f aca="false">IF(OR(LEFT(H407,4)="Meta",LEFT(H407,6)="Google"),IF(AG407=3,"Lead calificado",IF(OR(AG407=4,AG407=5),"Tasación/visita",IF(OR(AG407=6,AG407=7),"Captación/oferta",IF(AG407=8,"Cierre","")))),"")</f>
        <v/>
      </c>
      <c r="AE407" s="32"/>
      <c r="AF407" s="32"/>
      <c r="AG407" s="37" t="n">
        <f aca="false">IF(R407="",0,IFERROR(MATCH(R407,Listas!$L$2:$L$50,0),0))</f>
        <v>0</v>
      </c>
    </row>
    <row r="408" customFormat="false" ht="15" hidden="false" customHeight="false" outlineLevel="0" collapsed="false">
      <c r="A408" s="30"/>
      <c r="B408" s="31"/>
      <c r="C408" s="32"/>
      <c r="D408" s="32"/>
      <c r="E408" s="33"/>
      <c r="F408" s="32"/>
      <c r="G408" s="32"/>
      <c r="H408" s="32"/>
      <c r="I408" s="32"/>
      <c r="J408" s="32"/>
      <c r="K408" s="32"/>
      <c r="L408" s="32"/>
      <c r="M408" s="30"/>
      <c r="N408" s="32"/>
      <c r="O408" s="34"/>
      <c r="P408" s="32"/>
      <c r="Q408" s="32"/>
      <c r="R408" s="32"/>
      <c r="S408" s="32"/>
      <c r="T408" s="32"/>
      <c r="U408" s="32"/>
      <c r="V408" s="31"/>
      <c r="W408" s="35" t="str">
        <f aca="true">IF(OR(V408="",AG408&gt;=8),"",IF(V408&lt;TODAY(),"Vencida",IF(V408=TODAY(),"Hoy","")))</f>
        <v/>
      </c>
      <c r="X408" s="36" t="str">
        <f aca="false">IF(A408="","",IF(COUNTIF(Seguimiento!$B$2:$B$5001,A408)=0,"",_xlfn.MAXIFS(Seguimiento!$A$2:$A$5001,Seguimiento!$B$2:$B$5001,A408)))</f>
        <v/>
      </c>
      <c r="Y408" s="37" t="str">
        <f aca="true">IF(B408="","",TODAY()-B408)</f>
        <v/>
      </c>
      <c r="Z408" s="38" t="str">
        <f aca="false">IF(OR(O408="",G408=""),"",O408*IFERROR(INDEX(Listas!$B$2:$B$50,MATCH(G408,Listas!$A$2:$A$50,0)),0))</f>
        <v/>
      </c>
      <c r="AA408" s="32"/>
      <c r="AB408" s="32"/>
      <c r="AC408" s="32"/>
      <c r="AD408" s="35" t="str">
        <f aca="false">IF(OR(LEFT(H408,4)="Meta",LEFT(H408,6)="Google"),IF(AG408=3,"Lead calificado",IF(OR(AG408=4,AG408=5),"Tasación/visita",IF(OR(AG408=6,AG408=7),"Captación/oferta",IF(AG408=8,"Cierre","")))),"")</f>
        <v/>
      </c>
      <c r="AE408" s="32"/>
      <c r="AF408" s="32"/>
      <c r="AG408" s="37" t="n">
        <f aca="false">IF(R408="",0,IFERROR(MATCH(R408,Listas!$L$2:$L$50,0),0))</f>
        <v>0</v>
      </c>
    </row>
    <row r="409" customFormat="false" ht="15" hidden="false" customHeight="false" outlineLevel="0" collapsed="false">
      <c r="A409" s="30"/>
      <c r="B409" s="31"/>
      <c r="C409" s="32"/>
      <c r="D409" s="32"/>
      <c r="E409" s="33"/>
      <c r="F409" s="32"/>
      <c r="G409" s="32"/>
      <c r="H409" s="32"/>
      <c r="I409" s="32"/>
      <c r="J409" s="32"/>
      <c r="K409" s="32"/>
      <c r="L409" s="32"/>
      <c r="M409" s="30"/>
      <c r="N409" s="32"/>
      <c r="O409" s="34"/>
      <c r="P409" s="32"/>
      <c r="Q409" s="32"/>
      <c r="R409" s="32"/>
      <c r="S409" s="32"/>
      <c r="T409" s="32"/>
      <c r="U409" s="32"/>
      <c r="V409" s="31"/>
      <c r="W409" s="35" t="str">
        <f aca="true">IF(OR(V409="",AG409&gt;=8),"",IF(V409&lt;TODAY(),"Vencida",IF(V409=TODAY(),"Hoy","")))</f>
        <v/>
      </c>
      <c r="X409" s="36" t="str">
        <f aca="false">IF(A409="","",IF(COUNTIF(Seguimiento!$B$2:$B$5001,A409)=0,"",_xlfn.MAXIFS(Seguimiento!$A$2:$A$5001,Seguimiento!$B$2:$B$5001,A409)))</f>
        <v/>
      </c>
      <c r="Y409" s="37" t="str">
        <f aca="true">IF(B409="","",TODAY()-B409)</f>
        <v/>
      </c>
      <c r="Z409" s="38" t="str">
        <f aca="false">IF(OR(O409="",G409=""),"",O409*IFERROR(INDEX(Listas!$B$2:$B$50,MATCH(G409,Listas!$A$2:$A$50,0)),0))</f>
        <v/>
      </c>
      <c r="AA409" s="32"/>
      <c r="AB409" s="32"/>
      <c r="AC409" s="32"/>
      <c r="AD409" s="35" t="str">
        <f aca="false">IF(OR(LEFT(H409,4)="Meta",LEFT(H409,6)="Google"),IF(AG409=3,"Lead calificado",IF(OR(AG409=4,AG409=5),"Tasación/visita",IF(OR(AG409=6,AG409=7),"Captación/oferta",IF(AG409=8,"Cierre","")))),"")</f>
        <v/>
      </c>
      <c r="AE409" s="32"/>
      <c r="AF409" s="32"/>
      <c r="AG409" s="37" t="n">
        <f aca="false">IF(R409="",0,IFERROR(MATCH(R409,Listas!$L$2:$L$50,0),0))</f>
        <v>0</v>
      </c>
    </row>
    <row r="410" customFormat="false" ht="15" hidden="false" customHeight="false" outlineLevel="0" collapsed="false">
      <c r="A410" s="30"/>
      <c r="B410" s="31"/>
      <c r="C410" s="32"/>
      <c r="D410" s="32"/>
      <c r="E410" s="33"/>
      <c r="F410" s="32"/>
      <c r="G410" s="32"/>
      <c r="H410" s="32"/>
      <c r="I410" s="32"/>
      <c r="J410" s="32"/>
      <c r="K410" s="32"/>
      <c r="L410" s="32"/>
      <c r="M410" s="30"/>
      <c r="N410" s="32"/>
      <c r="O410" s="34"/>
      <c r="P410" s="32"/>
      <c r="Q410" s="32"/>
      <c r="R410" s="32"/>
      <c r="S410" s="32"/>
      <c r="T410" s="32"/>
      <c r="U410" s="32"/>
      <c r="V410" s="31"/>
      <c r="W410" s="35" t="str">
        <f aca="true">IF(OR(V410="",AG410&gt;=8),"",IF(V410&lt;TODAY(),"Vencida",IF(V410=TODAY(),"Hoy","")))</f>
        <v/>
      </c>
      <c r="X410" s="36" t="str">
        <f aca="false">IF(A410="","",IF(COUNTIF(Seguimiento!$B$2:$B$5001,A410)=0,"",_xlfn.MAXIFS(Seguimiento!$A$2:$A$5001,Seguimiento!$B$2:$B$5001,A410)))</f>
        <v/>
      </c>
      <c r="Y410" s="37" t="str">
        <f aca="true">IF(B410="","",TODAY()-B410)</f>
        <v/>
      </c>
      <c r="Z410" s="38" t="str">
        <f aca="false">IF(OR(O410="",G410=""),"",O410*IFERROR(INDEX(Listas!$B$2:$B$50,MATCH(G410,Listas!$A$2:$A$50,0)),0))</f>
        <v/>
      </c>
      <c r="AA410" s="32"/>
      <c r="AB410" s="32"/>
      <c r="AC410" s="32"/>
      <c r="AD410" s="35" t="str">
        <f aca="false">IF(OR(LEFT(H410,4)="Meta",LEFT(H410,6)="Google"),IF(AG410=3,"Lead calificado",IF(OR(AG410=4,AG410=5),"Tasación/visita",IF(OR(AG410=6,AG410=7),"Captación/oferta",IF(AG410=8,"Cierre","")))),"")</f>
        <v/>
      </c>
      <c r="AE410" s="32"/>
      <c r="AF410" s="32"/>
      <c r="AG410" s="37" t="n">
        <f aca="false">IF(R410="",0,IFERROR(MATCH(R410,Listas!$L$2:$L$50,0),0))</f>
        <v>0</v>
      </c>
    </row>
    <row r="411" customFormat="false" ht="15" hidden="false" customHeight="false" outlineLevel="0" collapsed="false">
      <c r="A411" s="30"/>
      <c r="B411" s="31"/>
      <c r="C411" s="32"/>
      <c r="D411" s="32"/>
      <c r="E411" s="33"/>
      <c r="F411" s="32"/>
      <c r="G411" s="32"/>
      <c r="H411" s="32"/>
      <c r="I411" s="32"/>
      <c r="J411" s="32"/>
      <c r="K411" s="32"/>
      <c r="L411" s="32"/>
      <c r="M411" s="30"/>
      <c r="N411" s="32"/>
      <c r="O411" s="34"/>
      <c r="P411" s="32"/>
      <c r="Q411" s="32"/>
      <c r="R411" s="32"/>
      <c r="S411" s="32"/>
      <c r="T411" s="32"/>
      <c r="U411" s="32"/>
      <c r="V411" s="31"/>
      <c r="W411" s="35" t="str">
        <f aca="true">IF(OR(V411="",AG411&gt;=8),"",IF(V411&lt;TODAY(),"Vencida",IF(V411=TODAY(),"Hoy","")))</f>
        <v/>
      </c>
      <c r="X411" s="36" t="str">
        <f aca="false">IF(A411="","",IF(COUNTIF(Seguimiento!$B$2:$B$5001,A411)=0,"",_xlfn.MAXIFS(Seguimiento!$A$2:$A$5001,Seguimiento!$B$2:$B$5001,A411)))</f>
        <v/>
      </c>
      <c r="Y411" s="37" t="str">
        <f aca="true">IF(B411="","",TODAY()-B411)</f>
        <v/>
      </c>
      <c r="Z411" s="38" t="str">
        <f aca="false">IF(OR(O411="",G411=""),"",O411*IFERROR(INDEX(Listas!$B$2:$B$50,MATCH(G411,Listas!$A$2:$A$50,0)),0))</f>
        <v/>
      </c>
      <c r="AA411" s="32"/>
      <c r="AB411" s="32"/>
      <c r="AC411" s="32"/>
      <c r="AD411" s="35" t="str">
        <f aca="false">IF(OR(LEFT(H411,4)="Meta",LEFT(H411,6)="Google"),IF(AG411=3,"Lead calificado",IF(OR(AG411=4,AG411=5),"Tasación/visita",IF(OR(AG411=6,AG411=7),"Captación/oferta",IF(AG411=8,"Cierre","")))),"")</f>
        <v/>
      </c>
      <c r="AE411" s="32"/>
      <c r="AF411" s="32"/>
      <c r="AG411" s="37" t="n">
        <f aca="false">IF(R411="",0,IFERROR(MATCH(R411,Listas!$L$2:$L$50,0),0))</f>
        <v>0</v>
      </c>
    </row>
    <row r="412" customFormat="false" ht="15" hidden="false" customHeight="false" outlineLevel="0" collapsed="false">
      <c r="A412" s="30"/>
      <c r="B412" s="31"/>
      <c r="C412" s="32"/>
      <c r="D412" s="32"/>
      <c r="E412" s="33"/>
      <c r="F412" s="32"/>
      <c r="G412" s="32"/>
      <c r="H412" s="32"/>
      <c r="I412" s="32"/>
      <c r="J412" s="32"/>
      <c r="K412" s="32"/>
      <c r="L412" s="32"/>
      <c r="M412" s="30"/>
      <c r="N412" s="32"/>
      <c r="O412" s="34"/>
      <c r="P412" s="32"/>
      <c r="Q412" s="32"/>
      <c r="R412" s="32"/>
      <c r="S412" s="32"/>
      <c r="T412" s="32"/>
      <c r="U412" s="32"/>
      <c r="V412" s="31"/>
      <c r="W412" s="35" t="str">
        <f aca="true">IF(OR(V412="",AG412&gt;=8),"",IF(V412&lt;TODAY(),"Vencida",IF(V412=TODAY(),"Hoy","")))</f>
        <v/>
      </c>
      <c r="X412" s="36" t="str">
        <f aca="false">IF(A412="","",IF(COUNTIF(Seguimiento!$B$2:$B$5001,A412)=0,"",_xlfn.MAXIFS(Seguimiento!$A$2:$A$5001,Seguimiento!$B$2:$B$5001,A412)))</f>
        <v/>
      </c>
      <c r="Y412" s="37" t="str">
        <f aca="true">IF(B412="","",TODAY()-B412)</f>
        <v/>
      </c>
      <c r="Z412" s="38" t="str">
        <f aca="false">IF(OR(O412="",G412=""),"",O412*IFERROR(INDEX(Listas!$B$2:$B$50,MATCH(G412,Listas!$A$2:$A$50,0)),0))</f>
        <v/>
      </c>
      <c r="AA412" s="32"/>
      <c r="AB412" s="32"/>
      <c r="AC412" s="32"/>
      <c r="AD412" s="35" t="str">
        <f aca="false">IF(OR(LEFT(H412,4)="Meta",LEFT(H412,6)="Google"),IF(AG412=3,"Lead calificado",IF(OR(AG412=4,AG412=5),"Tasación/visita",IF(OR(AG412=6,AG412=7),"Captación/oferta",IF(AG412=8,"Cierre","")))),"")</f>
        <v/>
      </c>
      <c r="AE412" s="32"/>
      <c r="AF412" s="32"/>
      <c r="AG412" s="37" t="n">
        <f aca="false">IF(R412="",0,IFERROR(MATCH(R412,Listas!$L$2:$L$50,0),0))</f>
        <v>0</v>
      </c>
    </row>
    <row r="413" customFormat="false" ht="15" hidden="false" customHeight="false" outlineLevel="0" collapsed="false">
      <c r="A413" s="30"/>
      <c r="B413" s="31"/>
      <c r="C413" s="32"/>
      <c r="D413" s="32"/>
      <c r="E413" s="33"/>
      <c r="F413" s="32"/>
      <c r="G413" s="32"/>
      <c r="H413" s="32"/>
      <c r="I413" s="32"/>
      <c r="J413" s="32"/>
      <c r="K413" s="32"/>
      <c r="L413" s="32"/>
      <c r="M413" s="30"/>
      <c r="N413" s="32"/>
      <c r="O413" s="34"/>
      <c r="P413" s="32"/>
      <c r="Q413" s="32"/>
      <c r="R413" s="32"/>
      <c r="S413" s="32"/>
      <c r="T413" s="32"/>
      <c r="U413" s="32"/>
      <c r="V413" s="31"/>
      <c r="W413" s="35" t="str">
        <f aca="true">IF(OR(V413="",AG413&gt;=8),"",IF(V413&lt;TODAY(),"Vencida",IF(V413=TODAY(),"Hoy","")))</f>
        <v/>
      </c>
      <c r="X413" s="36" t="str">
        <f aca="false">IF(A413="","",IF(COUNTIF(Seguimiento!$B$2:$B$5001,A413)=0,"",_xlfn.MAXIFS(Seguimiento!$A$2:$A$5001,Seguimiento!$B$2:$B$5001,A413)))</f>
        <v/>
      </c>
      <c r="Y413" s="37" t="str">
        <f aca="true">IF(B413="","",TODAY()-B413)</f>
        <v/>
      </c>
      <c r="Z413" s="38" t="str">
        <f aca="false">IF(OR(O413="",G413=""),"",O413*IFERROR(INDEX(Listas!$B$2:$B$50,MATCH(G413,Listas!$A$2:$A$50,0)),0))</f>
        <v/>
      </c>
      <c r="AA413" s="32"/>
      <c r="AB413" s="32"/>
      <c r="AC413" s="32"/>
      <c r="AD413" s="35" t="str">
        <f aca="false">IF(OR(LEFT(H413,4)="Meta",LEFT(H413,6)="Google"),IF(AG413=3,"Lead calificado",IF(OR(AG413=4,AG413=5),"Tasación/visita",IF(OR(AG413=6,AG413=7),"Captación/oferta",IF(AG413=8,"Cierre","")))),"")</f>
        <v/>
      </c>
      <c r="AE413" s="32"/>
      <c r="AF413" s="32"/>
      <c r="AG413" s="37" t="n">
        <f aca="false">IF(R413="",0,IFERROR(MATCH(R413,Listas!$L$2:$L$50,0),0))</f>
        <v>0</v>
      </c>
    </row>
    <row r="414" customFormat="false" ht="15" hidden="false" customHeight="false" outlineLevel="0" collapsed="false">
      <c r="A414" s="30"/>
      <c r="B414" s="31"/>
      <c r="C414" s="32"/>
      <c r="D414" s="32"/>
      <c r="E414" s="33"/>
      <c r="F414" s="32"/>
      <c r="G414" s="32"/>
      <c r="H414" s="32"/>
      <c r="I414" s="32"/>
      <c r="J414" s="32"/>
      <c r="K414" s="32"/>
      <c r="L414" s="32"/>
      <c r="M414" s="30"/>
      <c r="N414" s="32"/>
      <c r="O414" s="34"/>
      <c r="P414" s="32"/>
      <c r="Q414" s="32"/>
      <c r="R414" s="32"/>
      <c r="S414" s="32"/>
      <c r="T414" s="32"/>
      <c r="U414" s="32"/>
      <c r="V414" s="31"/>
      <c r="W414" s="35" t="str">
        <f aca="true">IF(OR(V414="",AG414&gt;=8),"",IF(V414&lt;TODAY(),"Vencida",IF(V414=TODAY(),"Hoy","")))</f>
        <v/>
      </c>
      <c r="X414" s="36" t="str">
        <f aca="false">IF(A414="","",IF(COUNTIF(Seguimiento!$B$2:$B$5001,A414)=0,"",_xlfn.MAXIFS(Seguimiento!$A$2:$A$5001,Seguimiento!$B$2:$B$5001,A414)))</f>
        <v/>
      </c>
      <c r="Y414" s="37" t="str">
        <f aca="true">IF(B414="","",TODAY()-B414)</f>
        <v/>
      </c>
      <c r="Z414" s="38" t="str">
        <f aca="false">IF(OR(O414="",G414=""),"",O414*IFERROR(INDEX(Listas!$B$2:$B$50,MATCH(G414,Listas!$A$2:$A$50,0)),0))</f>
        <v/>
      </c>
      <c r="AA414" s="32"/>
      <c r="AB414" s="32"/>
      <c r="AC414" s="32"/>
      <c r="AD414" s="35" t="str">
        <f aca="false">IF(OR(LEFT(H414,4)="Meta",LEFT(H414,6)="Google"),IF(AG414=3,"Lead calificado",IF(OR(AG414=4,AG414=5),"Tasación/visita",IF(OR(AG414=6,AG414=7),"Captación/oferta",IF(AG414=8,"Cierre","")))),"")</f>
        <v/>
      </c>
      <c r="AE414" s="32"/>
      <c r="AF414" s="32"/>
      <c r="AG414" s="37" t="n">
        <f aca="false">IF(R414="",0,IFERROR(MATCH(R414,Listas!$L$2:$L$50,0),0))</f>
        <v>0</v>
      </c>
    </row>
    <row r="415" customFormat="false" ht="15" hidden="false" customHeight="false" outlineLevel="0" collapsed="false">
      <c r="A415" s="30"/>
      <c r="B415" s="31"/>
      <c r="C415" s="32"/>
      <c r="D415" s="32"/>
      <c r="E415" s="33"/>
      <c r="F415" s="32"/>
      <c r="G415" s="32"/>
      <c r="H415" s="32"/>
      <c r="I415" s="32"/>
      <c r="J415" s="32"/>
      <c r="K415" s="32"/>
      <c r="L415" s="32"/>
      <c r="M415" s="30"/>
      <c r="N415" s="32"/>
      <c r="O415" s="34"/>
      <c r="P415" s="32"/>
      <c r="Q415" s="32"/>
      <c r="R415" s="32"/>
      <c r="S415" s="32"/>
      <c r="T415" s="32"/>
      <c r="U415" s="32"/>
      <c r="V415" s="31"/>
      <c r="W415" s="35" t="str">
        <f aca="true">IF(OR(V415="",AG415&gt;=8),"",IF(V415&lt;TODAY(),"Vencida",IF(V415=TODAY(),"Hoy","")))</f>
        <v/>
      </c>
      <c r="X415" s="36" t="str">
        <f aca="false">IF(A415="","",IF(COUNTIF(Seguimiento!$B$2:$B$5001,A415)=0,"",_xlfn.MAXIFS(Seguimiento!$A$2:$A$5001,Seguimiento!$B$2:$B$5001,A415)))</f>
        <v/>
      </c>
      <c r="Y415" s="37" t="str">
        <f aca="true">IF(B415="","",TODAY()-B415)</f>
        <v/>
      </c>
      <c r="Z415" s="38" t="str">
        <f aca="false">IF(OR(O415="",G415=""),"",O415*IFERROR(INDEX(Listas!$B$2:$B$50,MATCH(G415,Listas!$A$2:$A$50,0)),0))</f>
        <v/>
      </c>
      <c r="AA415" s="32"/>
      <c r="AB415" s="32"/>
      <c r="AC415" s="32"/>
      <c r="AD415" s="35" t="str">
        <f aca="false">IF(OR(LEFT(H415,4)="Meta",LEFT(H415,6)="Google"),IF(AG415=3,"Lead calificado",IF(OR(AG415=4,AG415=5),"Tasación/visita",IF(OR(AG415=6,AG415=7),"Captación/oferta",IF(AG415=8,"Cierre","")))),"")</f>
        <v/>
      </c>
      <c r="AE415" s="32"/>
      <c r="AF415" s="32"/>
      <c r="AG415" s="37" t="n">
        <f aca="false">IF(R415="",0,IFERROR(MATCH(R415,Listas!$L$2:$L$50,0),0))</f>
        <v>0</v>
      </c>
    </row>
    <row r="416" customFormat="false" ht="15" hidden="false" customHeight="false" outlineLevel="0" collapsed="false">
      <c r="A416" s="30"/>
      <c r="B416" s="31"/>
      <c r="C416" s="32"/>
      <c r="D416" s="32"/>
      <c r="E416" s="33"/>
      <c r="F416" s="32"/>
      <c r="G416" s="32"/>
      <c r="H416" s="32"/>
      <c r="I416" s="32"/>
      <c r="J416" s="32"/>
      <c r="K416" s="32"/>
      <c r="L416" s="32"/>
      <c r="M416" s="30"/>
      <c r="N416" s="32"/>
      <c r="O416" s="34"/>
      <c r="P416" s="32"/>
      <c r="Q416" s="32"/>
      <c r="R416" s="32"/>
      <c r="S416" s="32"/>
      <c r="T416" s="32"/>
      <c r="U416" s="32"/>
      <c r="V416" s="31"/>
      <c r="W416" s="35" t="str">
        <f aca="true">IF(OR(V416="",AG416&gt;=8),"",IF(V416&lt;TODAY(),"Vencida",IF(V416=TODAY(),"Hoy","")))</f>
        <v/>
      </c>
      <c r="X416" s="36" t="str">
        <f aca="false">IF(A416="","",IF(COUNTIF(Seguimiento!$B$2:$B$5001,A416)=0,"",_xlfn.MAXIFS(Seguimiento!$A$2:$A$5001,Seguimiento!$B$2:$B$5001,A416)))</f>
        <v/>
      </c>
      <c r="Y416" s="37" t="str">
        <f aca="true">IF(B416="","",TODAY()-B416)</f>
        <v/>
      </c>
      <c r="Z416" s="38" t="str">
        <f aca="false">IF(OR(O416="",G416=""),"",O416*IFERROR(INDEX(Listas!$B$2:$B$50,MATCH(G416,Listas!$A$2:$A$50,0)),0))</f>
        <v/>
      </c>
      <c r="AA416" s="32"/>
      <c r="AB416" s="32"/>
      <c r="AC416" s="32"/>
      <c r="AD416" s="35" t="str">
        <f aca="false">IF(OR(LEFT(H416,4)="Meta",LEFT(H416,6)="Google"),IF(AG416=3,"Lead calificado",IF(OR(AG416=4,AG416=5),"Tasación/visita",IF(OR(AG416=6,AG416=7),"Captación/oferta",IF(AG416=8,"Cierre","")))),"")</f>
        <v/>
      </c>
      <c r="AE416" s="32"/>
      <c r="AF416" s="32"/>
      <c r="AG416" s="37" t="n">
        <f aca="false">IF(R416="",0,IFERROR(MATCH(R416,Listas!$L$2:$L$50,0),0))</f>
        <v>0</v>
      </c>
    </row>
    <row r="417" customFormat="false" ht="15" hidden="false" customHeight="false" outlineLevel="0" collapsed="false">
      <c r="A417" s="30"/>
      <c r="B417" s="31"/>
      <c r="C417" s="32"/>
      <c r="D417" s="32"/>
      <c r="E417" s="33"/>
      <c r="F417" s="32"/>
      <c r="G417" s="32"/>
      <c r="H417" s="32"/>
      <c r="I417" s="32"/>
      <c r="J417" s="32"/>
      <c r="K417" s="32"/>
      <c r="L417" s="32"/>
      <c r="M417" s="30"/>
      <c r="N417" s="32"/>
      <c r="O417" s="34"/>
      <c r="P417" s="32"/>
      <c r="Q417" s="32"/>
      <c r="R417" s="32"/>
      <c r="S417" s="32"/>
      <c r="T417" s="32"/>
      <c r="U417" s="32"/>
      <c r="V417" s="31"/>
      <c r="W417" s="35" t="str">
        <f aca="true">IF(OR(V417="",AG417&gt;=8),"",IF(V417&lt;TODAY(),"Vencida",IF(V417=TODAY(),"Hoy","")))</f>
        <v/>
      </c>
      <c r="X417" s="36" t="str">
        <f aca="false">IF(A417="","",IF(COUNTIF(Seguimiento!$B$2:$B$5001,A417)=0,"",_xlfn.MAXIFS(Seguimiento!$A$2:$A$5001,Seguimiento!$B$2:$B$5001,A417)))</f>
        <v/>
      </c>
      <c r="Y417" s="37" t="str">
        <f aca="true">IF(B417="","",TODAY()-B417)</f>
        <v/>
      </c>
      <c r="Z417" s="38" t="str">
        <f aca="false">IF(OR(O417="",G417=""),"",O417*IFERROR(INDEX(Listas!$B$2:$B$50,MATCH(G417,Listas!$A$2:$A$50,0)),0))</f>
        <v/>
      </c>
      <c r="AA417" s="32"/>
      <c r="AB417" s="32"/>
      <c r="AC417" s="32"/>
      <c r="AD417" s="35" t="str">
        <f aca="false">IF(OR(LEFT(H417,4)="Meta",LEFT(H417,6)="Google"),IF(AG417=3,"Lead calificado",IF(OR(AG417=4,AG417=5),"Tasación/visita",IF(OR(AG417=6,AG417=7),"Captación/oferta",IF(AG417=8,"Cierre","")))),"")</f>
        <v/>
      </c>
      <c r="AE417" s="32"/>
      <c r="AF417" s="32"/>
      <c r="AG417" s="37" t="n">
        <f aca="false">IF(R417="",0,IFERROR(MATCH(R417,Listas!$L$2:$L$50,0),0))</f>
        <v>0</v>
      </c>
    </row>
    <row r="418" customFormat="false" ht="15" hidden="false" customHeight="false" outlineLevel="0" collapsed="false">
      <c r="A418" s="30"/>
      <c r="B418" s="31"/>
      <c r="C418" s="32"/>
      <c r="D418" s="32"/>
      <c r="E418" s="33"/>
      <c r="F418" s="32"/>
      <c r="G418" s="32"/>
      <c r="H418" s="32"/>
      <c r="I418" s="32"/>
      <c r="J418" s="32"/>
      <c r="K418" s="32"/>
      <c r="L418" s="32"/>
      <c r="M418" s="30"/>
      <c r="N418" s="32"/>
      <c r="O418" s="34"/>
      <c r="P418" s="32"/>
      <c r="Q418" s="32"/>
      <c r="R418" s="32"/>
      <c r="S418" s="32"/>
      <c r="T418" s="32"/>
      <c r="U418" s="32"/>
      <c r="V418" s="31"/>
      <c r="W418" s="35" t="str">
        <f aca="true">IF(OR(V418="",AG418&gt;=8),"",IF(V418&lt;TODAY(),"Vencida",IF(V418=TODAY(),"Hoy","")))</f>
        <v/>
      </c>
      <c r="X418" s="36" t="str">
        <f aca="false">IF(A418="","",IF(COUNTIF(Seguimiento!$B$2:$B$5001,A418)=0,"",_xlfn.MAXIFS(Seguimiento!$A$2:$A$5001,Seguimiento!$B$2:$B$5001,A418)))</f>
        <v/>
      </c>
      <c r="Y418" s="37" t="str">
        <f aca="true">IF(B418="","",TODAY()-B418)</f>
        <v/>
      </c>
      <c r="Z418" s="38" t="str">
        <f aca="false">IF(OR(O418="",G418=""),"",O418*IFERROR(INDEX(Listas!$B$2:$B$50,MATCH(G418,Listas!$A$2:$A$50,0)),0))</f>
        <v/>
      </c>
      <c r="AA418" s="32"/>
      <c r="AB418" s="32"/>
      <c r="AC418" s="32"/>
      <c r="AD418" s="35" t="str">
        <f aca="false">IF(OR(LEFT(H418,4)="Meta",LEFT(H418,6)="Google"),IF(AG418=3,"Lead calificado",IF(OR(AG418=4,AG418=5),"Tasación/visita",IF(OR(AG418=6,AG418=7),"Captación/oferta",IF(AG418=8,"Cierre","")))),"")</f>
        <v/>
      </c>
      <c r="AE418" s="32"/>
      <c r="AF418" s="32"/>
      <c r="AG418" s="37" t="n">
        <f aca="false">IF(R418="",0,IFERROR(MATCH(R418,Listas!$L$2:$L$50,0),0))</f>
        <v>0</v>
      </c>
    </row>
    <row r="419" customFormat="false" ht="15" hidden="false" customHeight="false" outlineLevel="0" collapsed="false">
      <c r="A419" s="30"/>
      <c r="B419" s="31"/>
      <c r="C419" s="32"/>
      <c r="D419" s="32"/>
      <c r="E419" s="33"/>
      <c r="F419" s="32"/>
      <c r="G419" s="32"/>
      <c r="H419" s="32"/>
      <c r="I419" s="32"/>
      <c r="J419" s="32"/>
      <c r="K419" s="32"/>
      <c r="L419" s="32"/>
      <c r="M419" s="30"/>
      <c r="N419" s="32"/>
      <c r="O419" s="34"/>
      <c r="P419" s="32"/>
      <c r="Q419" s="32"/>
      <c r="R419" s="32"/>
      <c r="S419" s="32"/>
      <c r="T419" s="32"/>
      <c r="U419" s="32"/>
      <c r="V419" s="31"/>
      <c r="W419" s="35" t="str">
        <f aca="true">IF(OR(V419="",AG419&gt;=8),"",IF(V419&lt;TODAY(),"Vencida",IF(V419=TODAY(),"Hoy","")))</f>
        <v/>
      </c>
      <c r="X419" s="36" t="str">
        <f aca="false">IF(A419="","",IF(COUNTIF(Seguimiento!$B$2:$B$5001,A419)=0,"",_xlfn.MAXIFS(Seguimiento!$A$2:$A$5001,Seguimiento!$B$2:$B$5001,A419)))</f>
        <v/>
      </c>
      <c r="Y419" s="37" t="str">
        <f aca="true">IF(B419="","",TODAY()-B419)</f>
        <v/>
      </c>
      <c r="Z419" s="38" t="str">
        <f aca="false">IF(OR(O419="",G419=""),"",O419*IFERROR(INDEX(Listas!$B$2:$B$50,MATCH(G419,Listas!$A$2:$A$50,0)),0))</f>
        <v/>
      </c>
      <c r="AA419" s="32"/>
      <c r="AB419" s="32"/>
      <c r="AC419" s="32"/>
      <c r="AD419" s="35" t="str">
        <f aca="false">IF(OR(LEFT(H419,4)="Meta",LEFT(H419,6)="Google"),IF(AG419=3,"Lead calificado",IF(OR(AG419=4,AG419=5),"Tasación/visita",IF(OR(AG419=6,AG419=7),"Captación/oferta",IF(AG419=8,"Cierre","")))),"")</f>
        <v/>
      </c>
      <c r="AE419" s="32"/>
      <c r="AF419" s="32"/>
      <c r="AG419" s="37" t="n">
        <f aca="false">IF(R419="",0,IFERROR(MATCH(R419,Listas!$L$2:$L$50,0),0))</f>
        <v>0</v>
      </c>
    </row>
    <row r="420" customFormat="false" ht="15" hidden="false" customHeight="false" outlineLevel="0" collapsed="false">
      <c r="A420" s="30"/>
      <c r="B420" s="31"/>
      <c r="C420" s="32"/>
      <c r="D420" s="32"/>
      <c r="E420" s="33"/>
      <c r="F420" s="32"/>
      <c r="G420" s="32"/>
      <c r="H420" s="32"/>
      <c r="I420" s="32"/>
      <c r="J420" s="32"/>
      <c r="K420" s="32"/>
      <c r="L420" s="32"/>
      <c r="M420" s="30"/>
      <c r="N420" s="32"/>
      <c r="O420" s="34"/>
      <c r="P420" s="32"/>
      <c r="Q420" s="32"/>
      <c r="R420" s="32"/>
      <c r="S420" s="32"/>
      <c r="T420" s="32"/>
      <c r="U420" s="32"/>
      <c r="V420" s="31"/>
      <c r="W420" s="35" t="str">
        <f aca="true">IF(OR(V420="",AG420&gt;=8),"",IF(V420&lt;TODAY(),"Vencida",IF(V420=TODAY(),"Hoy","")))</f>
        <v/>
      </c>
      <c r="X420" s="36" t="str">
        <f aca="false">IF(A420="","",IF(COUNTIF(Seguimiento!$B$2:$B$5001,A420)=0,"",_xlfn.MAXIFS(Seguimiento!$A$2:$A$5001,Seguimiento!$B$2:$B$5001,A420)))</f>
        <v/>
      </c>
      <c r="Y420" s="37" t="str">
        <f aca="true">IF(B420="","",TODAY()-B420)</f>
        <v/>
      </c>
      <c r="Z420" s="38" t="str">
        <f aca="false">IF(OR(O420="",G420=""),"",O420*IFERROR(INDEX(Listas!$B$2:$B$50,MATCH(G420,Listas!$A$2:$A$50,0)),0))</f>
        <v/>
      </c>
      <c r="AA420" s="32"/>
      <c r="AB420" s="32"/>
      <c r="AC420" s="32"/>
      <c r="AD420" s="35" t="str">
        <f aca="false">IF(OR(LEFT(H420,4)="Meta",LEFT(H420,6)="Google"),IF(AG420=3,"Lead calificado",IF(OR(AG420=4,AG420=5),"Tasación/visita",IF(OR(AG420=6,AG420=7),"Captación/oferta",IF(AG420=8,"Cierre","")))),"")</f>
        <v/>
      </c>
      <c r="AE420" s="32"/>
      <c r="AF420" s="32"/>
      <c r="AG420" s="37" t="n">
        <f aca="false">IF(R420="",0,IFERROR(MATCH(R420,Listas!$L$2:$L$50,0),0))</f>
        <v>0</v>
      </c>
    </row>
    <row r="421" customFormat="false" ht="15" hidden="false" customHeight="false" outlineLevel="0" collapsed="false">
      <c r="A421" s="30"/>
      <c r="B421" s="31"/>
      <c r="C421" s="32"/>
      <c r="D421" s="32"/>
      <c r="E421" s="33"/>
      <c r="F421" s="32"/>
      <c r="G421" s="32"/>
      <c r="H421" s="32"/>
      <c r="I421" s="32"/>
      <c r="J421" s="32"/>
      <c r="K421" s="32"/>
      <c r="L421" s="32"/>
      <c r="M421" s="30"/>
      <c r="N421" s="32"/>
      <c r="O421" s="34"/>
      <c r="P421" s="32"/>
      <c r="Q421" s="32"/>
      <c r="R421" s="32"/>
      <c r="S421" s="32"/>
      <c r="T421" s="32"/>
      <c r="U421" s="32"/>
      <c r="V421" s="31"/>
      <c r="W421" s="35" t="str">
        <f aca="true">IF(OR(V421="",AG421&gt;=8),"",IF(V421&lt;TODAY(),"Vencida",IF(V421=TODAY(),"Hoy","")))</f>
        <v/>
      </c>
      <c r="X421" s="36" t="str">
        <f aca="false">IF(A421="","",IF(COUNTIF(Seguimiento!$B$2:$B$5001,A421)=0,"",_xlfn.MAXIFS(Seguimiento!$A$2:$A$5001,Seguimiento!$B$2:$B$5001,A421)))</f>
        <v/>
      </c>
      <c r="Y421" s="37" t="str">
        <f aca="true">IF(B421="","",TODAY()-B421)</f>
        <v/>
      </c>
      <c r="Z421" s="38" t="str">
        <f aca="false">IF(OR(O421="",G421=""),"",O421*IFERROR(INDEX(Listas!$B$2:$B$50,MATCH(G421,Listas!$A$2:$A$50,0)),0))</f>
        <v/>
      </c>
      <c r="AA421" s="32"/>
      <c r="AB421" s="32"/>
      <c r="AC421" s="32"/>
      <c r="AD421" s="35" t="str">
        <f aca="false">IF(OR(LEFT(H421,4)="Meta",LEFT(H421,6)="Google"),IF(AG421=3,"Lead calificado",IF(OR(AG421=4,AG421=5),"Tasación/visita",IF(OR(AG421=6,AG421=7),"Captación/oferta",IF(AG421=8,"Cierre","")))),"")</f>
        <v/>
      </c>
      <c r="AE421" s="32"/>
      <c r="AF421" s="32"/>
      <c r="AG421" s="37" t="n">
        <f aca="false">IF(R421="",0,IFERROR(MATCH(R421,Listas!$L$2:$L$50,0),0))</f>
        <v>0</v>
      </c>
    </row>
    <row r="422" customFormat="false" ht="15" hidden="false" customHeight="false" outlineLevel="0" collapsed="false">
      <c r="A422" s="30"/>
      <c r="B422" s="31"/>
      <c r="C422" s="32"/>
      <c r="D422" s="32"/>
      <c r="E422" s="33"/>
      <c r="F422" s="32"/>
      <c r="G422" s="32"/>
      <c r="H422" s="32"/>
      <c r="I422" s="32"/>
      <c r="J422" s="32"/>
      <c r="K422" s="32"/>
      <c r="L422" s="32"/>
      <c r="M422" s="30"/>
      <c r="N422" s="32"/>
      <c r="O422" s="34"/>
      <c r="P422" s="32"/>
      <c r="Q422" s="32"/>
      <c r="R422" s="32"/>
      <c r="S422" s="32"/>
      <c r="T422" s="32"/>
      <c r="U422" s="32"/>
      <c r="V422" s="31"/>
      <c r="W422" s="35" t="str">
        <f aca="true">IF(OR(V422="",AG422&gt;=8),"",IF(V422&lt;TODAY(),"Vencida",IF(V422=TODAY(),"Hoy","")))</f>
        <v/>
      </c>
      <c r="X422" s="36" t="str">
        <f aca="false">IF(A422="","",IF(COUNTIF(Seguimiento!$B$2:$B$5001,A422)=0,"",_xlfn.MAXIFS(Seguimiento!$A$2:$A$5001,Seguimiento!$B$2:$B$5001,A422)))</f>
        <v/>
      </c>
      <c r="Y422" s="37" t="str">
        <f aca="true">IF(B422="","",TODAY()-B422)</f>
        <v/>
      </c>
      <c r="Z422" s="38" t="str">
        <f aca="false">IF(OR(O422="",G422=""),"",O422*IFERROR(INDEX(Listas!$B$2:$B$50,MATCH(G422,Listas!$A$2:$A$50,0)),0))</f>
        <v/>
      </c>
      <c r="AA422" s="32"/>
      <c r="AB422" s="32"/>
      <c r="AC422" s="32"/>
      <c r="AD422" s="35" t="str">
        <f aca="false">IF(OR(LEFT(H422,4)="Meta",LEFT(H422,6)="Google"),IF(AG422=3,"Lead calificado",IF(OR(AG422=4,AG422=5),"Tasación/visita",IF(OR(AG422=6,AG422=7),"Captación/oferta",IF(AG422=8,"Cierre","")))),"")</f>
        <v/>
      </c>
      <c r="AE422" s="32"/>
      <c r="AF422" s="32"/>
      <c r="AG422" s="37" t="n">
        <f aca="false">IF(R422="",0,IFERROR(MATCH(R422,Listas!$L$2:$L$50,0),0))</f>
        <v>0</v>
      </c>
    </row>
    <row r="423" customFormat="false" ht="15" hidden="false" customHeight="false" outlineLevel="0" collapsed="false">
      <c r="A423" s="30"/>
      <c r="B423" s="31"/>
      <c r="C423" s="32"/>
      <c r="D423" s="32"/>
      <c r="E423" s="33"/>
      <c r="F423" s="32"/>
      <c r="G423" s="32"/>
      <c r="H423" s="32"/>
      <c r="I423" s="32"/>
      <c r="J423" s="32"/>
      <c r="K423" s="32"/>
      <c r="L423" s="32"/>
      <c r="M423" s="30"/>
      <c r="N423" s="32"/>
      <c r="O423" s="34"/>
      <c r="P423" s="32"/>
      <c r="Q423" s="32"/>
      <c r="R423" s="32"/>
      <c r="S423" s="32"/>
      <c r="T423" s="32"/>
      <c r="U423" s="32"/>
      <c r="V423" s="31"/>
      <c r="W423" s="35" t="str">
        <f aca="true">IF(OR(V423="",AG423&gt;=8),"",IF(V423&lt;TODAY(),"Vencida",IF(V423=TODAY(),"Hoy","")))</f>
        <v/>
      </c>
      <c r="X423" s="36" t="str">
        <f aca="false">IF(A423="","",IF(COUNTIF(Seguimiento!$B$2:$B$5001,A423)=0,"",_xlfn.MAXIFS(Seguimiento!$A$2:$A$5001,Seguimiento!$B$2:$B$5001,A423)))</f>
        <v/>
      </c>
      <c r="Y423" s="37" t="str">
        <f aca="true">IF(B423="","",TODAY()-B423)</f>
        <v/>
      </c>
      <c r="Z423" s="38" t="str">
        <f aca="false">IF(OR(O423="",G423=""),"",O423*IFERROR(INDEX(Listas!$B$2:$B$50,MATCH(G423,Listas!$A$2:$A$50,0)),0))</f>
        <v/>
      </c>
      <c r="AA423" s="32"/>
      <c r="AB423" s="32"/>
      <c r="AC423" s="32"/>
      <c r="AD423" s="35" t="str">
        <f aca="false">IF(OR(LEFT(H423,4)="Meta",LEFT(H423,6)="Google"),IF(AG423=3,"Lead calificado",IF(OR(AG423=4,AG423=5),"Tasación/visita",IF(OR(AG423=6,AG423=7),"Captación/oferta",IF(AG423=8,"Cierre","")))),"")</f>
        <v/>
      </c>
      <c r="AE423" s="32"/>
      <c r="AF423" s="32"/>
      <c r="AG423" s="37" t="n">
        <f aca="false">IF(R423="",0,IFERROR(MATCH(R423,Listas!$L$2:$L$50,0),0))</f>
        <v>0</v>
      </c>
    </row>
    <row r="424" customFormat="false" ht="15" hidden="false" customHeight="false" outlineLevel="0" collapsed="false">
      <c r="A424" s="30"/>
      <c r="B424" s="31"/>
      <c r="C424" s="32"/>
      <c r="D424" s="32"/>
      <c r="E424" s="33"/>
      <c r="F424" s="32"/>
      <c r="G424" s="32"/>
      <c r="H424" s="32"/>
      <c r="I424" s="32"/>
      <c r="J424" s="32"/>
      <c r="K424" s="32"/>
      <c r="L424" s="32"/>
      <c r="M424" s="30"/>
      <c r="N424" s="32"/>
      <c r="O424" s="34"/>
      <c r="P424" s="32"/>
      <c r="Q424" s="32"/>
      <c r="R424" s="32"/>
      <c r="S424" s="32"/>
      <c r="T424" s="32"/>
      <c r="U424" s="32"/>
      <c r="V424" s="31"/>
      <c r="W424" s="35" t="str">
        <f aca="true">IF(OR(V424="",AG424&gt;=8),"",IF(V424&lt;TODAY(),"Vencida",IF(V424=TODAY(),"Hoy","")))</f>
        <v/>
      </c>
      <c r="X424" s="36" t="str">
        <f aca="false">IF(A424="","",IF(COUNTIF(Seguimiento!$B$2:$B$5001,A424)=0,"",_xlfn.MAXIFS(Seguimiento!$A$2:$A$5001,Seguimiento!$B$2:$B$5001,A424)))</f>
        <v/>
      </c>
      <c r="Y424" s="37" t="str">
        <f aca="true">IF(B424="","",TODAY()-B424)</f>
        <v/>
      </c>
      <c r="Z424" s="38" t="str">
        <f aca="false">IF(OR(O424="",G424=""),"",O424*IFERROR(INDEX(Listas!$B$2:$B$50,MATCH(G424,Listas!$A$2:$A$50,0)),0))</f>
        <v/>
      </c>
      <c r="AA424" s="32"/>
      <c r="AB424" s="32"/>
      <c r="AC424" s="32"/>
      <c r="AD424" s="35" t="str">
        <f aca="false">IF(OR(LEFT(H424,4)="Meta",LEFT(H424,6)="Google"),IF(AG424=3,"Lead calificado",IF(OR(AG424=4,AG424=5),"Tasación/visita",IF(OR(AG424=6,AG424=7),"Captación/oferta",IF(AG424=8,"Cierre","")))),"")</f>
        <v/>
      </c>
      <c r="AE424" s="32"/>
      <c r="AF424" s="32"/>
      <c r="AG424" s="37" t="n">
        <f aca="false">IF(R424="",0,IFERROR(MATCH(R424,Listas!$L$2:$L$50,0),0))</f>
        <v>0</v>
      </c>
    </row>
    <row r="425" customFormat="false" ht="15" hidden="false" customHeight="false" outlineLevel="0" collapsed="false">
      <c r="A425" s="30"/>
      <c r="B425" s="31"/>
      <c r="C425" s="32"/>
      <c r="D425" s="32"/>
      <c r="E425" s="33"/>
      <c r="F425" s="32"/>
      <c r="G425" s="32"/>
      <c r="H425" s="32"/>
      <c r="I425" s="32"/>
      <c r="J425" s="32"/>
      <c r="K425" s="32"/>
      <c r="L425" s="32"/>
      <c r="M425" s="30"/>
      <c r="N425" s="32"/>
      <c r="O425" s="34"/>
      <c r="P425" s="32"/>
      <c r="Q425" s="32"/>
      <c r="R425" s="32"/>
      <c r="S425" s="32"/>
      <c r="T425" s="32"/>
      <c r="U425" s="32"/>
      <c r="V425" s="31"/>
      <c r="W425" s="35" t="str">
        <f aca="true">IF(OR(V425="",AG425&gt;=8),"",IF(V425&lt;TODAY(),"Vencida",IF(V425=TODAY(),"Hoy","")))</f>
        <v/>
      </c>
      <c r="X425" s="36" t="str">
        <f aca="false">IF(A425="","",IF(COUNTIF(Seguimiento!$B$2:$B$5001,A425)=0,"",_xlfn.MAXIFS(Seguimiento!$A$2:$A$5001,Seguimiento!$B$2:$B$5001,A425)))</f>
        <v/>
      </c>
      <c r="Y425" s="37" t="str">
        <f aca="true">IF(B425="","",TODAY()-B425)</f>
        <v/>
      </c>
      <c r="Z425" s="38" t="str">
        <f aca="false">IF(OR(O425="",G425=""),"",O425*IFERROR(INDEX(Listas!$B$2:$B$50,MATCH(G425,Listas!$A$2:$A$50,0)),0))</f>
        <v/>
      </c>
      <c r="AA425" s="32"/>
      <c r="AB425" s="32"/>
      <c r="AC425" s="32"/>
      <c r="AD425" s="35" t="str">
        <f aca="false">IF(OR(LEFT(H425,4)="Meta",LEFT(H425,6)="Google"),IF(AG425=3,"Lead calificado",IF(OR(AG425=4,AG425=5),"Tasación/visita",IF(OR(AG425=6,AG425=7),"Captación/oferta",IF(AG425=8,"Cierre","")))),"")</f>
        <v/>
      </c>
      <c r="AE425" s="32"/>
      <c r="AF425" s="32"/>
      <c r="AG425" s="37" t="n">
        <f aca="false">IF(R425="",0,IFERROR(MATCH(R425,Listas!$L$2:$L$50,0),0))</f>
        <v>0</v>
      </c>
    </row>
    <row r="426" customFormat="false" ht="15" hidden="false" customHeight="false" outlineLevel="0" collapsed="false">
      <c r="A426" s="30"/>
      <c r="B426" s="31"/>
      <c r="C426" s="32"/>
      <c r="D426" s="32"/>
      <c r="E426" s="33"/>
      <c r="F426" s="32"/>
      <c r="G426" s="32"/>
      <c r="H426" s="32"/>
      <c r="I426" s="32"/>
      <c r="J426" s="32"/>
      <c r="K426" s="32"/>
      <c r="L426" s="32"/>
      <c r="M426" s="30"/>
      <c r="N426" s="32"/>
      <c r="O426" s="34"/>
      <c r="P426" s="32"/>
      <c r="Q426" s="32"/>
      <c r="R426" s="32"/>
      <c r="S426" s="32"/>
      <c r="T426" s="32"/>
      <c r="U426" s="32"/>
      <c r="V426" s="31"/>
      <c r="W426" s="35" t="str">
        <f aca="true">IF(OR(V426="",AG426&gt;=8),"",IF(V426&lt;TODAY(),"Vencida",IF(V426=TODAY(),"Hoy","")))</f>
        <v/>
      </c>
      <c r="X426" s="36" t="str">
        <f aca="false">IF(A426="","",IF(COUNTIF(Seguimiento!$B$2:$B$5001,A426)=0,"",_xlfn.MAXIFS(Seguimiento!$A$2:$A$5001,Seguimiento!$B$2:$B$5001,A426)))</f>
        <v/>
      </c>
      <c r="Y426" s="37" t="str">
        <f aca="true">IF(B426="","",TODAY()-B426)</f>
        <v/>
      </c>
      <c r="Z426" s="38" t="str">
        <f aca="false">IF(OR(O426="",G426=""),"",O426*IFERROR(INDEX(Listas!$B$2:$B$50,MATCH(G426,Listas!$A$2:$A$50,0)),0))</f>
        <v/>
      </c>
      <c r="AA426" s="32"/>
      <c r="AB426" s="32"/>
      <c r="AC426" s="32"/>
      <c r="AD426" s="35" t="str">
        <f aca="false">IF(OR(LEFT(H426,4)="Meta",LEFT(H426,6)="Google"),IF(AG426=3,"Lead calificado",IF(OR(AG426=4,AG426=5),"Tasación/visita",IF(OR(AG426=6,AG426=7),"Captación/oferta",IF(AG426=8,"Cierre","")))),"")</f>
        <v/>
      </c>
      <c r="AE426" s="32"/>
      <c r="AF426" s="32"/>
      <c r="AG426" s="37" t="n">
        <f aca="false">IF(R426="",0,IFERROR(MATCH(R426,Listas!$L$2:$L$50,0),0))</f>
        <v>0</v>
      </c>
    </row>
    <row r="427" customFormat="false" ht="15" hidden="false" customHeight="false" outlineLevel="0" collapsed="false">
      <c r="A427" s="30"/>
      <c r="B427" s="31"/>
      <c r="C427" s="32"/>
      <c r="D427" s="32"/>
      <c r="E427" s="33"/>
      <c r="F427" s="32"/>
      <c r="G427" s="32"/>
      <c r="H427" s="32"/>
      <c r="I427" s="32"/>
      <c r="J427" s="32"/>
      <c r="K427" s="32"/>
      <c r="L427" s="32"/>
      <c r="M427" s="30"/>
      <c r="N427" s="32"/>
      <c r="O427" s="34"/>
      <c r="P427" s="32"/>
      <c r="Q427" s="32"/>
      <c r="R427" s="32"/>
      <c r="S427" s="32"/>
      <c r="T427" s="32"/>
      <c r="U427" s="32"/>
      <c r="V427" s="31"/>
      <c r="W427" s="35" t="str">
        <f aca="true">IF(OR(V427="",AG427&gt;=8),"",IF(V427&lt;TODAY(),"Vencida",IF(V427=TODAY(),"Hoy","")))</f>
        <v/>
      </c>
      <c r="X427" s="36" t="str">
        <f aca="false">IF(A427="","",IF(COUNTIF(Seguimiento!$B$2:$B$5001,A427)=0,"",_xlfn.MAXIFS(Seguimiento!$A$2:$A$5001,Seguimiento!$B$2:$B$5001,A427)))</f>
        <v/>
      </c>
      <c r="Y427" s="37" t="str">
        <f aca="true">IF(B427="","",TODAY()-B427)</f>
        <v/>
      </c>
      <c r="Z427" s="38" t="str">
        <f aca="false">IF(OR(O427="",G427=""),"",O427*IFERROR(INDEX(Listas!$B$2:$B$50,MATCH(G427,Listas!$A$2:$A$50,0)),0))</f>
        <v/>
      </c>
      <c r="AA427" s="32"/>
      <c r="AB427" s="32"/>
      <c r="AC427" s="32"/>
      <c r="AD427" s="35" t="str">
        <f aca="false">IF(OR(LEFT(H427,4)="Meta",LEFT(H427,6)="Google"),IF(AG427=3,"Lead calificado",IF(OR(AG427=4,AG427=5),"Tasación/visita",IF(OR(AG427=6,AG427=7),"Captación/oferta",IF(AG427=8,"Cierre","")))),"")</f>
        <v/>
      </c>
      <c r="AE427" s="32"/>
      <c r="AF427" s="32"/>
      <c r="AG427" s="37" t="n">
        <f aca="false">IF(R427="",0,IFERROR(MATCH(R427,Listas!$L$2:$L$50,0),0))</f>
        <v>0</v>
      </c>
    </row>
    <row r="428" customFormat="false" ht="15" hidden="false" customHeight="false" outlineLevel="0" collapsed="false">
      <c r="A428" s="30"/>
      <c r="B428" s="31"/>
      <c r="C428" s="32"/>
      <c r="D428" s="32"/>
      <c r="E428" s="33"/>
      <c r="F428" s="32"/>
      <c r="G428" s="32"/>
      <c r="H428" s="32"/>
      <c r="I428" s="32"/>
      <c r="J428" s="32"/>
      <c r="K428" s="32"/>
      <c r="L428" s="32"/>
      <c r="M428" s="30"/>
      <c r="N428" s="32"/>
      <c r="O428" s="34"/>
      <c r="P428" s="32"/>
      <c r="Q428" s="32"/>
      <c r="R428" s="32"/>
      <c r="S428" s="32"/>
      <c r="T428" s="32"/>
      <c r="U428" s="32"/>
      <c r="V428" s="31"/>
      <c r="W428" s="35" t="str">
        <f aca="true">IF(OR(V428="",AG428&gt;=8),"",IF(V428&lt;TODAY(),"Vencida",IF(V428=TODAY(),"Hoy","")))</f>
        <v/>
      </c>
      <c r="X428" s="36" t="str">
        <f aca="false">IF(A428="","",IF(COUNTIF(Seguimiento!$B$2:$B$5001,A428)=0,"",_xlfn.MAXIFS(Seguimiento!$A$2:$A$5001,Seguimiento!$B$2:$B$5001,A428)))</f>
        <v/>
      </c>
      <c r="Y428" s="37" t="str">
        <f aca="true">IF(B428="","",TODAY()-B428)</f>
        <v/>
      </c>
      <c r="Z428" s="38" t="str">
        <f aca="false">IF(OR(O428="",G428=""),"",O428*IFERROR(INDEX(Listas!$B$2:$B$50,MATCH(G428,Listas!$A$2:$A$50,0)),0))</f>
        <v/>
      </c>
      <c r="AA428" s="32"/>
      <c r="AB428" s="32"/>
      <c r="AC428" s="32"/>
      <c r="AD428" s="35" t="str">
        <f aca="false">IF(OR(LEFT(H428,4)="Meta",LEFT(H428,6)="Google"),IF(AG428=3,"Lead calificado",IF(OR(AG428=4,AG428=5),"Tasación/visita",IF(OR(AG428=6,AG428=7),"Captación/oferta",IF(AG428=8,"Cierre","")))),"")</f>
        <v/>
      </c>
      <c r="AE428" s="32"/>
      <c r="AF428" s="32"/>
      <c r="AG428" s="37" t="n">
        <f aca="false">IF(R428="",0,IFERROR(MATCH(R428,Listas!$L$2:$L$50,0),0))</f>
        <v>0</v>
      </c>
    </row>
    <row r="429" customFormat="false" ht="15" hidden="false" customHeight="false" outlineLevel="0" collapsed="false">
      <c r="A429" s="30"/>
      <c r="B429" s="31"/>
      <c r="C429" s="32"/>
      <c r="D429" s="32"/>
      <c r="E429" s="33"/>
      <c r="F429" s="32"/>
      <c r="G429" s="32"/>
      <c r="H429" s="32"/>
      <c r="I429" s="32"/>
      <c r="J429" s="32"/>
      <c r="K429" s="32"/>
      <c r="L429" s="32"/>
      <c r="M429" s="30"/>
      <c r="N429" s="32"/>
      <c r="O429" s="34"/>
      <c r="P429" s="32"/>
      <c r="Q429" s="32"/>
      <c r="R429" s="32"/>
      <c r="S429" s="32"/>
      <c r="T429" s="32"/>
      <c r="U429" s="32"/>
      <c r="V429" s="31"/>
      <c r="W429" s="35" t="str">
        <f aca="true">IF(OR(V429="",AG429&gt;=8),"",IF(V429&lt;TODAY(),"Vencida",IF(V429=TODAY(),"Hoy","")))</f>
        <v/>
      </c>
      <c r="X429" s="36" t="str">
        <f aca="false">IF(A429="","",IF(COUNTIF(Seguimiento!$B$2:$B$5001,A429)=0,"",_xlfn.MAXIFS(Seguimiento!$A$2:$A$5001,Seguimiento!$B$2:$B$5001,A429)))</f>
        <v/>
      </c>
      <c r="Y429" s="37" t="str">
        <f aca="true">IF(B429="","",TODAY()-B429)</f>
        <v/>
      </c>
      <c r="Z429" s="38" t="str">
        <f aca="false">IF(OR(O429="",G429=""),"",O429*IFERROR(INDEX(Listas!$B$2:$B$50,MATCH(G429,Listas!$A$2:$A$50,0)),0))</f>
        <v/>
      </c>
      <c r="AA429" s="32"/>
      <c r="AB429" s="32"/>
      <c r="AC429" s="32"/>
      <c r="AD429" s="35" t="str">
        <f aca="false">IF(OR(LEFT(H429,4)="Meta",LEFT(H429,6)="Google"),IF(AG429=3,"Lead calificado",IF(OR(AG429=4,AG429=5),"Tasación/visita",IF(OR(AG429=6,AG429=7),"Captación/oferta",IF(AG429=8,"Cierre","")))),"")</f>
        <v/>
      </c>
      <c r="AE429" s="32"/>
      <c r="AF429" s="32"/>
      <c r="AG429" s="37" t="n">
        <f aca="false">IF(R429="",0,IFERROR(MATCH(R429,Listas!$L$2:$L$50,0),0))</f>
        <v>0</v>
      </c>
    </row>
    <row r="430" customFormat="false" ht="15" hidden="false" customHeight="false" outlineLevel="0" collapsed="false">
      <c r="A430" s="30"/>
      <c r="B430" s="31"/>
      <c r="C430" s="32"/>
      <c r="D430" s="32"/>
      <c r="E430" s="33"/>
      <c r="F430" s="32"/>
      <c r="G430" s="32"/>
      <c r="H430" s="32"/>
      <c r="I430" s="32"/>
      <c r="J430" s="32"/>
      <c r="K430" s="32"/>
      <c r="L430" s="32"/>
      <c r="M430" s="30"/>
      <c r="N430" s="32"/>
      <c r="O430" s="34"/>
      <c r="P430" s="32"/>
      <c r="Q430" s="32"/>
      <c r="R430" s="32"/>
      <c r="S430" s="32"/>
      <c r="T430" s="32"/>
      <c r="U430" s="32"/>
      <c r="V430" s="31"/>
      <c r="W430" s="35" t="str">
        <f aca="true">IF(OR(V430="",AG430&gt;=8),"",IF(V430&lt;TODAY(),"Vencida",IF(V430=TODAY(),"Hoy","")))</f>
        <v/>
      </c>
      <c r="X430" s="36" t="str">
        <f aca="false">IF(A430="","",IF(COUNTIF(Seguimiento!$B$2:$B$5001,A430)=0,"",_xlfn.MAXIFS(Seguimiento!$A$2:$A$5001,Seguimiento!$B$2:$B$5001,A430)))</f>
        <v/>
      </c>
      <c r="Y430" s="37" t="str">
        <f aca="true">IF(B430="","",TODAY()-B430)</f>
        <v/>
      </c>
      <c r="Z430" s="38" t="str">
        <f aca="false">IF(OR(O430="",G430=""),"",O430*IFERROR(INDEX(Listas!$B$2:$B$50,MATCH(G430,Listas!$A$2:$A$50,0)),0))</f>
        <v/>
      </c>
      <c r="AA430" s="32"/>
      <c r="AB430" s="32"/>
      <c r="AC430" s="32"/>
      <c r="AD430" s="35" t="str">
        <f aca="false">IF(OR(LEFT(H430,4)="Meta",LEFT(H430,6)="Google"),IF(AG430=3,"Lead calificado",IF(OR(AG430=4,AG430=5),"Tasación/visita",IF(OR(AG430=6,AG430=7),"Captación/oferta",IF(AG430=8,"Cierre","")))),"")</f>
        <v/>
      </c>
      <c r="AE430" s="32"/>
      <c r="AF430" s="32"/>
      <c r="AG430" s="37" t="n">
        <f aca="false">IF(R430="",0,IFERROR(MATCH(R430,Listas!$L$2:$L$50,0),0))</f>
        <v>0</v>
      </c>
    </row>
    <row r="431" customFormat="false" ht="15" hidden="false" customHeight="false" outlineLevel="0" collapsed="false">
      <c r="A431" s="30"/>
      <c r="B431" s="31"/>
      <c r="C431" s="32"/>
      <c r="D431" s="32"/>
      <c r="E431" s="33"/>
      <c r="F431" s="32"/>
      <c r="G431" s="32"/>
      <c r="H431" s="32"/>
      <c r="I431" s="32"/>
      <c r="J431" s="32"/>
      <c r="K431" s="32"/>
      <c r="L431" s="32"/>
      <c r="M431" s="30"/>
      <c r="N431" s="32"/>
      <c r="O431" s="34"/>
      <c r="P431" s="32"/>
      <c r="Q431" s="32"/>
      <c r="R431" s="32"/>
      <c r="S431" s="32"/>
      <c r="T431" s="32"/>
      <c r="U431" s="32"/>
      <c r="V431" s="31"/>
      <c r="W431" s="35" t="str">
        <f aca="true">IF(OR(V431="",AG431&gt;=8),"",IF(V431&lt;TODAY(),"Vencida",IF(V431=TODAY(),"Hoy","")))</f>
        <v/>
      </c>
      <c r="X431" s="36" t="str">
        <f aca="false">IF(A431="","",IF(COUNTIF(Seguimiento!$B$2:$B$5001,A431)=0,"",_xlfn.MAXIFS(Seguimiento!$A$2:$A$5001,Seguimiento!$B$2:$B$5001,A431)))</f>
        <v/>
      </c>
      <c r="Y431" s="37" t="str">
        <f aca="true">IF(B431="","",TODAY()-B431)</f>
        <v/>
      </c>
      <c r="Z431" s="38" t="str">
        <f aca="false">IF(OR(O431="",G431=""),"",O431*IFERROR(INDEX(Listas!$B$2:$B$50,MATCH(G431,Listas!$A$2:$A$50,0)),0))</f>
        <v/>
      </c>
      <c r="AA431" s="32"/>
      <c r="AB431" s="32"/>
      <c r="AC431" s="32"/>
      <c r="AD431" s="35" t="str">
        <f aca="false">IF(OR(LEFT(H431,4)="Meta",LEFT(H431,6)="Google"),IF(AG431=3,"Lead calificado",IF(OR(AG431=4,AG431=5),"Tasación/visita",IF(OR(AG431=6,AG431=7),"Captación/oferta",IF(AG431=8,"Cierre","")))),"")</f>
        <v/>
      </c>
      <c r="AE431" s="32"/>
      <c r="AF431" s="32"/>
      <c r="AG431" s="37" t="n">
        <f aca="false">IF(R431="",0,IFERROR(MATCH(R431,Listas!$L$2:$L$50,0),0))</f>
        <v>0</v>
      </c>
    </row>
    <row r="432" customFormat="false" ht="15" hidden="false" customHeight="false" outlineLevel="0" collapsed="false">
      <c r="A432" s="30"/>
      <c r="B432" s="31"/>
      <c r="C432" s="32"/>
      <c r="D432" s="32"/>
      <c r="E432" s="33"/>
      <c r="F432" s="32"/>
      <c r="G432" s="32"/>
      <c r="H432" s="32"/>
      <c r="I432" s="32"/>
      <c r="J432" s="32"/>
      <c r="K432" s="32"/>
      <c r="L432" s="32"/>
      <c r="M432" s="30"/>
      <c r="N432" s="32"/>
      <c r="O432" s="34"/>
      <c r="P432" s="32"/>
      <c r="Q432" s="32"/>
      <c r="R432" s="32"/>
      <c r="S432" s="32"/>
      <c r="T432" s="32"/>
      <c r="U432" s="32"/>
      <c r="V432" s="31"/>
      <c r="W432" s="35" t="str">
        <f aca="true">IF(OR(V432="",AG432&gt;=8),"",IF(V432&lt;TODAY(),"Vencida",IF(V432=TODAY(),"Hoy","")))</f>
        <v/>
      </c>
      <c r="X432" s="36" t="str">
        <f aca="false">IF(A432="","",IF(COUNTIF(Seguimiento!$B$2:$B$5001,A432)=0,"",_xlfn.MAXIFS(Seguimiento!$A$2:$A$5001,Seguimiento!$B$2:$B$5001,A432)))</f>
        <v/>
      </c>
      <c r="Y432" s="37" t="str">
        <f aca="true">IF(B432="","",TODAY()-B432)</f>
        <v/>
      </c>
      <c r="Z432" s="38" t="str">
        <f aca="false">IF(OR(O432="",G432=""),"",O432*IFERROR(INDEX(Listas!$B$2:$B$50,MATCH(G432,Listas!$A$2:$A$50,0)),0))</f>
        <v/>
      </c>
      <c r="AA432" s="32"/>
      <c r="AB432" s="32"/>
      <c r="AC432" s="32"/>
      <c r="AD432" s="35" t="str">
        <f aca="false">IF(OR(LEFT(H432,4)="Meta",LEFT(H432,6)="Google"),IF(AG432=3,"Lead calificado",IF(OR(AG432=4,AG432=5),"Tasación/visita",IF(OR(AG432=6,AG432=7),"Captación/oferta",IF(AG432=8,"Cierre","")))),"")</f>
        <v/>
      </c>
      <c r="AE432" s="32"/>
      <c r="AF432" s="32"/>
      <c r="AG432" s="37" t="n">
        <f aca="false">IF(R432="",0,IFERROR(MATCH(R432,Listas!$L$2:$L$50,0),0))</f>
        <v>0</v>
      </c>
    </row>
    <row r="433" customFormat="false" ht="15" hidden="false" customHeight="false" outlineLevel="0" collapsed="false">
      <c r="A433" s="30"/>
      <c r="B433" s="31"/>
      <c r="C433" s="32"/>
      <c r="D433" s="32"/>
      <c r="E433" s="33"/>
      <c r="F433" s="32"/>
      <c r="G433" s="32"/>
      <c r="H433" s="32"/>
      <c r="I433" s="32"/>
      <c r="J433" s="32"/>
      <c r="K433" s="32"/>
      <c r="L433" s="32"/>
      <c r="M433" s="30"/>
      <c r="N433" s="32"/>
      <c r="O433" s="34"/>
      <c r="P433" s="32"/>
      <c r="Q433" s="32"/>
      <c r="R433" s="32"/>
      <c r="S433" s="32"/>
      <c r="T433" s="32"/>
      <c r="U433" s="32"/>
      <c r="V433" s="31"/>
      <c r="W433" s="35" t="str">
        <f aca="true">IF(OR(V433="",AG433&gt;=8),"",IF(V433&lt;TODAY(),"Vencida",IF(V433=TODAY(),"Hoy","")))</f>
        <v/>
      </c>
      <c r="X433" s="36" t="str">
        <f aca="false">IF(A433="","",IF(COUNTIF(Seguimiento!$B$2:$B$5001,A433)=0,"",_xlfn.MAXIFS(Seguimiento!$A$2:$A$5001,Seguimiento!$B$2:$B$5001,A433)))</f>
        <v/>
      </c>
      <c r="Y433" s="37" t="str">
        <f aca="true">IF(B433="","",TODAY()-B433)</f>
        <v/>
      </c>
      <c r="Z433" s="38" t="str">
        <f aca="false">IF(OR(O433="",G433=""),"",O433*IFERROR(INDEX(Listas!$B$2:$B$50,MATCH(G433,Listas!$A$2:$A$50,0)),0))</f>
        <v/>
      </c>
      <c r="AA433" s="32"/>
      <c r="AB433" s="32"/>
      <c r="AC433" s="32"/>
      <c r="AD433" s="35" t="str">
        <f aca="false">IF(OR(LEFT(H433,4)="Meta",LEFT(H433,6)="Google"),IF(AG433=3,"Lead calificado",IF(OR(AG433=4,AG433=5),"Tasación/visita",IF(OR(AG433=6,AG433=7),"Captación/oferta",IF(AG433=8,"Cierre","")))),"")</f>
        <v/>
      </c>
      <c r="AE433" s="32"/>
      <c r="AF433" s="32"/>
      <c r="AG433" s="37" t="n">
        <f aca="false">IF(R433="",0,IFERROR(MATCH(R433,Listas!$L$2:$L$50,0),0))</f>
        <v>0</v>
      </c>
    </row>
    <row r="434" customFormat="false" ht="15" hidden="false" customHeight="false" outlineLevel="0" collapsed="false">
      <c r="A434" s="30"/>
      <c r="B434" s="31"/>
      <c r="C434" s="32"/>
      <c r="D434" s="32"/>
      <c r="E434" s="33"/>
      <c r="F434" s="32"/>
      <c r="G434" s="32"/>
      <c r="H434" s="32"/>
      <c r="I434" s="32"/>
      <c r="J434" s="32"/>
      <c r="K434" s="32"/>
      <c r="L434" s="32"/>
      <c r="M434" s="30"/>
      <c r="N434" s="32"/>
      <c r="O434" s="34"/>
      <c r="P434" s="32"/>
      <c r="Q434" s="32"/>
      <c r="R434" s="32"/>
      <c r="S434" s="32"/>
      <c r="T434" s="32"/>
      <c r="U434" s="32"/>
      <c r="V434" s="31"/>
      <c r="W434" s="35" t="str">
        <f aca="true">IF(OR(V434="",AG434&gt;=8),"",IF(V434&lt;TODAY(),"Vencida",IF(V434=TODAY(),"Hoy","")))</f>
        <v/>
      </c>
      <c r="X434" s="36" t="str">
        <f aca="false">IF(A434="","",IF(COUNTIF(Seguimiento!$B$2:$B$5001,A434)=0,"",_xlfn.MAXIFS(Seguimiento!$A$2:$A$5001,Seguimiento!$B$2:$B$5001,A434)))</f>
        <v/>
      </c>
      <c r="Y434" s="37" t="str">
        <f aca="true">IF(B434="","",TODAY()-B434)</f>
        <v/>
      </c>
      <c r="Z434" s="38" t="str">
        <f aca="false">IF(OR(O434="",G434=""),"",O434*IFERROR(INDEX(Listas!$B$2:$B$50,MATCH(G434,Listas!$A$2:$A$50,0)),0))</f>
        <v/>
      </c>
      <c r="AA434" s="32"/>
      <c r="AB434" s="32"/>
      <c r="AC434" s="32"/>
      <c r="AD434" s="35" t="str">
        <f aca="false">IF(OR(LEFT(H434,4)="Meta",LEFT(H434,6)="Google"),IF(AG434=3,"Lead calificado",IF(OR(AG434=4,AG434=5),"Tasación/visita",IF(OR(AG434=6,AG434=7),"Captación/oferta",IF(AG434=8,"Cierre","")))),"")</f>
        <v/>
      </c>
      <c r="AE434" s="32"/>
      <c r="AF434" s="32"/>
      <c r="AG434" s="37" t="n">
        <f aca="false">IF(R434="",0,IFERROR(MATCH(R434,Listas!$L$2:$L$50,0),0))</f>
        <v>0</v>
      </c>
    </row>
    <row r="435" customFormat="false" ht="15" hidden="false" customHeight="false" outlineLevel="0" collapsed="false">
      <c r="A435" s="30"/>
      <c r="B435" s="31"/>
      <c r="C435" s="32"/>
      <c r="D435" s="32"/>
      <c r="E435" s="33"/>
      <c r="F435" s="32"/>
      <c r="G435" s="32"/>
      <c r="H435" s="32"/>
      <c r="I435" s="32"/>
      <c r="J435" s="32"/>
      <c r="K435" s="32"/>
      <c r="L435" s="32"/>
      <c r="M435" s="30"/>
      <c r="N435" s="32"/>
      <c r="O435" s="34"/>
      <c r="P435" s="32"/>
      <c r="Q435" s="32"/>
      <c r="R435" s="32"/>
      <c r="S435" s="32"/>
      <c r="T435" s="32"/>
      <c r="U435" s="32"/>
      <c r="V435" s="31"/>
      <c r="W435" s="35" t="str">
        <f aca="true">IF(OR(V435="",AG435&gt;=8),"",IF(V435&lt;TODAY(),"Vencida",IF(V435=TODAY(),"Hoy","")))</f>
        <v/>
      </c>
      <c r="X435" s="36" t="str">
        <f aca="false">IF(A435="","",IF(COUNTIF(Seguimiento!$B$2:$B$5001,A435)=0,"",_xlfn.MAXIFS(Seguimiento!$A$2:$A$5001,Seguimiento!$B$2:$B$5001,A435)))</f>
        <v/>
      </c>
      <c r="Y435" s="37" t="str">
        <f aca="true">IF(B435="","",TODAY()-B435)</f>
        <v/>
      </c>
      <c r="Z435" s="38" t="str">
        <f aca="false">IF(OR(O435="",G435=""),"",O435*IFERROR(INDEX(Listas!$B$2:$B$50,MATCH(G435,Listas!$A$2:$A$50,0)),0))</f>
        <v/>
      </c>
      <c r="AA435" s="32"/>
      <c r="AB435" s="32"/>
      <c r="AC435" s="32"/>
      <c r="AD435" s="35" t="str">
        <f aca="false">IF(OR(LEFT(H435,4)="Meta",LEFT(H435,6)="Google"),IF(AG435=3,"Lead calificado",IF(OR(AG435=4,AG435=5),"Tasación/visita",IF(OR(AG435=6,AG435=7),"Captación/oferta",IF(AG435=8,"Cierre","")))),"")</f>
        <v/>
      </c>
      <c r="AE435" s="32"/>
      <c r="AF435" s="32"/>
      <c r="AG435" s="37" t="n">
        <f aca="false">IF(R435="",0,IFERROR(MATCH(R435,Listas!$L$2:$L$50,0),0))</f>
        <v>0</v>
      </c>
    </row>
    <row r="436" customFormat="false" ht="15" hidden="false" customHeight="false" outlineLevel="0" collapsed="false">
      <c r="A436" s="30"/>
      <c r="B436" s="31"/>
      <c r="C436" s="32"/>
      <c r="D436" s="32"/>
      <c r="E436" s="33"/>
      <c r="F436" s="32"/>
      <c r="G436" s="32"/>
      <c r="H436" s="32"/>
      <c r="I436" s="32"/>
      <c r="J436" s="32"/>
      <c r="K436" s="32"/>
      <c r="L436" s="32"/>
      <c r="M436" s="30"/>
      <c r="N436" s="32"/>
      <c r="O436" s="34"/>
      <c r="P436" s="32"/>
      <c r="Q436" s="32"/>
      <c r="R436" s="32"/>
      <c r="S436" s="32"/>
      <c r="T436" s="32"/>
      <c r="U436" s="32"/>
      <c r="V436" s="31"/>
      <c r="W436" s="35" t="str">
        <f aca="true">IF(OR(V436="",AG436&gt;=8),"",IF(V436&lt;TODAY(),"Vencida",IF(V436=TODAY(),"Hoy","")))</f>
        <v/>
      </c>
      <c r="X436" s="36" t="str">
        <f aca="false">IF(A436="","",IF(COUNTIF(Seguimiento!$B$2:$B$5001,A436)=0,"",_xlfn.MAXIFS(Seguimiento!$A$2:$A$5001,Seguimiento!$B$2:$B$5001,A436)))</f>
        <v/>
      </c>
      <c r="Y436" s="37" t="str">
        <f aca="true">IF(B436="","",TODAY()-B436)</f>
        <v/>
      </c>
      <c r="Z436" s="38" t="str">
        <f aca="false">IF(OR(O436="",G436=""),"",O436*IFERROR(INDEX(Listas!$B$2:$B$50,MATCH(G436,Listas!$A$2:$A$50,0)),0))</f>
        <v/>
      </c>
      <c r="AA436" s="32"/>
      <c r="AB436" s="32"/>
      <c r="AC436" s="32"/>
      <c r="AD436" s="35" t="str">
        <f aca="false">IF(OR(LEFT(H436,4)="Meta",LEFT(H436,6)="Google"),IF(AG436=3,"Lead calificado",IF(OR(AG436=4,AG436=5),"Tasación/visita",IF(OR(AG436=6,AG436=7),"Captación/oferta",IF(AG436=8,"Cierre","")))),"")</f>
        <v/>
      </c>
      <c r="AE436" s="32"/>
      <c r="AF436" s="32"/>
      <c r="AG436" s="37" t="n">
        <f aca="false">IF(R436="",0,IFERROR(MATCH(R436,Listas!$L$2:$L$50,0),0))</f>
        <v>0</v>
      </c>
    </row>
    <row r="437" customFormat="false" ht="15" hidden="false" customHeight="false" outlineLevel="0" collapsed="false">
      <c r="A437" s="30"/>
      <c r="B437" s="31"/>
      <c r="C437" s="32"/>
      <c r="D437" s="32"/>
      <c r="E437" s="33"/>
      <c r="F437" s="32"/>
      <c r="G437" s="32"/>
      <c r="H437" s="32"/>
      <c r="I437" s="32"/>
      <c r="J437" s="32"/>
      <c r="K437" s="32"/>
      <c r="L437" s="32"/>
      <c r="M437" s="30"/>
      <c r="N437" s="32"/>
      <c r="O437" s="34"/>
      <c r="P437" s="32"/>
      <c r="Q437" s="32"/>
      <c r="R437" s="32"/>
      <c r="S437" s="32"/>
      <c r="T437" s="32"/>
      <c r="U437" s="32"/>
      <c r="V437" s="31"/>
      <c r="W437" s="35" t="str">
        <f aca="true">IF(OR(V437="",AG437&gt;=8),"",IF(V437&lt;TODAY(),"Vencida",IF(V437=TODAY(),"Hoy","")))</f>
        <v/>
      </c>
      <c r="X437" s="36" t="str">
        <f aca="false">IF(A437="","",IF(COUNTIF(Seguimiento!$B$2:$B$5001,A437)=0,"",_xlfn.MAXIFS(Seguimiento!$A$2:$A$5001,Seguimiento!$B$2:$B$5001,A437)))</f>
        <v/>
      </c>
      <c r="Y437" s="37" t="str">
        <f aca="true">IF(B437="","",TODAY()-B437)</f>
        <v/>
      </c>
      <c r="Z437" s="38" t="str">
        <f aca="false">IF(OR(O437="",G437=""),"",O437*IFERROR(INDEX(Listas!$B$2:$B$50,MATCH(G437,Listas!$A$2:$A$50,0)),0))</f>
        <v/>
      </c>
      <c r="AA437" s="32"/>
      <c r="AB437" s="32"/>
      <c r="AC437" s="32"/>
      <c r="AD437" s="35" t="str">
        <f aca="false">IF(OR(LEFT(H437,4)="Meta",LEFT(H437,6)="Google"),IF(AG437=3,"Lead calificado",IF(OR(AG437=4,AG437=5),"Tasación/visita",IF(OR(AG437=6,AG437=7),"Captación/oferta",IF(AG437=8,"Cierre","")))),"")</f>
        <v/>
      </c>
      <c r="AE437" s="32"/>
      <c r="AF437" s="32"/>
      <c r="AG437" s="37" t="n">
        <f aca="false">IF(R437="",0,IFERROR(MATCH(R437,Listas!$L$2:$L$50,0),0))</f>
        <v>0</v>
      </c>
    </row>
    <row r="438" customFormat="false" ht="15" hidden="false" customHeight="false" outlineLevel="0" collapsed="false">
      <c r="A438" s="30"/>
      <c r="B438" s="31"/>
      <c r="C438" s="32"/>
      <c r="D438" s="32"/>
      <c r="E438" s="33"/>
      <c r="F438" s="32"/>
      <c r="G438" s="32"/>
      <c r="H438" s="32"/>
      <c r="I438" s="32"/>
      <c r="J438" s="32"/>
      <c r="K438" s="32"/>
      <c r="L438" s="32"/>
      <c r="M438" s="30"/>
      <c r="N438" s="32"/>
      <c r="O438" s="34"/>
      <c r="P438" s="32"/>
      <c r="Q438" s="32"/>
      <c r="R438" s="32"/>
      <c r="S438" s="32"/>
      <c r="T438" s="32"/>
      <c r="U438" s="32"/>
      <c r="V438" s="31"/>
      <c r="W438" s="35" t="str">
        <f aca="true">IF(OR(V438="",AG438&gt;=8),"",IF(V438&lt;TODAY(),"Vencida",IF(V438=TODAY(),"Hoy","")))</f>
        <v/>
      </c>
      <c r="X438" s="36" t="str">
        <f aca="false">IF(A438="","",IF(COUNTIF(Seguimiento!$B$2:$B$5001,A438)=0,"",_xlfn.MAXIFS(Seguimiento!$A$2:$A$5001,Seguimiento!$B$2:$B$5001,A438)))</f>
        <v/>
      </c>
      <c r="Y438" s="37" t="str">
        <f aca="true">IF(B438="","",TODAY()-B438)</f>
        <v/>
      </c>
      <c r="Z438" s="38" t="str">
        <f aca="false">IF(OR(O438="",G438=""),"",O438*IFERROR(INDEX(Listas!$B$2:$B$50,MATCH(G438,Listas!$A$2:$A$50,0)),0))</f>
        <v/>
      </c>
      <c r="AA438" s="32"/>
      <c r="AB438" s="32"/>
      <c r="AC438" s="32"/>
      <c r="AD438" s="35" t="str">
        <f aca="false">IF(OR(LEFT(H438,4)="Meta",LEFT(H438,6)="Google"),IF(AG438=3,"Lead calificado",IF(OR(AG438=4,AG438=5),"Tasación/visita",IF(OR(AG438=6,AG438=7),"Captación/oferta",IF(AG438=8,"Cierre","")))),"")</f>
        <v/>
      </c>
      <c r="AE438" s="32"/>
      <c r="AF438" s="32"/>
      <c r="AG438" s="37" t="n">
        <f aca="false">IF(R438="",0,IFERROR(MATCH(R438,Listas!$L$2:$L$50,0),0))</f>
        <v>0</v>
      </c>
    </row>
    <row r="439" customFormat="false" ht="15" hidden="false" customHeight="false" outlineLevel="0" collapsed="false">
      <c r="A439" s="30"/>
      <c r="B439" s="31"/>
      <c r="C439" s="32"/>
      <c r="D439" s="32"/>
      <c r="E439" s="33"/>
      <c r="F439" s="32"/>
      <c r="G439" s="32"/>
      <c r="H439" s="32"/>
      <c r="I439" s="32"/>
      <c r="J439" s="32"/>
      <c r="K439" s="32"/>
      <c r="L439" s="32"/>
      <c r="M439" s="30"/>
      <c r="N439" s="32"/>
      <c r="O439" s="34"/>
      <c r="P439" s="32"/>
      <c r="Q439" s="32"/>
      <c r="R439" s="32"/>
      <c r="S439" s="32"/>
      <c r="T439" s="32"/>
      <c r="U439" s="32"/>
      <c r="V439" s="31"/>
      <c r="W439" s="35" t="str">
        <f aca="true">IF(OR(V439="",AG439&gt;=8),"",IF(V439&lt;TODAY(),"Vencida",IF(V439=TODAY(),"Hoy","")))</f>
        <v/>
      </c>
      <c r="X439" s="36" t="str">
        <f aca="false">IF(A439="","",IF(COUNTIF(Seguimiento!$B$2:$B$5001,A439)=0,"",_xlfn.MAXIFS(Seguimiento!$A$2:$A$5001,Seguimiento!$B$2:$B$5001,A439)))</f>
        <v/>
      </c>
      <c r="Y439" s="37" t="str">
        <f aca="true">IF(B439="","",TODAY()-B439)</f>
        <v/>
      </c>
      <c r="Z439" s="38" t="str">
        <f aca="false">IF(OR(O439="",G439=""),"",O439*IFERROR(INDEX(Listas!$B$2:$B$50,MATCH(G439,Listas!$A$2:$A$50,0)),0))</f>
        <v/>
      </c>
      <c r="AA439" s="32"/>
      <c r="AB439" s="32"/>
      <c r="AC439" s="32"/>
      <c r="AD439" s="35" t="str">
        <f aca="false">IF(OR(LEFT(H439,4)="Meta",LEFT(H439,6)="Google"),IF(AG439=3,"Lead calificado",IF(OR(AG439=4,AG439=5),"Tasación/visita",IF(OR(AG439=6,AG439=7),"Captación/oferta",IF(AG439=8,"Cierre","")))),"")</f>
        <v/>
      </c>
      <c r="AE439" s="32"/>
      <c r="AF439" s="32"/>
      <c r="AG439" s="37" t="n">
        <f aca="false">IF(R439="",0,IFERROR(MATCH(R439,Listas!$L$2:$L$50,0),0))</f>
        <v>0</v>
      </c>
    </row>
    <row r="440" customFormat="false" ht="15" hidden="false" customHeight="false" outlineLevel="0" collapsed="false">
      <c r="A440" s="30"/>
      <c r="B440" s="31"/>
      <c r="C440" s="32"/>
      <c r="D440" s="32"/>
      <c r="E440" s="33"/>
      <c r="F440" s="32"/>
      <c r="G440" s="32"/>
      <c r="H440" s="32"/>
      <c r="I440" s="32"/>
      <c r="J440" s="32"/>
      <c r="K440" s="32"/>
      <c r="L440" s="32"/>
      <c r="M440" s="30"/>
      <c r="N440" s="32"/>
      <c r="O440" s="34"/>
      <c r="P440" s="32"/>
      <c r="Q440" s="32"/>
      <c r="R440" s="32"/>
      <c r="S440" s="32"/>
      <c r="T440" s="32"/>
      <c r="U440" s="32"/>
      <c r="V440" s="31"/>
      <c r="W440" s="35" t="str">
        <f aca="true">IF(OR(V440="",AG440&gt;=8),"",IF(V440&lt;TODAY(),"Vencida",IF(V440=TODAY(),"Hoy","")))</f>
        <v/>
      </c>
      <c r="X440" s="36" t="str">
        <f aca="false">IF(A440="","",IF(COUNTIF(Seguimiento!$B$2:$B$5001,A440)=0,"",_xlfn.MAXIFS(Seguimiento!$A$2:$A$5001,Seguimiento!$B$2:$B$5001,A440)))</f>
        <v/>
      </c>
      <c r="Y440" s="37" t="str">
        <f aca="true">IF(B440="","",TODAY()-B440)</f>
        <v/>
      </c>
      <c r="Z440" s="38" t="str">
        <f aca="false">IF(OR(O440="",G440=""),"",O440*IFERROR(INDEX(Listas!$B$2:$B$50,MATCH(G440,Listas!$A$2:$A$50,0)),0))</f>
        <v/>
      </c>
      <c r="AA440" s="32"/>
      <c r="AB440" s="32"/>
      <c r="AC440" s="32"/>
      <c r="AD440" s="35" t="str">
        <f aca="false">IF(OR(LEFT(H440,4)="Meta",LEFT(H440,6)="Google"),IF(AG440=3,"Lead calificado",IF(OR(AG440=4,AG440=5),"Tasación/visita",IF(OR(AG440=6,AG440=7),"Captación/oferta",IF(AG440=8,"Cierre","")))),"")</f>
        <v/>
      </c>
      <c r="AE440" s="32"/>
      <c r="AF440" s="32"/>
      <c r="AG440" s="37" t="n">
        <f aca="false">IF(R440="",0,IFERROR(MATCH(R440,Listas!$L$2:$L$50,0),0))</f>
        <v>0</v>
      </c>
    </row>
    <row r="441" customFormat="false" ht="15" hidden="false" customHeight="false" outlineLevel="0" collapsed="false">
      <c r="A441" s="30"/>
      <c r="B441" s="31"/>
      <c r="C441" s="32"/>
      <c r="D441" s="32"/>
      <c r="E441" s="33"/>
      <c r="F441" s="32"/>
      <c r="G441" s="32"/>
      <c r="H441" s="32"/>
      <c r="I441" s="32"/>
      <c r="J441" s="32"/>
      <c r="K441" s="32"/>
      <c r="L441" s="32"/>
      <c r="M441" s="30"/>
      <c r="N441" s="32"/>
      <c r="O441" s="34"/>
      <c r="P441" s="32"/>
      <c r="Q441" s="32"/>
      <c r="R441" s="32"/>
      <c r="S441" s="32"/>
      <c r="T441" s="32"/>
      <c r="U441" s="32"/>
      <c r="V441" s="31"/>
      <c r="W441" s="35" t="str">
        <f aca="true">IF(OR(V441="",AG441&gt;=8),"",IF(V441&lt;TODAY(),"Vencida",IF(V441=TODAY(),"Hoy","")))</f>
        <v/>
      </c>
      <c r="X441" s="36" t="str">
        <f aca="false">IF(A441="","",IF(COUNTIF(Seguimiento!$B$2:$B$5001,A441)=0,"",_xlfn.MAXIFS(Seguimiento!$A$2:$A$5001,Seguimiento!$B$2:$B$5001,A441)))</f>
        <v/>
      </c>
      <c r="Y441" s="37" t="str">
        <f aca="true">IF(B441="","",TODAY()-B441)</f>
        <v/>
      </c>
      <c r="Z441" s="38" t="str">
        <f aca="false">IF(OR(O441="",G441=""),"",O441*IFERROR(INDEX(Listas!$B$2:$B$50,MATCH(G441,Listas!$A$2:$A$50,0)),0))</f>
        <v/>
      </c>
      <c r="AA441" s="32"/>
      <c r="AB441" s="32"/>
      <c r="AC441" s="32"/>
      <c r="AD441" s="35" t="str">
        <f aca="false">IF(OR(LEFT(H441,4)="Meta",LEFT(H441,6)="Google"),IF(AG441=3,"Lead calificado",IF(OR(AG441=4,AG441=5),"Tasación/visita",IF(OR(AG441=6,AG441=7),"Captación/oferta",IF(AG441=8,"Cierre","")))),"")</f>
        <v/>
      </c>
      <c r="AE441" s="32"/>
      <c r="AF441" s="32"/>
      <c r="AG441" s="37" t="n">
        <f aca="false">IF(R441="",0,IFERROR(MATCH(R441,Listas!$L$2:$L$50,0),0))</f>
        <v>0</v>
      </c>
    </row>
    <row r="442" customFormat="false" ht="15" hidden="false" customHeight="false" outlineLevel="0" collapsed="false">
      <c r="A442" s="30"/>
      <c r="B442" s="31"/>
      <c r="C442" s="32"/>
      <c r="D442" s="32"/>
      <c r="E442" s="33"/>
      <c r="F442" s="32"/>
      <c r="G442" s="32"/>
      <c r="H442" s="32"/>
      <c r="I442" s="32"/>
      <c r="J442" s="32"/>
      <c r="K442" s="32"/>
      <c r="L442" s="32"/>
      <c r="M442" s="30"/>
      <c r="N442" s="32"/>
      <c r="O442" s="34"/>
      <c r="P442" s="32"/>
      <c r="Q442" s="32"/>
      <c r="R442" s="32"/>
      <c r="S442" s="32"/>
      <c r="T442" s="32"/>
      <c r="U442" s="32"/>
      <c r="V442" s="31"/>
      <c r="W442" s="35" t="str">
        <f aca="true">IF(OR(V442="",AG442&gt;=8),"",IF(V442&lt;TODAY(),"Vencida",IF(V442=TODAY(),"Hoy","")))</f>
        <v/>
      </c>
      <c r="X442" s="36" t="str">
        <f aca="false">IF(A442="","",IF(COUNTIF(Seguimiento!$B$2:$B$5001,A442)=0,"",_xlfn.MAXIFS(Seguimiento!$A$2:$A$5001,Seguimiento!$B$2:$B$5001,A442)))</f>
        <v/>
      </c>
      <c r="Y442" s="37" t="str">
        <f aca="true">IF(B442="","",TODAY()-B442)</f>
        <v/>
      </c>
      <c r="Z442" s="38" t="str">
        <f aca="false">IF(OR(O442="",G442=""),"",O442*IFERROR(INDEX(Listas!$B$2:$B$50,MATCH(G442,Listas!$A$2:$A$50,0)),0))</f>
        <v/>
      </c>
      <c r="AA442" s="32"/>
      <c r="AB442" s="32"/>
      <c r="AC442" s="32"/>
      <c r="AD442" s="35" t="str">
        <f aca="false">IF(OR(LEFT(H442,4)="Meta",LEFT(H442,6)="Google"),IF(AG442=3,"Lead calificado",IF(OR(AG442=4,AG442=5),"Tasación/visita",IF(OR(AG442=6,AG442=7),"Captación/oferta",IF(AG442=8,"Cierre","")))),"")</f>
        <v/>
      </c>
      <c r="AE442" s="32"/>
      <c r="AF442" s="32"/>
      <c r="AG442" s="37" t="n">
        <f aca="false">IF(R442="",0,IFERROR(MATCH(R442,Listas!$L$2:$L$50,0),0))</f>
        <v>0</v>
      </c>
    </row>
    <row r="443" customFormat="false" ht="15" hidden="false" customHeight="false" outlineLevel="0" collapsed="false">
      <c r="A443" s="30"/>
      <c r="B443" s="31"/>
      <c r="C443" s="32"/>
      <c r="D443" s="32"/>
      <c r="E443" s="33"/>
      <c r="F443" s="32"/>
      <c r="G443" s="32"/>
      <c r="H443" s="32"/>
      <c r="I443" s="32"/>
      <c r="J443" s="32"/>
      <c r="K443" s="32"/>
      <c r="L443" s="32"/>
      <c r="M443" s="30"/>
      <c r="N443" s="32"/>
      <c r="O443" s="34"/>
      <c r="P443" s="32"/>
      <c r="Q443" s="32"/>
      <c r="R443" s="32"/>
      <c r="S443" s="32"/>
      <c r="T443" s="32"/>
      <c r="U443" s="32"/>
      <c r="V443" s="31"/>
      <c r="W443" s="35" t="str">
        <f aca="true">IF(OR(V443="",AG443&gt;=8),"",IF(V443&lt;TODAY(),"Vencida",IF(V443=TODAY(),"Hoy","")))</f>
        <v/>
      </c>
      <c r="X443" s="36" t="str">
        <f aca="false">IF(A443="","",IF(COUNTIF(Seguimiento!$B$2:$B$5001,A443)=0,"",_xlfn.MAXIFS(Seguimiento!$A$2:$A$5001,Seguimiento!$B$2:$B$5001,A443)))</f>
        <v/>
      </c>
      <c r="Y443" s="37" t="str">
        <f aca="true">IF(B443="","",TODAY()-B443)</f>
        <v/>
      </c>
      <c r="Z443" s="38" t="str">
        <f aca="false">IF(OR(O443="",G443=""),"",O443*IFERROR(INDEX(Listas!$B$2:$B$50,MATCH(G443,Listas!$A$2:$A$50,0)),0))</f>
        <v/>
      </c>
      <c r="AA443" s="32"/>
      <c r="AB443" s="32"/>
      <c r="AC443" s="32"/>
      <c r="AD443" s="35" t="str">
        <f aca="false">IF(OR(LEFT(H443,4)="Meta",LEFT(H443,6)="Google"),IF(AG443=3,"Lead calificado",IF(OR(AG443=4,AG443=5),"Tasación/visita",IF(OR(AG443=6,AG443=7),"Captación/oferta",IF(AG443=8,"Cierre","")))),"")</f>
        <v/>
      </c>
      <c r="AE443" s="32"/>
      <c r="AF443" s="32"/>
      <c r="AG443" s="37" t="n">
        <f aca="false">IF(R443="",0,IFERROR(MATCH(R443,Listas!$L$2:$L$50,0),0))</f>
        <v>0</v>
      </c>
    </row>
    <row r="444" customFormat="false" ht="15" hidden="false" customHeight="false" outlineLevel="0" collapsed="false">
      <c r="A444" s="30"/>
      <c r="B444" s="31"/>
      <c r="C444" s="32"/>
      <c r="D444" s="32"/>
      <c r="E444" s="33"/>
      <c r="F444" s="32"/>
      <c r="G444" s="32"/>
      <c r="H444" s="32"/>
      <c r="I444" s="32"/>
      <c r="J444" s="32"/>
      <c r="K444" s="32"/>
      <c r="L444" s="32"/>
      <c r="M444" s="30"/>
      <c r="N444" s="32"/>
      <c r="O444" s="34"/>
      <c r="P444" s="32"/>
      <c r="Q444" s="32"/>
      <c r="R444" s="32"/>
      <c r="S444" s="32"/>
      <c r="T444" s="32"/>
      <c r="U444" s="32"/>
      <c r="V444" s="31"/>
      <c r="W444" s="35" t="str">
        <f aca="true">IF(OR(V444="",AG444&gt;=8),"",IF(V444&lt;TODAY(),"Vencida",IF(V444=TODAY(),"Hoy","")))</f>
        <v/>
      </c>
      <c r="X444" s="36" t="str">
        <f aca="false">IF(A444="","",IF(COUNTIF(Seguimiento!$B$2:$B$5001,A444)=0,"",_xlfn.MAXIFS(Seguimiento!$A$2:$A$5001,Seguimiento!$B$2:$B$5001,A444)))</f>
        <v/>
      </c>
      <c r="Y444" s="37" t="str">
        <f aca="true">IF(B444="","",TODAY()-B444)</f>
        <v/>
      </c>
      <c r="Z444" s="38" t="str">
        <f aca="false">IF(OR(O444="",G444=""),"",O444*IFERROR(INDEX(Listas!$B$2:$B$50,MATCH(G444,Listas!$A$2:$A$50,0)),0))</f>
        <v/>
      </c>
      <c r="AA444" s="32"/>
      <c r="AB444" s="32"/>
      <c r="AC444" s="32"/>
      <c r="AD444" s="35" t="str">
        <f aca="false">IF(OR(LEFT(H444,4)="Meta",LEFT(H444,6)="Google"),IF(AG444=3,"Lead calificado",IF(OR(AG444=4,AG444=5),"Tasación/visita",IF(OR(AG444=6,AG444=7),"Captación/oferta",IF(AG444=8,"Cierre","")))),"")</f>
        <v/>
      </c>
      <c r="AE444" s="32"/>
      <c r="AF444" s="32"/>
      <c r="AG444" s="37" t="n">
        <f aca="false">IF(R444="",0,IFERROR(MATCH(R444,Listas!$L$2:$L$50,0),0))</f>
        <v>0</v>
      </c>
    </row>
    <row r="445" customFormat="false" ht="15" hidden="false" customHeight="false" outlineLevel="0" collapsed="false">
      <c r="A445" s="30"/>
      <c r="B445" s="31"/>
      <c r="C445" s="32"/>
      <c r="D445" s="32"/>
      <c r="E445" s="33"/>
      <c r="F445" s="32"/>
      <c r="G445" s="32"/>
      <c r="H445" s="32"/>
      <c r="I445" s="32"/>
      <c r="J445" s="32"/>
      <c r="K445" s="32"/>
      <c r="L445" s="32"/>
      <c r="M445" s="30"/>
      <c r="N445" s="32"/>
      <c r="O445" s="34"/>
      <c r="P445" s="32"/>
      <c r="Q445" s="32"/>
      <c r="R445" s="32"/>
      <c r="S445" s="32"/>
      <c r="T445" s="32"/>
      <c r="U445" s="32"/>
      <c r="V445" s="31"/>
      <c r="W445" s="35" t="str">
        <f aca="true">IF(OR(V445="",AG445&gt;=8),"",IF(V445&lt;TODAY(),"Vencida",IF(V445=TODAY(),"Hoy","")))</f>
        <v/>
      </c>
      <c r="X445" s="36" t="str">
        <f aca="false">IF(A445="","",IF(COUNTIF(Seguimiento!$B$2:$B$5001,A445)=0,"",_xlfn.MAXIFS(Seguimiento!$A$2:$A$5001,Seguimiento!$B$2:$B$5001,A445)))</f>
        <v/>
      </c>
      <c r="Y445" s="37" t="str">
        <f aca="true">IF(B445="","",TODAY()-B445)</f>
        <v/>
      </c>
      <c r="Z445" s="38" t="str">
        <f aca="false">IF(OR(O445="",G445=""),"",O445*IFERROR(INDEX(Listas!$B$2:$B$50,MATCH(G445,Listas!$A$2:$A$50,0)),0))</f>
        <v/>
      </c>
      <c r="AA445" s="32"/>
      <c r="AB445" s="32"/>
      <c r="AC445" s="32"/>
      <c r="AD445" s="35" t="str">
        <f aca="false">IF(OR(LEFT(H445,4)="Meta",LEFT(H445,6)="Google"),IF(AG445=3,"Lead calificado",IF(OR(AG445=4,AG445=5),"Tasación/visita",IF(OR(AG445=6,AG445=7),"Captación/oferta",IF(AG445=8,"Cierre","")))),"")</f>
        <v/>
      </c>
      <c r="AE445" s="32"/>
      <c r="AF445" s="32"/>
      <c r="AG445" s="37" t="n">
        <f aca="false">IF(R445="",0,IFERROR(MATCH(R445,Listas!$L$2:$L$50,0),0))</f>
        <v>0</v>
      </c>
    </row>
    <row r="446" customFormat="false" ht="15" hidden="false" customHeight="false" outlineLevel="0" collapsed="false">
      <c r="A446" s="30"/>
      <c r="B446" s="31"/>
      <c r="C446" s="32"/>
      <c r="D446" s="32"/>
      <c r="E446" s="33"/>
      <c r="F446" s="32"/>
      <c r="G446" s="32"/>
      <c r="H446" s="32"/>
      <c r="I446" s="32"/>
      <c r="J446" s="32"/>
      <c r="K446" s="32"/>
      <c r="L446" s="32"/>
      <c r="M446" s="30"/>
      <c r="N446" s="32"/>
      <c r="O446" s="34"/>
      <c r="P446" s="32"/>
      <c r="Q446" s="32"/>
      <c r="R446" s="32"/>
      <c r="S446" s="32"/>
      <c r="T446" s="32"/>
      <c r="U446" s="32"/>
      <c r="V446" s="31"/>
      <c r="W446" s="35" t="str">
        <f aca="true">IF(OR(V446="",AG446&gt;=8),"",IF(V446&lt;TODAY(),"Vencida",IF(V446=TODAY(),"Hoy","")))</f>
        <v/>
      </c>
      <c r="X446" s="36" t="str">
        <f aca="false">IF(A446="","",IF(COUNTIF(Seguimiento!$B$2:$B$5001,A446)=0,"",_xlfn.MAXIFS(Seguimiento!$A$2:$A$5001,Seguimiento!$B$2:$B$5001,A446)))</f>
        <v/>
      </c>
      <c r="Y446" s="37" t="str">
        <f aca="true">IF(B446="","",TODAY()-B446)</f>
        <v/>
      </c>
      <c r="Z446" s="38" t="str">
        <f aca="false">IF(OR(O446="",G446=""),"",O446*IFERROR(INDEX(Listas!$B$2:$B$50,MATCH(G446,Listas!$A$2:$A$50,0)),0))</f>
        <v/>
      </c>
      <c r="AA446" s="32"/>
      <c r="AB446" s="32"/>
      <c r="AC446" s="32"/>
      <c r="AD446" s="35" t="str">
        <f aca="false">IF(OR(LEFT(H446,4)="Meta",LEFT(H446,6)="Google"),IF(AG446=3,"Lead calificado",IF(OR(AG446=4,AG446=5),"Tasación/visita",IF(OR(AG446=6,AG446=7),"Captación/oferta",IF(AG446=8,"Cierre","")))),"")</f>
        <v/>
      </c>
      <c r="AE446" s="32"/>
      <c r="AF446" s="32"/>
      <c r="AG446" s="37" t="n">
        <f aca="false">IF(R446="",0,IFERROR(MATCH(R446,Listas!$L$2:$L$50,0),0))</f>
        <v>0</v>
      </c>
    </row>
    <row r="447" customFormat="false" ht="15" hidden="false" customHeight="false" outlineLevel="0" collapsed="false">
      <c r="A447" s="30"/>
      <c r="B447" s="31"/>
      <c r="C447" s="32"/>
      <c r="D447" s="32"/>
      <c r="E447" s="33"/>
      <c r="F447" s="32"/>
      <c r="G447" s="32"/>
      <c r="H447" s="32"/>
      <c r="I447" s="32"/>
      <c r="J447" s="32"/>
      <c r="K447" s="32"/>
      <c r="L447" s="32"/>
      <c r="M447" s="30"/>
      <c r="N447" s="32"/>
      <c r="O447" s="34"/>
      <c r="P447" s="32"/>
      <c r="Q447" s="32"/>
      <c r="R447" s="32"/>
      <c r="S447" s="32"/>
      <c r="T447" s="32"/>
      <c r="U447" s="32"/>
      <c r="V447" s="31"/>
      <c r="W447" s="35" t="str">
        <f aca="true">IF(OR(V447="",AG447&gt;=8),"",IF(V447&lt;TODAY(),"Vencida",IF(V447=TODAY(),"Hoy","")))</f>
        <v/>
      </c>
      <c r="X447" s="36" t="str">
        <f aca="false">IF(A447="","",IF(COUNTIF(Seguimiento!$B$2:$B$5001,A447)=0,"",_xlfn.MAXIFS(Seguimiento!$A$2:$A$5001,Seguimiento!$B$2:$B$5001,A447)))</f>
        <v/>
      </c>
      <c r="Y447" s="37" t="str">
        <f aca="true">IF(B447="","",TODAY()-B447)</f>
        <v/>
      </c>
      <c r="Z447" s="38" t="str">
        <f aca="false">IF(OR(O447="",G447=""),"",O447*IFERROR(INDEX(Listas!$B$2:$B$50,MATCH(G447,Listas!$A$2:$A$50,0)),0))</f>
        <v/>
      </c>
      <c r="AA447" s="32"/>
      <c r="AB447" s="32"/>
      <c r="AC447" s="32"/>
      <c r="AD447" s="35" t="str">
        <f aca="false">IF(OR(LEFT(H447,4)="Meta",LEFT(H447,6)="Google"),IF(AG447=3,"Lead calificado",IF(OR(AG447=4,AG447=5),"Tasación/visita",IF(OR(AG447=6,AG447=7),"Captación/oferta",IF(AG447=8,"Cierre","")))),"")</f>
        <v/>
      </c>
      <c r="AE447" s="32"/>
      <c r="AF447" s="32"/>
      <c r="AG447" s="37" t="n">
        <f aca="false">IF(R447="",0,IFERROR(MATCH(R447,Listas!$L$2:$L$50,0),0))</f>
        <v>0</v>
      </c>
    </row>
    <row r="448" customFormat="false" ht="15" hidden="false" customHeight="false" outlineLevel="0" collapsed="false">
      <c r="A448" s="30"/>
      <c r="B448" s="31"/>
      <c r="C448" s="32"/>
      <c r="D448" s="32"/>
      <c r="E448" s="33"/>
      <c r="F448" s="32"/>
      <c r="G448" s="32"/>
      <c r="H448" s="32"/>
      <c r="I448" s="32"/>
      <c r="J448" s="32"/>
      <c r="K448" s="32"/>
      <c r="L448" s="32"/>
      <c r="M448" s="30"/>
      <c r="N448" s="32"/>
      <c r="O448" s="34"/>
      <c r="P448" s="32"/>
      <c r="Q448" s="32"/>
      <c r="R448" s="32"/>
      <c r="S448" s="32"/>
      <c r="T448" s="32"/>
      <c r="U448" s="32"/>
      <c r="V448" s="31"/>
      <c r="W448" s="35" t="str">
        <f aca="true">IF(OR(V448="",AG448&gt;=8),"",IF(V448&lt;TODAY(),"Vencida",IF(V448=TODAY(),"Hoy","")))</f>
        <v/>
      </c>
      <c r="X448" s="36" t="str">
        <f aca="false">IF(A448="","",IF(COUNTIF(Seguimiento!$B$2:$B$5001,A448)=0,"",_xlfn.MAXIFS(Seguimiento!$A$2:$A$5001,Seguimiento!$B$2:$B$5001,A448)))</f>
        <v/>
      </c>
      <c r="Y448" s="37" t="str">
        <f aca="true">IF(B448="","",TODAY()-B448)</f>
        <v/>
      </c>
      <c r="Z448" s="38" t="str">
        <f aca="false">IF(OR(O448="",G448=""),"",O448*IFERROR(INDEX(Listas!$B$2:$B$50,MATCH(G448,Listas!$A$2:$A$50,0)),0))</f>
        <v/>
      </c>
      <c r="AA448" s="32"/>
      <c r="AB448" s="32"/>
      <c r="AC448" s="32"/>
      <c r="AD448" s="35" t="str">
        <f aca="false">IF(OR(LEFT(H448,4)="Meta",LEFT(H448,6)="Google"),IF(AG448=3,"Lead calificado",IF(OR(AG448=4,AG448=5),"Tasación/visita",IF(OR(AG448=6,AG448=7),"Captación/oferta",IF(AG448=8,"Cierre","")))),"")</f>
        <v/>
      </c>
      <c r="AE448" s="32"/>
      <c r="AF448" s="32"/>
      <c r="AG448" s="37" t="n">
        <f aca="false">IF(R448="",0,IFERROR(MATCH(R448,Listas!$L$2:$L$50,0),0))</f>
        <v>0</v>
      </c>
    </row>
    <row r="449" customFormat="false" ht="15" hidden="false" customHeight="false" outlineLevel="0" collapsed="false">
      <c r="A449" s="30"/>
      <c r="B449" s="31"/>
      <c r="C449" s="32"/>
      <c r="D449" s="32"/>
      <c r="E449" s="33"/>
      <c r="F449" s="32"/>
      <c r="G449" s="32"/>
      <c r="H449" s="32"/>
      <c r="I449" s="32"/>
      <c r="J449" s="32"/>
      <c r="K449" s="32"/>
      <c r="L449" s="32"/>
      <c r="M449" s="30"/>
      <c r="N449" s="32"/>
      <c r="O449" s="34"/>
      <c r="P449" s="32"/>
      <c r="Q449" s="32"/>
      <c r="R449" s="32"/>
      <c r="S449" s="32"/>
      <c r="T449" s="32"/>
      <c r="U449" s="32"/>
      <c r="V449" s="31"/>
      <c r="W449" s="35" t="str">
        <f aca="true">IF(OR(V449="",AG449&gt;=8),"",IF(V449&lt;TODAY(),"Vencida",IF(V449=TODAY(),"Hoy","")))</f>
        <v/>
      </c>
      <c r="X449" s="36" t="str">
        <f aca="false">IF(A449="","",IF(COUNTIF(Seguimiento!$B$2:$B$5001,A449)=0,"",_xlfn.MAXIFS(Seguimiento!$A$2:$A$5001,Seguimiento!$B$2:$B$5001,A449)))</f>
        <v/>
      </c>
      <c r="Y449" s="37" t="str">
        <f aca="true">IF(B449="","",TODAY()-B449)</f>
        <v/>
      </c>
      <c r="Z449" s="38" t="str">
        <f aca="false">IF(OR(O449="",G449=""),"",O449*IFERROR(INDEX(Listas!$B$2:$B$50,MATCH(G449,Listas!$A$2:$A$50,0)),0))</f>
        <v/>
      </c>
      <c r="AA449" s="32"/>
      <c r="AB449" s="32"/>
      <c r="AC449" s="32"/>
      <c r="AD449" s="35" t="str">
        <f aca="false">IF(OR(LEFT(H449,4)="Meta",LEFT(H449,6)="Google"),IF(AG449=3,"Lead calificado",IF(OR(AG449=4,AG449=5),"Tasación/visita",IF(OR(AG449=6,AG449=7),"Captación/oferta",IF(AG449=8,"Cierre","")))),"")</f>
        <v/>
      </c>
      <c r="AE449" s="32"/>
      <c r="AF449" s="32"/>
      <c r="AG449" s="37" t="n">
        <f aca="false">IF(R449="",0,IFERROR(MATCH(R449,Listas!$L$2:$L$50,0),0))</f>
        <v>0</v>
      </c>
    </row>
    <row r="450" customFormat="false" ht="15" hidden="false" customHeight="false" outlineLevel="0" collapsed="false">
      <c r="A450" s="30"/>
      <c r="B450" s="31"/>
      <c r="C450" s="32"/>
      <c r="D450" s="32"/>
      <c r="E450" s="33"/>
      <c r="F450" s="32"/>
      <c r="G450" s="32"/>
      <c r="H450" s="32"/>
      <c r="I450" s="32"/>
      <c r="J450" s="32"/>
      <c r="K450" s="32"/>
      <c r="L450" s="32"/>
      <c r="M450" s="30"/>
      <c r="N450" s="32"/>
      <c r="O450" s="34"/>
      <c r="P450" s="32"/>
      <c r="Q450" s="32"/>
      <c r="R450" s="32"/>
      <c r="S450" s="32"/>
      <c r="T450" s="32"/>
      <c r="U450" s="32"/>
      <c r="V450" s="31"/>
      <c r="W450" s="35" t="str">
        <f aca="true">IF(OR(V450="",AG450&gt;=8),"",IF(V450&lt;TODAY(),"Vencida",IF(V450=TODAY(),"Hoy","")))</f>
        <v/>
      </c>
      <c r="X450" s="36" t="str">
        <f aca="false">IF(A450="","",IF(COUNTIF(Seguimiento!$B$2:$B$5001,A450)=0,"",_xlfn.MAXIFS(Seguimiento!$A$2:$A$5001,Seguimiento!$B$2:$B$5001,A450)))</f>
        <v/>
      </c>
      <c r="Y450" s="37" t="str">
        <f aca="true">IF(B450="","",TODAY()-B450)</f>
        <v/>
      </c>
      <c r="Z450" s="38" t="str">
        <f aca="false">IF(OR(O450="",G450=""),"",O450*IFERROR(INDEX(Listas!$B$2:$B$50,MATCH(G450,Listas!$A$2:$A$50,0)),0))</f>
        <v/>
      </c>
      <c r="AA450" s="32"/>
      <c r="AB450" s="32"/>
      <c r="AC450" s="32"/>
      <c r="AD450" s="35" t="str">
        <f aca="false">IF(OR(LEFT(H450,4)="Meta",LEFT(H450,6)="Google"),IF(AG450=3,"Lead calificado",IF(OR(AG450=4,AG450=5),"Tasación/visita",IF(OR(AG450=6,AG450=7),"Captación/oferta",IF(AG450=8,"Cierre","")))),"")</f>
        <v/>
      </c>
      <c r="AE450" s="32"/>
      <c r="AF450" s="32"/>
      <c r="AG450" s="37" t="n">
        <f aca="false">IF(R450="",0,IFERROR(MATCH(R450,Listas!$L$2:$L$50,0),0))</f>
        <v>0</v>
      </c>
    </row>
    <row r="451" customFormat="false" ht="15" hidden="false" customHeight="false" outlineLevel="0" collapsed="false">
      <c r="A451" s="30"/>
      <c r="B451" s="31"/>
      <c r="C451" s="32"/>
      <c r="D451" s="32"/>
      <c r="E451" s="33"/>
      <c r="F451" s="32"/>
      <c r="G451" s="32"/>
      <c r="H451" s="32"/>
      <c r="I451" s="32"/>
      <c r="J451" s="32"/>
      <c r="K451" s="32"/>
      <c r="L451" s="32"/>
      <c r="M451" s="30"/>
      <c r="N451" s="32"/>
      <c r="O451" s="34"/>
      <c r="P451" s="32"/>
      <c r="Q451" s="32"/>
      <c r="R451" s="32"/>
      <c r="S451" s="32"/>
      <c r="T451" s="32"/>
      <c r="U451" s="32"/>
      <c r="V451" s="31"/>
      <c r="W451" s="35" t="str">
        <f aca="true">IF(OR(V451="",AG451&gt;=8),"",IF(V451&lt;TODAY(),"Vencida",IF(V451=TODAY(),"Hoy","")))</f>
        <v/>
      </c>
      <c r="X451" s="36" t="str">
        <f aca="false">IF(A451="","",IF(COUNTIF(Seguimiento!$B$2:$B$5001,A451)=0,"",_xlfn.MAXIFS(Seguimiento!$A$2:$A$5001,Seguimiento!$B$2:$B$5001,A451)))</f>
        <v/>
      </c>
      <c r="Y451" s="37" t="str">
        <f aca="true">IF(B451="","",TODAY()-B451)</f>
        <v/>
      </c>
      <c r="Z451" s="38" t="str">
        <f aca="false">IF(OR(O451="",G451=""),"",O451*IFERROR(INDEX(Listas!$B$2:$B$50,MATCH(G451,Listas!$A$2:$A$50,0)),0))</f>
        <v/>
      </c>
      <c r="AA451" s="32"/>
      <c r="AB451" s="32"/>
      <c r="AC451" s="32"/>
      <c r="AD451" s="35" t="str">
        <f aca="false">IF(OR(LEFT(H451,4)="Meta",LEFT(H451,6)="Google"),IF(AG451=3,"Lead calificado",IF(OR(AG451=4,AG451=5),"Tasación/visita",IF(OR(AG451=6,AG451=7),"Captación/oferta",IF(AG451=8,"Cierre","")))),"")</f>
        <v/>
      </c>
      <c r="AE451" s="32"/>
      <c r="AF451" s="32"/>
      <c r="AG451" s="37" t="n">
        <f aca="false">IF(R451="",0,IFERROR(MATCH(R451,Listas!$L$2:$L$50,0),0))</f>
        <v>0</v>
      </c>
    </row>
    <row r="452" customFormat="false" ht="15" hidden="false" customHeight="false" outlineLevel="0" collapsed="false">
      <c r="A452" s="30"/>
      <c r="B452" s="31"/>
      <c r="C452" s="32"/>
      <c r="D452" s="32"/>
      <c r="E452" s="33"/>
      <c r="F452" s="32"/>
      <c r="G452" s="32"/>
      <c r="H452" s="32"/>
      <c r="I452" s="32"/>
      <c r="J452" s="32"/>
      <c r="K452" s="32"/>
      <c r="L452" s="32"/>
      <c r="M452" s="30"/>
      <c r="N452" s="32"/>
      <c r="O452" s="34"/>
      <c r="P452" s="32"/>
      <c r="Q452" s="32"/>
      <c r="R452" s="32"/>
      <c r="S452" s="32"/>
      <c r="T452" s="32"/>
      <c r="U452" s="32"/>
      <c r="V452" s="31"/>
      <c r="W452" s="35" t="str">
        <f aca="true">IF(OR(V452="",AG452&gt;=8),"",IF(V452&lt;TODAY(),"Vencida",IF(V452=TODAY(),"Hoy","")))</f>
        <v/>
      </c>
      <c r="X452" s="36" t="str">
        <f aca="false">IF(A452="","",IF(COUNTIF(Seguimiento!$B$2:$B$5001,A452)=0,"",_xlfn.MAXIFS(Seguimiento!$A$2:$A$5001,Seguimiento!$B$2:$B$5001,A452)))</f>
        <v/>
      </c>
      <c r="Y452" s="37" t="str">
        <f aca="true">IF(B452="","",TODAY()-B452)</f>
        <v/>
      </c>
      <c r="Z452" s="38" t="str">
        <f aca="false">IF(OR(O452="",G452=""),"",O452*IFERROR(INDEX(Listas!$B$2:$B$50,MATCH(G452,Listas!$A$2:$A$50,0)),0))</f>
        <v/>
      </c>
      <c r="AA452" s="32"/>
      <c r="AB452" s="32"/>
      <c r="AC452" s="32"/>
      <c r="AD452" s="35" t="str">
        <f aca="false">IF(OR(LEFT(H452,4)="Meta",LEFT(H452,6)="Google"),IF(AG452=3,"Lead calificado",IF(OR(AG452=4,AG452=5),"Tasación/visita",IF(OR(AG452=6,AG452=7),"Captación/oferta",IF(AG452=8,"Cierre","")))),"")</f>
        <v/>
      </c>
      <c r="AE452" s="32"/>
      <c r="AF452" s="32"/>
      <c r="AG452" s="37" t="n">
        <f aca="false">IF(R452="",0,IFERROR(MATCH(R452,Listas!$L$2:$L$50,0),0))</f>
        <v>0</v>
      </c>
    </row>
    <row r="453" customFormat="false" ht="15" hidden="false" customHeight="false" outlineLevel="0" collapsed="false">
      <c r="A453" s="30"/>
      <c r="B453" s="31"/>
      <c r="C453" s="32"/>
      <c r="D453" s="32"/>
      <c r="E453" s="33"/>
      <c r="F453" s="32"/>
      <c r="G453" s="32"/>
      <c r="H453" s="32"/>
      <c r="I453" s="32"/>
      <c r="J453" s="32"/>
      <c r="K453" s="32"/>
      <c r="L453" s="32"/>
      <c r="M453" s="30"/>
      <c r="N453" s="32"/>
      <c r="O453" s="34"/>
      <c r="P453" s="32"/>
      <c r="Q453" s="32"/>
      <c r="R453" s="32"/>
      <c r="S453" s="32"/>
      <c r="T453" s="32"/>
      <c r="U453" s="32"/>
      <c r="V453" s="31"/>
      <c r="W453" s="35" t="str">
        <f aca="true">IF(OR(V453="",AG453&gt;=8),"",IF(V453&lt;TODAY(),"Vencida",IF(V453=TODAY(),"Hoy","")))</f>
        <v/>
      </c>
      <c r="X453" s="36" t="str">
        <f aca="false">IF(A453="","",IF(COUNTIF(Seguimiento!$B$2:$B$5001,A453)=0,"",_xlfn.MAXIFS(Seguimiento!$A$2:$A$5001,Seguimiento!$B$2:$B$5001,A453)))</f>
        <v/>
      </c>
      <c r="Y453" s="37" t="str">
        <f aca="true">IF(B453="","",TODAY()-B453)</f>
        <v/>
      </c>
      <c r="Z453" s="38" t="str">
        <f aca="false">IF(OR(O453="",G453=""),"",O453*IFERROR(INDEX(Listas!$B$2:$B$50,MATCH(G453,Listas!$A$2:$A$50,0)),0))</f>
        <v/>
      </c>
      <c r="AA453" s="32"/>
      <c r="AB453" s="32"/>
      <c r="AC453" s="32"/>
      <c r="AD453" s="35" t="str">
        <f aca="false">IF(OR(LEFT(H453,4)="Meta",LEFT(H453,6)="Google"),IF(AG453=3,"Lead calificado",IF(OR(AG453=4,AG453=5),"Tasación/visita",IF(OR(AG453=6,AG453=7),"Captación/oferta",IF(AG453=8,"Cierre","")))),"")</f>
        <v/>
      </c>
      <c r="AE453" s="32"/>
      <c r="AF453" s="32"/>
      <c r="AG453" s="37" t="n">
        <f aca="false">IF(R453="",0,IFERROR(MATCH(R453,Listas!$L$2:$L$50,0),0))</f>
        <v>0</v>
      </c>
    </row>
    <row r="454" customFormat="false" ht="15" hidden="false" customHeight="false" outlineLevel="0" collapsed="false">
      <c r="A454" s="30"/>
      <c r="B454" s="31"/>
      <c r="C454" s="32"/>
      <c r="D454" s="32"/>
      <c r="E454" s="33"/>
      <c r="F454" s="32"/>
      <c r="G454" s="32"/>
      <c r="H454" s="32"/>
      <c r="I454" s="32"/>
      <c r="J454" s="32"/>
      <c r="K454" s="32"/>
      <c r="L454" s="32"/>
      <c r="M454" s="30"/>
      <c r="N454" s="32"/>
      <c r="O454" s="34"/>
      <c r="P454" s="32"/>
      <c r="Q454" s="32"/>
      <c r="R454" s="32"/>
      <c r="S454" s="32"/>
      <c r="T454" s="32"/>
      <c r="U454" s="32"/>
      <c r="V454" s="31"/>
      <c r="W454" s="35" t="str">
        <f aca="true">IF(OR(V454="",AG454&gt;=8),"",IF(V454&lt;TODAY(),"Vencida",IF(V454=TODAY(),"Hoy","")))</f>
        <v/>
      </c>
      <c r="X454" s="36" t="str">
        <f aca="false">IF(A454="","",IF(COUNTIF(Seguimiento!$B$2:$B$5001,A454)=0,"",_xlfn.MAXIFS(Seguimiento!$A$2:$A$5001,Seguimiento!$B$2:$B$5001,A454)))</f>
        <v/>
      </c>
      <c r="Y454" s="37" t="str">
        <f aca="true">IF(B454="","",TODAY()-B454)</f>
        <v/>
      </c>
      <c r="Z454" s="38" t="str">
        <f aca="false">IF(OR(O454="",G454=""),"",O454*IFERROR(INDEX(Listas!$B$2:$B$50,MATCH(G454,Listas!$A$2:$A$50,0)),0))</f>
        <v/>
      </c>
      <c r="AA454" s="32"/>
      <c r="AB454" s="32"/>
      <c r="AC454" s="32"/>
      <c r="AD454" s="35" t="str">
        <f aca="false">IF(OR(LEFT(H454,4)="Meta",LEFT(H454,6)="Google"),IF(AG454=3,"Lead calificado",IF(OR(AG454=4,AG454=5),"Tasación/visita",IF(OR(AG454=6,AG454=7),"Captación/oferta",IF(AG454=8,"Cierre","")))),"")</f>
        <v/>
      </c>
      <c r="AE454" s="32"/>
      <c r="AF454" s="32"/>
      <c r="AG454" s="37" t="n">
        <f aca="false">IF(R454="",0,IFERROR(MATCH(R454,Listas!$L$2:$L$50,0),0))</f>
        <v>0</v>
      </c>
    </row>
    <row r="455" customFormat="false" ht="15" hidden="false" customHeight="false" outlineLevel="0" collapsed="false">
      <c r="A455" s="30"/>
      <c r="B455" s="31"/>
      <c r="C455" s="32"/>
      <c r="D455" s="32"/>
      <c r="E455" s="33"/>
      <c r="F455" s="32"/>
      <c r="G455" s="32"/>
      <c r="H455" s="32"/>
      <c r="I455" s="32"/>
      <c r="J455" s="32"/>
      <c r="K455" s="32"/>
      <c r="L455" s="32"/>
      <c r="M455" s="30"/>
      <c r="N455" s="32"/>
      <c r="O455" s="34"/>
      <c r="P455" s="32"/>
      <c r="Q455" s="32"/>
      <c r="R455" s="32"/>
      <c r="S455" s="32"/>
      <c r="T455" s="32"/>
      <c r="U455" s="32"/>
      <c r="V455" s="31"/>
      <c r="W455" s="35" t="str">
        <f aca="true">IF(OR(V455="",AG455&gt;=8),"",IF(V455&lt;TODAY(),"Vencida",IF(V455=TODAY(),"Hoy","")))</f>
        <v/>
      </c>
      <c r="X455" s="36" t="str">
        <f aca="false">IF(A455="","",IF(COUNTIF(Seguimiento!$B$2:$B$5001,A455)=0,"",_xlfn.MAXIFS(Seguimiento!$A$2:$A$5001,Seguimiento!$B$2:$B$5001,A455)))</f>
        <v/>
      </c>
      <c r="Y455" s="37" t="str">
        <f aca="true">IF(B455="","",TODAY()-B455)</f>
        <v/>
      </c>
      <c r="Z455" s="38" t="str">
        <f aca="false">IF(OR(O455="",G455=""),"",O455*IFERROR(INDEX(Listas!$B$2:$B$50,MATCH(G455,Listas!$A$2:$A$50,0)),0))</f>
        <v/>
      </c>
      <c r="AA455" s="32"/>
      <c r="AB455" s="32"/>
      <c r="AC455" s="32"/>
      <c r="AD455" s="35" t="str">
        <f aca="false">IF(OR(LEFT(H455,4)="Meta",LEFT(H455,6)="Google"),IF(AG455=3,"Lead calificado",IF(OR(AG455=4,AG455=5),"Tasación/visita",IF(OR(AG455=6,AG455=7),"Captación/oferta",IF(AG455=8,"Cierre","")))),"")</f>
        <v/>
      </c>
      <c r="AE455" s="32"/>
      <c r="AF455" s="32"/>
      <c r="AG455" s="37" t="n">
        <f aca="false">IF(R455="",0,IFERROR(MATCH(R455,Listas!$L$2:$L$50,0),0))</f>
        <v>0</v>
      </c>
    </row>
    <row r="456" customFormat="false" ht="15" hidden="false" customHeight="false" outlineLevel="0" collapsed="false">
      <c r="A456" s="30"/>
      <c r="B456" s="31"/>
      <c r="C456" s="32"/>
      <c r="D456" s="32"/>
      <c r="E456" s="33"/>
      <c r="F456" s="32"/>
      <c r="G456" s="32"/>
      <c r="H456" s="32"/>
      <c r="I456" s="32"/>
      <c r="J456" s="32"/>
      <c r="K456" s="32"/>
      <c r="L456" s="32"/>
      <c r="M456" s="30"/>
      <c r="N456" s="32"/>
      <c r="O456" s="34"/>
      <c r="P456" s="32"/>
      <c r="Q456" s="32"/>
      <c r="R456" s="32"/>
      <c r="S456" s="32"/>
      <c r="T456" s="32"/>
      <c r="U456" s="32"/>
      <c r="V456" s="31"/>
      <c r="W456" s="35" t="str">
        <f aca="true">IF(OR(V456="",AG456&gt;=8),"",IF(V456&lt;TODAY(),"Vencida",IF(V456=TODAY(),"Hoy","")))</f>
        <v/>
      </c>
      <c r="X456" s="36" t="str">
        <f aca="false">IF(A456="","",IF(COUNTIF(Seguimiento!$B$2:$B$5001,A456)=0,"",_xlfn.MAXIFS(Seguimiento!$A$2:$A$5001,Seguimiento!$B$2:$B$5001,A456)))</f>
        <v/>
      </c>
      <c r="Y456" s="37" t="str">
        <f aca="true">IF(B456="","",TODAY()-B456)</f>
        <v/>
      </c>
      <c r="Z456" s="38" t="str">
        <f aca="false">IF(OR(O456="",G456=""),"",O456*IFERROR(INDEX(Listas!$B$2:$B$50,MATCH(G456,Listas!$A$2:$A$50,0)),0))</f>
        <v/>
      </c>
      <c r="AA456" s="32"/>
      <c r="AB456" s="32"/>
      <c r="AC456" s="32"/>
      <c r="AD456" s="35" t="str">
        <f aca="false">IF(OR(LEFT(H456,4)="Meta",LEFT(H456,6)="Google"),IF(AG456=3,"Lead calificado",IF(OR(AG456=4,AG456=5),"Tasación/visita",IF(OR(AG456=6,AG456=7),"Captación/oferta",IF(AG456=8,"Cierre","")))),"")</f>
        <v/>
      </c>
      <c r="AE456" s="32"/>
      <c r="AF456" s="32"/>
      <c r="AG456" s="37" t="n">
        <f aca="false">IF(R456="",0,IFERROR(MATCH(R456,Listas!$L$2:$L$50,0),0))</f>
        <v>0</v>
      </c>
    </row>
    <row r="457" customFormat="false" ht="15" hidden="false" customHeight="false" outlineLevel="0" collapsed="false">
      <c r="A457" s="30"/>
      <c r="B457" s="31"/>
      <c r="C457" s="32"/>
      <c r="D457" s="32"/>
      <c r="E457" s="33"/>
      <c r="F457" s="32"/>
      <c r="G457" s="32"/>
      <c r="H457" s="32"/>
      <c r="I457" s="32"/>
      <c r="J457" s="32"/>
      <c r="K457" s="32"/>
      <c r="L457" s="32"/>
      <c r="M457" s="30"/>
      <c r="N457" s="32"/>
      <c r="O457" s="34"/>
      <c r="P457" s="32"/>
      <c r="Q457" s="32"/>
      <c r="R457" s="32"/>
      <c r="S457" s="32"/>
      <c r="T457" s="32"/>
      <c r="U457" s="32"/>
      <c r="V457" s="31"/>
      <c r="W457" s="35" t="str">
        <f aca="true">IF(OR(V457="",AG457&gt;=8),"",IF(V457&lt;TODAY(),"Vencida",IF(V457=TODAY(),"Hoy","")))</f>
        <v/>
      </c>
      <c r="X457" s="36" t="str">
        <f aca="false">IF(A457="","",IF(COUNTIF(Seguimiento!$B$2:$B$5001,A457)=0,"",_xlfn.MAXIFS(Seguimiento!$A$2:$A$5001,Seguimiento!$B$2:$B$5001,A457)))</f>
        <v/>
      </c>
      <c r="Y457" s="37" t="str">
        <f aca="true">IF(B457="","",TODAY()-B457)</f>
        <v/>
      </c>
      <c r="Z457" s="38" t="str">
        <f aca="false">IF(OR(O457="",G457=""),"",O457*IFERROR(INDEX(Listas!$B$2:$B$50,MATCH(G457,Listas!$A$2:$A$50,0)),0))</f>
        <v/>
      </c>
      <c r="AA457" s="32"/>
      <c r="AB457" s="32"/>
      <c r="AC457" s="32"/>
      <c r="AD457" s="35" t="str">
        <f aca="false">IF(OR(LEFT(H457,4)="Meta",LEFT(H457,6)="Google"),IF(AG457=3,"Lead calificado",IF(OR(AG457=4,AG457=5),"Tasación/visita",IF(OR(AG457=6,AG457=7),"Captación/oferta",IF(AG457=8,"Cierre","")))),"")</f>
        <v/>
      </c>
      <c r="AE457" s="32"/>
      <c r="AF457" s="32"/>
      <c r="AG457" s="37" t="n">
        <f aca="false">IF(R457="",0,IFERROR(MATCH(R457,Listas!$L$2:$L$50,0),0))</f>
        <v>0</v>
      </c>
    </row>
    <row r="458" customFormat="false" ht="15" hidden="false" customHeight="false" outlineLevel="0" collapsed="false">
      <c r="A458" s="30"/>
      <c r="B458" s="31"/>
      <c r="C458" s="32"/>
      <c r="D458" s="32"/>
      <c r="E458" s="33"/>
      <c r="F458" s="32"/>
      <c r="G458" s="32"/>
      <c r="H458" s="32"/>
      <c r="I458" s="32"/>
      <c r="J458" s="32"/>
      <c r="K458" s="32"/>
      <c r="L458" s="32"/>
      <c r="M458" s="30"/>
      <c r="N458" s="32"/>
      <c r="O458" s="34"/>
      <c r="P458" s="32"/>
      <c r="Q458" s="32"/>
      <c r="R458" s="32"/>
      <c r="S458" s="32"/>
      <c r="T458" s="32"/>
      <c r="U458" s="32"/>
      <c r="V458" s="31"/>
      <c r="W458" s="35" t="str">
        <f aca="true">IF(OR(V458="",AG458&gt;=8),"",IF(V458&lt;TODAY(),"Vencida",IF(V458=TODAY(),"Hoy","")))</f>
        <v/>
      </c>
      <c r="X458" s="36" t="str">
        <f aca="false">IF(A458="","",IF(COUNTIF(Seguimiento!$B$2:$B$5001,A458)=0,"",_xlfn.MAXIFS(Seguimiento!$A$2:$A$5001,Seguimiento!$B$2:$B$5001,A458)))</f>
        <v/>
      </c>
      <c r="Y458" s="37" t="str">
        <f aca="true">IF(B458="","",TODAY()-B458)</f>
        <v/>
      </c>
      <c r="Z458" s="38" t="str">
        <f aca="false">IF(OR(O458="",G458=""),"",O458*IFERROR(INDEX(Listas!$B$2:$B$50,MATCH(G458,Listas!$A$2:$A$50,0)),0))</f>
        <v/>
      </c>
      <c r="AA458" s="32"/>
      <c r="AB458" s="32"/>
      <c r="AC458" s="32"/>
      <c r="AD458" s="35" t="str">
        <f aca="false">IF(OR(LEFT(H458,4)="Meta",LEFT(H458,6)="Google"),IF(AG458=3,"Lead calificado",IF(OR(AG458=4,AG458=5),"Tasación/visita",IF(OR(AG458=6,AG458=7),"Captación/oferta",IF(AG458=8,"Cierre","")))),"")</f>
        <v/>
      </c>
      <c r="AE458" s="32"/>
      <c r="AF458" s="32"/>
      <c r="AG458" s="37" t="n">
        <f aca="false">IF(R458="",0,IFERROR(MATCH(R458,Listas!$L$2:$L$50,0),0))</f>
        <v>0</v>
      </c>
    </row>
    <row r="459" customFormat="false" ht="15" hidden="false" customHeight="false" outlineLevel="0" collapsed="false">
      <c r="A459" s="30"/>
      <c r="B459" s="31"/>
      <c r="C459" s="32"/>
      <c r="D459" s="32"/>
      <c r="E459" s="33"/>
      <c r="F459" s="32"/>
      <c r="G459" s="32"/>
      <c r="H459" s="32"/>
      <c r="I459" s="32"/>
      <c r="J459" s="32"/>
      <c r="K459" s="32"/>
      <c r="L459" s="32"/>
      <c r="M459" s="30"/>
      <c r="N459" s="32"/>
      <c r="O459" s="34"/>
      <c r="P459" s="32"/>
      <c r="Q459" s="32"/>
      <c r="R459" s="32"/>
      <c r="S459" s="32"/>
      <c r="T459" s="32"/>
      <c r="U459" s="32"/>
      <c r="V459" s="31"/>
      <c r="W459" s="35" t="str">
        <f aca="true">IF(OR(V459="",AG459&gt;=8),"",IF(V459&lt;TODAY(),"Vencida",IF(V459=TODAY(),"Hoy","")))</f>
        <v/>
      </c>
      <c r="X459" s="36" t="str">
        <f aca="false">IF(A459="","",IF(COUNTIF(Seguimiento!$B$2:$B$5001,A459)=0,"",_xlfn.MAXIFS(Seguimiento!$A$2:$A$5001,Seguimiento!$B$2:$B$5001,A459)))</f>
        <v/>
      </c>
      <c r="Y459" s="37" t="str">
        <f aca="true">IF(B459="","",TODAY()-B459)</f>
        <v/>
      </c>
      <c r="Z459" s="38" t="str">
        <f aca="false">IF(OR(O459="",G459=""),"",O459*IFERROR(INDEX(Listas!$B$2:$B$50,MATCH(G459,Listas!$A$2:$A$50,0)),0))</f>
        <v/>
      </c>
      <c r="AA459" s="32"/>
      <c r="AB459" s="32"/>
      <c r="AC459" s="32"/>
      <c r="AD459" s="35" t="str">
        <f aca="false">IF(OR(LEFT(H459,4)="Meta",LEFT(H459,6)="Google"),IF(AG459=3,"Lead calificado",IF(OR(AG459=4,AG459=5),"Tasación/visita",IF(OR(AG459=6,AG459=7),"Captación/oferta",IF(AG459=8,"Cierre","")))),"")</f>
        <v/>
      </c>
      <c r="AE459" s="32"/>
      <c r="AF459" s="32"/>
      <c r="AG459" s="37" t="n">
        <f aca="false">IF(R459="",0,IFERROR(MATCH(R459,Listas!$L$2:$L$50,0),0))</f>
        <v>0</v>
      </c>
    </row>
    <row r="460" customFormat="false" ht="15" hidden="false" customHeight="false" outlineLevel="0" collapsed="false">
      <c r="A460" s="30"/>
      <c r="B460" s="31"/>
      <c r="C460" s="32"/>
      <c r="D460" s="32"/>
      <c r="E460" s="33"/>
      <c r="F460" s="32"/>
      <c r="G460" s="32"/>
      <c r="H460" s="32"/>
      <c r="I460" s="32"/>
      <c r="J460" s="32"/>
      <c r="K460" s="32"/>
      <c r="L460" s="32"/>
      <c r="M460" s="30"/>
      <c r="N460" s="32"/>
      <c r="O460" s="34"/>
      <c r="P460" s="32"/>
      <c r="Q460" s="32"/>
      <c r="R460" s="32"/>
      <c r="S460" s="32"/>
      <c r="T460" s="32"/>
      <c r="U460" s="32"/>
      <c r="V460" s="31"/>
      <c r="W460" s="35" t="str">
        <f aca="true">IF(OR(V460="",AG460&gt;=8),"",IF(V460&lt;TODAY(),"Vencida",IF(V460=TODAY(),"Hoy","")))</f>
        <v/>
      </c>
      <c r="X460" s="36" t="str">
        <f aca="false">IF(A460="","",IF(COUNTIF(Seguimiento!$B$2:$B$5001,A460)=0,"",_xlfn.MAXIFS(Seguimiento!$A$2:$A$5001,Seguimiento!$B$2:$B$5001,A460)))</f>
        <v/>
      </c>
      <c r="Y460" s="37" t="str">
        <f aca="true">IF(B460="","",TODAY()-B460)</f>
        <v/>
      </c>
      <c r="Z460" s="38" t="str">
        <f aca="false">IF(OR(O460="",G460=""),"",O460*IFERROR(INDEX(Listas!$B$2:$B$50,MATCH(G460,Listas!$A$2:$A$50,0)),0))</f>
        <v/>
      </c>
      <c r="AA460" s="32"/>
      <c r="AB460" s="32"/>
      <c r="AC460" s="32"/>
      <c r="AD460" s="35" t="str">
        <f aca="false">IF(OR(LEFT(H460,4)="Meta",LEFT(H460,6)="Google"),IF(AG460=3,"Lead calificado",IF(OR(AG460=4,AG460=5),"Tasación/visita",IF(OR(AG460=6,AG460=7),"Captación/oferta",IF(AG460=8,"Cierre","")))),"")</f>
        <v/>
      </c>
      <c r="AE460" s="32"/>
      <c r="AF460" s="32"/>
      <c r="AG460" s="37" t="n">
        <f aca="false">IF(R460="",0,IFERROR(MATCH(R460,Listas!$L$2:$L$50,0),0))</f>
        <v>0</v>
      </c>
    </row>
    <row r="461" customFormat="false" ht="15" hidden="false" customHeight="false" outlineLevel="0" collapsed="false">
      <c r="A461" s="30"/>
      <c r="B461" s="31"/>
      <c r="C461" s="32"/>
      <c r="D461" s="32"/>
      <c r="E461" s="33"/>
      <c r="F461" s="32"/>
      <c r="G461" s="32"/>
      <c r="H461" s="32"/>
      <c r="I461" s="32"/>
      <c r="J461" s="32"/>
      <c r="K461" s="32"/>
      <c r="L461" s="32"/>
      <c r="M461" s="30"/>
      <c r="N461" s="32"/>
      <c r="O461" s="34"/>
      <c r="P461" s="32"/>
      <c r="Q461" s="32"/>
      <c r="R461" s="32"/>
      <c r="S461" s="32"/>
      <c r="T461" s="32"/>
      <c r="U461" s="32"/>
      <c r="V461" s="31"/>
      <c r="W461" s="35" t="str">
        <f aca="true">IF(OR(V461="",AG461&gt;=8),"",IF(V461&lt;TODAY(),"Vencida",IF(V461=TODAY(),"Hoy","")))</f>
        <v/>
      </c>
      <c r="X461" s="36" t="str">
        <f aca="false">IF(A461="","",IF(COUNTIF(Seguimiento!$B$2:$B$5001,A461)=0,"",_xlfn.MAXIFS(Seguimiento!$A$2:$A$5001,Seguimiento!$B$2:$B$5001,A461)))</f>
        <v/>
      </c>
      <c r="Y461" s="37" t="str">
        <f aca="true">IF(B461="","",TODAY()-B461)</f>
        <v/>
      </c>
      <c r="Z461" s="38" t="str">
        <f aca="false">IF(OR(O461="",G461=""),"",O461*IFERROR(INDEX(Listas!$B$2:$B$50,MATCH(G461,Listas!$A$2:$A$50,0)),0))</f>
        <v/>
      </c>
      <c r="AA461" s="32"/>
      <c r="AB461" s="32"/>
      <c r="AC461" s="32"/>
      <c r="AD461" s="35" t="str">
        <f aca="false">IF(OR(LEFT(H461,4)="Meta",LEFT(H461,6)="Google"),IF(AG461=3,"Lead calificado",IF(OR(AG461=4,AG461=5),"Tasación/visita",IF(OR(AG461=6,AG461=7),"Captación/oferta",IF(AG461=8,"Cierre","")))),"")</f>
        <v/>
      </c>
      <c r="AE461" s="32"/>
      <c r="AF461" s="32"/>
      <c r="AG461" s="37" t="n">
        <f aca="false">IF(R461="",0,IFERROR(MATCH(R461,Listas!$L$2:$L$50,0),0))</f>
        <v>0</v>
      </c>
    </row>
    <row r="462" customFormat="false" ht="15" hidden="false" customHeight="false" outlineLevel="0" collapsed="false">
      <c r="A462" s="30"/>
      <c r="B462" s="31"/>
      <c r="C462" s="32"/>
      <c r="D462" s="32"/>
      <c r="E462" s="33"/>
      <c r="F462" s="32"/>
      <c r="G462" s="32"/>
      <c r="H462" s="32"/>
      <c r="I462" s="32"/>
      <c r="J462" s="32"/>
      <c r="K462" s="32"/>
      <c r="L462" s="32"/>
      <c r="M462" s="30"/>
      <c r="N462" s="32"/>
      <c r="O462" s="34"/>
      <c r="P462" s="32"/>
      <c r="Q462" s="32"/>
      <c r="R462" s="32"/>
      <c r="S462" s="32"/>
      <c r="T462" s="32"/>
      <c r="U462" s="32"/>
      <c r="V462" s="31"/>
      <c r="W462" s="35" t="str">
        <f aca="true">IF(OR(V462="",AG462&gt;=8),"",IF(V462&lt;TODAY(),"Vencida",IF(V462=TODAY(),"Hoy","")))</f>
        <v/>
      </c>
      <c r="X462" s="36" t="str">
        <f aca="false">IF(A462="","",IF(COUNTIF(Seguimiento!$B$2:$B$5001,A462)=0,"",_xlfn.MAXIFS(Seguimiento!$A$2:$A$5001,Seguimiento!$B$2:$B$5001,A462)))</f>
        <v/>
      </c>
      <c r="Y462" s="37" t="str">
        <f aca="true">IF(B462="","",TODAY()-B462)</f>
        <v/>
      </c>
      <c r="Z462" s="38" t="str">
        <f aca="false">IF(OR(O462="",G462=""),"",O462*IFERROR(INDEX(Listas!$B$2:$B$50,MATCH(G462,Listas!$A$2:$A$50,0)),0))</f>
        <v/>
      </c>
      <c r="AA462" s="32"/>
      <c r="AB462" s="32"/>
      <c r="AC462" s="32"/>
      <c r="AD462" s="35" t="str">
        <f aca="false">IF(OR(LEFT(H462,4)="Meta",LEFT(H462,6)="Google"),IF(AG462=3,"Lead calificado",IF(OR(AG462=4,AG462=5),"Tasación/visita",IF(OR(AG462=6,AG462=7),"Captación/oferta",IF(AG462=8,"Cierre","")))),"")</f>
        <v/>
      </c>
      <c r="AE462" s="32"/>
      <c r="AF462" s="32"/>
      <c r="AG462" s="37" t="n">
        <f aca="false">IF(R462="",0,IFERROR(MATCH(R462,Listas!$L$2:$L$50,0),0))</f>
        <v>0</v>
      </c>
    </row>
    <row r="463" customFormat="false" ht="15" hidden="false" customHeight="false" outlineLevel="0" collapsed="false">
      <c r="A463" s="30"/>
      <c r="B463" s="31"/>
      <c r="C463" s="32"/>
      <c r="D463" s="32"/>
      <c r="E463" s="33"/>
      <c r="F463" s="32"/>
      <c r="G463" s="32"/>
      <c r="H463" s="32"/>
      <c r="I463" s="32"/>
      <c r="J463" s="32"/>
      <c r="K463" s="32"/>
      <c r="L463" s="32"/>
      <c r="M463" s="30"/>
      <c r="N463" s="32"/>
      <c r="O463" s="34"/>
      <c r="P463" s="32"/>
      <c r="Q463" s="32"/>
      <c r="R463" s="32"/>
      <c r="S463" s="32"/>
      <c r="T463" s="32"/>
      <c r="U463" s="32"/>
      <c r="V463" s="31"/>
      <c r="W463" s="35" t="str">
        <f aca="true">IF(OR(V463="",AG463&gt;=8),"",IF(V463&lt;TODAY(),"Vencida",IF(V463=TODAY(),"Hoy","")))</f>
        <v/>
      </c>
      <c r="X463" s="36" t="str">
        <f aca="false">IF(A463="","",IF(COUNTIF(Seguimiento!$B$2:$B$5001,A463)=0,"",_xlfn.MAXIFS(Seguimiento!$A$2:$A$5001,Seguimiento!$B$2:$B$5001,A463)))</f>
        <v/>
      </c>
      <c r="Y463" s="37" t="str">
        <f aca="true">IF(B463="","",TODAY()-B463)</f>
        <v/>
      </c>
      <c r="Z463" s="38" t="str">
        <f aca="false">IF(OR(O463="",G463=""),"",O463*IFERROR(INDEX(Listas!$B$2:$B$50,MATCH(G463,Listas!$A$2:$A$50,0)),0))</f>
        <v/>
      </c>
      <c r="AA463" s="32"/>
      <c r="AB463" s="32"/>
      <c r="AC463" s="32"/>
      <c r="AD463" s="35" t="str">
        <f aca="false">IF(OR(LEFT(H463,4)="Meta",LEFT(H463,6)="Google"),IF(AG463=3,"Lead calificado",IF(OR(AG463=4,AG463=5),"Tasación/visita",IF(OR(AG463=6,AG463=7),"Captación/oferta",IF(AG463=8,"Cierre","")))),"")</f>
        <v/>
      </c>
      <c r="AE463" s="32"/>
      <c r="AF463" s="32"/>
      <c r="AG463" s="37" t="n">
        <f aca="false">IF(R463="",0,IFERROR(MATCH(R463,Listas!$L$2:$L$50,0),0))</f>
        <v>0</v>
      </c>
    </row>
    <row r="464" customFormat="false" ht="15" hidden="false" customHeight="false" outlineLevel="0" collapsed="false">
      <c r="A464" s="30"/>
      <c r="B464" s="31"/>
      <c r="C464" s="32"/>
      <c r="D464" s="32"/>
      <c r="E464" s="33"/>
      <c r="F464" s="32"/>
      <c r="G464" s="32"/>
      <c r="H464" s="32"/>
      <c r="I464" s="32"/>
      <c r="J464" s="32"/>
      <c r="K464" s="32"/>
      <c r="L464" s="32"/>
      <c r="M464" s="30"/>
      <c r="N464" s="32"/>
      <c r="O464" s="34"/>
      <c r="P464" s="32"/>
      <c r="Q464" s="32"/>
      <c r="R464" s="32"/>
      <c r="S464" s="32"/>
      <c r="T464" s="32"/>
      <c r="U464" s="32"/>
      <c r="V464" s="31"/>
      <c r="W464" s="35" t="str">
        <f aca="true">IF(OR(V464="",AG464&gt;=8),"",IF(V464&lt;TODAY(),"Vencida",IF(V464=TODAY(),"Hoy","")))</f>
        <v/>
      </c>
      <c r="X464" s="36" t="str">
        <f aca="false">IF(A464="","",IF(COUNTIF(Seguimiento!$B$2:$B$5001,A464)=0,"",_xlfn.MAXIFS(Seguimiento!$A$2:$A$5001,Seguimiento!$B$2:$B$5001,A464)))</f>
        <v/>
      </c>
      <c r="Y464" s="37" t="str">
        <f aca="true">IF(B464="","",TODAY()-B464)</f>
        <v/>
      </c>
      <c r="Z464" s="38" t="str">
        <f aca="false">IF(OR(O464="",G464=""),"",O464*IFERROR(INDEX(Listas!$B$2:$B$50,MATCH(G464,Listas!$A$2:$A$50,0)),0))</f>
        <v/>
      </c>
      <c r="AA464" s="32"/>
      <c r="AB464" s="32"/>
      <c r="AC464" s="32"/>
      <c r="AD464" s="35" t="str">
        <f aca="false">IF(OR(LEFT(H464,4)="Meta",LEFT(H464,6)="Google"),IF(AG464=3,"Lead calificado",IF(OR(AG464=4,AG464=5),"Tasación/visita",IF(OR(AG464=6,AG464=7),"Captación/oferta",IF(AG464=8,"Cierre","")))),"")</f>
        <v/>
      </c>
      <c r="AE464" s="32"/>
      <c r="AF464" s="32"/>
      <c r="AG464" s="37" t="n">
        <f aca="false">IF(R464="",0,IFERROR(MATCH(R464,Listas!$L$2:$L$50,0),0))</f>
        <v>0</v>
      </c>
    </row>
    <row r="465" customFormat="false" ht="15" hidden="false" customHeight="false" outlineLevel="0" collapsed="false">
      <c r="A465" s="30"/>
      <c r="B465" s="31"/>
      <c r="C465" s="32"/>
      <c r="D465" s="32"/>
      <c r="E465" s="33"/>
      <c r="F465" s="32"/>
      <c r="G465" s="32"/>
      <c r="H465" s="32"/>
      <c r="I465" s="32"/>
      <c r="J465" s="32"/>
      <c r="K465" s="32"/>
      <c r="L465" s="32"/>
      <c r="M465" s="30"/>
      <c r="N465" s="32"/>
      <c r="O465" s="34"/>
      <c r="P465" s="32"/>
      <c r="Q465" s="32"/>
      <c r="R465" s="32"/>
      <c r="S465" s="32"/>
      <c r="T465" s="32"/>
      <c r="U465" s="32"/>
      <c r="V465" s="31"/>
      <c r="W465" s="35" t="str">
        <f aca="true">IF(OR(V465="",AG465&gt;=8),"",IF(V465&lt;TODAY(),"Vencida",IF(V465=TODAY(),"Hoy","")))</f>
        <v/>
      </c>
      <c r="X465" s="36" t="str">
        <f aca="false">IF(A465="","",IF(COUNTIF(Seguimiento!$B$2:$B$5001,A465)=0,"",_xlfn.MAXIFS(Seguimiento!$A$2:$A$5001,Seguimiento!$B$2:$B$5001,A465)))</f>
        <v/>
      </c>
      <c r="Y465" s="37" t="str">
        <f aca="true">IF(B465="","",TODAY()-B465)</f>
        <v/>
      </c>
      <c r="Z465" s="38" t="str">
        <f aca="false">IF(OR(O465="",G465=""),"",O465*IFERROR(INDEX(Listas!$B$2:$B$50,MATCH(G465,Listas!$A$2:$A$50,0)),0))</f>
        <v/>
      </c>
      <c r="AA465" s="32"/>
      <c r="AB465" s="32"/>
      <c r="AC465" s="32"/>
      <c r="AD465" s="35" t="str">
        <f aca="false">IF(OR(LEFT(H465,4)="Meta",LEFT(H465,6)="Google"),IF(AG465=3,"Lead calificado",IF(OR(AG465=4,AG465=5),"Tasación/visita",IF(OR(AG465=6,AG465=7),"Captación/oferta",IF(AG465=8,"Cierre","")))),"")</f>
        <v/>
      </c>
      <c r="AE465" s="32"/>
      <c r="AF465" s="32"/>
      <c r="AG465" s="37" t="n">
        <f aca="false">IF(R465="",0,IFERROR(MATCH(R465,Listas!$L$2:$L$50,0),0))</f>
        <v>0</v>
      </c>
    </row>
    <row r="466" customFormat="false" ht="15" hidden="false" customHeight="false" outlineLevel="0" collapsed="false">
      <c r="A466" s="30"/>
      <c r="B466" s="31"/>
      <c r="C466" s="32"/>
      <c r="D466" s="32"/>
      <c r="E466" s="33"/>
      <c r="F466" s="32"/>
      <c r="G466" s="32"/>
      <c r="H466" s="32"/>
      <c r="I466" s="32"/>
      <c r="J466" s="32"/>
      <c r="K466" s="32"/>
      <c r="L466" s="32"/>
      <c r="M466" s="30"/>
      <c r="N466" s="32"/>
      <c r="O466" s="34"/>
      <c r="P466" s="32"/>
      <c r="Q466" s="32"/>
      <c r="R466" s="32"/>
      <c r="S466" s="32"/>
      <c r="T466" s="32"/>
      <c r="U466" s="32"/>
      <c r="V466" s="31"/>
      <c r="W466" s="35" t="str">
        <f aca="true">IF(OR(V466="",AG466&gt;=8),"",IF(V466&lt;TODAY(),"Vencida",IF(V466=TODAY(),"Hoy","")))</f>
        <v/>
      </c>
      <c r="X466" s="36" t="str">
        <f aca="false">IF(A466="","",IF(COUNTIF(Seguimiento!$B$2:$B$5001,A466)=0,"",_xlfn.MAXIFS(Seguimiento!$A$2:$A$5001,Seguimiento!$B$2:$B$5001,A466)))</f>
        <v/>
      </c>
      <c r="Y466" s="37" t="str">
        <f aca="true">IF(B466="","",TODAY()-B466)</f>
        <v/>
      </c>
      <c r="Z466" s="38" t="str">
        <f aca="false">IF(OR(O466="",G466=""),"",O466*IFERROR(INDEX(Listas!$B$2:$B$50,MATCH(G466,Listas!$A$2:$A$50,0)),0))</f>
        <v/>
      </c>
      <c r="AA466" s="32"/>
      <c r="AB466" s="32"/>
      <c r="AC466" s="32"/>
      <c r="AD466" s="35" t="str">
        <f aca="false">IF(OR(LEFT(H466,4)="Meta",LEFT(H466,6)="Google"),IF(AG466=3,"Lead calificado",IF(OR(AG466=4,AG466=5),"Tasación/visita",IF(OR(AG466=6,AG466=7),"Captación/oferta",IF(AG466=8,"Cierre","")))),"")</f>
        <v/>
      </c>
      <c r="AE466" s="32"/>
      <c r="AF466" s="32"/>
      <c r="AG466" s="37" t="n">
        <f aca="false">IF(R466="",0,IFERROR(MATCH(R466,Listas!$L$2:$L$50,0),0))</f>
        <v>0</v>
      </c>
    </row>
    <row r="467" customFormat="false" ht="15" hidden="false" customHeight="false" outlineLevel="0" collapsed="false">
      <c r="A467" s="30"/>
      <c r="B467" s="31"/>
      <c r="C467" s="32"/>
      <c r="D467" s="32"/>
      <c r="E467" s="33"/>
      <c r="F467" s="32"/>
      <c r="G467" s="32"/>
      <c r="H467" s="32"/>
      <c r="I467" s="32"/>
      <c r="J467" s="32"/>
      <c r="K467" s="32"/>
      <c r="L467" s="32"/>
      <c r="M467" s="30"/>
      <c r="N467" s="32"/>
      <c r="O467" s="34"/>
      <c r="P467" s="32"/>
      <c r="Q467" s="32"/>
      <c r="R467" s="32"/>
      <c r="S467" s="32"/>
      <c r="T467" s="32"/>
      <c r="U467" s="32"/>
      <c r="V467" s="31"/>
      <c r="W467" s="35" t="str">
        <f aca="true">IF(OR(V467="",AG467&gt;=8),"",IF(V467&lt;TODAY(),"Vencida",IF(V467=TODAY(),"Hoy","")))</f>
        <v/>
      </c>
      <c r="X467" s="36" t="str">
        <f aca="false">IF(A467="","",IF(COUNTIF(Seguimiento!$B$2:$B$5001,A467)=0,"",_xlfn.MAXIFS(Seguimiento!$A$2:$A$5001,Seguimiento!$B$2:$B$5001,A467)))</f>
        <v/>
      </c>
      <c r="Y467" s="37" t="str">
        <f aca="true">IF(B467="","",TODAY()-B467)</f>
        <v/>
      </c>
      <c r="Z467" s="38" t="str">
        <f aca="false">IF(OR(O467="",G467=""),"",O467*IFERROR(INDEX(Listas!$B$2:$B$50,MATCH(G467,Listas!$A$2:$A$50,0)),0))</f>
        <v/>
      </c>
      <c r="AA467" s="32"/>
      <c r="AB467" s="32"/>
      <c r="AC467" s="32"/>
      <c r="AD467" s="35" t="str">
        <f aca="false">IF(OR(LEFT(H467,4)="Meta",LEFT(H467,6)="Google"),IF(AG467=3,"Lead calificado",IF(OR(AG467=4,AG467=5),"Tasación/visita",IF(OR(AG467=6,AG467=7),"Captación/oferta",IF(AG467=8,"Cierre","")))),"")</f>
        <v/>
      </c>
      <c r="AE467" s="32"/>
      <c r="AF467" s="32"/>
      <c r="AG467" s="37" t="n">
        <f aca="false">IF(R467="",0,IFERROR(MATCH(R467,Listas!$L$2:$L$50,0),0))</f>
        <v>0</v>
      </c>
    </row>
    <row r="468" customFormat="false" ht="15" hidden="false" customHeight="false" outlineLevel="0" collapsed="false">
      <c r="A468" s="30"/>
      <c r="B468" s="31"/>
      <c r="C468" s="32"/>
      <c r="D468" s="32"/>
      <c r="E468" s="33"/>
      <c r="F468" s="32"/>
      <c r="G468" s="32"/>
      <c r="H468" s="32"/>
      <c r="I468" s="32"/>
      <c r="J468" s="32"/>
      <c r="K468" s="32"/>
      <c r="L468" s="32"/>
      <c r="M468" s="30"/>
      <c r="N468" s="32"/>
      <c r="O468" s="34"/>
      <c r="P468" s="32"/>
      <c r="Q468" s="32"/>
      <c r="R468" s="32"/>
      <c r="S468" s="32"/>
      <c r="T468" s="32"/>
      <c r="U468" s="32"/>
      <c r="V468" s="31"/>
      <c r="W468" s="35" t="str">
        <f aca="true">IF(OR(V468="",AG468&gt;=8),"",IF(V468&lt;TODAY(),"Vencida",IF(V468=TODAY(),"Hoy","")))</f>
        <v/>
      </c>
      <c r="X468" s="36" t="str">
        <f aca="false">IF(A468="","",IF(COUNTIF(Seguimiento!$B$2:$B$5001,A468)=0,"",_xlfn.MAXIFS(Seguimiento!$A$2:$A$5001,Seguimiento!$B$2:$B$5001,A468)))</f>
        <v/>
      </c>
      <c r="Y468" s="37" t="str">
        <f aca="true">IF(B468="","",TODAY()-B468)</f>
        <v/>
      </c>
      <c r="Z468" s="38" t="str">
        <f aca="false">IF(OR(O468="",G468=""),"",O468*IFERROR(INDEX(Listas!$B$2:$B$50,MATCH(G468,Listas!$A$2:$A$50,0)),0))</f>
        <v/>
      </c>
      <c r="AA468" s="32"/>
      <c r="AB468" s="32"/>
      <c r="AC468" s="32"/>
      <c r="AD468" s="35" t="str">
        <f aca="false">IF(OR(LEFT(H468,4)="Meta",LEFT(H468,6)="Google"),IF(AG468=3,"Lead calificado",IF(OR(AG468=4,AG468=5),"Tasación/visita",IF(OR(AG468=6,AG468=7),"Captación/oferta",IF(AG468=8,"Cierre","")))),"")</f>
        <v/>
      </c>
      <c r="AE468" s="32"/>
      <c r="AF468" s="32"/>
      <c r="AG468" s="37" t="n">
        <f aca="false">IF(R468="",0,IFERROR(MATCH(R468,Listas!$L$2:$L$50,0),0))</f>
        <v>0</v>
      </c>
    </row>
    <row r="469" customFormat="false" ht="15" hidden="false" customHeight="false" outlineLevel="0" collapsed="false">
      <c r="A469" s="30"/>
      <c r="B469" s="31"/>
      <c r="C469" s="32"/>
      <c r="D469" s="32"/>
      <c r="E469" s="33"/>
      <c r="F469" s="32"/>
      <c r="G469" s="32"/>
      <c r="H469" s="32"/>
      <c r="I469" s="32"/>
      <c r="J469" s="32"/>
      <c r="K469" s="32"/>
      <c r="L469" s="32"/>
      <c r="M469" s="30"/>
      <c r="N469" s="32"/>
      <c r="O469" s="34"/>
      <c r="P469" s="32"/>
      <c r="Q469" s="32"/>
      <c r="R469" s="32"/>
      <c r="S469" s="32"/>
      <c r="T469" s="32"/>
      <c r="U469" s="32"/>
      <c r="V469" s="31"/>
      <c r="W469" s="35" t="str">
        <f aca="true">IF(OR(V469="",AG469&gt;=8),"",IF(V469&lt;TODAY(),"Vencida",IF(V469=TODAY(),"Hoy","")))</f>
        <v/>
      </c>
      <c r="X469" s="36" t="str">
        <f aca="false">IF(A469="","",IF(COUNTIF(Seguimiento!$B$2:$B$5001,A469)=0,"",_xlfn.MAXIFS(Seguimiento!$A$2:$A$5001,Seguimiento!$B$2:$B$5001,A469)))</f>
        <v/>
      </c>
      <c r="Y469" s="37" t="str">
        <f aca="true">IF(B469="","",TODAY()-B469)</f>
        <v/>
      </c>
      <c r="Z469" s="38" t="str">
        <f aca="false">IF(OR(O469="",G469=""),"",O469*IFERROR(INDEX(Listas!$B$2:$B$50,MATCH(G469,Listas!$A$2:$A$50,0)),0))</f>
        <v/>
      </c>
      <c r="AA469" s="32"/>
      <c r="AB469" s="32"/>
      <c r="AC469" s="32"/>
      <c r="AD469" s="35" t="str">
        <f aca="false">IF(OR(LEFT(H469,4)="Meta",LEFT(H469,6)="Google"),IF(AG469=3,"Lead calificado",IF(OR(AG469=4,AG469=5),"Tasación/visita",IF(OR(AG469=6,AG469=7),"Captación/oferta",IF(AG469=8,"Cierre","")))),"")</f>
        <v/>
      </c>
      <c r="AE469" s="32"/>
      <c r="AF469" s="32"/>
      <c r="AG469" s="37" t="n">
        <f aca="false">IF(R469="",0,IFERROR(MATCH(R469,Listas!$L$2:$L$50,0),0))</f>
        <v>0</v>
      </c>
    </row>
    <row r="470" customFormat="false" ht="15" hidden="false" customHeight="false" outlineLevel="0" collapsed="false">
      <c r="A470" s="30"/>
      <c r="B470" s="31"/>
      <c r="C470" s="32"/>
      <c r="D470" s="32"/>
      <c r="E470" s="33"/>
      <c r="F470" s="32"/>
      <c r="G470" s="32"/>
      <c r="H470" s="32"/>
      <c r="I470" s="32"/>
      <c r="J470" s="32"/>
      <c r="K470" s="32"/>
      <c r="L470" s="32"/>
      <c r="M470" s="30"/>
      <c r="N470" s="32"/>
      <c r="O470" s="34"/>
      <c r="P470" s="32"/>
      <c r="Q470" s="32"/>
      <c r="R470" s="32"/>
      <c r="S470" s="32"/>
      <c r="T470" s="32"/>
      <c r="U470" s="32"/>
      <c r="V470" s="31"/>
      <c r="W470" s="35" t="str">
        <f aca="true">IF(OR(V470="",AG470&gt;=8),"",IF(V470&lt;TODAY(),"Vencida",IF(V470=TODAY(),"Hoy","")))</f>
        <v/>
      </c>
      <c r="X470" s="36" t="str">
        <f aca="false">IF(A470="","",IF(COUNTIF(Seguimiento!$B$2:$B$5001,A470)=0,"",_xlfn.MAXIFS(Seguimiento!$A$2:$A$5001,Seguimiento!$B$2:$B$5001,A470)))</f>
        <v/>
      </c>
      <c r="Y470" s="37" t="str">
        <f aca="true">IF(B470="","",TODAY()-B470)</f>
        <v/>
      </c>
      <c r="Z470" s="38" t="str">
        <f aca="false">IF(OR(O470="",G470=""),"",O470*IFERROR(INDEX(Listas!$B$2:$B$50,MATCH(G470,Listas!$A$2:$A$50,0)),0))</f>
        <v/>
      </c>
      <c r="AA470" s="32"/>
      <c r="AB470" s="32"/>
      <c r="AC470" s="32"/>
      <c r="AD470" s="35" t="str">
        <f aca="false">IF(OR(LEFT(H470,4)="Meta",LEFT(H470,6)="Google"),IF(AG470=3,"Lead calificado",IF(OR(AG470=4,AG470=5),"Tasación/visita",IF(OR(AG470=6,AG470=7),"Captación/oferta",IF(AG470=8,"Cierre","")))),"")</f>
        <v/>
      </c>
      <c r="AE470" s="32"/>
      <c r="AF470" s="32"/>
      <c r="AG470" s="37" t="n">
        <f aca="false">IF(R470="",0,IFERROR(MATCH(R470,Listas!$L$2:$L$50,0),0))</f>
        <v>0</v>
      </c>
    </row>
    <row r="471" customFormat="false" ht="15" hidden="false" customHeight="false" outlineLevel="0" collapsed="false">
      <c r="A471" s="30"/>
      <c r="B471" s="31"/>
      <c r="C471" s="32"/>
      <c r="D471" s="32"/>
      <c r="E471" s="33"/>
      <c r="F471" s="32"/>
      <c r="G471" s="32"/>
      <c r="H471" s="32"/>
      <c r="I471" s="32"/>
      <c r="J471" s="32"/>
      <c r="K471" s="32"/>
      <c r="L471" s="32"/>
      <c r="M471" s="30"/>
      <c r="N471" s="32"/>
      <c r="O471" s="34"/>
      <c r="P471" s="32"/>
      <c r="Q471" s="32"/>
      <c r="R471" s="32"/>
      <c r="S471" s="32"/>
      <c r="T471" s="32"/>
      <c r="U471" s="32"/>
      <c r="V471" s="31"/>
      <c r="W471" s="35" t="str">
        <f aca="true">IF(OR(V471="",AG471&gt;=8),"",IF(V471&lt;TODAY(),"Vencida",IF(V471=TODAY(),"Hoy","")))</f>
        <v/>
      </c>
      <c r="X471" s="36" t="str">
        <f aca="false">IF(A471="","",IF(COUNTIF(Seguimiento!$B$2:$B$5001,A471)=0,"",_xlfn.MAXIFS(Seguimiento!$A$2:$A$5001,Seguimiento!$B$2:$B$5001,A471)))</f>
        <v/>
      </c>
      <c r="Y471" s="37" t="str">
        <f aca="true">IF(B471="","",TODAY()-B471)</f>
        <v/>
      </c>
      <c r="Z471" s="38" t="str">
        <f aca="false">IF(OR(O471="",G471=""),"",O471*IFERROR(INDEX(Listas!$B$2:$B$50,MATCH(G471,Listas!$A$2:$A$50,0)),0))</f>
        <v/>
      </c>
      <c r="AA471" s="32"/>
      <c r="AB471" s="32"/>
      <c r="AC471" s="32"/>
      <c r="AD471" s="35" t="str">
        <f aca="false">IF(OR(LEFT(H471,4)="Meta",LEFT(H471,6)="Google"),IF(AG471=3,"Lead calificado",IF(OR(AG471=4,AG471=5),"Tasación/visita",IF(OR(AG471=6,AG471=7),"Captación/oferta",IF(AG471=8,"Cierre","")))),"")</f>
        <v/>
      </c>
      <c r="AE471" s="32"/>
      <c r="AF471" s="32"/>
      <c r="AG471" s="37" t="n">
        <f aca="false">IF(R471="",0,IFERROR(MATCH(R471,Listas!$L$2:$L$50,0),0))</f>
        <v>0</v>
      </c>
    </row>
    <row r="472" customFormat="false" ht="15" hidden="false" customHeight="false" outlineLevel="0" collapsed="false">
      <c r="A472" s="30"/>
      <c r="B472" s="31"/>
      <c r="C472" s="32"/>
      <c r="D472" s="32"/>
      <c r="E472" s="33"/>
      <c r="F472" s="32"/>
      <c r="G472" s="32"/>
      <c r="H472" s="32"/>
      <c r="I472" s="32"/>
      <c r="J472" s="32"/>
      <c r="K472" s="32"/>
      <c r="L472" s="32"/>
      <c r="M472" s="30"/>
      <c r="N472" s="32"/>
      <c r="O472" s="34"/>
      <c r="P472" s="32"/>
      <c r="Q472" s="32"/>
      <c r="R472" s="32"/>
      <c r="S472" s="32"/>
      <c r="T472" s="32"/>
      <c r="U472" s="32"/>
      <c r="V472" s="31"/>
      <c r="W472" s="35" t="str">
        <f aca="true">IF(OR(V472="",AG472&gt;=8),"",IF(V472&lt;TODAY(),"Vencida",IF(V472=TODAY(),"Hoy","")))</f>
        <v/>
      </c>
      <c r="X472" s="36" t="str">
        <f aca="false">IF(A472="","",IF(COUNTIF(Seguimiento!$B$2:$B$5001,A472)=0,"",_xlfn.MAXIFS(Seguimiento!$A$2:$A$5001,Seguimiento!$B$2:$B$5001,A472)))</f>
        <v/>
      </c>
      <c r="Y472" s="37" t="str">
        <f aca="true">IF(B472="","",TODAY()-B472)</f>
        <v/>
      </c>
      <c r="Z472" s="38" t="str">
        <f aca="false">IF(OR(O472="",G472=""),"",O472*IFERROR(INDEX(Listas!$B$2:$B$50,MATCH(G472,Listas!$A$2:$A$50,0)),0))</f>
        <v/>
      </c>
      <c r="AA472" s="32"/>
      <c r="AB472" s="32"/>
      <c r="AC472" s="32"/>
      <c r="AD472" s="35" t="str">
        <f aca="false">IF(OR(LEFT(H472,4)="Meta",LEFT(H472,6)="Google"),IF(AG472=3,"Lead calificado",IF(OR(AG472=4,AG472=5),"Tasación/visita",IF(OR(AG472=6,AG472=7),"Captación/oferta",IF(AG472=8,"Cierre","")))),"")</f>
        <v/>
      </c>
      <c r="AE472" s="32"/>
      <c r="AF472" s="32"/>
      <c r="AG472" s="37" t="n">
        <f aca="false">IF(R472="",0,IFERROR(MATCH(R472,Listas!$L$2:$L$50,0),0))</f>
        <v>0</v>
      </c>
    </row>
    <row r="473" customFormat="false" ht="15" hidden="false" customHeight="false" outlineLevel="0" collapsed="false">
      <c r="A473" s="30"/>
      <c r="B473" s="31"/>
      <c r="C473" s="32"/>
      <c r="D473" s="32"/>
      <c r="E473" s="33"/>
      <c r="F473" s="32"/>
      <c r="G473" s="32"/>
      <c r="H473" s="32"/>
      <c r="I473" s="32"/>
      <c r="J473" s="32"/>
      <c r="K473" s="32"/>
      <c r="L473" s="32"/>
      <c r="M473" s="30"/>
      <c r="N473" s="32"/>
      <c r="O473" s="34"/>
      <c r="P473" s="32"/>
      <c r="Q473" s="32"/>
      <c r="R473" s="32"/>
      <c r="S473" s="32"/>
      <c r="T473" s="32"/>
      <c r="U473" s="32"/>
      <c r="V473" s="31"/>
      <c r="W473" s="35" t="str">
        <f aca="true">IF(OR(V473="",AG473&gt;=8),"",IF(V473&lt;TODAY(),"Vencida",IF(V473=TODAY(),"Hoy","")))</f>
        <v/>
      </c>
      <c r="X473" s="36" t="str">
        <f aca="false">IF(A473="","",IF(COUNTIF(Seguimiento!$B$2:$B$5001,A473)=0,"",_xlfn.MAXIFS(Seguimiento!$A$2:$A$5001,Seguimiento!$B$2:$B$5001,A473)))</f>
        <v/>
      </c>
      <c r="Y473" s="37" t="str">
        <f aca="true">IF(B473="","",TODAY()-B473)</f>
        <v/>
      </c>
      <c r="Z473" s="38" t="str">
        <f aca="false">IF(OR(O473="",G473=""),"",O473*IFERROR(INDEX(Listas!$B$2:$B$50,MATCH(G473,Listas!$A$2:$A$50,0)),0))</f>
        <v/>
      </c>
      <c r="AA473" s="32"/>
      <c r="AB473" s="32"/>
      <c r="AC473" s="32"/>
      <c r="AD473" s="35" t="str">
        <f aca="false">IF(OR(LEFT(H473,4)="Meta",LEFT(H473,6)="Google"),IF(AG473=3,"Lead calificado",IF(OR(AG473=4,AG473=5),"Tasación/visita",IF(OR(AG473=6,AG473=7),"Captación/oferta",IF(AG473=8,"Cierre","")))),"")</f>
        <v/>
      </c>
      <c r="AE473" s="32"/>
      <c r="AF473" s="32"/>
      <c r="AG473" s="37" t="n">
        <f aca="false">IF(R473="",0,IFERROR(MATCH(R473,Listas!$L$2:$L$50,0),0))</f>
        <v>0</v>
      </c>
    </row>
    <row r="474" customFormat="false" ht="15" hidden="false" customHeight="false" outlineLevel="0" collapsed="false">
      <c r="A474" s="30"/>
      <c r="B474" s="31"/>
      <c r="C474" s="32"/>
      <c r="D474" s="32"/>
      <c r="E474" s="33"/>
      <c r="F474" s="32"/>
      <c r="G474" s="32"/>
      <c r="H474" s="32"/>
      <c r="I474" s="32"/>
      <c r="J474" s="32"/>
      <c r="K474" s="32"/>
      <c r="L474" s="32"/>
      <c r="M474" s="30"/>
      <c r="N474" s="32"/>
      <c r="O474" s="34"/>
      <c r="P474" s="32"/>
      <c r="Q474" s="32"/>
      <c r="R474" s="32"/>
      <c r="S474" s="32"/>
      <c r="T474" s="32"/>
      <c r="U474" s="32"/>
      <c r="V474" s="31"/>
      <c r="W474" s="35" t="str">
        <f aca="true">IF(OR(V474="",AG474&gt;=8),"",IF(V474&lt;TODAY(),"Vencida",IF(V474=TODAY(),"Hoy","")))</f>
        <v/>
      </c>
      <c r="X474" s="36" t="str">
        <f aca="false">IF(A474="","",IF(COUNTIF(Seguimiento!$B$2:$B$5001,A474)=0,"",_xlfn.MAXIFS(Seguimiento!$A$2:$A$5001,Seguimiento!$B$2:$B$5001,A474)))</f>
        <v/>
      </c>
      <c r="Y474" s="37" t="str">
        <f aca="true">IF(B474="","",TODAY()-B474)</f>
        <v/>
      </c>
      <c r="Z474" s="38" t="str">
        <f aca="false">IF(OR(O474="",G474=""),"",O474*IFERROR(INDEX(Listas!$B$2:$B$50,MATCH(G474,Listas!$A$2:$A$50,0)),0))</f>
        <v/>
      </c>
      <c r="AA474" s="32"/>
      <c r="AB474" s="32"/>
      <c r="AC474" s="32"/>
      <c r="AD474" s="35" t="str">
        <f aca="false">IF(OR(LEFT(H474,4)="Meta",LEFT(H474,6)="Google"),IF(AG474=3,"Lead calificado",IF(OR(AG474=4,AG474=5),"Tasación/visita",IF(OR(AG474=6,AG474=7),"Captación/oferta",IF(AG474=8,"Cierre","")))),"")</f>
        <v/>
      </c>
      <c r="AE474" s="32"/>
      <c r="AF474" s="32"/>
      <c r="AG474" s="37" t="n">
        <f aca="false">IF(R474="",0,IFERROR(MATCH(R474,Listas!$L$2:$L$50,0),0))</f>
        <v>0</v>
      </c>
    </row>
    <row r="475" customFormat="false" ht="15" hidden="false" customHeight="false" outlineLevel="0" collapsed="false">
      <c r="A475" s="30"/>
      <c r="B475" s="31"/>
      <c r="C475" s="32"/>
      <c r="D475" s="32"/>
      <c r="E475" s="33"/>
      <c r="F475" s="32"/>
      <c r="G475" s="32"/>
      <c r="H475" s="32"/>
      <c r="I475" s="32"/>
      <c r="J475" s="32"/>
      <c r="K475" s="32"/>
      <c r="L475" s="32"/>
      <c r="M475" s="30"/>
      <c r="N475" s="32"/>
      <c r="O475" s="34"/>
      <c r="P475" s="32"/>
      <c r="Q475" s="32"/>
      <c r="R475" s="32"/>
      <c r="S475" s="32"/>
      <c r="T475" s="32"/>
      <c r="U475" s="32"/>
      <c r="V475" s="31"/>
      <c r="W475" s="35" t="str">
        <f aca="true">IF(OR(V475="",AG475&gt;=8),"",IF(V475&lt;TODAY(),"Vencida",IF(V475=TODAY(),"Hoy","")))</f>
        <v/>
      </c>
      <c r="X475" s="36" t="str">
        <f aca="false">IF(A475="","",IF(COUNTIF(Seguimiento!$B$2:$B$5001,A475)=0,"",_xlfn.MAXIFS(Seguimiento!$A$2:$A$5001,Seguimiento!$B$2:$B$5001,A475)))</f>
        <v/>
      </c>
      <c r="Y475" s="37" t="str">
        <f aca="true">IF(B475="","",TODAY()-B475)</f>
        <v/>
      </c>
      <c r="Z475" s="38" t="str">
        <f aca="false">IF(OR(O475="",G475=""),"",O475*IFERROR(INDEX(Listas!$B$2:$B$50,MATCH(G475,Listas!$A$2:$A$50,0)),0))</f>
        <v/>
      </c>
      <c r="AA475" s="32"/>
      <c r="AB475" s="32"/>
      <c r="AC475" s="32"/>
      <c r="AD475" s="35" t="str">
        <f aca="false">IF(OR(LEFT(H475,4)="Meta",LEFT(H475,6)="Google"),IF(AG475=3,"Lead calificado",IF(OR(AG475=4,AG475=5),"Tasación/visita",IF(OR(AG475=6,AG475=7),"Captación/oferta",IF(AG475=8,"Cierre","")))),"")</f>
        <v/>
      </c>
      <c r="AE475" s="32"/>
      <c r="AF475" s="32"/>
      <c r="AG475" s="37" t="n">
        <f aca="false">IF(R475="",0,IFERROR(MATCH(R475,Listas!$L$2:$L$50,0),0))</f>
        <v>0</v>
      </c>
    </row>
    <row r="476" customFormat="false" ht="15" hidden="false" customHeight="false" outlineLevel="0" collapsed="false">
      <c r="A476" s="30"/>
      <c r="B476" s="31"/>
      <c r="C476" s="32"/>
      <c r="D476" s="32"/>
      <c r="E476" s="33"/>
      <c r="F476" s="32"/>
      <c r="G476" s="32"/>
      <c r="H476" s="32"/>
      <c r="I476" s="32"/>
      <c r="J476" s="32"/>
      <c r="K476" s="32"/>
      <c r="L476" s="32"/>
      <c r="M476" s="30"/>
      <c r="N476" s="32"/>
      <c r="O476" s="34"/>
      <c r="P476" s="32"/>
      <c r="Q476" s="32"/>
      <c r="R476" s="32"/>
      <c r="S476" s="32"/>
      <c r="T476" s="32"/>
      <c r="U476" s="32"/>
      <c r="V476" s="31"/>
      <c r="W476" s="35" t="str">
        <f aca="true">IF(OR(V476="",AG476&gt;=8),"",IF(V476&lt;TODAY(),"Vencida",IF(V476=TODAY(),"Hoy","")))</f>
        <v/>
      </c>
      <c r="X476" s="36" t="str">
        <f aca="false">IF(A476="","",IF(COUNTIF(Seguimiento!$B$2:$B$5001,A476)=0,"",_xlfn.MAXIFS(Seguimiento!$A$2:$A$5001,Seguimiento!$B$2:$B$5001,A476)))</f>
        <v/>
      </c>
      <c r="Y476" s="37" t="str">
        <f aca="true">IF(B476="","",TODAY()-B476)</f>
        <v/>
      </c>
      <c r="Z476" s="38" t="str">
        <f aca="false">IF(OR(O476="",G476=""),"",O476*IFERROR(INDEX(Listas!$B$2:$B$50,MATCH(G476,Listas!$A$2:$A$50,0)),0))</f>
        <v/>
      </c>
      <c r="AA476" s="32"/>
      <c r="AB476" s="32"/>
      <c r="AC476" s="32"/>
      <c r="AD476" s="35" t="str">
        <f aca="false">IF(OR(LEFT(H476,4)="Meta",LEFT(H476,6)="Google"),IF(AG476=3,"Lead calificado",IF(OR(AG476=4,AG476=5),"Tasación/visita",IF(OR(AG476=6,AG476=7),"Captación/oferta",IF(AG476=8,"Cierre","")))),"")</f>
        <v/>
      </c>
      <c r="AE476" s="32"/>
      <c r="AF476" s="32"/>
      <c r="AG476" s="37" t="n">
        <f aca="false">IF(R476="",0,IFERROR(MATCH(R476,Listas!$L$2:$L$50,0),0))</f>
        <v>0</v>
      </c>
    </row>
    <row r="477" customFormat="false" ht="15" hidden="false" customHeight="false" outlineLevel="0" collapsed="false">
      <c r="A477" s="30"/>
      <c r="B477" s="31"/>
      <c r="C477" s="32"/>
      <c r="D477" s="32"/>
      <c r="E477" s="33"/>
      <c r="F477" s="32"/>
      <c r="G477" s="32"/>
      <c r="H477" s="32"/>
      <c r="I477" s="32"/>
      <c r="J477" s="32"/>
      <c r="K477" s="32"/>
      <c r="L477" s="32"/>
      <c r="M477" s="30"/>
      <c r="N477" s="32"/>
      <c r="O477" s="34"/>
      <c r="P477" s="32"/>
      <c r="Q477" s="32"/>
      <c r="R477" s="32"/>
      <c r="S477" s="32"/>
      <c r="T477" s="32"/>
      <c r="U477" s="32"/>
      <c r="V477" s="31"/>
      <c r="W477" s="35" t="str">
        <f aca="true">IF(OR(V477="",AG477&gt;=8),"",IF(V477&lt;TODAY(),"Vencida",IF(V477=TODAY(),"Hoy","")))</f>
        <v/>
      </c>
      <c r="X477" s="36" t="str">
        <f aca="false">IF(A477="","",IF(COUNTIF(Seguimiento!$B$2:$B$5001,A477)=0,"",_xlfn.MAXIFS(Seguimiento!$A$2:$A$5001,Seguimiento!$B$2:$B$5001,A477)))</f>
        <v/>
      </c>
      <c r="Y477" s="37" t="str">
        <f aca="true">IF(B477="","",TODAY()-B477)</f>
        <v/>
      </c>
      <c r="Z477" s="38" t="str">
        <f aca="false">IF(OR(O477="",G477=""),"",O477*IFERROR(INDEX(Listas!$B$2:$B$50,MATCH(G477,Listas!$A$2:$A$50,0)),0))</f>
        <v/>
      </c>
      <c r="AA477" s="32"/>
      <c r="AB477" s="32"/>
      <c r="AC477" s="32"/>
      <c r="AD477" s="35" t="str">
        <f aca="false">IF(OR(LEFT(H477,4)="Meta",LEFT(H477,6)="Google"),IF(AG477=3,"Lead calificado",IF(OR(AG477=4,AG477=5),"Tasación/visita",IF(OR(AG477=6,AG477=7),"Captación/oferta",IF(AG477=8,"Cierre","")))),"")</f>
        <v/>
      </c>
      <c r="AE477" s="32"/>
      <c r="AF477" s="32"/>
      <c r="AG477" s="37" t="n">
        <f aca="false">IF(R477="",0,IFERROR(MATCH(R477,Listas!$L$2:$L$50,0),0))</f>
        <v>0</v>
      </c>
    </row>
    <row r="478" customFormat="false" ht="15" hidden="false" customHeight="false" outlineLevel="0" collapsed="false">
      <c r="A478" s="30"/>
      <c r="B478" s="31"/>
      <c r="C478" s="32"/>
      <c r="D478" s="32"/>
      <c r="E478" s="33"/>
      <c r="F478" s="32"/>
      <c r="G478" s="32"/>
      <c r="H478" s="32"/>
      <c r="I478" s="32"/>
      <c r="J478" s="32"/>
      <c r="K478" s="32"/>
      <c r="L478" s="32"/>
      <c r="M478" s="30"/>
      <c r="N478" s="32"/>
      <c r="O478" s="34"/>
      <c r="P478" s="32"/>
      <c r="Q478" s="32"/>
      <c r="R478" s="32"/>
      <c r="S478" s="32"/>
      <c r="T478" s="32"/>
      <c r="U478" s="32"/>
      <c r="V478" s="31"/>
      <c r="W478" s="35" t="str">
        <f aca="true">IF(OR(V478="",AG478&gt;=8),"",IF(V478&lt;TODAY(),"Vencida",IF(V478=TODAY(),"Hoy","")))</f>
        <v/>
      </c>
      <c r="X478" s="36" t="str">
        <f aca="false">IF(A478="","",IF(COUNTIF(Seguimiento!$B$2:$B$5001,A478)=0,"",_xlfn.MAXIFS(Seguimiento!$A$2:$A$5001,Seguimiento!$B$2:$B$5001,A478)))</f>
        <v/>
      </c>
      <c r="Y478" s="37" t="str">
        <f aca="true">IF(B478="","",TODAY()-B478)</f>
        <v/>
      </c>
      <c r="Z478" s="38" t="str">
        <f aca="false">IF(OR(O478="",G478=""),"",O478*IFERROR(INDEX(Listas!$B$2:$B$50,MATCH(G478,Listas!$A$2:$A$50,0)),0))</f>
        <v/>
      </c>
      <c r="AA478" s="32"/>
      <c r="AB478" s="32"/>
      <c r="AC478" s="32"/>
      <c r="AD478" s="35" t="str">
        <f aca="false">IF(OR(LEFT(H478,4)="Meta",LEFT(H478,6)="Google"),IF(AG478=3,"Lead calificado",IF(OR(AG478=4,AG478=5),"Tasación/visita",IF(OR(AG478=6,AG478=7),"Captación/oferta",IF(AG478=8,"Cierre","")))),"")</f>
        <v/>
      </c>
      <c r="AE478" s="32"/>
      <c r="AF478" s="32"/>
      <c r="AG478" s="37" t="n">
        <f aca="false">IF(R478="",0,IFERROR(MATCH(R478,Listas!$L$2:$L$50,0),0))</f>
        <v>0</v>
      </c>
    </row>
    <row r="479" customFormat="false" ht="15" hidden="false" customHeight="false" outlineLevel="0" collapsed="false">
      <c r="A479" s="30"/>
      <c r="B479" s="31"/>
      <c r="C479" s="32"/>
      <c r="D479" s="32"/>
      <c r="E479" s="33"/>
      <c r="F479" s="32"/>
      <c r="G479" s="32"/>
      <c r="H479" s="32"/>
      <c r="I479" s="32"/>
      <c r="J479" s="32"/>
      <c r="K479" s="32"/>
      <c r="L479" s="32"/>
      <c r="M479" s="30"/>
      <c r="N479" s="32"/>
      <c r="O479" s="34"/>
      <c r="P479" s="32"/>
      <c r="Q479" s="32"/>
      <c r="R479" s="32"/>
      <c r="S479" s="32"/>
      <c r="T479" s="32"/>
      <c r="U479" s="32"/>
      <c r="V479" s="31"/>
      <c r="W479" s="35" t="str">
        <f aca="true">IF(OR(V479="",AG479&gt;=8),"",IF(V479&lt;TODAY(),"Vencida",IF(V479=TODAY(),"Hoy","")))</f>
        <v/>
      </c>
      <c r="X479" s="36" t="str">
        <f aca="false">IF(A479="","",IF(COUNTIF(Seguimiento!$B$2:$B$5001,A479)=0,"",_xlfn.MAXIFS(Seguimiento!$A$2:$A$5001,Seguimiento!$B$2:$B$5001,A479)))</f>
        <v/>
      </c>
      <c r="Y479" s="37" t="str">
        <f aca="true">IF(B479="","",TODAY()-B479)</f>
        <v/>
      </c>
      <c r="Z479" s="38" t="str">
        <f aca="false">IF(OR(O479="",G479=""),"",O479*IFERROR(INDEX(Listas!$B$2:$B$50,MATCH(G479,Listas!$A$2:$A$50,0)),0))</f>
        <v/>
      </c>
      <c r="AA479" s="32"/>
      <c r="AB479" s="32"/>
      <c r="AC479" s="32"/>
      <c r="AD479" s="35" t="str">
        <f aca="false">IF(OR(LEFT(H479,4)="Meta",LEFT(H479,6)="Google"),IF(AG479=3,"Lead calificado",IF(OR(AG479=4,AG479=5),"Tasación/visita",IF(OR(AG479=6,AG479=7),"Captación/oferta",IF(AG479=8,"Cierre","")))),"")</f>
        <v/>
      </c>
      <c r="AE479" s="32"/>
      <c r="AF479" s="32"/>
      <c r="AG479" s="37" t="n">
        <f aca="false">IF(R479="",0,IFERROR(MATCH(R479,Listas!$L$2:$L$50,0),0))</f>
        <v>0</v>
      </c>
    </row>
    <row r="480" customFormat="false" ht="15" hidden="false" customHeight="false" outlineLevel="0" collapsed="false">
      <c r="A480" s="30"/>
      <c r="B480" s="31"/>
      <c r="C480" s="32"/>
      <c r="D480" s="32"/>
      <c r="E480" s="33"/>
      <c r="F480" s="32"/>
      <c r="G480" s="32"/>
      <c r="H480" s="32"/>
      <c r="I480" s="32"/>
      <c r="J480" s="32"/>
      <c r="K480" s="32"/>
      <c r="L480" s="32"/>
      <c r="M480" s="30"/>
      <c r="N480" s="32"/>
      <c r="O480" s="34"/>
      <c r="P480" s="32"/>
      <c r="Q480" s="32"/>
      <c r="R480" s="32"/>
      <c r="S480" s="32"/>
      <c r="T480" s="32"/>
      <c r="U480" s="32"/>
      <c r="V480" s="31"/>
      <c r="W480" s="35" t="str">
        <f aca="true">IF(OR(V480="",AG480&gt;=8),"",IF(V480&lt;TODAY(),"Vencida",IF(V480=TODAY(),"Hoy","")))</f>
        <v/>
      </c>
      <c r="X480" s="36" t="str">
        <f aca="false">IF(A480="","",IF(COUNTIF(Seguimiento!$B$2:$B$5001,A480)=0,"",_xlfn.MAXIFS(Seguimiento!$A$2:$A$5001,Seguimiento!$B$2:$B$5001,A480)))</f>
        <v/>
      </c>
      <c r="Y480" s="37" t="str">
        <f aca="true">IF(B480="","",TODAY()-B480)</f>
        <v/>
      </c>
      <c r="Z480" s="38" t="str">
        <f aca="false">IF(OR(O480="",G480=""),"",O480*IFERROR(INDEX(Listas!$B$2:$B$50,MATCH(G480,Listas!$A$2:$A$50,0)),0))</f>
        <v/>
      </c>
      <c r="AA480" s="32"/>
      <c r="AB480" s="32"/>
      <c r="AC480" s="32"/>
      <c r="AD480" s="35" t="str">
        <f aca="false">IF(OR(LEFT(H480,4)="Meta",LEFT(H480,6)="Google"),IF(AG480=3,"Lead calificado",IF(OR(AG480=4,AG480=5),"Tasación/visita",IF(OR(AG480=6,AG480=7),"Captación/oferta",IF(AG480=8,"Cierre","")))),"")</f>
        <v/>
      </c>
      <c r="AE480" s="32"/>
      <c r="AF480" s="32"/>
      <c r="AG480" s="37" t="n">
        <f aca="false">IF(R480="",0,IFERROR(MATCH(R480,Listas!$L$2:$L$50,0),0))</f>
        <v>0</v>
      </c>
    </row>
    <row r="481" customFormat="false" ht="15" hidden="false" customHeight="false" outlineLevel="0" collapsed="false">
      <c r="A481" s="30"/>
      <c r="B481" s="31"/>
      <c r="C481" s="32"/>
      <c r="D481" s="32"/>
      <c r="E481" s="33"/>
      <c r="F481" s="32"/>
      <c r="G481" s="32"/>
      <c r="H481" s="32"/>
      <c r="I481" s="32"/>
      <c r="J481" s="32"/>
      <c r="K481" s="32"/>
      <c r="L481" s="32"/>
      <c r="M481" s="30"/>
      <c r="N481" s="32"/>
      <c r="O481" s="34"/>
      <c r="P481" s="32"/>
      <c r="Q481" s="32"/>
      <c r="R481" s="32"/>
      <c r="S481" s="32"/>
      <c r="T481" s="32"/>
      <c r="U481" s="32"/>
      <c r="V481" s="31"/>
      <c r="W481" s="35" t="str">
        <f aca="true">IF(OR(V481="",AG481&gt;=8),"",IF(V481&lt;TODAY(),"Vencida",IF(V481=TODAY(),"Hoy","")))</f>
        <v/>
      </c>
      <c r="X481" s="36" t="str">
        <f aca="false">IF(A481="","",IF(COUNTIF(Seguimiento!$B$2:$B$5001,A481)=0,"",_xlfn.MAXIFS(Seguimiento!$A$2:$A$5001,Seguimiento!$B$2:$B$5001,A481)))</f>
        <v/>
      </c>
      <c r="Y481" s="37" t="str">
        <f aca="true">IF(B481="","",TODAY()-B481)</f>
        <v/>
      </c>
      <c r="Z481" s="38" t="str">
        <f aca="false">IF(OR(O481="",G481=""),"",O481*IFERROR(INDEX(Listas!$B$2:$B$50,MATCH(G481,Listas!$A$2:$A$50,0)),0))</f>
        <v/>
      </c>
      <c r="AA481" s="32"/>
      <c r="AB481" s="32"/>
      <c r="AC481" s="32"/>
      <c r="AD481" s="35" t="str">
        <f aca="false">IF(OR(LEFT(H481,4)="Meta",LEFT(H481,6)="Google"),IF(AG481=3,"Lead calificado",IF(OR(AG481=4,AG481=5),"Tasación/visita",IF(OR(AG481=6,AG481=7),"Captación/oferta",IF(AG481=8,"Cierre","")))),"")</f>
        <v/>
      </c>
      <c r="AE481" s="32"/>
      <c r="AF481" s="32"/>
      <c r="AG481" s="37" t="n">
        <f aca="false">IF(R481="",0,IFERROR(MATCH(R481,Listas!$L$2:$L$50,0),0))</f>
        <v>0</v>
      </c>
    </row>
    <row r="482" customFormat="false" ht="15" hidden="false" customHeight="false" outlineLevel="0" collapsed="false">
      <c r="A482" s="30"/>
      <c r="B482" s="31"/>
      <c r="C482" s="32"/>
      <c r="D482" s="32"/>
      <c r="E482" s="33"/>
      <c r="F482" s="32"/>
      <c r="G482" s="32"/>
      <c r="H482" s="32"/>
      <c r="I482" s="32"/>
      <c r="J482" s="32"/>
      <c r="K482" s="32"/>
      <c r="L482" s="32"/>
      <c r="M482" s="30"/>
      <c r="N482" s="32"/>
      <c r="O482" s="34"/>
      <c r="P482" s="32"/>
      <c r="Q482" s="32"/>
      <c r="R482" s="32"/>
      <c r="S482" s="32"/>
      <c r="T482" s="32"/>
      <c r="U482" s="32"/>
      <c r="V482" s="31"/>
      <c r="W482" s="35" t="str">
        <f aca="true">IF(OR(V482="",AG482&gt;=8),"",IF(V482&lt;TODAY(),"Vencida",IF(V482=TODAY(),"Hoy","")))</f>
        <v/>
      </c>
      <c r="X482" s="36" t="str">
        <f aca="false">IF(A482="","",IF(COUNTIF(Seguimiento!$B$2:$B$5001,A482)=0,"",_xlfn.MAXIFS(Seguimiento!$A$2:$A$5001,Seguimiento!$B$2:$B$5001,A482)))</f>
        <v/>
      </c>
      <c r="Y482" s="37" t="str">
        <f aca="true">IF(B482="","",TODAY()-B482)</f>
        <v/>
      </c>
      <c r="Z482" s="38" t="str">
        <f aca="false">IF(OR(O482="",G482=""),"",O482*IFERROR(INDEX(Listas!$B$2:$B$50,MATCH(G482,Listas!$A$2:$A$50,0)),0))</f>
        <v/>
      </c>
      <c r="AA482" s="32"/>
      <c r="AB482" s="32"/>
      <c r="AC482" s="32"/>
      <c r="AD482" s="35" t="str">
        <f aca="false">IF(OR(LEFT(H482,4)="Meta",LEFT(H482,6)="Google"),IF(AG482=3,"Lead calificado",IF(OR(AG482=4,AG482=5),"Tasación/visita",IF(OR(AG482=6,AG482=7),"Captación/oferta",IF(AG482=8,"Cierre","")))),"")</f>
        <v/>
      </c>
      <c r="AE482" s="32"/>
      <c r="AF482" s="32"/>
      <c r="AG482" s="37" t="n">
        <f aca="false">IF(R482="",0,IFERROR(MATCH(R482,Listas!$L$2:$L$50,0),0))</f>
        <v>0</v>
      </c>
    </row>
    <row r="483" customFormat="false" ht="15" hidden="false" customHeight="false" outlineLevel="0" collapsed="false">
      <c r="A483" s="30"/>
      <c r="B483" s="31"/>
      <c r="C483" s="32"/>
      <c r="D483" s="32"/>
      <c r="E483" s="33"/>
      <c r="F483" s="32"/>
      <c r="G483" s="32"/>
      <c r="H483" s="32"/>
      <c r="I483" s="32"/>
      <c r="J483" s="32"/>
      <c r="K483" s="32"/>
      <c r="L483" s="32"/>
      <c r="M483" s="30"/>
      <c r="N483" s="32"/>
      <c r="O483" s="34"/>
      <c r="P483" s="32"/>
      <c r="Q483" s="32"/>
      <c r="R483" s="32"/>
      <c r="S483" s="32"/>
      <c r="T483" s="32"/>
      <c r="U483" s="32"/>
      <c r="V483" s="31"/>
      <c r="W483" s="35" t="str">
        <f aca="true">IF(OR(V483="",AG483&gt;=8),"",IF(V483&lt;TODAY(),"Vencida",IF(V483=TODAY(),"Hoy","")))</f>
        <v/>
      </c>
      <c r="X483" s="36" t="str">
        <f aca="false">IF(A483="","",IF(COUNTIF(Seguimiento!$B$2:$B$5001,A483)=0,"",_xlfn.MAXIFS(Seguimiento!$A$2:$A$5001,Seguimiento!$B$2:$B$5001,A483)))</f>
        <v/>
      </c>
      <c r="Y483" s="37" t="str">
        <f aca="true">IF(B483="","",TODAY()-B483)</f>
        <v/>
      </c>
      <c r="Z483" s="38" t="str">
        <f aca="false">IF(OR(O483="",G483=""),"",O483*IFERROR(INDEX(Listas!$B$2:$B$50,MATCH(G483,Listas!$A$2:$A$50,0)),0))</f>
        <v/>
      </c>
      <c r="AA483" s="32"/>
      <c r="AB483" s="32"/>
      <c r="AC483" s="32"/>
      <c r="AD483" s="35" t="str">
        <f aca="false">IF(OR(LEFT(H483,4)="Meta",LEFT(H483,6)="Google"),IF(AG483=3,"Lead calificado",IF(OR(AG483=4,AG483=5),"Tasación/visita",IF(OR(AG483=6,AG483=7),"Captación/oferta",IF(AG483=8,"Cierre","")))),"")</f>
        <v/>
      </c>
      <c r="AE483" s="32"/>
      <c r="AF483" s="32"/>
      <c r="AG483" s="37" t="n">
        <f aca="false">IF(R483="",0,IFERROR(MATCH(R483,Listas!$L$2:$L$50,0),0))</f>
        <v>0</v>
      </c>
    </row>
    <row r="484" customFormat="false" ht="15" hidden="false" customHeight="false" outlineLevel="0" collapsed="false">
      <c r="A484" s="30"/>
      <c r="B484" s="31"/>
      <c r="C484" s="32"/>
      <c r="D484" s="32"/>
      <c r="E484" s="33"/>
      <c r="F484" s="32"/>
      <c r="G484" s="32"/>
      <c r="H484" s="32"/>
      <c r="I484" s="32"/>
      <c r="J484" s="32"/>
      <c r="K484" s="32"/>
      <c r="L484" s="32"/>
      <c r="M484" s="30"/>
      <c r="N484" s="32"/>
      <c r="O484" s="34"/>
      <c r="P484" s="32"/>
      <c r="Q484" s="32"/>
      <c r="R484" s="32"/>
      <c r="S484" s="32"/>
      <c r="T484" s="32"/>
      <c r="U484" s="32"/>
      <c r="V484" s="31"/>
      <c r="W484" s="35" t="str">
        <f aca="true">IF(OR(V484="",AG484&gt;=8),"",IF(V484&lt;TODAY(),"Vencida",IF(V484=TODAY(),"Hoy","")))</f>
        <v/>
      </c>
      <c r="X484" s="36" t="str">
        <f aca="false">IF(A484="","",IF(COUNTIF(Seguimiento!$B$2:$B$5001,A484)=0,"",_xlfn.MAXIFS(Seguimiento!$A$2:$A$5001,Seguimiento!$B$2:$B$5001,A484)))</f>
        <v/>
      </c>
      <c r="Y484" s="37" t="str">
        <f aca="true">IF(B484="","",TODAY()-B484)</f>
        <v/>
      </c>
      <c r="Z484" s="38" t="str">
        <f aca="false">IF(OR(O484="",G484=""),"",O484*IFERROR(INDEX(Listas!$B$2:$B$50,MATCH(G484,Listas!$A$2:$A$50,0)),0))</f>
        <v/>
      </c>
      <c r="AA484" s="32"/>
      <c r="AB484" s="32"/>
      <c r="AC484" s="32"/>
      <c r="AD484" s="35" t="str">
        <f aca="false">IF(OR(LEFT(H484,4)="Meta",LEFT(H484,6)="Google"),IF(AG484=3,"Lead calificado",IF(OR(AG484=4,AG484=5),"Tasación/visita",IF(OR(AG484=6,AG484=7),"Captación/oferta",IF(AG484=8,"Cierre","")))),"")</f>
        <v/>
      </c>
      <c r="AE484" s="32"/>
      <c r="AF484" s="32"/>
      <c r="AG484" s="37" t="n">
        <f aca="false">IF(R484="",0,IFERROR(MATCH(R484,Listas!$L$2:$L$50,0),0))</f>
        <v>0</v>
      </c>
    </row>
    <row r="485" customFormat="false" ht="15" hidden="false" customHeight="false" outlineLevel="0" collapsed="false">
      <c r="A485" s="30"/>
      <c r="B485" s="31"/>
      <c r="C485" s="32"/>
      <c r="D485" s="32"/>
      <c r="E485" s="33"/>
      <c r="F485" s="32"/>
      <c r="G485" s="32"/>
      <c r="H485" s="32"/>
      <c r="I485" s="32"/>
      <c r="J485" s="32"/>
      <c r="K485" s="32"/>
      <c r="L485" s="32"/>
      <c r="M485" s="30"/>
      <c r="N485" s="32"/>
      <c r="O485" s="34"/>
      <c r="P485" s="32"/>
      <c r="Q485" s="32"/>
      <c r="R485" s="32"/>
      <c r="S485" s="32"/>
      <c r="T485" s="32"/>
      <c r="U485" s="32"/>
      <c r="V485" s="31"/>
      <c r="W485" s="35" t="str">
        <f aca="true">IF(OR(V485="",AG485&gt;=8),"",IF(V485&lt;TODAY(),"Vencida",IF(V485=TODAY(),"Hoy","")))</f>
        <v/>
      </c>
      <c r="X485" s="36" t="str">
        <f aca="false">IF(A485="","",IF(COUNTIF(Seguimiento!$B$2:$B$5001,A485)=0,"",_xlfn.MAXIFS(Seguimiento!$A$2:$A$5001,Seguimiento!$B$2:$B$5001,A485)))</f>
        <v/>
      </c>
      <c r="Y485" s="37" t="str">
        <f aca="true">IF(B485="","",TODAY()-B485)</f>
        <v/>
      </c>
      <c r="Z485" s="38" t="str">
        <f aca="false">IF(OR(O485="",G485=""),"",O485*IFERROR(INDEX(Listas!$B$2:$B$50,MATCH(G485,Listas!$A$2:$A$50,0)),0))</f>
        <v/>
      </c>
      <c r="AA485" s="32"/>
      <c r="AB485" s="32"/>
      <c r="AC485" s="32"/>
      <c r="AD485" s="35" t="str">
        <f aca="false">IF(OR(LEFT(H485,4)="Meta",LEFT(H485,6)="Google"),IF(AG485=3,"Lead calificado",IF(OR(AG485=4,AG485=5),"Tasación/visita",IF(OR(AG485=6,AG485=7),"Captación/oferta",IF(AG485=8,"Cierre","")))),"")</f>
        <v/>
      </c>
      <c r="AE485" s="32"/>
      <c r="AF485" s="32"/>
      <c r="AG485" s="37" t="n">
        <f aca="false">IF(R485="",0,IFERROR(MATCH(R485,Listas!$L$2:$L$50,0),0))</f>
        <v>0</v>
      </c>
    </row>
    <row r="486" customFormat="false" ht="15" hidden="false" customHeight="false" outlineLevel="0" collapsed="false">
      <c r="A486" s="30"/>
      <c r="B486" s="31"/>
      <c r="C486" s="32"/>
      <c r="D486" s="32"/>
      <c r="E486" s="33"/>
      <c r="F486" s="32"/>
      <c r="G486" s="32"/>
      <c r="H486" s="32"/>
      <c r="I486" s="32"/>
      <c r="J486" s="32"/>
      <c r="K486" s="32"/>
      <c r="L486" s="32"/>
      <c r="M486" s="30"/>
      <c r="N486" s="32"/>
      <c r="O486" s="34"/>
      <c r="P486" s="32"/>
      <c r="Q486" s="32"/>
      <c r="R486" s="32"/>
      <c r="S486" s="32"/>
      <c r="T486" s="32"/>
      <c r="U486" s="32"/>
      <c r="V486" s="31"/>
      <c r="W486" s="35" t="str">
        <f aca="true">IF(OR(V486="",AG486&gt;=8),"",IF(V486&lt;TODAY(),"Vencida",IF(V486=TODAY(),"Hoy","")))</f>
        <v/>
      </c>
      <c r="X486" s="36" t="str">
        <f aca="false">IF(A486="","",IF(COUNTIF(Seguimiento!$B$2:$B$5001,A486)=0,"",_xlfn.MAXIFS(Seguimiento!$A$2:$A$5001,Seguimiento!$B$2:$B$5001,A486)))</f>
        <v/>
      </c>
      <c r="Y486" s="37" t="str">
        <f aca="true">IF(B486="","",TODAY()-B486)</f>
        <v/>
      </c>
      <c r="Z486" s="38" t="str">
        <f aca="false">IF(OR(O486="",G486=""),"",O486*IFERROR(INDEX(Listas!$B$2:$B$50,MATCH(G486,Listas!$A$2:$A$50,0)),0))</f>
        <v/>
      </c>
      <c r="AA486" s="32"/>
      <c r="AB486" s="32"/>
      <c r="AC486" s="32"/>
      <c r="AD486" s="35" t="str">
        <f aca="false">IF(OR(LEFT(H486,4)="Meta",LEFT(H486,6)="Google"),IF(AG486=3,"Lead calificado",IF(OR(AG486=4,AG486=5),"Tasación/visita",IF(OR(AG486=6,AG486=7),"Captación/oferta",IF(AG486=8,"Cierre","")))),"")</f>
        <v/>
      </c>
      <c r="AE486" s="32"/>
      <c r="AF486" s="32"/>
      <c r="AG486" s="37" t="n">
        <f aca="false">IF(R486="",0,IFERROR(MATCH(R486,Listas!$L$2:$L$50,0),0))</f>
        <v>0</v>
      </c>
    </row>
    <row r="487" customFormat="false" ht="15" hidden="false" customHeight="false" outlineLevel="0" collapsed="false">
      <c r="A487" s="30"/>
      <c r="B487" s="31"/>
      <c r="C487" s="32"/>
      <c r="D487" s="32"/>
      <c r="E487" s="33"/>
      <c r="F487" s="32"/>
      <c r="G487" s="32"/>
      <c r="H487" s="32"/>
      <c r="I487" s="32"/>
      <c r="J487" s="32"/>
      <c r="K487" s="32"/>
      <c r="L487" s="32"/>
      <c r="M487" s="30"/>
      <c r="N487" s="32"/>
      <c r="O487" s="34"/>
      <c r="P487" s="32"/>
      <c r="Q487" s="32"/>
      <c r="R487" s="32"/>
      <c r="S487" s="32"/>
      <c r="T487" s="32"/>
      <c r="U487" s="32"/>
      <c r="V487" s="31"/>
      <c r="W487" s="35" t="str">
        <f aca="true">IF(OR(V487="",AG487&gt;=8),"",IF(V487&lt;TODAY(),"Vencida",IF(V487=TODAY(),"Hoy","")))</f>
        <v/>
      </c>
      <c r="X487" s="36" t="str">
        <f aca="false">IF(A487="","",IF(COUNTIF(Seguimiento!$B$2:$B$5001,A487)=0,"",_xlfn.MAXIFS(Seguimiento!$A$2:$A$5001,Seguimiento!$B$2:$B$5001,A487)))</f>
        <v/>
      </c>
      <c r="Y487" s="37" t="str">
        <f aca="true">IF(B487="","",TODAY()-B487)</f>
        <v/>
      </c>
      <c r="Z487" s="38" t="str">
        <f aca="false">IF(OR(O487="",G487=""),"",O487*IFERROR(INDEX(Listas!$B$2:$B$50,MATCH(G487,Listas!$A$2:$A$50,0)),0))</f>
        <v/>
      </c>
      <c r="AA487" s="32"/>
      <c r="AB487" s="32"/>
      <c r="AC487" s="32"/>
      <c r="AD487" s="35" t="str">
        <f aca="false">IF(OR(LEFT(H487,4)="Meta",LEFT(H487,6)="Google"),IF(AG487=3,"Lead calificado",IF(OR(AG487=4,AG487=5),"Tasación/visita",IF(OR(AG487=6,AG487=7),"Captación/oferta",IF(AG487=8,"Cierre","")))),"")</f>
        <v/>
      </c>
      <c r="AE487" s="32"/>
      <c r="AF487" s="32"/>
      <c r="AG487" s="37" t="n">
        <f aca="false">IF(R487="",0,IFERROR(MATCH(R487,Listas!$L$2:$L$50,0),0))</f>
        <v>0</v>
      </c>
    </row>
    <row r="488" customFormat="false" ht="15" hidden="false" customHeight="false" outlineLevel="0" collapsed="false">
      <c r="A488" s="30"/>
      <c r="B488" s="31"/>
      <c r="C488" s="32"/>
      <c r="D488" s="32"/>
      <c r="E488" s="33"/>
      <c r="F488" s="32"/>
      <c r="G488" s="32"/>
      <c r="H488" s="32"/>
      <c r="I488" s="32"/>
      <c r="J488" s="32"/>
      <c r="K488" s="32"/>
      <c r="L488" s="32"/>
      <c r="M488" s="30"/>
      <c r="N488" s="32"/>
      <c r="O488" s="34"/>
      <c r="P488" s="32"/>
      <c r="Q488" s="32"/>
      <c r="R488" s="32"/>
      <c r="S488" s="32"/>
      <c r="T488" s="32"/>
      <c r="U488" s="32"/>
      <c r="V488" s="31"/>
      <c r="W488" s="35" t="str">
        <f aca="true">IF(OR(V488="",AG488&gt;=8),"",IF(V488&lt;TODAY(),"Vencida",IF(V488=TODAY(),"Hoy","")))</f>
        <v/>
      </c>
      <c r="X488" s="36" t="str">
        <f aca="false">IF(A488="","",IF(COUNTIF(Seguimiento!$B$2:$B$5001,A488)=0,"",_xlfn.MAXIFS(Seguimiento!$A$2:$A$5001,Seguimiento!$B$2:$B$5001,A488)))</f>
        <v/>
      </c>
      <c r="Y488" s="37" t="str">
        <f aca="true">IF(B488="","",TODAY()-B488)</f>
        <v/>
      </c>
      <c r="Z488" s="38" t="str">
        <f aca="false">IF(OR(O488="",G488=""),"",O488*IFERROR(INDEX(Listas!$B$2:$B$50,MATCH(G488,Listas!$A$2:$A$50,0)),0))</f>
        <v/>
      </c>
      <c r="AA488" s="32"/>
      <c r="AB488" s="32"/>
      <c r="AC488" s="32"/>
      <c r="AD488" s="35" t="str">
        <f aca="false">IF(OR(LEFT(H488,4)="Meta",LEFT(H488,6)="Google"),IF(AG488=3,"Lead calificado",IF(OR(AG488=4,AG488=5),"Tasación/visita",IF(OR(AG488=6,AG488=7),"Captación/oferta",IF(AG488=8,"Cierre","")))),"")</f>
        <v/>
      </c>
      <c r="AE488" s="32"/>
      <c r="AF488" s="32"/>
      <c r="AG488" s="37" t="n">
        <f aca="false">IF(R488="",0,IFERROR(MATCH(R488,Listas!$L$2:$L$50,0),0))</f>
        <v>0</v>
      </c>
    </row>
    <row r="489" customFormat="false" ht="15" hidden="false" customHeight="false" outlineLevel="0" collapsed="false">
      <c r="A489" s="30"/>
      <c r="B489" s="31"/>
      <c r="C489" s="32"/>
      <c r="D489" s="32"/>
      <c r="E489" s="33"/>
      <c r="F489" s="32"/>
      <c r="G489" s="32"/>
      <c r="H489" s="32"/>
      <c r="I489" s="32"/>
      <c r="J489" s="32"/>
      <c r="K489" s="32"/>
      <c r="L489" s="32"/>
      <c r="M489" s="30"/>
      <c r="N489" s="32"/>
      <c r="O489" s="34"/>
      <c r="P489" s="32"/>
      <c r="Q489" s="32"/>
      <c r="R489" s="32"/>
      <c r="S489" s="32"/>
      <c r="T489" s="32"/>
      <c r="U489" s="32"/>
      <c r="V489" s="31"/>
      <c r="W489" s="35" t="str">
        <f aca="true">IF(OR(V489="",AG489&gt;=8),"",IF(V489&lt;TODAY(),"Vencida",IF(V489=TODAY(),"Hoy","")))</f>
        <v/>
      </c>
      <c r="X489" s="36" t="str">
        <f aca="false">IF(A489="","",IF(COUNTIF(Seguimiento!$B$2:$B$5001,A489)=0,"",_xlfn.MAXIFS(Seguimiento!$A$2:$A$5001,Seguimiento!$B$2:$B$5001,A489)))</f>
        <v/>
      </c>
      <c r="Y489" s="37" t="str">
        <f aca="true">IF(B489="","",TODAY()-B489)</f>
        <v/>
      </c>
      <c r="Z489" s="38" t="str">
        <f aca="false">IF(OR(O489="",G489=""),"",O489*IFERROR(INDEX(Listas!$B$2:$B$50,MATCH(G489,Listas!$A$2:$A$50,0)),0))</f>
        <v/>
      </c>
      <c r="AA489" s="32"/>
      <c r="AB489" s="32"/>
      <c r="AC489" s="32"/>
      <c r="AD489" s="35" t="str">
        <f aca="false">IF(OR(LEFT(H489,4)="Meta",LEFT(H489,6)="Google"),IF(AG489=3,"Lead calificado",IF(OR(AG489=4,AG489=5),"Tasación/visita",IF(OR(AG489=6,AG489=7),"Captación/oferta",IF(AG489=8,"Cierre","")))),"")</f>
        <v/>
      </c>
      <c r="AE489" s="32"/>
      <c r="AF489" s="32"/>
      <c r="AG489" s="37" t="n">
        <f aca="false">IF(R489="",0,IFERROR(MATCH(R489,Listas!$L$2:$L$50,0),0))</f>
        <v>0</v>
      </c>
    </row>
    <row r="490" customFormat="false" ht="15" hidden="false" customHeight="false" outlineLevel="0" collapsed="false">
      <c r="A490" s="30"/>
      <c r="B490" s="31"/>
      <c r="C490" s="32"/>
      <c r="D490" s="32"/>
      <c r="E490" s="33"/>
      <c r="F490" s="32"/>
      <c r="G490" s="32"/>
      <c r="H490" s="32"/>
      <c r="I490" s="32"/>
      <c r="J490" s="32"/>
      <c r="K490" s="32"/>
      <c r="L490" s="32"/>
      <c r="M490" s="30"/>
      <c r="N490" s="32"/>
      <c r="O490" s="34"/>
      <c r="P490" s="32"/>
      <c r="Q490" s="32"/>
      <c r="R490" s="32"/>
      <c r="S490" s="32"/>
      <c r="T490" s="32"/>
      <c r="U490" s="32"/>
      <c r="V490" s="31"/>
      <c r="W490" s="35" t="str">
        <f aca="true">IF(OR(V490="",AG490&gt;=8),"",IF(V490&lt;TODAY(),"Vencida",IF(V490=TODAY(),"Hoy","")))</f>
        <v/>
      </c>
      <c r="X490" s="36" t="str">
        <f aca="false">IF(A490="","",IF(COUNTIF(Seguimiento!$B$2:$B$5001,A490)=0,"",_xlfn.MAXIFS(Seguimiento!$A$2:$A$5001,Seguimiento!$B$2:$B$5001,A490)))</f>
        <v/>
      </c>
      <c r="Y490" s="37" t="str">
        <f aca="true">IF(B490="","",TODAY()-B490)</f>
        <v/>
      </c>
      <c r="Z490" s="38" t="str">
        <f aca="false">IF(OR(O490="",G490=""),"",O490*IFERROR(INDEX(Listas!$B$2:$B$50,MATCH(G490,Listas!$A$2:$A$50,0)),0))</f>
        <v/>
      </c>
      <c r="AA490" s="32"/>
      <c r="AB490" s="32"/>
      <c r="AC490" s="32"/>
      <c r="AD490" s="35" t="str">
        <f aca="false">IF(OR(LEFT(H490,4)="Meta",LEFT(H490,6)="Google"),IF(AG490=3,"Lead calificado",IF(OR(AG490=4,AG490=5),"Tasación/visita",IF(OR(AG490=6,AG490=7),"Captación/oferta",IF(AG490=8,"Cierre","")))),"")</f>
        <v/>
      </c>
      <c r="AE490" s="32"/>
      <c r="AF490" s="32"/>
      <c r="AG490" s="37" t="n">
        <f aca="false">IF(R490="",0,IFERROR(MATCH(R490,Listas!$L$2:$L$50,0),0))</f>
        <v>0</v>
      </c>
    </row>
    <row r="491" customFormat="false" ht="15" hidden="false" customHeight="false" outlineLevel="0" collapsed="false">
      <c r="A491" s="30"/>
      <c r="B491" s="31"/>
      <c r="C491" s="32"/>
      <c r="D491" s="32"/>
      <c r="E491" s="33"/>
      <c r="F491" s="32"/>
      <c r="G491" s="32"/>
      <c r="H491" s="32"/>
      <c r="I491" s="32"/>
      <c r="J491" s="32"/>
      <c r="K491" s="32"/>
      <c r="L491" s="32"/>
      <c r="M491" s="30"/>
      <c r="N491" s="32"/>
      <c r="O491" s="34"/>
      <c r="P491" s="32"/>
      <c r="Q491" s="32"/>
      <c r="R491" s="32"/>
      <c r="S491" s="32"/>
      <c r="T491" s="32"/>
      <c r="U491" s="32"/>
      <c r="V491" s="31"/>
      <c r="W491" s="35" t="str">
        <f aca="true">IF(OR(V491="",AG491&gt;=8),"",IF(V491&lt;TODAY(),"Vencida",IF(V491=TODAY(),"Hoy","")))</f>
        <v/>
      </c>
      <c r="X491" s="36" t="str">
        <f aca="false">IF(A491="","",IF(COUNTIF(Seguimiento!$B$2:$B$5001,A491)=0,"",_xlfn.MAXIFS(Seguimiento!$A$2:$A$5001,Seguimiento!$B$2:$B$5001,A491)))</f>
        <v/>
      </c>
      <c r="Y491" s="37" t="str">
        <f aca="true">IF(B491="","",TODAY()-B491)</f>
        <v/>
      </c>
      <c r="Z491" s="38" t="str">
        <f aca="false">IF(OR(O491="",G491=""),"",O491*IFERROR(INDEX(Listas!$B$2:$B$50,MATCH(G491,Listas!$A$2:$A$50,0)),0))</f>
        <v/>
      </c>
      <c r="AA491" s="32"/>
      <c r="AB491" s="32"/>
      <c r="AC491" s="32"/>
      <c r="AD491" s="35" t="str">
        <f aca="false">IF(OR(LEFT(H491,4)="Meta",LEFT(H491,6)="Google"),IF(AG491=3,"Lead calificado",IF(OR(AG491=4,AG491=5),"Tasación/visita",IF(OR(AG491=6,AG491=7),"Captación/oferta",IF(AG491=8,"Cierre","")))),"")</f>
        <v/>
      </c>
      <c r="AE491" s="32"/>
      <c r="AF491" s="32"/>
      <c r="AG491" s="37" t="n">
        <f aca="false">IF(R491="",0,IFERROR(MATCH(R491,Listas!$L$2:$L$50,0),0))</f>
        <v>0</v>
      </c>
    </row>
    <row r="492" customFormat="false" ht="15" hidden="false" customHeight="false" outlineLevel="0" collapsed="false">
      <c r="A492" s="30"/>
      <c r="B492" s="31"/>
      <c r="C492" s="32"/>
      <c r="D492" s="32"/>
      <c r="E492" s="33"/>
      <c r="F492" s="32"/>
      <c r="G492" s="32"/>
      <c r="H492" s="32"/>
      <c r="I492" s="32"/>
      <c r="J492" s="32"/>
      <c r="K492" s="32"/>
      <c r="L492" s="32"/>
      <c r="M492" s="30"/>
      <c r="N492" s="32"/>
      <c r="O492" s="34"/>
      <c r="P492" s="32"/>
      <c r="Q492" s="32"/>
      <c r="R492" s="32"/>
      <c r="S492" s="32"/>
      <c r="T492" s="32"/>
      <c r="U492" s="32"/>
      <c r="V492" s="31"/>
      <c r="W492" s="35" t="str">
        <f aca="true">IF(OR(V492="",AG492&gt;=8),"",IF(V492&lt;TODAY(),"Vencida",IF(V492=TODAY(),"Hoy","")))</f>
        <v/>
      </c>
      <c r="X492" s="36" t="str">
        <f aca="false">IF(A492="","",IF(COUNTIF(Seguimiento!$B$2:$B$5001,A492)=0,"",_xlfn.MAXIFS(Seguimiento!$A$2:$A$5001,Seguimiento!$B$2:$B$5001,A492)))</f>
        <v/>
      </c>
      <c r="Y492" s="37" t="str">
        <f aca="true">IF(B492="","",TODAY()-B492)</f>
        <v/>
      </c>
      <c r="Z492" s="38" t="str">
        <f aca="false">IF(OR(O492="",G492=""),"",O492*IFERROR(INDEX(Listas!$B$2:$B$50,MATCH(G492,Listas!$A$2:$A$50,0)),0))</f>
        <v/>
      </c>
      <c r="AA492" s="32"/>
      <c r="AB492" s="32"/>
      <c r="AC492" s="32"/>
      <c r="AD492" s="35" t="str">
        <f aca="false">IF(OR(LEFT(H492,4)="Meta",LEFT(H492,6)="Google"),IF(AG492=3,"Lead calificado",IF(OR(AG492=4,AG492=5),"Tasación/visita",IF(OR(AG492=6,AG492=7),"Captación/oferta",IF(AG492=8,"Cierre","")))),"")</f>
        <v/>
      </c>
      <c r="AE492" s="32"/>
      <c r="AF492" s="32"/>
      <c r="AG492" s="37" t="n">
        <f aca="false">IF(R492="",0,IFERROR(MATCH(R492,Listas!$L$2:$L$50,0),0))</f>
        <v>0</v>
      </c>
    </row>
    <row r="493" customFormat="false" ht="15" hidden="false" customHeight="false" outlineLevel="0" collapsed="false">
      <c r="A493" s="30"/>
      <c r="B493" s="31"/>
      <c r="C493" s="32"/>
      <c r="D493" s="32"/>
      <c r="E493" s="33"/>
      <c r="F493" s="32"/>
      <c r="G493" s="32"/>
      <c r="H493" s="32"/>
      <c r="I493" s="32"/>
      <c r="J493" s="32"/>
      <c r="K493" s="32"/>
      <c r="L493" s="32"/>
      <c r="M493" s="30"/>
      <c r="N493" s="32"/>
      <c r="O493" s="34"/>
      <c r="P493" s="32"/>
      <c r="Q493" s="32"/>
      <c r="R493" s="32"/>
      <c r="S493" s="32"/>
      <c r="T493" s="32"/>
      <c r="U493" s="32"/>
      <c r="V493" s="31"/>
      <c r="W493" s="35" t="str">
        <f aca="true">IF(OR(V493="",AG493&gt;=8),"",IF(V493&lt;TODAY(),"Vencida",IF(V493=TODAY(),"Hoy","")))</f>
        <v/>
      </c>
      <c r="X493" s="36" t="str">
        <f aca="false">IF(A493="","",IF(COUNTIF(Seguimiento!$B$2:$B$5001,A493)=0,"",_xlfn.MAXIFS(Seguimiento!$A$2:$A$5001,Seguimiento!$B$2:$B$5001,A493)))</f>
        <v/>
      </c>
      <c r="Y493" s="37" t="str">
        <f aca="true">IF(B493="","",TODAY()-B493)</f>
        <v/>
      </c>
      <c r="Z493" s="38" t="str">
        <f aca="false">IF(OR(O493="",G493=""),"",O493*IFERROR(INDEX(Listas!$B$2:$B$50,MATCH(G493,Listas!$A$2:$A$50,0)),0))</f>
        <v/>
      </c>
      <c r="AA493" s="32"/>
      <c r="AB493" s="32"/>
      <c r="AC493" s="32"/>
      <c r="AD493" s="35" t="str">
        <f aca="false">IF(OR(LEFT(H493,4)="Meta",LEFT(H493,6)="Google"),IF(AG493=3,"Lead calificado",IF(OR(AG493=4,AG493=5),"Tasación/visita",IF(OR(AG493=6,AG493=7),"Captación/oferta",IF(AG493=8,"Cierre","")))),"")</f>
        <v/>
      </c>
      <c r="AE493" s="32"/>
      <c r="AF493" s="32"/>
      <c r="AG493" s="37" t="n">
        <f aca="false">IF(R493="",0,IFERROR(MATCH(R493,Listas!$L$2:$L$50,0),0))</f>
        <v>0</v>
      </c>
    </row>
    <row r="494" customFormat="false" ht="15" hidden="false" customHeight="false" outlineLevel="0" collapsed="false">
      <c r="A494" s="30"/>
      <c r="B494" s="31"/>
      <c r="C494" s="32"/>
      <c r="D494" s="32"/>
      <c r="E494" s="33"/>
      <c r="F494" s="32"/>
      <c r="G494" s="32"/>
      <c r="H494" s="32"/>
      <c r="I494" s="32"/>
      <c r="J494" s="32"/>
      <c r="K494" s="32"/>
      <c r="L494" s="32"/>
      <c r="M494" s="30"/>
      <c r="N494" s="32"/>
      <c r="O494" s="34"/>
      <c r="P494" s="32"/>
      <c r="Q494" s="32"/>
      <c r="R494" s="32"/>
      <c r="S494" s="32"/>
      <c r="T494" s="32"/>
      <c r="U494" s="32"/>
      <c r="V494" s="31"/>
      <c r="W494" s="35" t="str">
        <f aca="true">IF(OR(V494="",AG494&gt;=8),"",IF(V494&lt;TODAY(),"Vencida",IF(V494=TODAY(),"Hoy","")))</f>
        <v/>
      </c>
      <c r="X494" s="36" t="str">
        <f aca="false">IF(A494="","",IF(COUNTIF(Seguimiento!$B$2:$B$5001,A494)=0,"",_xlfn.MAXIFS(Seguimiento!$A$2:$A$5001,Seguimiento!$B$2:$B$5001,A494)))</f>
        <v/>
      </c>
      <c r="Y494" s="37" t="str">
        <f aca="true">IF(B494="","",TODAY()-B494)</f>
        <v/>
      </c>
      <c r="Z494" s="38" t="str">
        <f aca="false">IF(OR(O494="",G494=""),"",O494*IFERROR(INDEX(Listas!$B$2:$B$50,MATCH(G494,Listas!$A$2:$A$50,0)),0))</f>
        <v/>
      </c>
      <c r="AA494" s="32"/>
      <c r="AB494" s="32"/>
      <c r="AC494" s="32"/>
      <c r="AD494" s="35" t="str">
        <f aca="false">IF(OR(LEFT(H494,4)="Meta",LEFT(H494,6)="Google"),IF(AG494=3,"Lead calificado",IF(OR(AG494=4,AG494=5),"Tasación/visita",IF(OR(AG494=6,AG494=7),"Captación/oferta",IF(AG494=8,"Cierre","")))),"")</f>
        <v/>
      </c>
      <c r="AE494" s="32"/>
      <c r="AF494" s="32"/>
      <c r="AG494" s="37" t="n">
        <f aca="false">IF(R494="",0,IFERROR(MATCH(R494,Listas!$L$2:$L$50,0),0))</f>
        <v>0</v>
      </c>
    </row>
    <row r="495" customFormat="false" ht="15" hidden="false" customHeight="false" outlineLevel="0" collapsed="false">
      <c r="A495" s="30"/>
      <c r="B495" s="31"/>
      <c r="C495" s="32"/>
      <c r="D495" s="32"/>
      <c r="E495" s="33"/>
      <c r="F495" s="32"/>
      <c r="G495" s="32"/>
      <c r="H495" s="32"/>
      <c r="I495" s="32"/>
      <c r="J495" s="32"/>
      <c r="K495" s="32"/>
      <c r="L495" s="32"/>
      <c r="M495" s="30"/>
      <c r="N495" s="32"/>
      <c r="O495" s="34"/>
      <c r="P495" s="32"/>
      <c r="Q495" s="32"/>
      <c r="R495" s="32"/>
      <c r="S495" s="32"/>
      <c r="T495" s="32"/>
      <c r="U495" s="32"/>
      <c r="V495" s="31"/>
      <c r="W495" s="35" t="str">
        <f aca="true">IF(OR(V495="",AG495&gt;=8),"",IF(V495&lt;TODAY(),"Vencida",IF(V495=TODAY(),"Hoy","")))</f>
        <v/>
      </c>
      <c r="X495" s="36" t="str">
        <f aca="false">IF(A495="","",IF(COUNTIF(Seguimiento!$B$2:$B$5001,A495)=0,"",_xlfn.MAXIFS(Seguimiento!$A$2:$A$5001,Seguimiento!$B$2:$B$5001,A495)))</f>
        <v/>
      </c>
      <c r="Y495" s="37" t="str">
        <f aca="true">IF(B495="","",TODAY()-B495)</f>
        <v/>
      </c>
      <c r="Z495" s="38" t="str">
        <f aca="false">IF(OR(O495="",G495=""),"",O495*IFERROR(INDEX(Listas!$B$2:$B$50,MATCH(G495,Listas!$A$2:$A$50,0)),0))</f>
        <v/>
      </c>
      <c r="AA495" s="32"/>
      <c r="AB495" s="32"/>
      <c r="AC495" s="32"/>
      <c r="AD495" s="35" t="str">
        <f aca="false">IF(OR(LEFT(H495,4)="Meta",LEFT(H495,6)="Google"),IF(AG495=3,"Lead calificado",IF(OR(AG495=4,AG495=5),"Tasación/visita",IF(OR(AG495=6,AG495=7),"Captación/oferta",IF(AG495=8,"Cierre","")))),"")</f>
        <v/>
      </c>
      <c r="AE495" s="32"/>
      <c r="AF495" s="32"/>
      <c r="AG495" s="37" t="n">
        <f aca="false">IF(R495="",0,IFERROR(MATCH(R495,Listas!$L$2:$L$50,0),0))</f>
        <v>0</v>
      </c>
    </row>
    <row r="496" customFormat="false" ht="15" hidden="false" customHeight="false" outlineLevel="0" collapsed="false">
      <c r="A496" s="30"/>
      <c r="B496" s="31"/>
      <c r="C496" s="32"/>
      <c r="D496" s="32"/>
      <c r="E496" s="33"/>
      <c r="F496" s="32"/>
      <c r="G496" s="32"/>
      <c r="H496" s="32"/>
      <c r="I496" s="32"/>
      <c r="J496" s="32"/>
      <c r="K496" s="32"/>
      <c r="L496" s="32"/>
      <c r="M496" s="30"/>
      <c r="N496" s="32"/>
      <c r="O496" s="34"/>
      <c r="P496" s="32"/>
      <c r="Q496" s="32"/>
      <c r="R496" s="32"/>
      <c r="S496" s="32"/>
      <c r="T496" s="32"/>
      <c r="U496" s="32"/>
      <c r="V496" s="31"/>
      <c r="W496" s="35" t="str">
        <f aca="true">IF(OR(V496="",AG496&gt;=8),"",IF(V496&lt;TODAY(),"Vencida",IF(V496=TODAY(),"Hoy","")))</f>
        <v/>
      </c>
      <c r="X496" s="36" t="str">
        <f aca="false">IF(A496="","",IF(COUNTIF(Seguimiento!$B$2:$B$5001,A496)=0,"",_xlfn.MAXIFS(Seguimiento!$A$2:$A$5001,Seguimiento!$B$2:$B$5001,A496)))</f>
        <v/>
      </c>
      <c r="Y496" s="37" t="str">
        <f aca="true">IF(B496="","",TODAY()-B496)</f>
        <v/>
      </c>
      <c r="Z496" s="38" t="str">
        <f aca="false">IF(OR(O496="",G496=""),"",O496*IFERROR(INDEX(Listas!$B$2:$B$50,MATCH(G496,Listas!$A$2:$A$50,0)),0))</f>
        <v/>
      </c>
      <c r="AA496" s="32"/>
      <c r="AB496" s="32"/>
      <c r="AC496" s="32"/>
      <c r="AD496" s="35" t="str">
        <f aca="false">IF(OR(LEFT(H496,4)="Meta",LEFT(H496,6)="Google"),IF(AG496=3,"Lead calificado",IF(OR(AG496=4,AG496=5),"Tasación/visita",IF(OR(AG496=6,AG496=7),"Captación/oferta",IF(AG496=8,"Cierre","")))),"")</f>
        <v/>
      </c>
      <c r="AE496" s="32"/>
      <c r="AF496" s="32"/>
      <c r="AG496" s="37" t="n">
        <f aca="false">IF(R496="",0,IFERROR(MATCH(R496,Listas!$L$2:$L$50,0),0))</f>
        <v>0</v>
      </c>
    </row>
    <row r="497" customFormat="false" ht="15" hidden="false" customHeight="false" outlineLevel="0" collapsed="false">
      <c r="A497" s="30"/>
      <c r="B497" s="31"/>
      <c r="C497" s="32"/>
      <c r="D497" s="32"/>
      <c r="E497" s="33"/>
      <c r="F497" s="32"/>
      <c r="G497" s="32"/>
      <c r="H497" s="32"/>
      <c r="I497" s="32"/>
      <c r="J497" s="32"/>
      <c r="K497" s="32"/>
      <c r="L497" s="32"/>
      <c r="M497" s="30"/>
      <c r="N497" s="32"/>
      <c r="O497" s="34"/>
      <c r="P497" s="32"/>
      <c r="Q497" s="32"/>
      <c r="R497" s="32"/>
      <c r="S497" s="32"/>
      <c r="T497" s="32"/>
      <c r="U497" s="32"/>
      <c r="V497" s="31"/>
      <c r="W497" s="35" t="str">
        <f aca="true">IF(OR(V497="",AG497&gt;=8),"",IF(V497&lt;TODAY(),"Vencida",IF(V497=TODAY(),"Hoy","")))</f>
        <v/>
      </c>
      <c r="X497" s="36" t="str">
        <f aca="false">IF(A497="","",IF(COUNTIF(Seguimiento!$B$2:$B$5001,A497)=0,"",_xlfn.MAXIFS(Seguimiento!$A$2:$A$5001,Seguimiento!$B$2:$B$5001,A497)))</f>
        <v/>
      </c>
      <c r="Y497" s="37" t="str">
        <f aca="true">IF(B497="","",TODAY()-B497)</f>
        <v/>
      </c>
      <c r="Z497" s="38" t="str">
        <f aca="false">IF(OR(O497="",G497=""),"",O497*IFERROR(INDEX(Listas!$B$2:$B$50,MATCH(G497,Listas!$A$2:$A$50,0)),0))</f>
        <v/>
      </c>
      <c r="AA497" s="32"/>
      <c r="AB497" s="32"/>
      <c r="AC497" s="32"/>
      <c r="AD497" s="35" t="str">
        <f aca="false">IF(OR(LEFT(H497,4)="Meta",LEFT(H497,6)="Google"),IF(AG497=3,"Lead calificado",IF(OR(AG497=4,AG497=5),"Tasación/visita",IF(OR(AG497=6,AG497=7),"Captación/oferta",IF(AG497=8,"Cierre","")))),"")</f>
        <v/>
      </c>
      <c r="AE497" s="32"/>
      <c r="AF497" s="32"/>
      <c r="AG497" s="37" t="n">
        <f aca="false">IF(R497="",0,IFERROR(MATCH(R497,Listas!$L$2:$L$50,0),0))</f>
        <v>0</v>
      </c>
    </row>
    <row r="498" customFormat="false" ht="15" hidden="false" customHeight="false" outlineLevel="0" collapsed="false">
      <c r="A498" s="30"/>
      <c r="B498" s="31"/>
      <c r="C498" s="32"/>
      <c r="D498" s="32"/>
      <c r="E498" s="33"/>
      <c r="F498" s="32"/>
      <c r="G498" s="32"/>
      <c r="H498" s="32"/>
      <c r="I498" s="32"/>
      <c r="J498" s="32"/>
      <c r="K498" s="32"/>
      <c r="L498" s="32"/>
      <c r="M498" s="30"/>
      <c r="N498" s="32"/>
      <c r="O498" s="34"/>
      <c r="P498" s="32"/>
      <c r="Q498" s="32"/>
      <c r="R498" s="32"/>
      <c r="S498" s="32"/>
      <c r="T498" s="32"/>
      <c r="U498" s="32"/>
      <c r="V498" s="31"/>
      <c r="W498" s="35" t="str">
        <f aca="true">IF(OR(V498="",AG498&gt;=8),"",IF(V498&lt;TODAY(),"Vencida",IF(V498=TODAY(),"Hoy","")))</f>
        <v/>
      </c>
      <c r="X498" s="36" t="str">
        <f aca="false">IF(A498="","",IF(COUNTIF(Seguimiento!$B$2:$B$5001,A498)=0,"",_xlfn.MAXIFS(Seguimiento!$A$2:$A$5001,Seguimiento!$B$2:$B$5001,A498)))</f>
        <v/>
      </c>
      <c r="Y498" s="37" t="str">
        <f aca="true">IF(B498="","",TODAY()-B498)</f>
        <v/>
      </c>
      <c r="Z498" s="38" t="str">
        <f aca="false">IF(OR(O498="",G498=""),"",O498*IFERROR(INDEX(Listas!$B$2:$B$50,MATCH(G498,Listas!$A$2:$A$50,0)),0))</f>
        <v/>
      </c>
      <c r="AA498" s="32"/>
      <c r="AB498" s="32"/>
      <c r="AC498" s="32"/>
      <c r="AD498" s="35" t="str">
        <f aca="false">IF(OR(LEFT(H498,4)="Meta",LEFT(H498,6)="Google"),IF(AG498=3,"Lead calificado",IF(OR(AG498=4,AG498=5),"Tasación/visita",IF(OR(AG498=6,AG498=7),"Captación/oferta",IF(AG498=8,"Cierre","")))),"")</f>
        <v/>
      </c>
      <c r="AE498" s="32"/>
      <c r="AF498" s="32"/>
      <c r="AG498" s="37" t="n">
        <f aca="false">IF(R498="",0,IFERROR(MATCH(R498,Listas!$L$2:$L$50,0),0))</f>
        <v>0</v>
      </c>
    </row>
    <row r="499" customFormat="false" ht="15" hidden="false" customHeight="false" outlineLevel="0" collapsed="false">
      <c r="A499" s="30"/>
      <c r="B499" s="31"/>
      <c r="C499" s="32"/>
      <c r="D499" s="32"/>
      <c r="E499" s="33"/>
      <c r="F499" s="32"/>
      <c r="G499" s="32"/>
      <c r="H499" s="32"/>
      <c r="I499" s="32"/>
      <c r="J499" s="32"/>
      <c r="K499" s="32"/>
      <c r="L499" s="32"/>
      <c r="M499" s="30"/>
      <c r="N499" s="32"/>
      <c r="O499" s="34"/>
      <c r="P499" s="32"/>
      <c r="Q499" s="32"/>
      <c r="R499" s="32"/>
      <c r="S499" s="32"/>
      <c r="T499" s="32"/>
      <c r="U499" s="32"/>
      <c r="V499" s="31"/>
      <c r="W499" s="35" t="str">
        <f aca="true">IF(OR(V499="",AG499&gt;=8),"",IF(V499&lt;TODAY(),"Vencida",IF(V499=TODAY(),"Hoy","")))</f>
        <v/>
      </c>
      <c r="X499" s="36" t="str">
        <f aca="false">IF(A499="","",IF(COUNTIF(Seguimiento!$B$2:$B$5001,A499)=0,"",_xlfn.MAXIFS(Seguimiento!$A$2:$A$5001,Seguimiento!$B$2:$B$5001,A499)))</f>
        <v/>
      </c>
      <c r="Y499" s="37" t="str">
        <f aca="true">IF(B499="","",TODAY()-B499)</f>
        <v/>
      </c>
      <c r="Z499" s="38" t="str">
        <f aca="false">IF(OR(O499="",G499=""),"",O499*IFERROR(INDEX(Listas!$B$2:$B$50,MATCH(G499,Listas!$A$2:$A$50,0)),0))</f>
        <v/>
      </c>
      <c r="AA499" s="32"/>
      <c r="AB499" s="32"/>
      <c r="AC499" s="32"/>
      <c r="AD499" s="35" t="str">
        <f aca="false">IF(OR(LEFT(H499,4)="Meta",LEFT(H499,6)="Google"),IF(AG499=3,"Lead calificado",IF(OR(AG499=4,AG499=5),"Tasación/visita",IF(OR(AG499=6,AG499=7),"Captación/oferta",IF(AG499=8,"Cierre","")))),"")</f>
        <v/>
      </c>
      <c r="AE499" s="32"/>
      <c r="AF499" s="32"/>
      <c r="AG499" s="37" t="n">
        <f aca="false">IF(R499="",0,IFERROR(MATCH(R499,Listas!$L$2:$L$50,0),0))</f>
        <v>0</v>
      </c>
    </row>
    <row r="500" customFormat="false" ht="15" hidden="false" customHeight="false" outlineLevel="0" collapsed="false">
      <c r="A500" s="30"/>
      <c r="B500" s="31"/>
      <c r="C500" s="32"/>
      <c r="D500" s="32"/>
      <c r="E500" s="33"/>
      <c r="F500" s="32"/>
      <c r="G500" s="32"/>
      <c r="H500" s="32"/>
      <c r="I500" s="32"/>
      <c r="J500" s="32"/>
      <c r="K500" s="32"/>
      <c r="L500" s="32"/>
      <c r="M500" s="30"/>
      <c r="N500" s="32"/>
      <c r="O500" s="34"/>
      <c r="P500" s="32"/>
      <c r="Q500" s="32"/>
      <c r="R500" s="32"/>
      <c r="S500" s="32"/>
      <c r="T500" s="32"/>
      <c r="U500" s="32"/>
      <c r="V500" s="31"/>
      <c r="W500" s="35" t="str">
        <f aca="true">IF(OR(V500="",AG500&gt;=8),"",IF(V500&lt;TODAY(),"Vencida",IF(V500=TODAY(),"Hoy","")))</f>
        <v/>
      </c>
      <c r="X500" s="36" t="str">
        <f aca="false">IF(A500="","",IF(COUNTIF(Seguimiento!$B$2:$B$5001,A500)=0,"",_xlfn.MAXIFS(Seguimiento!$A$2:$A$5001,Seguimiento!$B$2:$B$5001,A500)))</f>
        <v/>
      </c>
      <c r="Y500" s="37" t="str">
        <f aca="true">IF(B500="","",TODAY()-B500)</f>
        <v/>
      </c>
      <c r="Z500" s="38" t="str">
        <f aca="false">IF(OR(O500="",G500=""),"",O500*IFERROR(INDEX(Listas!$B$2:$B$50,MATCH(G500,Listas!$A$2:$A$50,0)),0))</f>
        <v/>
      </c>
      <c r="AA500" s="32"/>
      <c r="AB500" s="32"/>
      <c r="AC500" s="32"/>
      <c r="AD500" s="35" t="str">
        <f aca="false">IF(OR(LEFT(H500,4)="Meta",LEFT(H500,6)="Google"),IF(AG500=3,"Lead calificado",IF(OR(AG500=4,AG500=5),"Tasación/visita",IF(OR(AG500=6,AG500=7),"Captación/oferta",IF(AG500=8,"Cierre","")))),"")</f>
        <v/>
      </c>
      <c r="AE500" s="32"/>
      <c r="AF500" s="32"/>
      <c r="AG500" s="37" t="n">
        <f aca="false">IF(R500="",0,IFERROR(MATCH(R500,Listas!$L$2:$L$50,0),0))</f>
        <v>0</v>
      </c>
    </row>
    <row r="501" customFormat="false" ht="15" hidden="false" customHeight="false" outlineLevel="0" collapsed="false">
      <c r="A501" s="30"/>
      <c r="B501" s="31"/>
      <c r="C501" s="32"/>
      <c r="D501" s="32"/>
      <c r="E501" s="33"/>
      <c r="F501" s="32"/>
      <c r="G501" s="32"/>
      <c r="H501" s="32"/>
      <c r="I501" s="32"/>
      <c r="J501" s="32"/>
      <c r="K501" s="32"/>
      <c r="L501" s="32"/>
      <c r="M501" s="30"/>
      <c r="N501" s="32"/>
      <c r="O501" s="34"/>
      <c r="P501" s="32"/>
      <c r="Q501" s="32"/>
      <c r="R501" s="32"/>
      <c r="S501" s="32"/>
      <c r="T501" s="32"/>
      <c r="U501" s="32"/>
      <c r="V501" s="31"/>
      <c r="W501" s="35" t="str">
        <f aca="true">IF(OR(V501="",AG501&gt;=8),"",IF(V501&lt;TODAY(),"Vencida",IF(V501=TODAY(),"Hoy","")))</f>
        <v/>
      </c>
      <c r="X501" s="36" t="str">
        <f aca="false">IF(A501="","",IF(COUNTIF(Seguimiento!$B$2:$B$5001,A501)=0,"",_xlfn.MAXIFS(Seguimiento!$A$2:$A$5001,Seguimiento!$B$2:$B$5001,A501)))</f>
        <v/>
      </c>
      <c r="Y501" s="37" t="str">
        <f aca="true">IF(B501="","",TODAY()-B501)</f>
        <v/>
      </c>
      <c r="Z501" s="38" t="str">
        <f aca="false">IF(OR(O501="",G501=""),"",O501*IFERROR(INDEX(Listas!$B$2:$B$50,MATCH(G501,Listas!$A$2:$A$50,0)),0))</f>
        <v/>
      </c>
      <c r="AA501" s="32"/>
      <c r="AB501" s="32"/>
      <c r="AC501" s="32"/>
      <c r="AD501" s="35" t="str">
        <f aca="false">IF(OR(LEFT(H501,4)="Meta",LEFT(H501,6)="Google"),IF(AG501=3,"Lead calificado",IF(OR(AG501=4,AG501=5),"Tasación/visita",IF(OR(AG501=6,AG501=7),"Captación/oferta",IF(AG501=8,"Cierre","")))),"")</f>
        <v/>
      </c>
      <c r="AE501" s="32"/>
      <c r="AF501" s="32"/>
      <c r="AG501" s="37" t="n">
        <f aca="false">IF(R501="",0,IFERROR(MATCH(R501,Listas!$L$2:$L$50,0),0))</f>
        <v>0</v>
      </c>
    </row>
    <row r="502" customFormat="false" ht="15" hidden="false" customHeight="false" outlineLevel="0" collapsed="false">
      <c r="A502" s="30"/>
      <c r="B502" s="31"/>
      <c r="C502" s="32"/>
      <c r="D502" s="32"/>
      <c r="E502" s="33"/>
      <c r="F502" s="32"/>
      <c r="G502" s="32"/>
      <c r="H502" s="32"/>
      <c r="I502" s="32"/>
      <c r="J502" s="32"/>
      <c r="K502" s="32"/>
      <c r="L502" s="32"/>
      <c r="M502" s="30"/>
      <c r="N502" s="32"/>
      <c r="O502" s="34"/>
      <c r="P502" s="32"/>
      <c r="Q502" s="32"/>
      <c r="R502" s="32"/>
      <c r="S502" s="32"/>
      <c r="T502" s="32"/>
      <c r="U502" s="32"/>
      <c r="V502" s="31"/>
      <c r="W502" s="35" t="str">
        <f aca="true">IF(OR(V502="",AG502&gt;=8),"",IF(V502&lt;TODAY(),"Vencida",IF(V502=TODAY(),"Hoy","")))</f>
        <v/>
      </c>
      <c r="X502" s="36" t="str">
        <f aca="false">IF(A502="","",IF(COUNTIF(Seguimiento!$B$2:$B$5001,A502)=0,"",_xlfn.MAXIFS(Seguimiento!$A$2:$A$5001,Seguimiento!$B$2:$B$5001,A502)))</f>
        <v/>
      </c>
      <c r="Y502" s="37" t="str">
        <f aca="true">IF(B502="","",TODAY()-B502)</f>
        <v/>
      </c>
      <c r="Z502" s="38" t="str">
        <f aca="false">IF(OR(O502="",G502=""),"",O502*IFERROR(INDEX(Listas!$B$2:$B$50,MATCH(G502,Listas!$A$2:$A$50,0)),0))</f>
        <v/>
      </c>
      <c r="AA502" s="32"/>
      <c r="AB502" s="32"/>
      <c r="AC502" s="32"/>
      <c r="AD502" s="35" t="str">
        <f aca="false">IF(OR(LEFT(H502,4)="Meta",LEFT(H502,6)="Google"),IF(AG502=3,"Lead calificado",IF(OR(AG502=4,AG502=5),"Tasación/visita",IF(OR(AG502=6,AG502=7),"Captación/oferta",IF(AG502=8,"Cierre","")))),"")</f>
        <v/>
      </c>
      <c r="AE502" s="32"/>
      <c r="AF502" s="32"/>
      <c r="AG502" s="37" t="n">
        <f aca="false">IF(R502="",0,IFERROR(MATCH(R502,Listas!$L$2:$L$50,0),0))</f>
        <v>0</v>
      </c>
    </row>
    <row r="503" customFormat="false" ht="15" hidden="false" customHeight="false" outlineLevel="0" collapsed="false">
      <c r="A503" s="30"/>
      <c r="B503" s="31"/>
      <c r="C503" s="32"/>
      <c r="D503" s="32"/>
      <c r="E503" s="33"/>
      <c r="F503" s="32"/>
      <c r="G503" s="32"/>
      <c r="H503" s="32"/>
      <c r="I503" s="32"/>
      <c r="J503" s="32"/>
      <c r="K503" s="32"/>
      <c r="L503" s="32"/>
      <c r="M503" s="30"/>
      <c r="N503" s="32"/>
      <c r="O503" s="34"/>
      <c r="P503" s="32"/>
      <c r="Q503" s="32"/>
      <c r="R503" s="32"/>
      <c r="S503" s="32"/>
      <c r="T503" s="32"/>
      <c r="U503" s="32"/>
      <c r="V503" s="31"/>
      <c r="W503" s="35" t="str">
        <f aca="true">IF(OR(V503="",AG503&gt;=8),"",IF(V503&lt;TODAY(),"Vencida",IF(V503=TODAY(),"Hoy","")))</f>
        <v/>
      </c>
      <c r="X503" s="36" t="str">
        <f aca="false">IF(A503="","",IF(COUNTIF(Seguimiento!$B$2:$B$5001,A503)=0,"",_xlfn.MAXIFS(Seguimiento!$A$2:$A$5001,Seguimiento!$B$2:$B$5001,A503)))</f>
        <v/>
      </c>
      <c r="Y503" s="37" t="str">
        <f aca="true">IF(B503="","",TODAY()-B503)</f>
        <v/>
      </c>
      <c r="Z503" s="38" t="str">
        <f aca="false">IF(OR(O503="",G503=""),"",O503*IFERROR(INDEX(Listas!$B$2:$B$50,MATCH(G503,Listas!$A$2:$A$50,0)),0))</f>
        <v/>
      </c>
      <c r="AA503" s="32"/>
      <c r="AB503" s="32"/>
      <c r="AC503" s="32"/>
      <c r="AD503" s="35" t="str">
        <f aca="false">IF(OR(LEFT(H503,4)="Meta",LEFT(H503,6)="Google"),IF(AG503=3,"Lead calificado",IF(OR(AG503=4,AG503=5),"Tasación/visita",IF(OR(AG503=6,AG503=7),"Captación/oferta",IF(AG503=8,"Cierre","")))),"")</f>
        <v/>
      </c>
      <c r="AE503" s="32"/>
      <c r="AF503" s="32"/>
      <c r="AG503" s="37" t="n">
        <f aca="false">IF(R503="",0,IFERROR(MATCH(R503,Listas!$L$2:$L$50,0),0))</f>
        <v>0</v>
      </c>
    </row>
    <row r="504" customFormat="false" ht="15" hidden="false" customHeight="false" outlineLevel="0" collapsed="false">
      <c r="A504" s="30"/>
      <c r="B504" s="31"/>
      <c r="C504" s="32"/>
      <c r="D504" s="32"/>
      <c r="E504" s="33"/>
      <c r="F504" s="32"/>
      <c r="G504" s="32"/>
      <c r="H504" s="32"/>
      <c r="I504" s="32"/>
      <c r="J504" s="32"/>
      <c r="K504" s="32"/>
      <c r="L504" s="32"/>
      <c r="M504" s="30"/>
      <c r="N504" s="32"/>
      <c r="O504" s="34"/>
      <c r="P504" s="32"/>
      <c r="Q504" s="32"/>
      <c r="R504" s="32"/>
      <c r="S504" s="32"/>
      <c r="T504" s="32"/>
      <c r="U504" s="32"/>
      <c r="V504" s="31"/>
      <c r="W504" s="35" t="str">
        <f aca="true">IF(OR(V504="",AG504&gt;=8),"",IF(V504&lt;TODAY(),"Vencida",IF(V504=TODAY(),"Hoy","")))</f>
        <v/>
      </c>
      <c r="X504" s="36" t="str">
        <f aca="false">IF(A504="","",IF(COUNTIF(Seguimiento!$B$2:$B$5001,A504)=0,"",_xlfn.MAXIFS(Seguimiento!$A$2:$A$5001,Seguimiento!$B$2:$B$5001,A504)))</f>
        <v/>
      </c>
      <c r="Y504" s="37" t="str">
        <f aca="true">IF(B504="","",TODAY()-B504)</f>
        <v/>
      </c>
      <c r="Z504" s="38" t="str">
        <f aca="false">IF(OR(O504="",G504=""),"",O504*IFERROR(INDEX(Listas!$B$2:$B$50,MATCH(G504,Listas!$A$2:$A$50,0)),0))</f>
        <v/>
      </c>
      <c r="AA504" s="32"/>
      <c r="AB504" s="32"/>
      <c r="AC504" s="32"/>
      <c r="AD504" s="35" t="str">
        <f aca="false">IF(OR(LEFT(H504,4)="Meta",LEFT(H504,6)="Google"),IF(AG504=3,"Lead calificado",IF(OR(AG504=4,AG504=5),"Tasación/visita",IF(OR(AG504=6,AG504=7),"Captación/oferta",IF(AG504=8,"Cierre","")))),"")</f>
        <v/>
      </c>
      <c r="AE504" s="32"/>
      <c r="AF504" s="32"/>
      <c r="AG504" s="37" t="n">
        <f aca="false">IF(R504="",0,IFERROR(MATCH(R504,Listas!$L$2:$L$50,0),0))</f>
        <v>0</v>
      </c>
    </row>
    <row r="505" customFormat="false" ht="15" hidden="false" customHeight="false" outlineLevel="0" collapsed="false">
      <c r="A505" s="30"/>
      <c r="B505" s="31"/>
      <c r="C505" s="32"/>
      <c r="D505" s="32"/>
      <c r="E505" s="33"/>
      <c r="F505" s="32"/>
      <c r="G505" s="32"/>
      <c r="H505" s="32"/>
      <c r="I505" s="32"/>
      <c r="J505" s="32"/>
      <c r="K505" s="32"/>
      <c r="L505" s="32"/>
      <c r="M505" s="30"/>
      <c r="N505" s="32"/>
      <c r="O505" s="34"/>
      <c r="P505" s="32"/>
      <c r="Q505" s="32"/>
      <c r="R505" s="32"/>
      <c r="S505" s="32"/>
      <c r="T505" s="32"/>
      <c r="U505" s="32"/>
      <c r="V505" s="31"/>
      <c r="W505" s="35" t="str">
        <f aca="true">IF(OR(V505="",AG505&gt;=8),"",IF(V505&lt;TODAY(),"Vencida",IF(V505=TODAY(),"Hoy","")))</f>
        <v/>
      </c>
      <c r="X505" s="36" t="str">
        <f aca="false">IF(A505="","",IF(COUNTIF(Seguimiento!$B$2:$B$5001,A505)=0,"",_xlfn.MAXIFS(Seguimiento!$A$2:$A$5001,Seguimiento!$B$2:$B$5001,A505)))</f>
        <v/>
      </c>
      <c r="Y505" s="37" t="str">
        <f aca="true">IF(B505="","",TODAY()-B505)</f>
        <v/>
      </c>
      <c r="Z505" s="38" t="str">
        <f aca="false">IF(OR(O505="",G505=""),"",O505*IFERROR(INDEX(Listas!$B$2:$B$50,MATCH(G505,Listas!$A$2:$A$50,0)),0))</f>
        <v/>
      </c>
      <c r="AA505" s="32"/>
      <c r="AB505" s="32"/>
      <c r="AC505" s="32"/>
      <c r="AD505" s="35" t="str">
        <f aca="false">IF(OR(LEFT(H505,4)="Meta",LEFT(H505,6)="Google"),IF(AG505=3,"Lead calificado",IF(OR(AG505=4,AG505=5),"Tasación/visita",IF(OR(AG505=6,AG505=7),"Captación/oferta",IF(AG505=8,"Cierre","")))),"")</f>
        <v/>
      </c>
      <c r="AE505" s="32"/>
      <c r="AF505" s="32"/>
      <c r="AG505" s="37" t="n">
        <f aca="false">IF(R505="",0,IFERROR(MATCH(R505,Listas!$L$2:$L$50,0),0))</f>
        <v>0</v>
      </c>
    </row>
    <row r="506" customFormat="false" ht="15" hidden="false" customHeight="false" outlineLevel="0" collapsed="false">
      <c r="A506" s="30"/>
      <c r="B506" s="31"/>
      <c r="C506" s="32"/>
      <c r="D506" s="32"/>
      <c r="E506" s="33"/>
      <c r="F506" s="32"/>
      <c r="G506" s="32"/>
      <c r="H506" s="32"/>
      <c r="I506" s="32"/>
      <c r="J506" s="32"/>
      <c r="K506" s="32"/>
      <c r="L506" s="32"/>
      <c r="M506" s="30"/>
      <c r="N506" s="32"/>
      <c r="O506" s="34"/>
      <c r="P506" s="32"/>
      <c r="Q506" s="32"/>
      <c r="R506" s="32"/>
      <c r="S506" s="32"/>
      <c r="T506" s="32"/>
      <c r="U506" s="32"/>
      <c r="V506" s="31"/>
      <c r="W506" s="35" t="str">
        <f aca="true">IF(OR(V506="",AG506&gt;=8),"",IF(V506&lt;TODAY(),"Vencida",IF(V506=TODAY(),"Hoy","")))</f>
        <v/>
      </c>
      <c r="X506" s="36" t="str">
        <f aca="false">IF(A506="","",IF(COUNTIF(Seguimiento!$B$2:$B$5001,A506)=0,"",_xlfn.MAXIFS(Seguimiento!$A$2:$A$5001,Seguimiento!$B$2:$B$5001,A506)))</f>
        <v/>
      </c>
      <c r="Y506" s="37" t="str">
        <f aca="true">IF(B506="","",TODAY()-B506)</f>
        <v/>
      </c>
      <c r="Z506" s="38" t="str">
        <f aca="false">IF(OR(O506="",G506=""),"",O506*IFERROR(INDEX(Listas!$B$2:$B$50,MATCH(G506,Listas!$A$2:$A$50,0)),0))</f>
        <v/>
      </c>
      <c r="AA506" s="32"/>
      <c r="AB506" s="32"/>
      <c r="AC506" s="32"/>
      <c r="AD506" s="35" t="str">
        <f aca="false">IF(OR(LEFT(H506,4)="Meta",LEFT(H506,6)="Google"),IF(AG506=3,"Lead calificado",IF(OR(AG506=4,AG506=5),"Tasación/visita",IF(OR(AG506=6,AG506=7),"Captación/oferta",IF(AG506=8,"Cierre","")))),"")</f>
        <v/>
      </c>
      <c r="AE506" s="32"/>
      <c r="AF506" s="32"/>
      <c r="AG506" s="37" t="n">
        <f aca="false">IF(R506="",0,IFERROR(MATCH(R506,Listas!$L$2:$L$50,0),0))</f>
        <v>0</v>
      </c>
    </row>
    <row r="507" customFormat="false" ht="15" hidden="false" customHeight="false" outlineLevel="0" collapsed="false">
      <c r="A507" s="30"/>
      <c r="B507" s="31"/>
      <c r="C507" s="32"/>
      <c r="D507" s="32"/>
      <c r="E507" s="33"/>
      <c r="F507" s="32"/>
      <c r="G507" s="32"/>
      <c r="H507" s="32"/>
      <c r="I507" s="32"/>
      <c r="J507" s="32"/>
      <c r="K507" s="32"/>
      <c r="L507" s="32"/>
      <c r="M507" s="30"/>
      <c r="N507" s="32"/>
      <c r="O507" s="34"/>
      <c r="P507" s="32"/>
      <c r="Q507" s="32"/>
      <c r="R507" s="32"/>
      <c r="S507" s="32"/>
      <c r="T507" s="32"/>
      <c r="U507" s="32"/>
      <c r="V507" s="31"/>
      <c r="W507" s="35" t="str">
        <f aca="true">IF(OR(V507="",AG507&gt;=8),"",IF(V507&lt;TODAY(),"Vencida",IF(V507=TODAY(),"Hoy","")))</f>
        <v/>
      </c>
      <c r="X507" s="36" t="str">
        <f aca="false">IF(A507="","",IF(COUNTIF(Seguimiento!$B$2:$B$5001,A507)=0,"",_xlfn.MAXIFS(Seguimiento!$A$2:$A$5001,Seguimiento!$B$2:$B$5001,A507)))</f>
        <v/>
      </c>
      <c r="Y507" s="37" t="str">
        <f aca="true">IF(B507="","",TODAY()-B507)</f>
        <v/>
      </c>
      <c r="Z507" s="38" t="str">
        <f aca="false">IF(OR(O507="",G507=""),"",O507*IFERROR(INDEX(Listas!$B$2:$B$50,MATCH(G507,Listas!$A$2:$A$50,0)),0))</f>
        <v/>
      </c>
      <c r="AA507" s="32"/>
      <c r="AB507" s="32"/>
      <c r="AC507" s="32"/>
      <c r="AD507" s="35" t="str">
        <f aca="false">IF(OR(LEFT(H507,4)="Meta",LEFT(H507,6)="Google"),IF(AG507=3,"Lead calificado",IF(OR(AG507=4,AG507=5),"Tasación/visita",IF(OR(AG507=6,AG507=7),"Captación/oferta",IF(AG507=8,"Cierre","")))),"")</f>
        <v/>
      </c>
      <c r="AE507" s="32"/>
      <c r="AF507" s="32"/>
      <c r="AG507" s="37" t="n">
        <f aca="false">IF(R507="",0,IFERROR(MATCH(R507,Listas!$L$2:$L$50,0),0))</f>
        <v>0</v>
      </c>
    </row>
    <row r="508" customFormat="false" ht="15" hidden="false" customHeight="false" outlineLevel="0" collapsed="false">
      <c r="A508" s="30"/>
      <c r="B508" s="31"/>
      <c r="C508" s="32"/>
      <c r="D508" s="32"/>
      <c r="E508" s="33"/>
      <c r="F508" s="32"/>
      <c r="G508" s="32"/>
      <c r="H508" s="32"/>
      <c r="I508" s="32"/>
      <c r="J508" s="32"/>
      <c r="K508" s="32"/>
      <c r="L508" s="32"/>
      <c r="M508" s="30"/>
      <c r="N508" s="32"/>
      <c r="O508" s="34"/>
      <c r="P508" s="32"/>
      <c r="Q508" s="32"/>
      <c r="R508" s="32"/>
      <c r="S508" s="32"/>
      <c r="T508" s="32"/>
      <c r="U508" s="32"/>
      <c r="V508" s="31"/>
      <c r="W508" s="35" t="str">
        <f aca="true">IF(OR(V508="",AG508&gt;=8),"",IF(V508&lt;TODAY(),"Vencida",IF(V508=TODAY(),"Hoy","")))</f>
        <v/>
      </c>
      <c r="X508" s="36" t="str">
        <f aca="false">IF(A508="","",IF(COUNTIF(Seguimiento!$B$2:$B$5001,A508)=0,"",_xlfn.MAXIFS(Seguimiento!$A$2:$A$5001,Seguimiento!$B$2:$B$5001,A508)))</f>
        <v/>
      </c>
      <c r="Y508" s="37" t="str">
        <f aca="true">IF(B508="","",TODAY()-B508)</f>
        <v/>
      </c>
      <c r="Z508" s="38" t="str">
        <f aca="false">IF(OR(O508="",G508=""),"",O508*IFERROR(INDEX(Listas!$B$2:$B$50,MATCH(G508,Listas!$A$2:$A$50,0)),0))</f>
        <v/>
      </c>
      <c r="AA508" s="32"/>
      <c r="AB508" s="32"/>
      <c r="AC508" s="32"/>
      <c r="AD508" s="35" t="str">
        <f aca="false">IF(OR(LEFT(H508,4)="Meta",LEFT(H508,6)="Google"),IF(AG508=3,"Lead calificado",IF(OR(AG508=4,AG508=5),"Tasación/visita",IF(OR(AG508=6,AG508=7),"Captación/oferta",IF(AG508=8,"Cierre","")))),"")</f>
        <v/>
      </c>
      <c r="AE508" s="32"/>
      <c r="AF508" s="32"/>
      <c r="AG508" s="37" t="n">
        <f aca="false">IF(R508="",0,IFERROR(MATCH(R508,Listas!$L$2:$L$50,0),0))</f>
        <v>0</v>
      </c>
    </row>
    <row r="509" customFormat="false" ht="15" hidden="false" customHeight="false" outlineLevel="0" collapsed="false">
      <c r="A509" s="30"/>
      <c r="B509" s="31"/>
      <c r="C509" s="32"/>
      <c r="D509" s="32"/>
      <c r="E509" s="33"/>
      <c r="F509" s="32"/>
      <c r="G509" s="32"/>
      <c r="H509" s="32"/>
      <c r="I509" s="32"/>
      <c r="J509" s="32"/>
      <c r="K509" s="32"/>
      <c r="L509" s="32"/>
      <c r="M509" s="30"/>
      <c r="N509" s="32"/>
      <c r="O509" s="34"/>
      <c r="P509" s="32"/>
      <c r="Q509" s="32"/>
      <c r="R509" s="32"/>
      <c r="S509" s="32"/>
      <c r="T509" s="32"/>
      <c r="U509" s="32"/>
      <c r="V509" s="31"/>
      <c r="W509" s="35" t="str">
        <f aca="true">IF(OR(V509="",AG509&gt;=8),"",IF(V509&lt;TODAY(),"Vencida",IF(V509=TODAY(),"Hoy","")))</f>
        <v/>
      </c>
      <c r="X509" s="36" t="str">
        <f aca="false">IF(A509="","",IF(COUNTIF(Seguimiento!$B$2:$B$5001,A509)=0,"",_xlfn.MAXIFS(Seguimiento!$A$2:$A$5001,Seguimiento!$B$2:$B$5001,A509)))</f>
        <v/>
      </c>
      <c r="Y509" s="37" t="str">
        <f aca="true">IF(B509="","",TODAY()-B509)</f>
        <v/>
      </c>
      <c r="Z509" s="38" t="str">
        <f aca="false">IF(OR(O509="",G509=""),"",O509*IFERROR(INDEX(Listas!$B$2:$B$50,MATCH(G509,Listas!$A$2:$A$50,0)),0))</f>
        <v/>
      </c>
      <c r="AA509" s="32"/>
      <c r="AB509" s="32"/>
      <c r="AC509" s="32"/>
      <c r="AD509" s="35" t="str">
        <f aca="false">IF(OR(LEFT(H509,4)="Meta",LEFT(H509,6)="Google"),IF(AG509=3,"Lead calificado",IF(OR(AG509=4,AG509=5),"Tasación/visita",IF(OR(AG509=6,AG509=7),"Captación/oferta",IF(AG509=8,"Cierre","")))),"")</f>
        <v/>
      </c>
      <c r="AE509" s="32"/>
      <c r="AF509" s="32"/>
      <c r="AG509" s="37" t="n">
        <f aca="false">IF(R509="",0,IFERROR(MATCH(R509,Listas!$L$2:$L$50,0),0))</f>
        <v>0</v>
      </c>
    </row>
    <row r="510" customFormat="false" ht="15" hidden="false" customHeight="false" outlineLevel="0" collapsed="false">
      <c r="A510" s="30"/>
      <c r="B510" s="31"/>
      <c r="C510" s="32"/>
      <c r="D510" s="32"/>
      <c r="E510" s="33"/>
      <c r="F510" s="32"/>
      <c r="G510" s="32"/>
      <c r="H510" s="32"/>
      <c r="I510" s="32"/>
      <c r="J510" s="32"/>
      <c r="K510" s="32"/>
      <c r="L510" s="32"/>
      <c r="M510" s="30"/>
      <c r="N510" s="32"/>
      <c r="O510" s="34"/>
      <c r="P510" s="32"/>
      <c r="Q510" s="32"/>
      <c r="R510" s="32"/>
      <c r="S510" s="32"/>
      <c r="T510" s="32"/>
      <c r="U510" s="32"/>
      <c r="V510" s="31"/>
      <c r="W510" s="35" t="str">
        <f aca="true">IF(OR(V510="",AG510&gt;=8),"",IF(V510&lt;TODAY(),"Vencida",IF(V510=TODAY(),"Hoy","")))</f>
        <v/>
      </c>
      <c r="X510" s="36" t="str">
        <f aca="false">IF(A510="","",IF(COUNTIF(Seguimiento!$B$2:$B$5001,A510)=0,"",_xlfn.MAXIFS(Seguimiento!$A$2:$A$5001,Seguimiento!$B$2:$B$5001,A510)))</f>
        <v/>
      </c>
      <c r="Y510" s="37" t="str">
        <f aca="true">IF(B510="","",TODAY()-B510)</f>
        <v/>
      </c>
      <c r="Z510" s="38" t="str">
        <f aca="false">IF(OR(O510="",G510=""),"",O510*IFERROR(INDEX(Listas!$B$2:$B$50,MATCH(G510,Listas!$A$2:$A$50,0)),0))</f>
        <v/>
      </c>
      <c r="AA510" s="32"/>
      <c r="AB510" s="32"/>
      <c r="AC510" s="32"/>
      <c r="AD510" s="35" t="str">
        <f aca="false">IF(OR(LEFT(H510,4)="Meta",LEFT(H510,6)="Google"),IF(AG510=3,"Lead calificado",IF(OR(AG510=4,AG510=5),"Tasación/visita",IF(OR(AG510=6,AG510=7),"Captación/oferta",IF(AG510=8,"Cierre","")))),"")</f>
        <v/>
      </c>
      <c r="AE510" s="32"/>
      <c r="AF510" s="32"/>
      <c r="AG510" s="37" t="n">
        <f aca="false">IF(R510="",0,IFERROR(MATCH(R510,Listas!$L$2:$L$50,0),0))</f>
        <v>0</v>
      </c>
    </row>
    <row r="511" customFormat="false" ht="15" hidden="false" customHeight="false" outlineLevel="0" collapsed="false">
      <c r="A511" s="30"/>
      <c r="B511" s="31"/>
      <c r="C511" s="32"/>
      <c r="D511" s="32"/>
      <c r="E511" s="33"/>
      <c r="F511" s="32"/>
      <c r="G511" s="32"/>
      <c r="H511" s="32"/>
      <c r="I511" s="32"/>
      <c r="J511" s="32"/>
      <c r="K511" s="32"/>
      <c r="L511" s="32"/>
      <c r="M511" s="30"/>
      <c r="N511" s="32"/>
      <c r="O511" s="34"/>
      <c r="P511" s="32"/>
      <c r="Q511" s="32"/>
      <c r="R511" s="32"/>
      <c r="S511" s="32"/>
      <c r="T511" s="32"/>
      <c r="U511" s="32"/>
      <c r="V511" s="31"/>
      <c r="W511" s="35" t="str">
        <f aca="true">IF(OR(V511="",AG511&gt;=8),"",IF(V511&lt;TODAY(),"Vencida",IF(V511=TODAY(),"Hoy","")))</f>
        <v/>
      </c>
      <c r="X511" s="36" t="str">
        <f aca="false">IF(A511="","",IF(COUNTIF(Seguimiento!$B$2:$B$5001,A511)=0,"",_xlfn.MAXIFS(Seguimiento!$A$2:$A$5001,Seguimiento!$B$2:$B$5001,A511)))</f>
        <v/>
      </c>
      <c r="Y511" s="37" t="str">
        <f aca="true">IF(B511="","",TODAY()-B511)</f>
        <v/>
      </c>
      <c r="Z511" s="38" t="str">
        <f aca="false">IF(OR(O511="",G511=""),"",O511*IFERROR(INDEX(Listas!$B$2:$B$50,MATCH(G511,Listas!$A$2:$A$50,0)),0))</f>
        <v/>
      </c>
      <c r="AA511" s="32"/>
      <c r="AB511" s="32"/>
      <c r="AC511" s="32"/>
      <c r="AD511" s="35" t="str">
        <f aca="false">IF(OR(LEFT(H511,4)="Meta",LEFT(H511,6)="Google"),IF(AG511=3,"Lead calificado",IF(OR(AG511=4,AG511=5),"Tasación/visita",IF(OR(AG511=6,AG511=7),"Captación/oferta",IF(AG511=8,"Cierre","")))),"")</f>
        <v/>
      </c>
      <c r="AE511" s="32"/>
      <c r="AF511" s="32"/>
      <c r="AG511" s="37" t="n">
        <f aca="false">IF(R511="",0,IFERROR(MATCH(R511,Listas!$L$2:$L$50,0),0))</f>
        <v>0</v>
      </c>
    </row>
    <row r="512" customFormat="false" ht="15" hidden="false" customHeight="false" outlineLevel="0" collapsed="false">
      <c r="A512" s="30"/>
      <c r="B512" s="31"/>
      <c r="C512" s="32"/>
      <c r="D512" s="32"/>
      <c r="E512" s="33"/>
      <c r="F512" s="32"/>
      <c r="G512" s="32"/>
      <c r="H512" s="32"/>
      <c r="I512" s="32"/>
      <c r="J512" s="32"/>
      <c r="K512" s="32"/>
      <c r="L512" s="32"/>
      <c r="M512" s="30"/>
      <c r="N512" s="32"/>
      <c r="O512" s="34"/>
      <c r="P512" s="32"/>
      <c r="Q512" s="32"/>
      <c r="R512" s="32"/>
      <c r="S512" s="32"/>
      <c r="T512" s="32"/>
      <c r="U512" s="32"/>
      <c r="V512" s="31"/>
      <c r="W512" s="35" t="str">
        <f aca="true">IF(OR(V512="",AG512&gt;=8),"",IF(V512&lt;TODAY(),"Vencida",IF(V512=TODAY(),"Hoy","")))</f>
        <v/>
      </c>
      <c r="X512" s="36" t="str">
        <f aca="false">IF(A512="","",IF(COUNTIF(Seguimiento!$B$2:$B$5001,A512)=0,"",_xlfn.MAXIFS(Seguimiento!$A$2:$A$5001,Seguimiento!$B$2:$B$5001,A512)))</f>
        <v/>
      </c>
      <c r="Y512" s="37" t="str">
        <f aca="true">IF(B512="","",TODAY()-B512)</f>
        <v/>
      </c>
      <c r="Z512" s="38" t="str">
        <f aca="false">IF(OR(O512="",G512=""),"",O512*IFERROR(INDEX(Listas!$B$2:$B$50,MATCH(G512,Listas!$A$2:$A$50,0)),0))</f>
        <v/>
      </c>
      <c r="AA512" s="32"/>
      <c r="AB512" s="32"/>
      <c r="AC512" s="32"/>
      <c r="AD512" s="35" t="str">
        <f aca="false">IF(OR(LEFT(H512,4)="Meta",LEFT(H512,6)="Google"),IF(AG512=3,"Lead calificado",IF(OR(AG512=4,AG512=5),"Tasación/visita",IF(OR(AG512=6,AG512=7),"Captación/oferta",IF(AG512=8,"Cierre","")))),"")</f>
        <v/>
      </c>
      <c r="AE512" s="32"/>
      <c r="AF512" s="32"/>
      <c r="AG512" s="37" t="n">
        <f aca="false">IF(R512="",0,IFERROR(MATCH(R512,Listas!$L$2:$L$50,0),0))</f>
        <v>0</v>
      </c>
    </row>
    <row r="513" customFormat="false" ht="15" hidden="false" customHeight="false" outlineLevel="0" collapsed="false">
      <c r="A513" s="30"/>
      <c r="B513" s="31"/>
      <c r="C513" s="32"/>
      <c r="D513" s="32"/>
      <c r="E513" s="33"/>
      <c r="F513" s="32"/>
      <c r="G513" s="32"/>
      <c r="H513" s="32"/>
      <c r="I513" s="32"/>
      <c r="J513" s="32"/>
      <c r="K513" s="32"/>
      <c r="L513" s="32"/>
      <c r="M513" s="30"/>
      <c r="N513" s="32"/>
      <c r="O513" s="34"/>
      <c r="P513" s="32"/>
      <c r="Q513" s="32"/>
      <c r="R513" s="32"/>
      <c r="S513" s="32"/>
      <c r="T513" s="32"/>
      <c r="U513" s="32"/>
      <c r="V513" s="31"/>
      <c r="W513" s="35" t="str">
        <f aca="true">IF(OR(V513="",AG513&gt;=8),"",IF(V513&lt;TODAY(),"Vencida",IF(V513=TODAY(),"Hoy","")))</f>
        <v/>
      </c>
      <c r="X513" s="36" t="str">
        <f aca="false">IF(A513="","",IF(COUNTIF(Seguimiento!$B$2:$B$5001,A513)=0,"",_xlfn.MAXIFS(Seguimiento!$A$2:$A$5001,Seguimiento!$B$2:$B$5001,A513)))</f>
        <v/>
      </c>
      <c r="Y513" s="37" t="str">
        <f aca="true">IF(B513="","",TODAY()-B513)</f>
        <v/>
      </c>
      <c r="Z513" s="38" t="str">
        <f aca="false">IF(OR(O513="",G513=""),"",O513*IFERROR(INDEX(Listas!$B$2:$B$50,MATCH(G513,Listas!$A$2:$A$50,0)),0))</f>
        <v/>
      </c>
      <c r="AA513" s="32"/>
      <c r="AB513" s="32"/>
      <c r="AC513" s="32"/>
      <c r="AD513" s="35" t="str">
        <f aca="false">IF(OR(LEFT(H513,4)="Meta",LEFT(H513,6)="Google"),IF(AG513=3,"Lead calificado",IF(OR(AG513=4,AG513=5),"Tasación/visita",IF(OR(AG513=6,AG513=7),"Captación/oferta",IF(AG513=8,"Cierre","")))),"")</f>
        <v/>
      </c>
      <c r="AE513" s="32"/>
      <c r="AF513" s="32"/>
      <c r="AG513" s="37" t="n">
        <f aca="false">IF(R513="",0,IFERROR(MATCH(R513,Listas!$L$2:$L$50,0),0))</f>
        <v>0</v>
      </c>
    </row>
    <row r="514" customFormat="false" ht="15" hidden="false" customHeight="false" outlineLevel="0" collapsed="false">
      <c r="A514" s="30"/>
      <c r="B514" s="31"/>
      <c r="C514" s="32"/>
      <c r="D514" s="32"/>
      <c r="E514" s="33"/>
      <c r="F514" s="32"/>
      <c r="G514" s="32"/>
      <c r="H514" s="32"/>
      <c r="I514" s="32"/>
      <c r="J514" s="32"/>
      <c r="K514" s="32"/>
      <c r="L514" s="32"/>
      <c r="M514" s="30"/>
      <c r="N514" s="32"/>
      <c r="O514" s="34"/>
      <c r="P514" s="32"/>
      <c r="Q514" s="32"/>
      <c r="R514" s="32"/>
      <c r="S514" s="32"/>
      <c r="T514" s="32"/>
      <c r="U514" s="32"/>
      <c r="V514" s="31"/>
      <c r="W514" s="35" t="str">
        <f aca="true">IF(OR(V514="",AG514&gt;=8),"",IF(V514&lt;TODAY(),"Vencida",IF(V514=TODAY(),"Hoy","")))</f>
        <v/>
      </c>
      <c r="X514" s="36" t="str">
        <f aca="false">IF(A514="","",IF(COUNTIF(Seguimiento!$B$2:$B$5001,A514)=0,"",_xlfn.MAXIFS(Seguimiento!$A$2:$A$5001,Seguimiento!$B$2:$B$5001,A514)))</f>
        <v/>
      </c>
      <c r="Y514" s="37" t="str">
        <f aca="true">IF(B514="","",TODAY()-B514)</f>
        <v/>
      </c>
      <c r="Z514" s="38" t="str">
        <f aca="false">IF(OR(O514="",G514=""),"",O514*IFERROR(INDEX(Listas!$B$2:$B$50,MATCH(G514,Listas!$A$2:$A$50,0)),0))</f>
        <v/>
      </c>
      <c r="AA514" s="32"/>
      <c r="AB514" s="32"/>
      <c r="AC514" s="32"/>
      <c r="AD514" s="35" t="str">
        <f aca="false">IF(OR(LEFT(H514,4)="Meta",LEFT(H514,6)="Google"),IF(AG514=3,"Lead calificado",IF(OR(AG514=4,AG514=5),"Tasación/visita",IF(OR(AG514=6,AG514=7),"Captación/oferta",IF(AG514=8,"Cierre","")))),"")</f>
        <v/>
      </c>
      <c r="AE514" s="32"/>
      <c r="AF514" s="32"/>
      <c r="AG514" s="37" t="n">
        <f aca="false">IF(R514="",0,IFERROR(MATCH(R514,Listas!$L$2:$L$50,0),0))</f>
        <v>0</v>
      </c>
    </row>
    <row r="515" customFormat="false" ht="15" hidden="false" customHeight="false" outlineLevel="0" collapsed="false">
      <c r="A515" s="30"/>
      <c r="B515" s="31"/>
      <c r="C515" s="32"/>
      <c r="D515" s="32"/>
      <c r="E515" s="33"/>
      <c r="F515" s="32"/>
      <c r="G515" s="32"/>
      <c r="H515" s="32"/>
      <c r="I515" s="32"/>
      <c r="J515" s="32"/>
      <c r="K515" s="32"/>
      <c r="L515" s="32"/>
      <c r="M515" s="30"/>
      <c r="N515" s="32"/>
      <c r="O515" s="34"/>
      <c r="P515" s="32"/>
      <c r="Q515" s="32"/>
      <c r="R515" s="32"/>
      <c r="S515" s="32"/>
      <c r="T515" s="32"/>
      <c r="U515" s="32"/>
      <c r="V515" s="31"/>
      <c r="W515" s="35" t="str">
        <f aca="true">IF(OR(V515="",AG515&gt;=8),"",IF(V515&lt;TODAY(),"Vencida",IF(V515=TODAY(),"Hoy","")))</f>
        <v/>
      </c>
      <c r="X515" s="36" t="str">
        <f aca="false">IF(A515="","",IF(COUNTIF(Seguimiento!$B$2:$B$5001,A515)=0,"",_xlfn.MAXIFS(Seguimiento!$A$2:$A$5001,Seguimiento!$B$2:$B$5001,A515)))</f>
        <v/>
      </c>
      <c r="Y515" s="37" t="str">
        <f aca="true">IF(B515="","",TODAY()-B515)</f>
        <v/>
      </c>
      <c r="Z515" s="38" t="str">
        <f aca="false">IF(OR(O515="",G515=""),"",O515*IFERROR(INDEX(Listas!$B$2:$B$50,MATCH(G515,Listas!$A$2:$A$50,0)),0))</f>
        <v/>
      </c>
      <c r="AA515" s="32"/>
      <c r="AB515" s="32"/>
      <c r="AC515" s="32"/>
      <c r="AD515" s="35" t="str">
        <f aca="false">IF(OR(LEFT(H515,4)="Meta",LEFT(H515,6)="Google"),IF(AG515=3,"Lead calificado",IF(OR(AG515=4,AG515=5),"Tasación/visita",IF(OR(AG515=6,AG515=7),"Captación/oferta",IF(AG515=8,"Cierre","")))),"")</f>
        <v/>
      </c>
      <c r="AE515" s="32"/>
      <c r="AF515" s="32"/>
      <c r="AG515" s="37" t="n">
        <f aca="false">IF(R515="",0,IFERROR(MATCH(R515,Listas!$L$2:$L$50,0),0))</f>
        <v>0</v>
      </c>
    </row>
    <row r="516" customFormat="false" ht="15" hidden="false" customHeight="false" outlineLevel="0" collapsed="false">
      <c r="A516" s="30"/>
      <c r="B516" s="31"/>
      <c r="C516" s="32"/>
      <c r="D516" s="32"/>
      <c r="E516" s="33"/>
      <c r="F516" s="32"/>
      <c r="G516" s="32"/>
      <c r="H516" s="32"/>
      <c r="I516" s="32"/>
      <c r="J516" s="32"/>
      <c r="K516" s="32"/>
      <c r="L516" s="32"/>
      <c r="M516" s="30"/>
      <c r="N516" s="32"/>
      <c r="O516" s="34"/>
      <c r="P516" s="32"/>
      <c r="Q516" s="32"/>
      <c r="R516" s="32"/>
      <c r="S516" s="32"/>
      <c r="T516" s="32"/>
      <c r="U516" s="32"/>
      <c r="V516" s="31"/>
      <c r="W516" s="35" t="str">
        <f aca="true">IF(OR(V516="",AG516&gt;=8),"",IF(V516&lt;TODAY(),"Vencida",IF(V516=TODAY(),"Hoy","")))</f>
        <v/>
      </c>
      <c r="X516" s="36" t="str">
        <f aca="false">IF(A516="","",IF(COUNTIF(Seguimiento!$B$2:$B$5001,A516)=0,"",_xlfn.MAXIFS(Seguimiento!$A$2:$A$5001,Seguimiento!$B$2:$B$5001,A516)))</f>
        <v/>
      </c>
      <c r="Y516" s="37" t="str">
        <f aca="true">IF(B516="","",TODAY()-B516)</f>
        <v/>
      </c>
      <c r="Z516" s="38" t="str">
        <f aca="false">IF(OR(O516="",G516=""),"",O516*IFERROR(INDEX(Listas!$B$2:$B$50,MATCH(G516,Listas!$A$2:$A$50,0)),0))</f>
        <v/>
      </c>
      <c r="AA516" s="32"/>
      <c r="AB516" s="32"/>
      <c r="AC516" s="32"/>
      <c r="AD516" s="35" t="str">
        <f aca="false">IF(OR(LEFT(H516,4)="Meta",LEFT(H516,6)="Google"),IF(AG516=3,"Lead calificado",IF(OR(AG516=4,AG516=5),"Tasación/visita",IF(OR(AG516=6,AG516=7),"Captación/oferta",IF(AG516=8,"Cierre","")))),"")</f>
        <v/>
      </c>
      <c r="AE516" s="32"/>
      <c r="AF516" s="32"/>
      <c r="AG516" s="37" t="n">
        <f aca="false">IF(R516="",0,IFERROR(MATCH(R516,Listas!$L$2:$L$50,0),0))</f>
        <v>0</v>
      </c>
    </row>
    <row r="517" customFormat="false" ht="15" hidden="false" customHeight="false" outlineLevel="0" collapsed="false">
      <c r="A517" s="30"/>
      <c r="B517" s="31"/>
      <c r="C517" s="32"/>
      <c r="D517" s="32"/>
      <c r="E517" s="33"/>
      <c r="F517" s="32"/>
      <c r="G517" s="32"/>
      <c r="H517" s="32"/>
      <c r="I517" s="32"/>
      <c r="J517" s="32"/>
      <c r="K517" s="32"/>
      <c r="L517" s="32"/>
      <c r="M517" s="30"/>
      <c r="N517" s="32"/>
      <c r="O517" s="34"/>
      <c r="P517" s="32"/>
      <c r="Q517" s="32"/>
      <c r="R517" s="32"/>
      <c r="S517" s="32"/>
      <c r="T517" s="32"/>
      <c r="U517" s="32"/>
      <c r="V517" s="31"/>
      <c r="W517" s="35" t="str">
        <f aca="true">IF(OR(V517="",AG517&gt;=8),"",IF(V517&lt;TODAY(),"Vencida",IF(V517=TODAY(),"Hoy","")))</f>
        <v/>
      </c>
      <c r="X517" s="36" t="str">
        <f aca="false">IF(A517="","",IF(COUNTIF(Seguimiento!$B$2:$B$5001,A517)=0,"",_xlfn.MAXIFS(Seguimiento!$A$2:$A$5001,Seguimiento!$B$2:$B$5001,A517)))</f>
        <v/>
      </c>
      <c r="Y517" s="37" t="str">
        <f aca="true">IF(B517="","",TODAY()-B517)</f>
        <v/>
      </c>
      <c r="Z517" s="38" t="str">
        <f aca="false">IF(OR(O517="",G517=""),"",O517*IFERROR(INDEX(Listas!$B$2:$B$50,MATCH(G517,Listas!$A$2:$A$50,0)),0))</f>
        <v/>
      </c>
      <c r="AA517" s="32"/>
      <c r="AB517" s="32"/>
      <c r="AC517" s="32"/>
      <c r="AD517" s="35" t="str">
        <f aca="false">IF(OR(LEFT(H517,4)="Meta",LEFT(H517,6)="Google"),IF(AG517=3,"Lead calificado",IF(OR(AG517=4,AG517=5),"Tasación/visita",IF(OR(AG517=6,AG517=7),"Captación/oferta",IF(AG517=8,"Cierre","")))),"")</f>
        <v/>
      </c>
      <c r="AE517" s="32"/>
      <c r="AF517" s="32"/>
      <c r="AG517" s="37" t="n">
        <f aca="false">IF(R517="",0,IFERROR(MATCH(R517,Listas!$L$2:$L$50,0),0))</f>
        <v>0</v>
      </c>
    </row>
    <row r="518" customFormat="false" ht="15" hidden="false" customHeight="false" outlineLevel="0" collapsed="false">
      <c r="A518" s="30"/>
      <c r="B518" s="31"/>
      <c r="C518" s="32"/>
      <c r="D518" s="32"/>
      <c r="E518" s="33"/>
      <c r="F518" s="32"/>
      <c r="G518" s="32"/>
      <c r="H518" s="32"/>
      <c r="I518" s="32"/>
      <c r="J518" s="32"/>
      <c r="K518" s="32"/>
      <c r="L518" s="32"/>
      <c r="M518" s="30"/>
      <c r="N518" s="32"/>
      <c r="O518" s="34"/>
      <c r="P518" s="32"/>
      <c r="Q518" s="32"/>
      <c r="R518" s="32"/>
      <c r="S518" s="32"/>
      <c r="T518" s="32"/>
      <c r="U518" s="32"/>
      <c r="V518" s="31"/>
      <c r="W518" s="35" t="str">
        <f aca="true">IF(OR(V518="",AG518&gt;=8),"",IF(V518&lt;TODAY(),"Vencida",IF(V518=TODAY(),"Hoy","")))</f>
        <v/>
      </c>
      <c r="X518" s="36" t="str">
        <f aca="false">IF(A518="","",IF(COUNTIF(Seguimiento!$B$2:$B$5001,A518)=0,"",_xlfn.MAXIFS(Seguimiento!$A$2:$A$5001,Seguimiento!$B$2:$B$5001,A518)))</f>
        <v/>
      </c>
      <c r="Y518" s="37" t="str">
        <f aca="true">IF(B518="","",TODAY()-B518)</f>
        <v/>
      </c>
      <c r="Z518" s="38" t="str">
        <f aca="false">IF(OR(O518="",G518=""),"",O518*IFERROR(INDEX(Listas!$B$2:$B$50,MATCH(G518,Listas!$A$2:$A$50,0)),0))</f>
        <v/>
      </c>
      <c r="AA518" s="32"/>
      <c r="AB518" s="32"/>
      <c r="AC518" s="32"/>
      <c r="AD518" s="35" t="str">
        <f aca="false">IF(OR(LEFT(H518,4)="Meta",LEFT(H518,6)="Google"),IF(AG518=3,"Lead calificado",IF(OR(AG518=4,AG518=5),"Tasación/visita",IF(OR(AG518=6,AG518=7),"Captación/oferta",IF(AG518=8,"Cierre","")))),"")</f>
        <v/>
      </c>
      <c r="AE518" s="32"/>
      <c r="AF518" s="32"/>
      <c r="AG518" s="37" t="n">
        <f aca="false">IF(R518="",0,IFERROR(MATCH(R518,Listas!$L$2:$L$50,0),0))</f>
        <v>0</v>
      </c>
    </row>
    <row r="519" customFormat="false" ht="15" hidden="false" customHeight="false" outlineLevel="0" collapsed="false">
      <c r="A519" s="30"/>
      <c r="B519" s="31"/>
      <c r="C519" s="32"/>
      <c r="D519" s="32"/>
      <c r="E519" s="33"/>
      <c r="F519" s="32"/>
      <c r="G519" s="32"/>
      <c r="H519" s="32"/>
      <c r="I519" s="32"/>
      <c r="J519" s="32"/>
      <c r="K519" s="32"/>
      <c r="L519" s="32"/>
      <c r="M519" s="30"/>
      <c r="N519" s="32"/>
      <c r="O519" s="34"/>
      <c r="P519" s="32"/>
      <c r="Q519" s="32"/>
      <c r="R519" s="32"/>
      <c r="S519" s="32"/>
      <c r="T519" s="32"/>
      <c r="U519" s="32"/>
      <c r="V519" s="31"/>
      <c r="W519" s="35" t="str">
        <f aca="true">IF(OR(V519="",AG519&gt;=8),"",IF(V519&lt;TODAY(),"Vencida",IF(V519=TODAY(),"Hoy","")))</f>
        <v/>
      </c>
      <c r="X519" s="36" t="str">
        <f aca="false">IF(A519="","",IF(COUNTIF(Seguimiento!$B$2:$B$5001,A519)=0,"",_xlfn.MAXIFS(Seguimiento!$A$2:$A$5001,Seguimiento!$B$2:$B$5001,A519)))</f>
        <v/>
      </c>
      <c r="Y519" s="37" t="str">
        <f aca="true">IF(B519="","",TODAY()-B519)</f>
        <v/>
      </c>
      <c r="Z519" s="38" t="str">
        <f aca="false">IF(OR(O519="",G519=""),"",O519*IFERROR(INDEX(Listas!$B$2:$B$50,MATCH(G519,Listas!$A$2:$A$50,0)),0))</f>
        <v/>
      </c>
      <c r="AA519" s="32"/>
      <c r="AB519" s="32"/>
      <c r="AC519" s="32"/>
      <c r="AD519" s="35" t="str">
        <f aca="false">IF(OR(LEFT(H519,4)="Meta",LEFT(H519,6)="Google"),IF(AG519=3,"Lead calificado",IF(OR(AG519=4,AG519=5),"Tasación/visita",IF(OR(AG519=6,AG519=7),"Captación/oferta",IF(AG519=8,"Cierre","")))),"")</f>
        <v/>
      </c>
      <c r="AE519" s="32"/>
      <c r="AF519" s="32"/>
      <c r="AG519" s="37" t="n">
        <f aca="false">IF(R519="",0,IFERROR(MATCH(R519,Listas!$L$2:$L$50,0),0))</f>
        <v>0</v>
      </c>
    </row>
    <row r="520" customFormat="false" ht="15" hidden="false" customHeight="false" outlineLevel="0" collapsed="false">
      <c r="A520" s="30"/>
      <c r="B520" s="31"/>
      <c r="C520" s="32"/>
      <c r="D520" s="32"/>
      <c r="E520" s="33"/>
      <c r="F520" s="32"/>
      <c r="G520" s="32"/>
      <c r="H520" s="32"/>
      <c r="I520" s="32"/>
      <c r="J520" s="32"/>
      <c r="K520" s="32"/>
      <c r="L520" s="32"/>
      <c r="M520" s="30"/>
      <c r="N520" s="32"/>
      <c r="O520" s="34"/>
      <c r="P520" s="32"/>
      <c r="Q520" s="32"/>
      <c r="R520" s="32"/>
      <c r="S520" s="32"/>
      <c r="T520" s="32"/>
      <c r="U520" s="32"/>
      <c r="V520" s="31"/>
      <c r="W520" s="35" t="str">
        <f aca="true">IF(OR(V520="",AG520&gt;=8),"",IF(V520&lt;TODAY(),"Vencida",IF(V520=TODAY(),"Hoy","")))</f>
        <v/>
      </c>
      <c r="X520" s="36" t="str">
        <f aca="false">IF(A520="","",IF(COUNTIF(Seguimiento!$B$2:$B$5001,A520)=0,"",_xlfn.MAXIFS(Seguimiento!$A$2:$A$5001,Seguimiento!$B$2:$B$5001,A520)))</f>
        <v/>
      </c>
      <c r="Y520" s="37" t="str">
        <f aca="true">IF(B520="","",TODAY()-B520)</f>
        <v/>
      </c>
      <c r="Z520" s="38" t="str">
        <f aca="false">IF(OR(O520="",G520=""),"",O520*IFERROR(INDEX(Listas!$B$2:$B$50,MATCH(G520,Listas!$A$2:$A$50,0)),0))</f>
        <v/>
      </c>
      <c r="AA520" s="32"/>
      <c r="AB520" s="32"/>
      <c r="AC520" s="32"/>
      <c r="AD520" s="35" t="str">
        <f aca="false">IF(OR(LEFT(H520,4)="Meta",LEFT(H520,6)="Google"),IF(AG520=3,"Lead calificado",IF(OR(AG520=4,AG520=5),"Tasación/visita",IF(OR(AG520=6,AG520=7),"Captación/oferta",IF(AG520=8,"Cierre","")))),"")</f>
        <v/>
      </c>
      <c r="AE520" s="32"/>
      <c r="AF520" s="32"/>
      <c r="AG520" s="37" t="n">
        <f aca="false">IF(R520="",0,IFERROR(MATCH(R520,Listas!$L$2:$L$50,0),0))</f>
        <v>0</v>
      </c>
    </row>
    <row r="521" customFormat="false" ht="15" hidden="false" customHeight="false" outlineLevel="0" collapsed="false">
      <c r="A521" s="30"/>
      <c r="B521" s="31"/>
      <c r="C521" s="32"/>
      <c r="D521" s="32"/>
      <c r="E521" s="33"/>
      <c r="F521" s="32"/>
      <c r="G521" s="32"/>
      <c r="H521" s="32"/>
      <c r="I521" s="32"/>
      <c r="J521" s="32"/>
      <c r="K521" s="32"/>
      <c r="L521" s="32"/>
      <c r="M521" s="30"/>
      <c r="N521" s="32"/>
      <c r="O521" s="34"/>
      <c r="P521" s="32"/>
      <c r="Q521" s="32"/>
      <c r="R521" s="32"/>
      <c r="S521" s="32"/>
      <c r="T521" s="32"/>
      <c r="U521" s="32"/>
      <c r="V521" s="31"/>
      <c r="W521" s="35" t="str">
        <f aca="true">IF(OR(V521="",AG521&gt;=8),"",IF(V521&lt;TODAY(),"Vencida",IF(V521=TODAY(),"Hoy","")))</f>
        <v/>
      </c>
      <c r="X521" s="36" t="str">
        <f aca="false">IF(A521="","",IF(COUNTIF(Seguimiento!$B$2:$B$5001,A521)=0,"",_xlfn.MAXIFS(Seguimiento!$A$2:$A$5001,Seguimiento!$B$2:$B$5001,A521)))</f>
        <v/>
      </c>
      <c r="Y521" s="37" t="str">
        <f aca="true">IF(B521="","",TODAY()-B521)</f>
        <v/>
      </c>
      <c r="Z521" s="38" t="str">
        <f aca="false">IF(OR(O521="",G521=""),"",O521*IFERROR(INDEX(Listas!$B$2:$B$50,MATCH(G521,Listas!$A$2:$A$50,0)),0))</f>
        <v/>
      </c>
      <c r="AA521" s="32"/>
      <c r="AB521" s="32"/>
      <c r="AC521" s="32"/>
      <c r="AD521" s="35" t="str">
        <f aca="false">IF(OR(LEFT(H521,4)="Meta",LEFT(H521,6)="Google"),IF(AG521=3,"Lead calificado",IF(OR(AG521=4,AG521=5),"Tasación/visita",IF(OR(AG521=6,AG521=7),"Captación/oferta",IF(AG521=8,"Cierre","")))),"")</f>
        <v/>
      </c>
      <c r="AE521" s="32"/>
      <c r="AF521" s="32"/>
      <c r="AG521" s="37" t="n">
        <f aca="false">IF(R521="",0,IFERROR(MATCH(R521,Listas!$L$2:$L$50,0),0))</f>
        <v>0</v>
      </c>
    </row>
    <row r="522" customFormat="false" ht="15" hidden="false" customHeight="false" outlineLevel="0" collapsed="false">
      <c r="A522" s="30"/>
      <c r="B522" s="31"/>
      <c r="C522" s="32"/>
      <c r="D522" s="32"/>
      <c r="E522" s="33"/>
      <c r="F522" s="32"/>
      <c r="G522" s="32"/>
      <c r="H522" s="32"/>
      <c r="I522" s="32"/>
      <c r="J522" s="32"/>
      <c r="K522" s="32"/>
      <c r="L522" s="32"/>
      <c r="M522" s="30"/>
      <c r="N522" s="32"/>
      <c r="O522" s="34"/>
      <c r="P522" s="32"/>
      <c r="Q522" s="32"/>
      <c r="R522" s="32"/>
      <c r="S522" s="32"/>
      <c r="T522" s="32"/>
      <c r="U522" s="32"/>
      <c r="V522" s="31"/>
      <c r="W522" s="35" t="str">
        <f aca="true">IF(OR(V522="",AG522&gt;=8),"",IF(V522&lt;TODAY(),"Vencida",IF(V522=TODAY(),"Hoy","")))</f>
        <v/>
      </c>
      <c r="X522" s="36" t="str">
        <f aca="false">IF(A522="","",IF(COUNTIF(Seguimiento!$B$2:$B$5001,A522)=0,"",_xlfn.MAXIFS(Seguimiento!$A$2:$A$5001,Seguimiento!$B$2:$B$5001,A522)))</f>
        <v/>
      </c>
      <c r="Y522" s="37" t="str">
        <f aca="true">IF(B522="","",TODAY()-B522)</f>
        <v/>
      </c>
      <c r="Z522" s="38" t="str">
        <f aca="false">IF(OR(O522="",G522=""),"",O522*IFERROR(INDEX(Listas!$B$2:$B$50,MATCH(G522,Listas!$A$2:$A$50,0)),0))</f>
        <v/>
      </c>
      <c r="AA522" s="32"/>
      <c r="AB522" s="32"/>
      <c r="AC522" s="32"/>
      <c r="AD522" s="35" t="str">
        <f aca="false">IF(OR(LEFT(H522,4)="Meta",LEFT(H522,6)="Google"),IF(AG522=3,"Lead calificado",IF(OR(AG522=4,AG522=5),"Tasación/visita",IF(OR(AG522=6,AG522=7),"Captación/oferta",IF(AG522=8,"Cierre","")))),"")</f>
        <v/>
      </c>
      <c r="AE522" s="32"/>
      <c r="AF522" s="32"/>
      <c r="AG522" s="37" t="n">
        <f aca="false">IF(R522="",0,IFERROR(MATCH(R522,Listas!$L$2:$L$50,0),0))</f>
        <v>0</v>
      </c>
    </row>
    <row r="523" customFormat="false" ht="15" hidden="false" customHeight="false" outlineLevel="0" collapsed="false">
      <c r="A523" s="30"/>
      <c r="B523" s="31"/>
      <c r="C523" s="32"/>
      <c r="D523" s="32"/>
      <c r="E523" s="33"/>
      <c r="F523" s="32"/>
      <c r="G523" s="32"/>
      <c r="H523" s="32"/>
      <c r="I523" s="32"/>
      <c r="J523" s="32"/>
      <c r="K523" s="32"/>
      <c r="L523" s="32"/>
      <c r="M523" s="30"/>
      <c r="N523" s="32"/>
      <c r="O523" s="34"/>
      <c r="P523" s="32"/>
      <c r="Q523" s="32"/>
      <c r="R523" s="32"/>
      <c r="S523" s="32"/>
      <c r="T523" s="32"/>
      <c r="U523" s="32"/>
      <c r="V523" s="31"/>
      <c r="W523" s="35" t="str">
        <f aca="true">IF(OR(V523="",AG523&gt;=8),"",IF(V523&lt;TODAY(),"Vencida",IF(V523=TODAY(),"Hoy","")))</f>
        <v/>
      </c>
      <c r="X523" s="36" t="str">
        <f aca="false">IF(A523="","",IF(COUNTIF(Seguimiento!$B$2:$B$5001,A523)=0,"",_xlfn.MAXIFS(Seguimiento!$A$2:$A$5001,Seguimiento!$B$2:$B$5001,A523)))</f>
        <v/>
      </c>
      <c r="Y523" s="37" t="str">
        <f aca="true">IF(B523="","",TODAY()-B523)</f>
        <v/>
      </c>
      <c r="Z523" s="38" t="str">
        <f aca="false">IF(OR(O523="",G523=""),"",O523*IFERROR(INDEX(Listas!$B$2:$B$50,MATCH(G523,Listas!$A$2:$A$50,0)),0))</f>
        <v/>
      </c>
      <c r="AA523" s="32"/>
      <c r="AB523" s="32"/>
      <c r="AC523" s="32"/>
      <c r="AD523" s="35" t="str">
        <f aca="false">IF(OR(LEFT(H523,4)="Meta",LEFT(H523,6)="Google"),IF(AG523=3,"Lead calificado",IF(OR(AG523=4,AG523=5),"Tasación/visita",IF(OR(AG523=6,AG523=7),"Captación/oferta",IF(AG523=8,"Cierre","")))),"")</f>
        <v/>
      </c>
      <c r="AE523" s="32"/>
      <c r="AF523" s="32"/>
      <c r="AG523" s="37" t="n">
        <f aca="false">IF(R523="",0,IFERROR(MATCH(R523,Listas!$L$2:$L$50,0),0))</f>
        <v>0</v>
      </c>
    </row>
    <row r="524" customFormat="false" ht="15" hidden="false" customHeight="false" outlineLevel="0" collapsed="false">
      <c r="A524" s="30"/>
      <c r="B524" s="31"/>
      <c r="C524" s="32"/>
      <c r="D524" s="32"/>
      <c r="E524" s="33"/>
      <c r="F524" s="32"/>
      <c r="G524" s="32"/>
      <c r="H524" s="32"/>
      <c r="I524" s="32"/>
      <c r="J524" s="32"/>
      <c r="K524" s="32"/>
      <c r="L524" s="32"/>
      <c r="M524" s="30"/>
      <c r="N524" s="32"/>
      <c r="O524" s="34"/>
      <c r="P524" s="32"/>
      <c r="Q524" s="32"/>
      <c r="R524" s="32"/>
      <c r="S524" s="32"/>
      <c r="T524" s="32"/>
      <c r="U524" s="32"/>
      <c r="V524" s="31"/>
      <c r="W524" s="35" t="str">
        <f aca="true">IF(OR(V524="",AG524&gt;=8),"",IF(V524&lt;TODAY(),"Vencida",IF(V524=TODAY(),"Hoy","")))</f>
        <v/>
      </c>
      <c r="X524" s="36" t="str">
        <f aca="false">IF(A524="","",IF(COUNTIF(Seguimiento!$B$2:$B$5001,A524)=0,"",_xlfn.MAXIFS(Seguimiento!$A$2:$A$5001,Seguimiento!$B$2:$B$5001,A524)))</f>
        <v/>
      </c>
      <c r="Y524" s="37" t="str">
        <f aca="true">IF(B524="","",TODAY()-B524)</f>
        <v/>
      </c>
      <c r="Z524" s="38" t="str">
        <f aca="false">IF(OR(O524="",G524=""),"",O524*IFERROR(INDEX(Listas!$B$2:$B$50,MATCH(G524,Listas!$A$2:$A$50,0)),0))</f>
        <v/>
      </c>
      <c r="AA524" s="32"/>
      <c r="AB524" s="32"/>
      <c r="AC524" s="32"/>
      <c r="AD524" s="35" t="str">
        <f aca="false">IF(OR(LEFT(H524,4)="Meta",LEFT(H524,6)="Google"),IF(AG524=3,"Lead calificado",IF(OR(AG524=4,AG524=5),"Tasación/visita",IF(OR(AG524=6,AG524=7),"Captación/oferta",IF(AG524=8,"Cierre","")))),"")</f>
        <v/>
      </c>
      <c r="AE524" s="32"/>
      <c r="AF524" s="32"/>
      <c r="AG524" s="37" t="n">
        <f aca="false">IF(R524="",0,IFERROR(MATCH(R524,Listas!$L$2:$L$50,0),0))</f>
        <v>0</v>
      </c>
    </row>
    <row r="525" customFormat="false" ht="15" hidden="false" customHeight="false" outlineLevel="0" collapsed="false">
      <c r="A525" s="30"/>
      <c r="B525" s="31"/>
      <c r="C525" s="32"/>
      <c r="D525" s="32"/>
      <c r="E525" s="33"/>
      <c r="F525" s="32"/>
      <c r="G525" s="32"/>
      <c r="H525" s="32"/>
      <c r="I525" s="32"/>
      <c r="J525" s="32"/>
      <c r="K525" s="32"/>
      <c r="L525" s="32"/>
      <c r="M525" s="30"/>
      <c r="N525" s="32"/>
      <c r="O525" s="34"/>
      <c r="P525" s="32"/>
      <c r="Q525" s="32"/>
      <c r="R525" s="32"/>
      <c r="S525" s="32"/>
      <c r="T525" s="32"/>
      <c r="U525" s="32"/>
      <c r="V525" s="31"/>
      <c r="W525" s="35" t="str">
        <f aca="true">IF(OR(V525="",AG525&gt;=8),"",IF(V525&lt;TODAY(),"Vencida",IF(V525=TODAY(),"Hoy","")))</f>
        <v/>
      </c>
      <c r="X525" s="36" t="str">
        <f aca="false">IF(A525="","",IF(COUNTIF(Seguimiento!$B$2:$B$5001,A525)=0,"",_xlfn.MAXIFS(Seguimiento!$A$2:$A$5001,Seguimiento!$B$2:$B$5001,A525)))</f>
        <v/>
      </c>
      <c r="Y525" s="37" t="str">
        <f aca="true">IF(B525="","",TODAY()-B525)</f>
        <v/>
      </c>
      <c r="Z525" s="38" t="str">
        <f aca="false">IF(OR(O525="",G525=""),"",O525*IFERROR(INDEX(Listas!$B$2:$B$50,MATCH(G525,Listas!$A$2:$A$50,0)),0))</f>
        <v/>
      </c>
      <c r="AA525" s="32"/>
      <c r="AB525" s="32"/>
      <c r="AC525" s="32"/>
      <c r="AD525" s="35" t="str">
        <f aca="false">IF(OR(LEFT(H525,4)="Meta",LEFT(H525,6)="Google"),IF(AG525=3,"Lead calificado",IF(OR(AG525=4,AG525=5),"Tasación/visita",IF(OR(AG525=6,AG525=7),"Captación/oferta",IF(AG525=8,"Cierre","")))),"")</f>
        <v/>
      </c>
      <c r="AE525" s="32"/>
      <c r="AF525" s="32"/>
      <c r="AG525" s="37" t="n">
        <f aca="false">IF(R525="",0,IFERROR(MATCH(R525,Listas!$L$2:$L$50,0),0))</f>
        <v>0</v>
      </c>
    </row>
    <row r="526" customFormat="false" ht="15" hidden="false" customHeight="false" outlineLevel="0" collapsed="false">
      <c r="A526" s="30"/>
      <c r="B526" s="31"/>
      <c r="C526" s="32"/>
      <c r="D526" s="32"/>
      <c r="E526" s="33"/>
      <c r="F526" s="32"/>
      <c r="G526" s="32"/>
      <c r="H526" s="32"/>
      <c r="I526" s="32"/>
      <c r="J526" s="32"/>
      <c r="K526" s="32"/>
      <c r="L526" s="32"/>
      <c r="M526" s="30"/>
      <c r="N526" s="32"/>
      <c r="O526" s="34"/>
      <c r="P526" s="32"/>
      <c r="Q526" s="32"/>
      <c r="R526" s="32"/>
      <c r="S526" s="32"/>
      <c r="T526" s="32"/>
      <c r="U526" s="32"/>
      <c r="V526" s="31"/>
      <c r="W526" s="35" t="str">
        <f aca="true">IF(OR(V526="",AG526&gt;=8),"",IF(V526&lt;TODAY(),"Vencida",IF(V526=TODAY(),"Hoy","")))</f>
        <v/>
      </c>
      <c r="X526" s="36" t="str">
        <f aca="false">IF(A526="","",IF(COUNTIF(Seguimiento!$B$2:$B$5001,A526)=0,"",_xlfn.MAXIFS(Seguimiento!$A$2:$A$5001,Seguimiento!$B$2:$B$5001,A526)))</f>
        <v/>
      </c>
      <c r="Y526" s="37" t="str">
        <f aca="true">IF(B526="","",TODAY()-B526)</f>
        <v/>
      </c>
      <c r="Z526" s="38" t="str">
        <f aca="false">IF(OR(O526="",G526=""),"",O526*IFERROR(INDEX(Listas!$B$2:$B$50,MATCH(G526,Listas!$A$2:$A$50,0)),0))</f>
        <v/>
      </c>
      <c r="AA526" s="32"/>
      <c r="AB526" s="32"/>
      <c r="AC526" s="32"/>
      <c r="AD526" s="35" t="str">
        <f aca="false">IF(OR(LEFT(H526,4)="Meta",LEFT(H526,6)="Google"),IF(AG526=3,"Lead calificado",IF(OR(AG526=4,AG526=5),"Tasación/visita",IF(OR(AG526=6,AG526=7),"Captación/oferta",IF(AG526=8,"Cierre","")))),"")</f>
        <v/>
      </c>
      <c r="AE526" s="32"/>
      <c r="AF526" s="32"/>
      <c r="AG526" s="37" t="n">
        <f aca="false">IF(R526="",0,IFERROR(MATCH(R526,Listas!$L$2:$L$50,0),0))</f>
        <v>0</v>
      </c>
    </row>
    <row r="527" customFormat="false" ht="15" hidden="false" customHeight="false" outlineLevel="0" collapsed="false">
      <c r="A527" s="30"/>
      <c r="B527" s="31"/>
      <c r="C527" s="32"/>
      <c r="D527" s="32"/>
      <c r="E527" s="33"/>
      <c r="F527" s="32"/>
      <c r="G527" s="32"/>
      <c r="H527" s="32"/>
      <c r="I527" s="32"/>
      <c r="J527" s="32"/>
      <c r="K527" s="32"/>
      <c r="L527" s="32"/>
      <c r="M527" s="30"/>
      <c r="N527" s="32"/>
      <c r="O527" s="34"/>
      <c r="P527" s="32"/>
      <c r="Q527" s="32"/>
      <c r="R527" s="32"/>
      <c r="S527" s="32"/>
      <c r="T527" s="32"/>
      <c r="U527" s="32"/>
      <c r="V527" s="31"/>
      <c r="W527" s="35" t="str">
        <f aca="true">IF(OR(V527="",AG527&gt;=8),"",IF(V527&lt;TODAY(),"Vencida",IF(V527=TODAY(),"Hoy","")))</f>
        <v/>
      </c>
      <c r="X527" s="36" t="str">
        <f aca="false">IF(A527="","",IF(COUNTIF(Seguimiento!$B$2:$B$5001,A527)=0,"",_xlfn.MAXIFS(Seguimiento!$A$2:$A$5001,Seguimiento!$B$2:$B$5001,A527)))</f>
        <v/>
      </c>
      <c r="Y527" s="37" t="str">
        <f aca="true">IF(B527="","",TODAY()-B527)</f>
        <v/>
      </c>
      <c r="Z527" s="38" t="str">
        <f aca="false">IF(OR(O527="",G527=""),"",O527*IFERROR(INDEX(Listas!$B$2:$B$50,MATCH(G527,Listas!$A$2:$A$50,0)),0))</f>
        <v/>
      </c>
      <c r="AA527" s="32"/>
      <c r="AB527" s="32"/>
      <c r="AC527" s="32"/>
      <c r="AD527" s="35" t="str">
        <f aca="false">IF(OR(LEFT(H527,4)="Meta",LEFT(H527,6)="Google"),IF(AG527=3,"Lead calificado",IF(OR(AG527=4,AG527=5),"Tasación/visita",IF(OR(AG527=6,AG527=7),"Captación/oferta",IF(AG527=8,"Cierre","")))),"")</f>
        <v/>
      </c>
      <c r="AE527" s="32"/>
      <c r="AF527" s="32"/>
      <c r="AG527" s="37" t="n">
        <f aca="false">IF(R527="",0,IFERROR(MATCH(R527,Listas!$L$2:$L$50,0),0))</f>
        <v>0</v>
      </c>
    </row>
    <row r="528" customFormat="false" ht="15" hidden="false" customHeight="false" outlineLevel="0" collapsed="false">
      <c r="A528" s="30"/>
      <c r="B528" s="31"/>
      <c r="C528" s="32"/>
      <c r="D528" s="32"/>
      <c r="E528" s="33"/>
      <c r="F528" s="32"/>
      <c r="G528" s="32"/>
      <c r="H528" s="32"/>
      <c r="I528" s="32"/>
      <c r="J528" s="32"/>
      <c r="K528" s="32"/>
      <c r="L528" s="32"/>
      <c r="M528" s="30"/>
      <c r="N528" s="32"/>
      <c r="O528" s="34"/>
      <c r="P528" s="32"/>
      <c r="Q528" s="32"/>
      <c r="R528" s="32"/>
      <c r="S528" s="32"/>
      <c r="T528" s="32"/>
      <c r="U528" s="32"/>
      <c r="V528" s="31"/>
      <c r="W528" s="35" t="str">
        <f aca="true">IF(OR(V528="",AG528&gt;=8),"",IF(V528&lt;TODAY(),"Vencida",IF(V528=TODAY(),"Hoy","")))</f>
        <v/>
      </c>
      <c r="X528" s="36" t="str">
        <f aca="false">IF(A528="","",IF(COUNTIF(Seguimiento!$B$2:$B$5001,A528)=0,"",_xlfn.MAXIFS(Seguimiento!$A$2:$A$5001,Seguimiento!$B$2:$B$5001,A528)))</f>
        <v/>
      </c>
      <c r="Y528" s="37" t="str">
        <f aca="true">IF(B528="","",TODAY()-B528)</f>
        <v/>
      </c>
      <c r="Z528" s="38" t="str">
        <f aca="false">IF(OR(O528="",G528=""),"",O528*IFERROR(INDEX(Listas!$B$2:$B$50,MATCH(G528,Listas!$A$2:$A$50,0)),0))</f>
        <v/>
      </c>
      <c r="AA528" s="32"/>
      <c r="AB528" s="32"/>
      <c r="AC528" s="32"/>
      <c r="AD528" s="35" t="str">
        <f aca="false">IF(OR(LEFT(H528,4)="Meta",LEFT(H528,6)="Google"),IF(AG528=3,"Lead calificado",IF(OR(AG528=4,AG528=5),"Tasación/visita",IF(OR(AG528=6,AG528=7),"Captación/oferta",IF(AG528=8,"Cierre","")))),"")</f>
        <v/>
      </c>
      <c r="AE528" s="32"/>
      <c r="AF528" s="32"/>
      <c r="AG528" s="37" t="n">
        <f aca="false">IF(R528="",0,IFERROR(MATCH(R528,Listas!$L$2:$L$50,0),0))</f>
        <v>0</v>
      </c>
    </row>
    <row r="529" customFormat="false" ht="15" hidden="false" customHeight="false" outlineLevel="0" collapsed="false">
      <c r="A529" s="30"/>
      <c r="B529" s="31"/>
      <c r="C529" s="32"/>
      <c r="D529" s="32"/>
      <c r="E529" s="33"/>
      <c r="F529" s="32"/>
      <c r="G529" s="32"/>
      <c r="H529" s="32"/>
      <c r="I529" s="32"/>
      <c r="J529" s="32"/>
      <c r="K529" s="32"/>
      <c r="L529" s="32"/>
      <c r="M529" s="30"/>
      <c r="N529" s="32"/>
      <c r="O529" s="34"/>
      <c r="P529" s="32"/>
      <c r="Q529" s="32"/>
      <c r="R529" s="32"/>
      <c r="S529" s="32"/>
      <c r="T529" s="32"/>
      <c r="U529" s="32"/>
      <c r="V529" s="31"/>
      <c r="W529" s="35" t="str">
        <f aca="true">IF(OR(V529="",AG529&gt;=8),"",IF(V529&lt;TODAY(),"Vencida",IF(V529=TODAY(),"Hoy","")))</f>
        <v/>
      </c>
      <c r="X529" s="36" t="str">
        <f aca="false">IF(A529="","",IF(COUNTIF(Seguimiento!$B$2:$B$5001,A529)=0,"",_xlfn.MAXIFS(Seguimiento!$A$2:$A$5001,Seguimiento!$B$2:$B$5001,A529)))</f>
        <v/>
      </c>
      <c r="Y529" s="37" t="str">
        <f aca="true">IF(B529="","",TODAY()-B529)</f>
        <v/>
      </c>
      <c r="Z529" s="38" t="str">
        <f aca="false">IF(OR(O529="",G529=""),"",O529*IFERROR(INDEX(Listas!$B$2:$B$50,MATCH(G529,Listas!$A$2:$A$50,0)),0))</f>
        <v/>
      </c>
      <c r="AA529" s="32"/>
      <c r="AB529" s="32"/>
      <c r="AC529" s="32"/>
      <c r="AD529" s="35" t="str">
        <f aca="false">IF(OR(LEFT(H529,4)="Meta",LEFT(H529,6)="Google"),IF(AG529=3,"Lead calificado",IF(OR(AG529=4,AG529=5),"Tasación/visita",IF(OR(AG529=6,AG529=7),"Captación/oferta",IF(AG529=8,"Cierre","")))),"")</f>
        <v/>
      </c>
      <c r="AE529" s="32"/>
      <c r="AF529" s="32"/>
      <c r="AG529" s="37" t="n">
        <f aca="false">IF(R529="",0,IFERROR(MATCH(R529,Listas!$L$2:$L$50,0),0))</f>
        <v>0</v>
      </c>
    </row>
    <row r="530" customFormat="false" ht="15" hidden="false" customHeight="false" outlineLevel="0" collapsed="false">
      <c r="A530" s="30"/>
      <c r="B530" s="31"/>
      <c r="C530" s="32"/>
      <c r="D530" s="32"/>
      <c r="E530" s="33"/>
      <c r="F530" s="32"/>
      <c r="G530" s="32"/>
      <c r="H530" s="32"/>
      <c r="I530" s="32"/>
      <c r="J530" s="32"/>
      <c r="K530" s="32"/>
      <c r="L530" s="32"/>
      <c r="M530" s="30"/>
      <c r="N530" s="32"/>
      <c r="O530" s="34"/>
      <c r="P530" s="32"/>
      <c r="Q530" s="32"/>
      <c r="R530" s="32"/>
      <c r="S530" s="32"/>
      <c r="T530" s="32"/>
      <c r="U530" s="32"/>
      <c r="V530" s="31"/>
      <c r="W530" s="35" t="str">
        <f aca="true">IF(OR(V530="",AG530&gt;=8),"",IF(V530&lt;TODAY(),"Vencida",IF(V530=TODAY(),"Hoy","")))</f>
        <v/>
      </c>
      <c r="X530" s="36" t="str">
        <f aca="false">IF(A530="","",IF(COUNTIF(Seguimiento!$B$2:$B$5001,A530)=0,"",_xlfn.MAXIFS(Seguimiento!$A$2:$A$5001,Seguimiento!$B$2:$B$5001,A530)))</f>
        <v/>
      </c>
      <c r="Y530" s="37" t="str">
        <f aca="true">IF(B530="","",TODAY()-B530)</f>
        <v/>
      </c>
      <c r="Z530" s="38" t="str">
        <f aca="false">IF(OR(O530="",G530=""),"",O530*IFERROR(INDEX(Listas!$B$2:$B$50,MATCH(G530,Listas!$A$2:$A$50,0)),0))</f>
        <v/>
      </c>
      <c r="AA530" s="32"/>
      <c r="AB530" s="32"/>
      <c r="AC530" s="32"/>
      <c r="AD530" s="35" t="str">
        <f aca="false">IF(OR(LEFT(H530,4)="Meta",LEFT(H530,6)="Google"),IF(AG530=3,"Lead calificado",IF(OR(AG530=4,AG530=5),"Tasación/visita",IF(OR(AG530=6,AG530=7),"Captación/oferta",IF(AG530=8,"Cierre","")))),"")</f>
        <v/>
      </c>
      <c r="AE530" s="32"/>
      <c r="AF530" s="32"/>
      <c r="AG530" s="37" t="n">
        <f aca="false">IF(R530="",0,IFERROR(MATCH(R530,Listas!$L$2:$L$50,0),0))</f>
        <v>0</v>
      </c>
    </row>
    <row r="531" customFormat="false" ht="15" hidden="false" customHeight="false" outlineLevel="0" collapsed="false">
      <c r="A531" s="30"/>
      <c r="B531" s="31"/>
      <c r="C531" s="32"/>
      <c r="D531" s="32"/>
      <c r="E531" s="33"/>
      <c r="F531" s="32"/>
      <c r="G531" s="32"/>
      <c r="H531" s="32"/>
      <c r="I531" s="32"/>
      <c r="J531" s="32"/>
      <c r="K531" s="32"/>
      <c r="L531" s="32"/>
      <c r="M531" s="30"/>
      <c r="N531" s="32"/>
      <c r="O531" s="34"/>
      <c r="P531" s="32"/>
      <c r="Q531" s="32"/>
      <c r="R531" s="32"/>
      <c r="S531" s="32"/>
      <c r="T531" s="32"/>
      <c r="U531" s="32"/>
      <c r="V531" s="31"/>
      <c r="W531" s="35" t="str">
        <f aca="true">IF(OR(V531="",AG531&gt;=8),"",IF(V531&lt;TODAY(),"Vencida",IF(V531=TODAY(),"Hoy","")))</f>
        <v/>
      </c>
      <c r="X531" s="36" t="str">
        <f aca="false">IF(A531="","",IF(COUNTIF(Seguimiento!$B$2:$B$5001,A531)=0,"",_xlfn.MAXIFS(Seguimiento!$A$2:$A$5001,Seguimiento!$B$2:$B$5001,A531)))</f>
        <v/>
      </c>
      <c r="Y531" s="37" t="str">
        <f aca="true">IF(B531="","",TODAY()-B531)</f>
        <v/>
      </c>
      <c r="Z531" s="38" t="str">
        <f aca="false">IF(OR(O531="",G531=""),"",O531*IFERROR(INDEX(Listas!$B$2:$B$50,MATCH(G531,Listas!$A$2:$A$50,0)),0))</f>
        <v/>
      </c>
      <c r="AA531" s="32"/>
      <c r="AB531" s="32"/>
      <c r="AC531" s="32"/>
      <c r="AD531" s="35" t="str">
        <f aca="false">IF(OR(LEFT(H531,4)="Meta",LEFT(H531,6)="Google"),IF(AG531=3,"Lead calificado",IF(OR(AG531=4,AG531=5),"Tasación/visita",IF(OR(AG531=6,AG531=7),"Captación/oferta",IF(AG531=8,"Cierre","")))),"")</f>
        <v/>
      </c>
      <c r="AE531" s="32"/>
      <c r="AF531" s="32"/>
      <c r="AG531" s="37" t="n">
        <f aca="false">IF(R531="",0,IFERROR(MATCH(R531,Listas!$L$2:$L$50,0),0))</f>
        <v>0</v>
      </c>
    </row>
    <row r="532" customFormat="false" ht="15" hidden="false" customHeight="false" outlineLevel="0" collapsed="false">
      <c r="A532" s="30"/>
      <c r="B532" s="31"/>
      <c r="C532" s="32"/>
      <c r="D532" s="32"/>
      <c r="E532" s="33"/>
      <c r="F532" s="32"/>
      <c r="G532" s="32"/>
      <c r="H532" s="32"/>
      <c r="I532" s="32"/>
      <c r="J532" s="32"/>
      <c r="K532" s="32"/>
      <c r="L532" s="32"/>
      <c r="M532" s="30"/>
      <c r="N532" s="32"/>
      <c r="O532" s="34"/>
      <c r="P532" s="32"/>
      <c r="Q532" s="32"/>
      <c r="R532" s="32"/>
      <c r="S532" s="32"/>
      <c r="T532" s="32"/>
      <c r="U532" s="32"/>
      <c r="V532" s="31"/>
      <c r="W532" s="35" t="str">
        <f aca="true">IF(OR(V532="",AG532&gt;=8),"",IF(V532&lt;TODAY(),"Vencida",IF(V532=TODAY(),"Hoy","")))</f>
        <v/>
      </c>
      <c r="X532" s="36" t="str">
        <f aca="false">IF(A532="","",IF(COUNTIF(Seguimiento!$B$2:$B$5001,A532)=0,"",_xlfn.MAXIFS(Seguimiento!$A$2:$A$5001,Seguimiento!$B$2:$B$5001,A532)))</f>
        <v/>
      </c>
      <c r="Y532" s="37" t="str">
        <f aca="true">IF(B532="","",TODAY()-B532)</f>
        <v/>
      </c>
      <c r="Z532" s="38" t="str">
        <f aca="false">IF(OR(O532="",G532=""),"",O532*IFERROR(INDEX(Listas!$B$2:$B$50,MATCH(G532,Listas!$A$2:$A$50,0)),0))</f>
        <v/>
      </c>
      <c r="AA532" s="32"/>
      <c r="AB532" s="32"/>
      <c r="AC532" s="32"/>
      <c r="AD532" s="35" t="str">
        <f aca="false">IF(OR(LEFT(H532,4)="Meta",LEFT(H532,6)="Google"),IF(AG532=3,"Lead calificado",IF(OR(AG532=4,AG532=5),"Tasación/visita",IF(OR(AG532=6,AG532=7),"Captación/oferta",IF(AG532=8,"Cierre","")))),"")</f>
        <v/>
      </c>
      <c r="AE532" s="32"/>
      <c r="AF532" s="32"/>
      <c r="AG532" s="37" t="n">
        <f aca="false">IF(R532="",0,IFERROR(MATCH(R532,Listas!$L$2:$L$50,0),0))</f>
        <v>0</v>
      </c>
    </row>
    <row r="533" customFormat="false" ht="15" hidden="false" customHeight="false" outlineLevel="0" collapsed="false">
      <c r="A533" s="30"/>
      <c r="B533" s="31"/>
      <c r="C533" s="32"/>
      <c r="D533" s="32"/>
      <c r="E533" s="33"/>
      <c r="F533" s="32"/>
      <c r="G533" s="32"/>
      <c r="H533" s="32"/>
      <c r="I533" s="32"/>
      <c r="J533" s="32"/>
      <c r="K533" s="32"/>
      <c r="L533" s="32"/>
      <c r="M533" s="30"/>
      <c r="N533" s="32"/>
      <c r="O533" s="34"/>
      <c r="P533" s="32"/>
      <c r="Q533" s="32"/>
      <c r="R533" s="32"/>
      <c r="S533" s="32"/>
      <c r="T533" s="32"/>
      <c r="U533" s="32"/>
      <c r="V533" s="31"/>
      <c r="W533" s="35" t="str">
        <f aca="true">IF(OR(V533="",AG533&gt;=8),"",IF(V533&lt;TODAY(),"Vencida",IF(V533=TODAY(),"Hoy","")))</f>
        <v/>
      </c>
      <c r="X533" s="36" t="str">
        <f aca="false">IF(A533="","",IF(COUNTIF(Seguimiento!$B$2:$B$5001,A533)=0,"",_xlfn.MAXIFS(Seguimiento!$A$2:$A$5001,Seguimiento!$B$2:$B$5001,A533)))</f>
        <v/>
      </c>
      <c r="Y533" s="37" t="str">
        <f aca="true">IF(B533="","",TODAY()-B533)</f>
        <v/>
      </c>
      <c r="Z533" s="38" t="str">
        <f aca="false">IF(OR(O533="",G533=""),"",O533*IFERROR(INDEX(Listas!$B$2:$B$50,MATCH(G533,Listas!$A$2:$A$50,0)),0))</f>
        <v/>
      </c>
      <c r="AA533" s="32"/>
      <c r="AB533" s="32"/>
      <c r="AC533" s="32"/>
      <c r="AD533" s="35" t="str">
        <f aca="false">IF(OR(LEFT(H533,4)="Meta",LEFT(H533,6)="Google"),IF(AG533=3,"Lead calificado",IF(OR(AG533=4,AG533=5),"Tasación/visita",IF(OR(AG533=6,AG533=7),"Captación/oferta",IF(AG533=8,"Cierre","")))),"")</f>
        <v/>
      </c>
      <c r="AE533" s="32"/>
      <c r="AF533" s="32"/>
      <c r="AG533" s="37" t="n">
        <f aca="false">IF(R533="",0,IFERROR(MATCH(R533,Listas!$L$2:$L$50,0),0))</f>
        <v>0</v>
      </c>
    </row>
    <row r="534" customFormat="false" ht="15" hidden="false" customHeight="false" outlineLevel="0" collapsed="false">
      <c r="A534" s="30"/>
      <c r="B534" s="31"/>
      <c r="C534" s="32"/>
      <c r="D534" s="32"/>
      <c r="E534" s="33"/>
      <c r="F534" s="32"/>
      <c r="G534" s="32"/>
      <c r="H534" s="32"/>
      <c r="I534" s="32"/>
      <c r="J534" s="32"/>
      <c r="K534" s="32"/>
      <c r="L534" s="32"/>
      <c r="M534" s="30"/>
      <c r="N534" s="32"/>
      <c r="O534" s="34"/>
      <c r="P534" s="32"/>
      <c r="Q534" s="32"/>
      <c r="R534" s="32"/>
      <c r="S534" s="32"/>
      <c r="T534" s="32"/>
      <c r="U534" s="32"/>
      <c r="V534" s="31"/>
      <c r="W534" s="35" t="str">
        <f aca="true">IF(OR(V534="",AG534&gt;=8),"",IF(V534&lt;TODAY(),"Vencida",IF(V534=TODAY(),"Hoy","")))</f>
        <v/>
      </c>
      <c r="X534" s="36" t="str">
        <f aca="false">IF(A534="","",IF(COUNTIF(Seguimiento!$B$2:$B$5001,A534)=0,"",_xlfn.MAXIFS(Seguimiento!$A$2:$A$5001,Seguimiento!$B$2:$B$5001,A534)))</f>
        <v/>
      </c>
      <c r="Y534" s="37" t="str">
        <f aca="true">IF(B534="","",TODAY()-B534)</f>
        <v/>
      </c>
      <c r="Z534" s="38" t="str">
        <f aca="false">IF(OR(O534="",G534=""),"",O534*IFERROR(INDEX(Listas!$B$2:$B$50,MATCH(G534,Listas!$A$2:$A$50,0)),0))</f>
        <v/>
      </c>
      <c r="AA534" s="32"/>
      <c r="AB534" s="32"/>
      <c r="AC534" s="32"/>
      <c r="AD534" s="35" t="str">
        <f aca="false">IF(OR(LEFT(H534,4)="Meta",LEFT(H534,6)="Google"),IF(AG534=3,"Lead calificado",IF(OR(AG534=4,AG534=5),"Tasación/visita",IF(OR(AG534=6,AG534=7),"Captación/oferta",IF(AG534=8,"Cierre","")))),"")</f>
        <v/>
      </c>
      <c r="AE534" s="32"/>
      <c r="AF534" s="32"/>
      <c r="AG534" s="37" t="n">
        <f aca="false">IF(R534="",0,IFERROR(MATCH(R534,Listas!$L$2:$L$50,0),0))</f>
        <v>0</v>
      </c>
    </row>
    <row r="535" customFormat="false" ht="15" hidden="false" customHeight="false" outlineLevel="0" collapsed="false">
      <c r="A535" s="30"/>
      <c r="B535" s="31"/>
      <c r="C535" s="32"/>
      <c r="D535" s="32"/>
      <c r="E535" s="33"/>
      <c r="F535" s="32"/>
      <c r="G535" s="32"/>
      <c r="H535" s="32"/>
      <c r="I535" s="32"/>
      <c r="J535" s="32"/>
      <c r="K535" s="32"/>
      <c r="L535" s="32"/>
      <c r="M535" s="30"/>
      <c r="N535" s="32"/>
      <c r="O535" s="34"/>
      <c r="P535" s="32"/>
      <c r="Q535" s="32"/>
      <c r="R535" s="32"/>
      <c r="S535" s="32"/>
      <c r="T535" s="32"/>
      <c r="U535" s="32"/>
      <c r="V535" s="31"/>
      <c r="W535" s="35" t="str">
        <f aca="true">IF(OR(V535="",AG535&gt;=8),"",IF(V535&lt;TODAY(),"Vencida",IF(V535=TODAY(),"Hoy","")))</f>
        <v/>
      </c>
      <c r="X535" s="36" t="str">
        <f aca="false">IF(A535="","",IF(COUNTIF(Seguimiento!$B$2:$B$5001,A535)=0,"",_xlfn.MAXIFS(Seguimiento!$A$2:$A$5001,Seguimiento!$B$2:$B$5001,A535)))</f>
        <v/>
      </c>
      <c r="Y535" s="37" t="str">
        <f aca="true">IF(B535="","",TODAY()-B535)</f>
        <v/>
      </c>
      <c r="Z535" s="38" t="str">
        <f aca="false">IF(OR(O535="",G535=""),"",O535*IFERROR(INDEX(Listas!$B$2:$B$50,MATCH(G535,Listas!$A$2:$A$50,0)),0))</f>
        <v/>
      </c>
      <c r="AA535" s="32"/>
      <c r="AB535" s="32"/>
      <c r="AC535" s="32"/>
      <c r="AD535" s="35" t="str">
        <f aca="false">IF(OR(LEFT(H535,4)="Meta",LEFT(H535,6)="Google"),IF(AG535=3,"Lead calificado",IF(OR(AG535=4,AG535=5),"Tasación/visita",IF(OR(AG535=6,AG535=7),"Captación/oferta",IF(AG535=8,"Cierre","")))),"")</f>
        <v/>
      </c>
      <c r="AE535" s="32"/>
      <c r="AF535" s="32"/>
      <c r="AG535" s="37" t="n">
        <f aca="false">IF(R535="",0,IFERROR(MATCH(R535,Listas!$L$2:$L$50,0),0))</f>
        <v>0</v>
      </c>
    </row>
    <row r="536" customFormat="false" ht="15" hidden="false" customHeight="false" outlineLevel="0" collapsed="false">
      <c r="A536" s="30"/>
      <c r="B536" s="31"/>
      <c r="C536" s="32"/>
      <c r="D536" s="32"/>
      <c r="E536" s="33"/>
      <c r="F536" s="32"/>
      <c r="G536" s="32"/>
      <c r="H536" s="32"/>
      <c r="I536" s="32"/>
      <c r="J536" s="32"/>
      <c r="K536" s="32"/>
      <c r="L536" s="32"/>
      <c r="M536" s="30"/>
      <c r="N536" s="32"/>
      <c r="O536" s="34"/>
      <c r="P536" s="32"/>
      <c r="Q536" s="32"/>
      <c r="R536" s="32"/>
      <c r="S536" s="32"/>
      <c r="T536" s="32"/>
      <c r="U536" s="32"/>
      <c r="V536" s="31"/>
      <c r="W536" s="35" t="str">
        <f aca="true">IF(OR(V536="",AG536&gt;=8),"",IF(V536&lt;TODAY(),"Vencida",IF(V536=TODAY(),"Hoy","")))</f>
        <v/>
      </c>
      <c r="X536" s="36" t="str">
        <f aca="false">IF(A536="","",IF(COUNTIF(Seguimiento!$B$2:$B$5001,A536)=0,"",_xlfn.MAXIFS(Seguimiento!$A$2:$A$5001,Seguimiento!$B$2:$B$5001,A536)))</f>
        <v/>
      </c>
      <c r="Y536" s="37" t="str">
        <f aca="true">IF(B536="","",TODAY()-B536)</f>
        <v/>
      </c>
      <c r="Z536" s="38" t="str">
        <f aca="false">IF(OR(O536="",G536=""),"",O536*IFERROR(INDEX(Listas!$B$2:$B$50,MATCH(G536,Listas!$A$2:$A$50,0)),0))</f>
        <v/>
      </c>
      <c r="AA536" s="32"/>
      <c r="AB536" s="32"/>
      <c r="AC536" s="32"/>
      <c r="AD536" s="35" t="str">
        <f aca="false">IF(OR(LEFT(H536,4)="Meta",LEFT(H536,6)="Google"),IF(AG536=3,"Lead calificado",IF(OR(AG536=4,AG536=5),"Tasación/visita",IF(OR(AG536=6,AG536=7),"Captación/oferta",IF(AG536=8,"Cierre","")))),"")</f>
        <v/>
      </c>
      <c r="AE536" s="32"/>
      <c r="AF536" s="32"/>
      <c r="AG536" s="37" t="n">
        <f aca="false">IF(R536="",0,IFERROR(MATCH(R536,Listas!$L$2:$L$50,0),0))</f>
        <v>0</v>
      </c>
    </row>
    <row r="537" customFormat="false" ht="15" hidden="false" customHeight="false" outlineLevel="0" collapsed="false">
      <c r="A537" s="30"/>
      <c r="B537" s="31"/>
      <c r="C537" s="32"/>
      <c r="D537" s="32"/>
      <c r="E537" s="33"/>
      <c r="F537" s="32"/>
      <c r="G537" s="32"/>
      <c r="H537" s="32"/>
      <c r="I537" s="32"/>
      <c r="J537" s="32"/>
      <c r="K537" s="32"/>
      <c r="L537" s="32"/>
      <c r="M537" s="30"/>
      <c r="N537" s="32"/>
      <c r="O537" s="34"/>
      <c r="P537" s="32"/>
      <c r="Q537" s="32"/>
      <c r="R537" s="32"/>
      <c r="S537" s="32"/>
      <c r="T537" s="32"/>
      <c r="U537" s="32"/>
      <c r="V537" s="31"/>
      <c r="W537" s="35" t="str">
        <f aca="true">IF(OR(V537="",AG537&gt;=8),"",IF(V537&lt;TODAY(),"Vencida",IF(V537=TODAY(),"Hoy","")))</f>
        <v/>
      </c>
      <c r="X537" s="36" t="str">
        <f aca="false">IF(A537="","",IF(COUNTIF(Seguimiento!$B$2:$B$5001,A537)=0,"",_xlfn.MAXIFS(Seguimiento!$A$2:$A$5001,Seguimiento!$B$2:$B$5001,A537)))</f>
        <v/>
      </c>
      <c r="Y537" s="37" t="str">
        <f aca="true">IF(B537="","",TODAY()-B537)</f>
        <v/>
      </c>
      <c r="Z537" s="38" t="str">
        <f aca="false">IF(OR(O537="",G537=""),"",O537*IFERROR(INDEX(Listas!$B$2:$B$50,MATCH(G537,Listas!$A$2:$A$50,0)),0))</f>
        <v/>
      </c>
      <c r="AA537" s="32"/>
      <c r="AB537" s="32"/>
      <c r="AC537" s="32"/>
      <c r="AD537" s="35" t="str">
        <f aca="false">IF(OR(LEFT(H537,4)="Meta",LEFT(H537,6)="Google"),IF(AG537=3,"Lead calificado",IF(OR(AG537=4,AG537=5),"Tasación/visita",IF(OR(AG537=6,AG537=7),"Captación/oferta",IF(AG537=8,"Cierre","")))),"")</f>
        <v/>
      </c>
      <c r="AE537" s="32"/>
      <c r="AF537" s="32"/>
      <c r="AG537" s="37" t="n">
        <f aca="false">IF(R537="",0,IFERROR(MATCH(R537,Listas!$L$2:$L$50,0),0))</f>
        <v>0</v>
      </c>
    </row>
    <row r="538" customFormat="false" ht="15" hidden="false" customHeight="false" outlineLevel="0" collapsed="false">
      <c r="A538" s="30"/>
      <c r="B538" s="31"/>
      <c r="C538" s="32"/>
      <c r="D538" s="32"/>
      <c r="E538" s="33"/>
      <c r="F538" s="32"/>
      <c r="G538" s="32"/>
      <c r="H538" s="32"/>
      <c r="I538" s="32"/>
      <c r="J538" s="32"/>
      <c r="K538" s="32"/>
      <c r="L538" s="32"/>
      <c r="M538" s="30"/>
      <c r="N538" s="32"/>
      <c r="O538" s="34"/>
      <c r="P538" s="32"/>
      <c r="Q538" s="32"/>
      <c r="R538" s="32"/>
      <c r="S538" s="32"/>
      <c r="T538" s="32"/>
      <c r="U538" s="32"/>
      <c r="V538" s="31"/>
      <c r="W538" s="35" t="str">
        <f aca="true">IF(OR(V538="",AG538&gt;=8),"",IF(V538&lt;TODAY(),"Vencida",IF(V538=TODAY(),"Hoy","")))</f>
        <v/>
      </c>
      <c r="X538" s="36" t="str">
        <f aca="false">IF(A538="","",IF(COUNTIF(Seguimiento!$B$2:$B$5001,A538)=0,"",_xlfn.MAXIFS(Seguimiento!$A$2:$A$5001,Seguimiento!$B$2:$B$5001,A538)))</f>
        <v/>
      </c>
      <c r="Y538" s="37" t="str">
        <f aca="true">IF(B538="","",TODAY()-B538)</f>
        <v/>
      </c>
      <c r="Z538" s="38" t="str">
        <f aca="false">IF(OR(O538="",G538=""),"",O538*IFERROR(INDEX(Listas!$B$2:$B$50,MATCH(G538,Listas!$A$2:$A$50,0)),0))</f>
        <v/>
      </c>
      <c r="AA538" s="32"/>
      <c r="AB538" s="32"/>
      <c r="AC538" s="32"/>
      <c r="AD538" s="35" t="str">
        <f aca="false">IF(OR(LEFT(H538,4)="Meta",LEFT(H538,6)="Google"),IF(AG538=3,"Lead calificado",IF(OR(AG538=4,AG538=5),"Tasación/visita",IF(OR(AG538=6,AG538=7),"Captación/oferta",IF(AG538=8,"Cierre","")))),"")</f>
        <v/>
      </c>
      <c r="AE538" s="32"/>
      <c r="AF538" s="32"/>
      <c r="AG538" s="37" t="n">
        <f aca="false">IF(R538="",0,IFERROR(MATCH(R538,Listas!$L$2:$L$50,0),0))</f>
        <v>0</v>
      </c>
    </row>
    <row r="539" customFormat="false" ht="15" hidden="false" customHeight="false" outlineLevel="0" collapsed="false">
      <c r="A539" s="30"/>
      <c r="B539" s="31"/>
      <c r="C539" s="32"/>
      <c r="D539" s="32"/>
      <c r="E539" s="33"/>
      <c r="F539" s="32"/>
      <c r="G539" s="32"/>
      <c r="H539" s="32"/>
      <c r="I539" s="32"/>
      <c r="J539" s="32"/>
      <c r="K539" s="32"/>
      <c r="L539" s="32"/>
      <c r="M539" s="30"/>
      <c r="N539" s="32"/>
      <c r="O539" s="34"/>
      <c r="P539" s="32"/>
      <c r="Q539" s="32"/>
      <c r="R539" s="32"/>
      <c r="S539" s="32"/>
      <c r="T539" s="32"/>
      <c r="U539" s="32"/>
      <c r="V539" s="31"/>
      <c r="W539" s="35" t="str">
        <f aca="true">IF(OR(V539="",AG539&gt;=8),"",IF(V539&lt;TODAY(),"Vencida",IF(V539=TODAY(),"Hoy","")))</f>
        <v/>
      </c>
      <c r="X539" s="36" t="str">
        <f aca="false">IF(A539="","",IF(COUNTIF(Seguimiento!$B$2:$B$5001,A539)=0,"",_xlfn.MAXIFS(Seguimiento!$A$2:$A$5001,Seguimiento!$B$2:$B$5001,A539)))</f>
        <v/>
      </c>
      <c r="Y539" s="37" t="str">
        <f aca="true">IF(B539="","",TODAY()-B539)</f>
        <v/>
      </c>
      <c r="Z539" s="38" t="str">
        <f aca="false">IF(OR(O539="",G539=""),"",O539*IFERROR(INDEX(Listas!$B$2:$B$50,MATCH(G539,Listas!$A$2:$A$50,0)),0))</f>
        <v/>
      </c>
      <c r="AA539" s="32"/>
      <c r="AB539" s="32"/>
      <c r="AC539" s="32"/>
      <c r="AD539" s="35" t="str">
        <f aca="false">IF(OR(LEFT(H539,4)="Meta",LEFT(H539,6)="Google"),IF(AG539=3,"Lead calificado",IF(OR(AG539=4,AG539=5),"Tasación/visita",IF(OR(AG539=6,AG539=7),"Captación/oferta",IF(AG539=8,"Cierre","")))),"")</f>
        <v/>
      </c>
      <c r="AE539" s="32"/>
      <c r="AF539" s="32"/>
      <c r="AG539" s="37" t="n">
        <f aca="false">IF(R539="",0,IFERROR(MATCH(R539,Listas!$L$2:$L$50,0),0))</f>
        <v>0</v>
      </c>
    </row>
    <row r="540" customFormat="false" ht="15" hidden="false" customHeight="false" outlineLevel="0" collapsed="false">
      <c r="A540" s="30"/>
      <c r="B540" s="31"/>
      <c r="C540" s="32"/>
      <c r="D540" s="32"/>
      <c r="E540" s="33"/>
      <c r="F540" s="32"/>
      <c r="G540" s="32"/>
      <c r="H540" s="32"/>
      <c r="I540" s="32"/>
      <c r="J540" s="32"/>
      <c r="K540" s="32"/>
      <c r="L540" s="32"/>
      <c r="M540" s="30"/>
      <c r="N540" s="32"/>
      <c r="O540" s="34"/>
      <c r="P540" s="32"/>
      <c r="Q540" s="32"/>
      <c r="R540" s="32"/>
      <c r="S540" s="32"/>
      <c r="T540" s="32"/>
      <c r="U540" s="32"/>
      <c r="V540" s="31"/>
      <c r="W540" s="35" t="str">
        <f aca="true">IF(OR(V540="",AG540&gt;=8),"",IF(V540&lt;TODAY(),"Vencida",IF(V540=TODAY(),"Hoy","")))</f>
        <v/>
      </c>
      <c r="X540" s="36" t="str">
        <f aca="false">IF(A540="","",IF(COUNTIF(Seguimiento!$B$2:$B$5001,A540)=0,"",_xlfn.MAXIFS(Seguimiento!$A$2:$A$5001,Seguimiento!$B$2:$B$5001,A540)))</f>
        <v/>
      </c>
      <c r="Y540" s="37" t="str">
        <f aca="true">IF(B540="","",TODAY()-B540)</f>
        <v/>
      </c>
      <c r="Z540" s="38" t="str">
        <f aca="false">IF(OR(O540="",G540=""),"",O540*IFERROR(INDEX(Listas!$B$2:$B$50,MATCH(G540,Listas!$A$2:$A$50,0)),0))</f>
        <v/>
      </c>
      <c r="AA540" s="32"/>
      <c r="AB540" s="32"/>
      <c r="AC540" s="32"/>
      <c r="AD540" s="35" t="str">
        <f aca="false">IF(OR(LEFT(H540,4)="Meta",LEFT(H540,6)="Google"),IF(AG540=3,"Lead calificado",IF(OR(AG540=4,AG540=5),"Tasación/visita",IF(OR(AG540=6,AG540=7),"Captación/oferta",IF(AG540=8,"Cierre","")))),"")</f>
        <v/>
      </c>
      <c r="AE540" s="32"/>
      <c r="AF540" s="32"/>
      <c r="AG540" s="37" t="n">
        <f aca="false">IF(R540="",0,IFERROR(MATCH(R540,Listas!$L$2:$L$50,0),0))</f>
        <v>0</v>
      </c>
    </row>
    <row r="541" customFormat="false" ht="15" hidden="false" customHeight="false" outlineLevel="0" collapsed="false">
      <c r="A541" s="30"/>
      <c r="B541" s="31"/>
      <c r="C541" s="32"/>
      <c r="D541" s="32"/>
      <c r="E541" s="33"/>
      <c r="F541" s="32"/>
      <c r="G541" s="32"/>
      <c r="H541" s="32"/>
      <c r="I541" s="32"/>
      <c r="J541" s="32"/>
      <c r="K541" s="32"/>
      <c r="L541" s="32"/>
      <c r="M541" s="30"/>
      <c r="N541" s="32"/>
      <c r="O541" s="34"/>
      <c r="P541" s="32"/>
      <c r="Q541" s="32"/>
      <c r="R541" s="32"/>
      <c r="S541" s="32"/>
      <c r="T541" s="32"/>
      <c r="U541" s="32"/>
      <c r="V541" s="31"/>
      <c r="W541" s="35" t="str">
        <f aca="true">IF(OR(V541="",AG541&gt;=8),"",IF(V541&lt;TODAY(),"Vencida",IF(V541=TODAY(),"Hoy","")))</f>
        <v/>
      </c>
      <c r="X541" s="36" t="str">
        <f aca="false">IF(A541="","",IF(COUNTIF(Seguimiento!$B$2:$B$5001,A541)=0,"",_xlfn.MAXIFS(Seguimiento!$A$2:$A$5001,Seguimiento!$B$2:$B$5001,A541)))</f>
        <v/>
      </c>
      <c r="Y541" s="37" t="str">
        <f aca="true">IF(B541="","",TODAY()-B541)</f>
        <v/>
      </c>
      <c r="Z541" s="38" t="str">
        <f aca="false">IF(OR(O541="",G541=""),"",O541*IFERROR(INDEX(Listas!$B$2:$B$50,MATCH(G541,Listas!$A$2:$A$50,0)),0))</f>
        <v/>
      </c>
      <c r="AA541" s="32"/>
      <c r="AB541" s="32"/>
      <c r="AC541" s="32"/>
      <c r="AD541" s="35" t="str">
        <f aca="false">IF(OR(LEFT(H541,4)="Meta",LEFT(H541,6)="Google"),IF(AG541=3,"Lead calificado",IF(OR(AG541=4,AG541=5),"Tasación/visita",IF(OR(AG541=6,AG541=7),"Captación/oferta",IF(AG541=8,"Cierre","")))),"")</f>
        <v/>
      </c>
      <c r="AE541" s="32"/>
      <c r="AF541" s="32"/>
      <c r="AG541" s="37" t="n">
        <f aca="false">IF(R541="",0,IFERROR(MATCH(R541,Listas!$L$2:$L$50,0),0))</f>
        <v>0</v>
      </c>
    </row>
    <row r="542" customFormat="false" ht="15" hidden="false" customHeight="false" outlineLevel="0" collapsed="false">
      <c r="A542" s="30"/>
      <c r="B542" s="31"/>
      <c r="C542" s="32"/>
      <c r="D542" s="32"/>
      <c r="E542" s="33"/>
      <c r="F542" s="32"/>
      <c r="G542" s="32"/>
      <c r="H542" s="32"/>
      <c r="I542" s="32"/>
      <c r="J542" s="32"/>
      <c r="K542" s="32"/>
      <c r="L542" s="32"/>
      <c r="M542" s="30"/>
      <c r="N542" s="32"/>
      <c r="O542" s="34"/>
      <c r="P542" s="32"/>
      <c r="Q542" s="32"/>
      <c r="R542" s="32"/>
      <c r="S542" s="32"/>
      <c r="T542" s="32"/>
      <c r="U542" s="32"/>
      <c r="V542" s="31"/>
      <c r="W542" s="35" t="str">
        <f aca="true">IF(OR(V542="",AG542&gt;=8),"",IF(V542&lt;TODAY(),"Vencida",IF(V542=TODAY(),"Hoy","")))</f>
        <v/>
      </c>
      <c r="X542" s="36" t="str">
        <f aca="false">IF(A542="","",IF(COUNTIF(Seguimiento!$B$2:$B$5001,A542)=0,"",_xlfn.MAXIFS(Seguimiento!$A$2:$A$5001,Seguimiento!$B$2:$B$5001,A542)))</f>
        <v/>
      </c>
      <c r="Y542" s="37" t="str">
        <f aca="true">IF(B542="","",TODAY()-B542)</f>
        <v/>
      </c>
      <c r="Z542" s="38" t="str">
        <f aca="false">IF(OR(O542="",G542=""),"",O542*IFERROR(INDEX(Listas!$B$2:$B$50,MATCH(G542,Listas!$A$2:$A$50,0)),0))</f>
        <v/>
      </c>
      <c r="AA542" s="32"/>
      <c r="AB542" s="32"/>
      <c r="AC542" s="32"/>
      <c r="AD542" s="35" t="str">
        <f aca="false">IF(OR(LEFT(H542,4)="Meta",LEFT(H542,6)="Google"),IF(AG542=3,"Lead calificado",IF(OR(AG542=4,AG542=5),"Tasación/visita",IF(OR(AG542=6,AG542=7),"Captación/oferta",IF(AG542=8,"Cierre","")))),"")</f>
        <v/>
      </c>
      <c r="AE542" s="32"/>
      <c r="AF542" s="32"/>
      <c r="AG542" s="37" t="n">
        <f aca="false">IF(R542="",0,IFERROR(MATCH(R542,Listas!$L$2:$L$50,0),0))</f>
        <v>0</v>
      </c>
    </row>
    <row r="543" customFormat="false" ht="15" hidden="false" customHeight="false" outlineLevel="0" collapsed="false">
      <c r="A543" s="30"/>
      <c r="B543" s="31"/>
      <c r="C543" s="32"/>
      <c r="D543" s="32"/>
      <c r="E543" s="33"/>
      <c r="F543" s="32"/>
      <c r="G543" s="32"/>
      <c r="H543" s="32"/>
      <c r="I543" s="32"/>
      <c r="J543" s="32"/>
      <c r="K543" s="32"/>
      <c r="L543" s="32"/>
      <c r="M543" s="30"/>
      <c r="N543" s="32"/>
      <c r="O543" s="34"/>
      <c r="P543" s="32"/>
      <c r="Q543" s="32"/>
      <c r="R543" s="32"/>
      <c r="S543" s="32"/>
      <c r="T543" s="32"/>
      <c r="U543" s="32"/>
      <c r="V543" s="31"/>
      <c r="W543" s="35" t="str">
        <f aca="true">IF(OR(V543="",AG543&gt;=8),"",IF(V543&lt;TODAY(),"Vencida",IF(V543=TODAY(),"Hoy","")))</f>
        <v/>
      </c>
      <c r="X543" s="36" t="str">
        <f aca="false">IF(A543="","",IF(COUNTIF(Seguimiento!$B$2:$B$5001,A543)=0,"",_xlfn.MAXIFS(Seguimiento!$A$2:$A$5001,Seguimiento!$B$2:$B$5001,A543)))</f>
        <v/>
      </c>
      <c r="Y543" s="37" t="str">
        <f aca="true">IF(B543="","",TODAY()-B543)</f>
        <v/>
      </c>
      <c r="Z543" s="38" t="str">
        <f aca="false">IF(OR(O543="",G543=""),"",O543*IFERROR(INDEX(Listas!$B$2:$B$50,MATCH(G543,Listas!$A$2:$A$50,0)),0))</f>
        <v/>
      </c>
      <c r="AA543" s="32"/>
      <c r="AB543" s="32"/>
      <c r="AC543" s="32"/>
      <c r="AD543" s="35" t="str">
        <f aca="false">IF(OR(LEFT(H543,4)="Meta",LEFT(H543,6)="Google"),IF(AG543=3,"Lead calificado",IF(OR(AG543=4,AG543=5),"Tasación/visita",IF(OR(AG543=6,AG543=7),"Captación/oferta",IF(AG543=8,"Cierre","")))),"")</f>
        <v/>
      </c>
      <c r="AE543" s="32"/>
      <c r="AF543" s="32"/>
      <c r="AG543" s="37" t="n">
        <f aca="false">IF(R543="",0,IFERROR(MATCH(R543,Listas!$L$2:$L$50,0),0))</f>
        <v>0</v>
      </c>
    </row>
    <row r="544" customFormat="false" ht="15" hidden="false" customHeight="false" outlineLevel="0" collapsed="false">
      <c r="A544" s="30"/>
      <c r="B544" s="31"/>
      <c r="C544" s="32"/>
      <c r="D544" s="32"/>
      <c r="E544" s="33"/>
      <c r="F544" s="32"/>
      <c r="G544" s="32"/>
      <c r="H544" s="32"/>
      <c r="I544" s="32"/>
      <c r="J544" s="32"/>
      <c r="K544" s="32"/>
      <c r="L544" s="32"/>
      <c r="M544" s="30"/>
      <c r="N544" s="32"/>
      <c r="O544" s="34"/>
      <c r="P544" s="32"/>
      <c r="Q544" s="32"/>
      <c r="R544" s="32"/>
      <c r="S544" s="32"/>
      <c r="T544" s="32"/>
      <c r="U544" s="32"/>
      <c r="V544" s="31"/>
      <c r="W544" s="35" t="str">
        <f aca="true">IF(OR(V544="",AG544&gt;=8),"",IF(V544&lt;TODAY(),"Vencida",IF(V544=TODAY(),"Hoy","")))</f>
        <v/>
      </c>
      <c r="X544" s="36" t="str">
        <f aca="false">IF(A544="","",IF(COUNTIF(Seguimiento!$B$2:$B$5001,A544)=0,"",_xlfn.MAXIFS(Seguimiento!$A$2:$A$5001,Seguimiento!$B$2:$B$5001,A544)))</f>
        <v/>
      </c>
      <c r="Y544" s="37" t="str">
        <f aca="true">IF(B544="","",TODAY()-B544)</f>
        <v/>
      </c>
      <c r="Z544" s="38" t="str">
        <f aca="false">IF(OR(O544="",G544=""),"",O544*IFERROR(INDEX(Listas!$B$2:$B$50,MATCH(G544,Listas!$A$2:$A$50,0)),0))</f>
        <v/>
      </c>
      <c r="AA544" s="32"/>
      <c r="AB544" s="32"/>
      <c r="AC544" s="32"/>
      <c r="AD544" s="35" t="str">
        <f aca="false">IF(OR(LEFT(H544,4)="Meta",LEFT(H544,6)="Google"),IF(AG544=3,"Lead calificado",IF(OR(AG544=4,AG544=5),"Tasación/visita",IF(OR(AG544=6,AG544=7),"Captación/oferta",IF(AG544=8,"Cierre","")))),"")</f>
        <v/>
      </c>
      <c r="AE544" s="32"/>
      <c r="AF544" s="32"/>
      <c r="AG544" s="37" t="n">
        <f aca="false">IF(R544="",0,IFERROR(MATCH(R544,Listas!$L$2:$L$50,0),0))</f>
        <v>0</v>
      </c>
    </row>
    <row r="545" customFormat="false" ht="15" hidden="false" customHeight="false" outlineLevel="0" collapsed="false">
      <c r="A545" s="30"/>
      <c r="B545" s="31"/>
      <c r="C545" s="32"/>
      <c r="D545" s="32"/>
      <c r="E545" s="33"/>
      <c r="F545" s="32"/>
      <c r="G545" s="32"/>
      <c r="H545" s="32"/>
      <c r="I545" s="32"/>
      <c r="J545" s="32"/>
      <c r="K545" s="32"/>
      <c r="L545" s="32"/>
      <c r="M545" s="30"/>
      <c r="N545" s="32"/>
      <c r="O545" s="34"/>
      <c r="P545" s="32"/>
      <c r="Q545" s="32"/>
      <c r="R545" s="32"/>
      <c r="S545" s="32"/>
      <c r="T545" s="32"/>
      <c r="U545" s="32"/>
      <c r="V545" s="31"/>
      <c r="W545" s="35" t="str">
        <f aca="true">IF(OR(V545="",AG545&gt;=8),"",IF(V545&lt;TODAY(),"Vencida",IF(V545=TODAY(),"Hoy","")))</f>
        <v/>
      </c>
      <c r="X545" s="36" t="str">
        <f aca="false">IF(A545="","",IF(COUNTIF(Seguimiento!$B$2:$B$5001,A545)=0,"",_xlfn.MAXIFS(Seguimiento!$A$2:$A$5001,Seguimiento!$B$2:$B$5001,A545)))</f>
        <v/>
      </c>
      <c r="Y545" s="37" t="str">
        <f aca="true">IF(B545="","",TODAY()-B545)</f>
        <v/>
      </c>
      <c r="Z545" s="38" t="str">
        <f aca="false">IF(OR(O545="",G545=""),"",O545*IFERROR(INDEX(Listas!$B$2:$B$50,MATCH(G545,Listas!$A$2:$A$50,0)),0))</f>
        <v/>
      </c>
      <c r="AA545" s="32"/>
      <c r="AB545" s="32"/>
      <c r="AC545" s="32"/>
      <c r="AD545" s="35" t="str">
        <f aca="false">IF(OR(LEFT(H545,4)="Meta",LEFT(H545,6)="Google"),IF(AG545=3,"Lead calificado",IF(OR(AG545=4,AG545=5),"Tasación/visita",IF(OR(AG545=6,AG545=7),"Captación/oferta",IF(AG545=8,"Cierre","")))),"")</f>
        <v/>
      </c>
      <c r="AE545" s="32"/>
      <c r="AF545" s="32"/>
      <c r="AG545" s="37" t="n">
        <f aca="false">IF(R545="",0,IFERROR(MATCH(R545,Listas!$L$2:$L$50,0),0))</f>
        <v>0</v>
      </c>
    </row>
    <row r="546" customFormat="false" ht="15" hidden="false" customHeight="false" outlineLevel="0" collapsed="false">
      <c r="A546" s="30"/>
      <c r="B546" s="31"/>
      <c r="C546" s="32"/>
      <c r="D546" s="32"/>
      <c r="E546" s="33"/>
      <c r="F546" s="32"/>
      <c r="G546" s="32"/>
      <c r="H546" s="32"/>
      <c r="I546" s="32"/>
      <c r="J546" s="32"/>
      <c r="K546" s="32"/>
      <c r="L546" s="32"/>
      <c r="M546" s="30"/>
      <c r="N546" s="32"/>
      <c r="O546" s="34"/>
      <c r="P546" s="32"/>
      <c r="Q546" s="32"/>
      <c r="R546" s="32"/>
      <c r="S546" s="32"/>
      <c r="T546" s="32"/>
      <c r="U546" s="32"/>
      <c r="V546" s="31"/>
      <c r="W546" s="35" t="str">
        <f aca="true">IF(OR(V546="",AG546&gt;=8),"",IF(V546&lt;TODAY(),"Vencida",IF(V546=TODAY(),"Hoy","")))</f>
        <v/>
      </c>
      <c r="X546" s="36" t="str">
        <f aca="false">IF(A546="","",IF(COUNTIF(Seguimiento!$B$2:$B$5001,A546)=0,"",_xlfn.MAXIFS(Seguimiento!$A$2:$A$5001,Seguimiento!$B$2:$B$5001,A546)))</f>
        <v/>
      </c>
      <c r="Y546" s="37" t="str">
        <f aca="true">IF(B546="","",TODAY()-B546)</f>
        <v/>
      </c>
      <c r="Z546" s="38" t="str">
        <f aca="false">IF(OR(O546="",G546=""),"",O546*IFERROR(INDEX(Listas!$B$2:$B$50,MATCH(G546,Listas!$A$2:$A$50,0)),0))</f>
        <v/>
      </c>
      <c r="AA546" s="32"/>
      <c r="AB546" s="32"/>
      <c r="AC546" s="32"/>
      <c r="AD546" s="35" t="str">
        <f aca="false">IF(OR(LEFT(H546,4)="Meta",LEFT(H546,6)="Google"),IF(AG546=3,"Lead calificado",IF(OR(AG546=4,AG546=5),"Tasación/visita",IF(OR(AG546=6,AG546=7),"Captación/oferta",IF(AG546=8,"Cierre","")))),"")</f>
        <v/>
      </c>
      <c r="AE546" s="32"/>
      <c r="AF546" s="32"/>
      <c r="AG546" s="37" t="n">
        <f aca="false">IF(R546="",0,IFERROR(MATCH(R546,Listas!$L$2:$L$50,0),0))</f>
        <v>0</v>
      </c>
    </row>
    <row r="547" customFormat="false" ht="15" hidden="false" customHeight="false" outlineLevel="0" collapsed="false">
      <c r="A547" s="30"/>
      <c r="B547" s="31"/>
      <c r="C547" s="32"/>
      <c r="D547" s="32"/>
      <c r="E547" s="33"/>
      <c r="F547" s="32"/>
      <c r="G547" s="32"/>
      <c r="H547" s="32"/>
      <c r="I547" s="32"/>
      <c r="J547" s="32"/>
      <c r="K547" s="32"/>
      <c r="L547" s="32"/>
      <c r="M547" s="30"/>
      <c r="N547" s="32"/>
      <c r="O547" s="34"/>
      <c r="P547" s="32"/>
      <c r="Q547" s="32"/>
      <c r="R547" s="32"/>
      <c r="S547" s="32"/>
      <c r="T547" s="32"/>
      <c r="U547" s="32"/>
      <c r="V547" s="31"/>
      <c r="W547" s="35" t="str">
        <f aca="true">IF(OR(V547="",AG547&gt;=8),"",IF(V547&lt;TODAY(),"Vencida",IF(V547=TODAY(),"Hoy","")))</f>
        <v/>
      </c>
      <c r="X547" s="36" t="str">
        <f aca="false">IF(A547="","",IF(COUNTIF(Seguimiento!$B$2:$B$5001,A547)=0,"",_xlfn.MAXIFS(Seguimiento!$A$2:$A$5001,Seguimiento!$B$2:$B$5001,A547)))</f>
        <v/>
      </c>
      <c r="Y547" s="37" t="str">
        <f aca="true">IF(B547="","",TODAY()-B547)</f>
        <v/>
      </c>
      <c r="Z547" s="38" t="str">
        <f aca="false">IF(OR(O547="",G547=""),"",O547*IFERROR(INDEX(Listas!$B$2:$B$50,MATCH(G547,Listas!$A$2:$A$50,0)),0))</f>
        <v/>
      </c>
      <c r="AA547" s="32"/>
      <c r="AB547" s="32"/>
      <c r="AC547" s="32"/>
      <c r="AD547" s="35" t="str">
        <f aca="false">IF(OR(LEFT(H547,4)="Meta",LEFT(H547,6)="Google"),IF(AG547=3,"Lead calificado",IF(OR(AG547=4,AG547=5),"Tasación/visita",IF(OR(AG547=6,AG547=7),"Captación/oferta",IF(AG547=8,"Cierre","")))),"")</f>
        <v/>
      </c>
      <c r="AE547" s="32"/>
      <c r="AF547" s="32"/>
      <c r="AG547" s="37" t="n">
        <f aca="false">IF(R547="",0,IFERROR(MATCH(R547,Listas!$L$2:$L$50,0),0))</f>
        <v>0</v>
      </c>
    </row>
    <row r="548" customFormat="false" ht="15" hidden="false" customHeight="false" outlineLevel="0" collapsed="false">
      <c r="A548" s="30"/>
      <c r="B548" s="31"/>
      <c r="C548" s="32"/>
      <c r="D548" s="32"/>
      <c r="E548" s="33"/>
      <c r="F548" s="32"/>
      <c r="G548" s="32"/>
      <c r="H548" s="32"/>
      <c r="I548" s="32"/>
      <c r="J548" s="32"/>
      <c r="K548" s="32"/>
      <c r="L548" s="32"/>
      <c r="M548" s="30"/>
      <c r="N548" s="32"/>
      <c r="O548" s="34"/>
      <c r="P548" s="32"/>
      <c r="Q548" s="32"/>
      <c r="R548" s="32"/>
      <c r="S548" s="32"/>
      <c r="T548" s="32"/>
      <c r="U548" s="32"/>
      <c r="V548" s="31"/>
      <c r="W548" s="35" t="str">
        <f aca="true">IF(OR(V548="",AG548&gt;=8),"",IF(V548&lt;TODAY(),"Vencida",IF(V548=TODAY(),"Hoy","")))</f>
        <v/>
      </c>
      <c r="X548" s="36" t="str">
        <f aca="false">IF(A548="","",IF(COUNTIF(Seguimiento!$B$2:$B$5001,A548)=0,"",_xlfn.MAXIFS(Seguimiento!$A$2:$A$5001,Seguimiento!$B$2:$B$5001,A548)))</f>
        <v/>
      </c>
      <c r="Y548" s="37" t="str">
        <f aca="true">IF(B548="","",TODAY()-B548)</f>
        <v/>
      </c>
      <c r="Z548" s="38" t="str">
        <f aca="false">IF(OR(O548="",G548=""),"",O548*IFERROR(INDEX(Listas!$B$2:$B$50,MATCH(G548,Listas!$A$2:$A$50,0)),0))</f>
        <v/>
      </c>
      <c r="AA548" s="32"/>
      <c r="AB548" s="32"/>
      <c r="AC548" s="32"/>
      <c r="AD548" s="35" t="str">
        <f aca="false">IF(OR(LEFT(H548,4)="Meta",LEFT(H548,6)="Google"),IF(AG548=3,"Lead calificado",IF(OR(AG548=4,AG548=5),"Tasación/visita",IF(OR(AG548=6,AG548=7),"Captación/oferta",IF(AG548=8,"Cierre","")))),"")</f>
        <v/>
      </c>
      <c r="AE548" s="32"/>
      <c r="AF548" s="32"/>
      <c r="AG548" s="37" t="n">
        <f aca="false">IF(R548="",0,IFERROR(MATCH(R548,Listas!$L$2:$L$50,0),0))</f>
        <v>0</v>
      </c>
    </row>
    <row r="549" customFormat="false" ht="15" hidden="false" customHeight="false" outlineLevel="0" collapsed="false">
      <c r="A549" s="30"/>
      <c r="B549" s="31"/>
      <c r="C549" s="32"/>
      <c r="D549" s="32"/>
      <c r="E549" s="33"/>
      <c r="F549" s="32"/>
      <c r="G549" s="32"/>
      <c r="H549" s="32"/>
      <c r="I549" s="32"/>
      <c r="J549" s="32"/>
      <c r="K549" s="32"/>
      <c r="L549" s="32"/>
      <c r="M549" s="30"/>
      <c r="N549" s="32"/>
      <c r="O549" s="34"/>
      <c r="P549" s="32"/>
      <c r="Q549" s="32"/>
      <c r="R549" s="32"/>
      <c r="S549" s="32"/>
      <c r="T549" s="32"/>
      <c r="U549" s="32"/>
      <c r="V549" s="31"/>
      <c r="W549" s="35" t="str">
        <f aca="true">IF(OR(V549="",AG549&gt;=8),"",IF(V549&lt;TODAY(),"Vencida",IF(V549=TODAY(),"Hoy","")))</f>
        <v/>
      </c>
      <c r="X549" s="36" t="str">
        <f aca="false">IF(A549="","",IF(COUNTIF(Seguimiento!$B$2:$B$5001,A549)=0,"",_xlfn.MAXIFS(Seguimiento!$A$2:$A$5001,Seguimiento!$B$2:$B$5001,A549)))</f>
        <v/>
      </c>
      <c r="Y549" s="37" t="str">
        <f aca="true">IF(B549="","",TODAY()-B549)</f>
        <v/>
      </c>
      <c r="Z549" s="38" t="str">
        <f aca="false">IF(OR(O549="",G549=""),"",O549*IFERROR(INDEX(Listas!$B$2:$B$50,MATCH(G549,Listas!$A$2:$A$50,0)),0))</f>
        <v/>
      </c>
      <c r="AA549" s="32"/>
      <c r="AB549" s="32"/>
      <c r="AC549" s="32"/>
      <c r="AD549" s="35" t="str">
        <f aca="false">IF(OR(LEFT(H549,4)="Meta",LEFT(H549,6)="Google"),IF(AG549=3,"Lead calificado",IF(OR(AG549=4,AG549=5),"Tasación/visita",IF(OR(AG549=6,AG549=7),"Captación/oferta",IF(AG549=8,"Cierre","")))),"")</f>
        <v/>
      </c>
      <c r="AE549" s="32"/>
      <c r="AF549" s="32"/>
      <c r="AG549" s="37" t="n">
        <f aca="false">IF(R549="",0,IFERROR(MATCH(R549,Listas!$L$2:$L$50,0),0))</f>
        <v>0</v>
      </c>
    </row>
    <row r="550" customFormat="false" ht="15" hidden="false" customHeight="false" outlineLevel="0" collapsed="false">
      <c r="A550" s="30"/>
      <c r="B550" s="31"/>
      <c r="C550" s="32"/>
      <c r="D550" s="32"/>
      <c r="E550" s="33"/>
      <c r="F550" s="32"/>
      <c r="G550" s="32"/>
      <c r="H550" s="32"/>
      <c r="I550" s="32"/>
      <c r="J550" s="32"/>
      <c r="K550" s="32"/>
      <c r="L550" s="32"/>
      <c r="M550" s="30"/>
      <c r="N550" s="32"/>
      <c r="O550" s="34"/>
      <c r="P550" s="32"/>
      <c r="Q550" s="32"/>
      <c r="R550" s="32"/>
      <c r="S550" s="32"/>
      <c r="T550" s="32"/>
      <c r="U550" s="32"/>
      <c r="V550" s="31"/>
      <c r="W550" s="35" t="str">
        <f aca="true">IF(OR(V550="",AG550&gt;=8),"",IF(V550&lt;TODAY(),"Vencida",IF(V550=TODAY(),"Hoy","")))</f>
        <v/>
      </c>
      <c r="X550" s="36" t="str">
        <f aca="false">IF(A550="","",IF(COUNTIF(Seguimiento!$B$2:$B$5001,A550)=0,"",_xlfn.MAXIFS(Seguimiento!$A$2:$A$5001,Seguimiento!$B$2:$B$5001,A550)))</f>
        <v/>
      </c>
      <c r="Y550" s="37" t="str">
        <f aca="true">IF(B550="","",TODAY()-B550)</f>
        <v/>
      </c>
      <c r="Z550" s="38" t="str">
        <f aca="false">IF(OR(O550="",G550=""),"",O550*IFERROR(INDEX(Listas!$B$2:$B$50,MATCH(G550,Listas!$A$2:$A$50,0)),0))</f>
        <v/>
      </c>
      <c r="AA550" s="32"/>
      <c r="AB550" s="32"/>
      <c r="AC550" s="32"/>
      <c r="AD550" s="35" t="str">
        <f aca="false">IF(OR(LEFT(H550,4)="Meta",LEFT(H550,6)="Google"),IF(AG550=3,"Lead calificado",IF(OR(AG550=4,AG550=5),"Tasación/visita",IF(OR(AG550=6,AG550=7),"Captación/oferta",IF(AG550=8,"Cierre","")))),"")</f>
        <v/>
      </c>
      <c r="AE550" s="32"/>
      <c r="AF550" s="32"/>
      <c r="AG550" s="37" t="n">
        <f aca="false">IF(R550="",0,IFERROR(MATCH(R550,Listas!$L$2:$L$50,0),0))</f>
        <v>0</v>
      </c>
    </row>
    <row r="551" customFormat="false" ht="15" hidden="false" customHeight="false" outlineLevel="0" collapsed="false">
      <c r="A551" s="30"/>
      <c r="B551" s="31"/>
      <c r="C551" s="32"/>
      <c r="D551" s="32"/>
      <c r="E551" s="33"/>
      <c r="F551" s="32"/>
      <c r="G551" s="32"/>
      <c r="H551" s="32"/>
      <c r="I551" s="32"/>
      <c r="J551" s="32"/>
      <c r="K551" s="32"/>
      <c r="L551" s="32"/>
      <c r="M551" s="30"/>
      <c r="N551" s="32"/>
      <c r="O551" s="34"/>
      <c r="P551" s="32"/>
      <c r="Q551" s="32"/>
      <c r="R551" s="32"/>
      <c r="S551" s="32"/>
      <c r="T551" s="32"/>
      <c r="U551" s="32"/>
      <c r="V551" s="31"/>
      <c r="W551" s="35" t="str">
        <f aca="true">IF(OR(V551="",AG551&gt;=8),"",IF(V551&lt;TODAY(),"Vencida",IF(V551=TODAY(),"Hoy","")))</f>
        <v/>
      </c>
      <c r="X551" s="36" t="str">
        <f aca="false">IF(A551="","",IF(COUNTIF(Seguimiento!$B$2:$B$5001,A551)=0,"",_xlfn.MAXIFS(Seguimiento!$A$2:$A$5001,Seguimiento!$B$2:$B$5001,A551)))</f>
        <v/>
      </c>
      <c r="Y551" s="37" t="str">
        <f aca="true">IF(B551="","",TODAY()-B551)</f>
        <v/>
      </c>
      <c r="Z551" s="38" t="str">
        <f aca="false">IF(OR(O551="",G551=""),"",O551*IFERROR(INDEX(Listas!$B$2:$B$50,MATCH(G551,Listas!$A$2:$A$50,0)),0))</f>
        <v/>
      </c>
      <c r="AA551" s="32"/>
      <c r="AB551" s="32"/>
      <c r="AC551" s="32"/>
      <c r="AD551" s="35" t="str">
        <f aca="false">IF(OR(LEFT(H551,4)="Meta",LEFT(H551,6)="Google"),IF(AG551=3,"Lead calificado",IF(OR(AG551=4,AG551=5),"Tasación/visita",IF(OR(AG551=6,AG551=7),"Captación/oferta",IF(AG551=8,"Cierre","")))),"")</f>
        <v/>
      </c>
      <c r="AE551" s="32"/>
      <c r="AF551" s="32"/>
      <c r="AG551" s="37" t="n">
        <f aca="false">IF(R551="",0,IFERROR(MATCH(R551,Listas!$L$2:$L$50,0),0))</f>
        <v>0</v>
      </c>
    </row>
    <row r="552" customFormat="false" ht="15" hidden="false" customHeight="false" outlineLevel="0" collapsed="false">
      <c r="A552" s="30"/>
      <c r="B552" s="31"/>
      <c r="C552" s="32"/>
      <c r="D552" s="32"/>
      <c r="E552" s="33"/>
      <c r="F552" s="32"/>
      <c r="G552" s="32"/>
      <c r="H552" s="32"/>
      <c r="I552" s="32"/>
      <c r="J552" s="32"/>
      <c r="K552" s="32"/>
      <c r="L552" s="32"/>
      <c r="M552" s="30"/>
      <c r="N552" s="32"/>
      <c r="O552" s="34"/>
      <c r="P552" s="32"/>
      <c r="Q552" s="32"/>
      <c r="R552" s="32"/>
      <c r="S552" s="32"/>
      <c r="T552" s="32"/>
      <c r="U552" s="32"/>
      <c r="V552" s="31"/>
      <c r="W552" s="35" t="str">
        <f aca="true">IF(OR(V552="",AG552&gt;=8),"",IF(V552&lt;TODAY(),"Vencida",IF(V552=TODAY(),"Hoy","")))</f>
        <v/>
      </c>
      <c r="X552" s="36" t="str">
        <f aca="false">IF(A552="","",IF(COUNTIF(Seguimiento!$B$2:$B$5001,A552)=0,"",_xlfn.MAXIFS(Seguimiento!$A$2:$A$5001,Seguimiento!$B$2:$B$5001,A552)))</f>
        <v/>
      </c>
      <c r="Y552" s="37" t="str">
        <f aca="true">IF(B552="","",TODAY()-B552)</f>
        <v/>
      </c>
      <c r="Z552" s="38" t="str">
        <f aca="false">IF(OR(O552="",G552=""),"",O552*IFERROR(INDEX(Listas!$B$2:$B$50,MATCH(G552,Listas!$A$2:$A$50,0)),0))</f>
        <v/>
      </c>
      <c r="AA552" s="32"/>
      <c r="AB552" s="32"/>
      <c r="AC552" s="32"/>
      <c r="AD552" s="35" t="str">
        <f aca="false">IF(OR(LEFT(H552,4)="Meta",LEFT(H552,6)="Google"),IF(AG552=3,"Lead calificado",IF(OR(AG552=4,AG552=5),"Tasación/visita",IF(OR(AG552=6,AG552=7),"Captación/oferta",IF(AG552=8,"Cierre","")))),"")</f>
        <v/>
      </c>
      <c r="AE552" s="32"/>
      <c r="AF552" s="32"/>
      <c r="AG552" s="37" t="n">
        <f aca="false">IF(R552="",0,IFERROR(MATCH(R552,Listas!$L$2:$L$50,0),0))</f>
        <v>0</v>
      </c>
    </row>
    <row r="553" customFormat="false" ht="15" hidden="false" customHeight="false" outlineLevel="0" collapsed="false">
      <c r="A553" s="30"/>
      <c r="B553" s="31"/>
      <c r="C553" s="32"/>
      <c r="D553" s="32"/>
      <c r="E553" s="33"/>
      <c r="F553" s="32"/>
      <c r="G553" s="32"/>
      <c r="H553" s="32"/>
      <c r="I553" s="32"/>
      <c r="J553" s="32"/>
      <c r="K553" s="32"/>
      <c r="L553" s="32"/>
      <c r="M553" s="30"/>
      <c r="N553" s="32"/>
      <c r="O553" s="34"/>
      <c r="P553" s="32"/>
      <c r="Q553" s="32"/>
      <c r="R553" s="32"/>
      <c r="S553" s="32"/>
      <c r="T553" s="32"/>
      <c r="U553" s="32"/>
      <c r="V553" s="31"/>
      <c r="W553" s="35" t="str">
        <f aca="true">IF(OR(V553="",AG553&gt;=8),"",IF(V553&lt;TODAY(),"Vencida",IF(V553=TODAY(),"Hoy","")))</f>
        <v/>
      </c>
      <c r="X553" s="36" t="str">
        <f aca="false">IF(A553="","",IF(COUNTIF(Seguimiento!$B$2:$B$5001,A553)=0,"",_xlfn.MAXIFS(Seguimiento!$A$2:$A$5001,Seguimiento!$B$2:$B$5001,A553)))</f>
        <v/>
      </c>
      <c r="Y553" s="37" t="str">
        <f aca="true">IF(B553="","",TODAY()-B553)</f>
        <v/>
      </c>
      <c r="Z553" s="38" t="str">
        <f aca="false">IF(OR(O553="",G553=""),"",O553*IFERROR(INDEX(Listas!$B$2:$B$50,MATCH(G553,Listas!$A$2:$A$50,0)),0))</f>
        <v/>
      </c>
      <c r="AA553" s="32"/>
      <c r="AB553" s="32"/>
      <c r="AC553" s="32"/>
      <c r="AD553" s="35" t="str">
        <f aca="false">IF(OR(LEFT(H553,4)="Meta",LEFT(H553,6)="Google"),IF(AG553=3,"Lead calificado",IF(OR(AG553=4,AG553=5),"Tasación/visita",IF(OR(AG553=6,AG553=7),"Captación/oferta",IF(AG553=8,"Cierre","")))),"")</f>
        <v/>
      </c>
      <c r="AE553" s="32"/>
      <c r="AF553" s="32"/>
      <c r="AG553" s="37" t="n">
        <f aca="false">IF(R553="",0,IFERROR(MATCH(R553,Listas!$L$2:$L$50,0),0))</f>
        <v>0</v>
      </c>
    </row>
    <row r="554" customFormat="false" ht="15" hidden="false" customHeight="false" outlineLevel="0" collapsed="false">
      <c r="A554" s="30"/>
      <c r="B554" s="31"/>
      <c r="C554" s="32"/>
      <c r="D554" s="32"/>
      <c r="E554" s="33"/>
      <c r="F554" s="32"/>
      <c r="G554" s="32"/>
      <c r="H554" s="32"/>
      <c r="I554" s="32"/>
      <c r="J554" s="32"/>
      <c r="K554" s="32"/>
      <c r="L554" s="32"/>
      <c r="M554" s="30"/>
      <c r="N554" s="32"/>
      <c r="O554" s="34"/>
      <c r="P554" s="32"/>
      <c r="Q554" s="32"/>
      <c r="R554" s="32"/>
      <c r="S554" s="32"/>
      <c r="T554" s="32"/>
      <c r="U554" s="32"/>
      <c r="V554" s="31"/>
      <c r="W554" s="35" t="str">
        <f aca="true">IF(OR(V554="",AG554&gt;=8),"",IF(V554&lt;TODAY(),"Vencida",IF(V554=TODAY(),"Hoy","")))</f>
        <v/>
      </c>
      <c r="X554" s="36" t="str">
        <f aca="false">IF(A554="","",IF(COUNTIF(Seguimiento!$B$2:$B$5001,A554)=0,"",_xlfn.MAXIFS(Seguimiento!$A$2:$A$5001,Seguimiento!$B$2:$B$5001,A554)))</f>
        <v/>
      </c>
      <c r="Y554" s="37" t="str">
        <f aca="true">IF(B554="","",TODAY()-B554)</f>
        <v/>
      </c>
      <c r="Z554" s="38" t="str">
        <f aca="false">IF(OR(O554="",G554=""),"",O554*IFERROR(INDEX(Listas!$B$2:$B$50,MATCH(G554,Listas!$A$2:$A$50,0)),0))</f>
        <v/>
      </c>
      <c r="AA554" s="32"/>
      <c r="AB554" s="32"/>
      <c r="AC554" s="32"/>
      <c r="AD554" s="35" t="str">
        <f aca="false">IF(OR(LEFT(H554,4)="Meta",LEFT(H554,6)="Google"),IF(AG554=3,"Lead calificado",IF(OR(AG554=4,AG554=5),"Tasación/visita",IF(OR(AG554=6,AG554=7),"Captación/oferta",IF(AG554=8,"Cierre","")))),"")</f>
        <v/>
      </c>
      <c r="AE554" s="32"/>
      <c r="AF554" s="32"/>
      <c r="AG554" s="37" t="n">
        <f aca="false">IF(R554="",0,IFERROR(MATCH(R554,Listas!$L$2:$L$50,0),0))</f>
        <v>0</v>
      </c>
    </row>
    <row r="555" customFormat="false" ht="15" hidden="false" customHeight="false" outlineLevel="0" collapsed="false">
      <c r="A555" s="30"/>
      <c r="B555" s="31"/>
      <c r="C555" s="32"/>
      <c r="D555" s="32"/>
      <c r="E555" s="33"/>
      <c r="F555" s="32"/>
      <c r="G555" s="32"/>
      <c r="H555" s="32"/>
      <c r="I555" s="32"/>
      <c r="J555" s="32"/>
      <c r="K555" s="32"/>
      <c r="L555" s="32"/>
      <c r="M555" s="30"/>
      <c r="N555" s="32"/>
      <c r="O555" s="34"/>
      <c r="P555" s="32"/>
      <c r="Q555" s="32"/>
      <c r="R555" s="32"/>
      <c r="S555" s="32"/>
      <c r="T555" s="32"/>
      <c r="U555" s="32"/>
      <c r="V555" s="31"/>
      <c r="W555" s="35" t="str">
        <f aca="true">IF(OR(V555="",AG555&gt;=8),"",IF(V555&lt;TODAY(),"Vencida",IF(V555=TODAY(),"Hoy","")))</f>
        <v/>
      </c>
      <c r="X555" s="36" t="str">
        <f aca="false">IF(A555="","",IF(COUNTIF(Seguimiento!$B$2:$B$5001,A555)=0,"",_xlfn.MAXIFS(Seguimiento!$A$2:$A$5001,Seguimiento!$B$2:$B$5001,A555)))</f>
        <v/>
      </c>
      <c r="Y555" s="37" t="str">
        <f aca="true">IF(B555="","",TODAY()-B555)</f>
        <v/>
      </c>
      <c r="Z555" s="38" t="str">
        <f aca="false">IF(OR(O555="",G555=""),"",O555*IFERROR(INDEX(Listas!$B$2:$B$50,MATCH(G555,Listas!$A$2:$A$50,0)),0))</f>
        <v/>
      </c>
      <c r="AA555" s="32"/>
      <c r="AB555" s="32"/>
      <c r="AC555" s="32"/>
      <c r="AD555" s="35" t="str">
        <f aca="false">IF(OR(LEFT(H555,4)="Meta",LEFT(H555,6)="Google"),IF(AG555=3,"Lead calificado",IF(OR(AG555=4,AG555=5),"Tasación/visita",IF(OR(AG555=6,AG555=7),"Captación/oferta",IF(AG555=8,"Cierre","")))),"")</f>
        <v/>
      </c>
      <c r="AE555" s="32"/>
      <c r="AF555" s="32"/>
      <c r="AG555" s="37" t="n">
        <f aca="false">IF(R555="",0,IFERROR(MATCH(R555,Listas!$L$2:$L$50,0),0))</f>
        <v>0</v>
      </c>
    </row>
    <row r="556" customFormat="false" ht="15" hidden="false" customHeight="false" outlineLevel="0" collapsed="false">
      <c r="A556" s="30"/>
      <c r="B556" s="31"/>
      <c r="C556" s="32"/>
      <c r="D556" s="32"/>
      <c r="E556" s="33"/>
      <c r="F556" s="32"/>
      <c r="G556" s="32"/>
      <c r="H556" s="32"/>
      <c r="I556" s="32"/>
      <c r="J556" s="32"/>
      <c r="K556" s="32"/>
      <c r="L556" s="32"/>
      <c r="M556" s="30"/>
      <c r="N556" s="32"/>
      <c r="O556" s="34"/>
      <c r="P556" s="32"/>
      <c r="Q556" s="32"/>
      <c r="R556" s="32"/>
      <c r="S556" s="32"/>
      <c r="T556" s="32"/>
      <c r="U556" s="32"/>
      <c r="V556" s="31"/>
      <c r="W556" s="35" t="str">
        <f aca="true">IF(OR(V556="",AG556&gt;=8),"",IF(V556&lt;TODAY(),"Vencida",IF(V556=TODAY(),"Hoy","")))</f>
        <v/>
      </c>
      <c r="X556" s="36" t="str">
        <f aca="false">IF(A556="","",IF(COUNTIF(Seguimiento!$B$2:$B$5001,A556)=0,"",_xlfn.MAXIFS(Seguimiento!$A$2:$A$5001,Seguimiento!$B$2:$B$5001,A556)))</f>
        <v/>
      </c>
      <c r="Y556" s="37" t="str">
        <f aca="true">IF(B556="","",TODAY()-B556)</f>
        <v/>
      </c>
      <c r="Z556" s="38" t="str">
        <f aca="false">IF(OR(O556="",G556=""),"",O556*IFERROR(INDEX(Listas!$B$2:$B$50,MATCH(G556,Listas!$A$2:$A$50,0)),0))</f>
        <v/>
      </c>
      <c r="AA556" s="32"/>
      <c r="AB556" s="32"/>
      <c r="AC556" s="32"/>
      <c r="AD556" s="35" t="str">
        <f aca="false">IF(OR(LEFT(H556,4)="Meta",LEFT(H556,6)="Google"),IF(AG556=3,"Lead calificado",IF(OR(AG556=4,AG556=5),"Tasación/visita",IF(OR(AG556=6,AG556=7),"Captación/oferta",IF(AG556=8,"Cierre","")))),"")</f>
        <v/>
      </c>
      <c r="AE556" s="32"/>
      <c r="AF556" s="32"/>
      <c r="AG556" s="37" t="n">
        <f aca="false">IF(R556="",0,IFERROR(MATCH(R556,Listas!$L$2:$L$50,0),0))</f>
        <v>0</v>
      </c>
    </row>
    <row r="557" customFormat="false" ht="15" hidden="false" customHeight="false" outlineLevel="0" collapsed="false">
      <c r="A557" s="30"/>
      <c r="B557" s="31"/>
      <c r="C557" s="32"/>
      <c r="D557" s="32"/>
      <c r="E557" s="33"/>
      <c r="F557" s="32"/>
      <c r="G557" s="32"/>
      <c r="H557" s="32"/>
      <c r="I557" s="32"/>
      <c r="J557" s="32"/>
      <c r="K557" s="32"/>
      <c r="L557" s="32"/>
      <c r="M557" s="30"/>
      <c r="N557" s="32"/>
      <c r="O557" s="34"/>
      <c r="P557" s="32"/>
      <c r="Q557" s="32"/>
      <c r="R557" s="32"/>
      <c r="S557" s="32"/>
      <c r="T557" s="32"/>
      <c r="U557" s="32"/>
      <c r="V557" s="31"/>
      <c r="W557" s="35" t="str">
        <f aca="true">IF(OR(V557="",AG557&gt;=8),"",IF(V557&lt;TODAY(),"Vencida",IF(V557=TODAY(),"Hoy","")))</f>
        <v/>
      </c>
      <c r="X557" s="36" t="str">
        <f aca="false">IF(A557="","",IF(COUNTIF(Seguimiento!$B$2:$B$5001,A557)=0,"",_xlfn.MAXIFS(Seguimiento!$A$2:$A$5001,Seguimiento!$B$2:$B$5001,A557)))</f>
        <v/>
      </c>
      <c r="Y557" s="37" t="str">
        <f aca="true">IF(B557="","",TODAY()-B557)</f>
        <v/>
      </c>
      <c r="Z557" s="38" t="str">
        <f aca="false">IF(OR(O557="",G557=""),"",O557*IFERROR(INDEX(Listas!$B$2:$B$50,MATCH(G557,Listas!$A$2:$A$50,0)),0))</f>
        <v/>
      </c>
      <c r="AA557" s="32"/>
      <c r="AB557" s="32"/>
      <c r="AC557" s="32"/>
      <c r="AD557" s="35" t="str">
        <f aca="false">IF(OR(LEFT(H557,4)="Meta",LEFT(H557,6)="Google"),IF(AG557=3,"Lead calificado",IF(OR(AG557=4,AG557=5),"Tasación/visita",IF(OR(AG557=6,AG557=7),"Captación/oferta",IF(AG557=8,"Cierre","")))),"")</f>
        <v/>
      </c>
      <c r="AE557" s="32"/>
      <c r="AF557" s="32"/>
      <c r="AG557" s="37" t="n">
        <f aca="false">IF(R557="",0,IFERROR(MATCH(R557,Listas!$L$2:$L$50,0),0))</f>
        <v>0</v>
      </c>
    </row>
    <row r="558" customFormat="false" ht="15" hidden="false" customHeight="false" outlineLevel="0" collapsed="false">
      <c r="A558" s="30"/>
      <c r="B558" s="31"/>
      <c r="C558" s="32"/>
      <c r="D558" s="32"/>
      <c r="E558" s="33"/>
      <c r="F558" s="32"/>
      <c r="G558" s="32"/>
      <c r="H558" s="32"/>
      <c r="I558" s="32"/>
      <c r="J558" s="32"/>
      <c r="K558" s="32"/>
      <c r="L558" s="32"/>
      <c r="M558" s="30"/>
      <c r="N558" s="32"/>
      <c r="O558" s="34"/>
      <c r="P558" s="32"/>
      <c r="Q558" s="32"/>
      <c r="R558" s="32"/>
      <c r="S558" s="32"/>
      <c r="T558" s="32"/>
      <c r="U558" s="32"/>
      <c r="V558" s="31"/>
      <c r="W558" s="35" t="str">
        <f aca="true">IF(OR(V558="",AG558&gt;=8),"",IF(V558&lt;TODAY(),"Vencida",IF(V558=TODAY(),"Hoy","")))</f>
        <v/>
      </c>
      <c r="X558" s="36" t="str">
        <f aca="false">IF(A558="","",IF(COUNTIF(Seguimiento!$B$2:$B$5001,A558)=0,"",_xlfn.MAXIFS(Seguimiento!$A$2:$A$5001,Seguimiento!$B$2:$B$5001,A558)))</f>
        <v/>
      </c>
      <c r="Y558" s="37" t="str">
        <f aca="true">IF(B558="","",TODAY()-B558)</f>
        <v/>
      </c>
      <c r="Z558" s="38" t="str">
        <f aca="false">IF(OR(O558="",G558=""),"",O558*IFERROR(INDEX(Listas!$B$2:$B$50,MATCH(G558,Listas!$A$2:$A$50,0)),0))</f>
        <v/>
      </c>
      <c r="AA558" s="32"/>
      <c r="AB558" s="32"/>
      <c r="AC558" s="32"/>
      <c r="AD558" s="35" t="str">
        <f aca="false">IF(OR(LEFT(H558,4)="Meta",LEFT(H558,6)="Google"),IF(AG558=3,"Lead calificado",IF(OR(AG558=4,AG558=5),"Tasación/visita",IF(OR(AG558=6,AG558=7),"Captación/oferta",IF(AG558=8,"Cierre","")))),"")</f>
        <v/>
      </c>
      <c r="AE558" s="32"/>
      <c r="AF558" s="32"/>
      <c r="AG558" s="37" t="n">
        <f aca="false">IF(R558="",0,IFERROR(MATCH(R558,Listas!$L$2:$L$50,0),0))</f>
        <v>0</v>
      </c>
    </row>
    <row r="559" customFormat="false" ht="15" hidden="false" customHeight="false" outlineLevel="0" collapsed="false">
      <c r="A559" s="30"/>
      <c r="B559" s="31"/>
      <c r="C559" s="32"/>
      <c r="D559" s="32"/>
      <c r="E559" s="33"/>
      <c r="F559" s="32"/>
      <c r="G559" s="32"/>
      <c r="H559" s="32"/>
      <c r="I559" s="32"/>
      <c r="J559" s="32"/>
      <c r="K559" s="32"/>
      <c r="L559" s="32"/>
      <c r="M559" s="30"/>
      <c r="N559" s="32"/>
      <c r="O559" s="34"/>
      <c r="P559" s="32"/>
      <c r="Q559" s="32"/>
      <c r="R559" s="32"/>
      <c r="S559" s="32"/>
      <c r="T559" s="32"/>
      <c r="U559" s="32"/>
      <c r="V559" s="31"/>
      <c r="W559" s="35" t="str">
        <f aca="true">IF(OR(V559="",AG559&gt;=8),"",IF(V559&lt;TODAY(),"Vencida",IF(V559=TODAY(),"Hoy","")))</f>
        <v/>
      </c>
      <c r="X559" s="36" t="str">
        <f aca="false">IF(A559="","",IF(COUNTIF(Seguimiento!$B$2:$B$5001,A559)=0,"",_xlfn.MAXIFS(Seguimiento!$A$2:$A$5001,Seguimiento!$B$2:$B$5001,A559)))</f>
        <v/>
      </c>
      <c r="Y559" s="37" t="str">
        <f aca="true">IF(B559="","",TODAY()-B559)</f>
        <v/>
      </c>
      <c r="Z559" s="38" t="str">
        <f aca="false">IF(OR(O559="",G559=""),"",O559*IFERROR(INDEX(Listas!$B$2:$B$50,MATCH(G559,Listas!$A$2:$A$50,0)),0))</f>
        <v/>
      </c>
      <c r="AA559" s="32"/>
      <c r="AB559" s="32"/>
      <c r="AC559" s="32"/>
      <c r="AD559" s="35" t="str">
        <f aca="false">IF(OR(LEFT(H559,4)="Meta",LEFT(H559,6)="Google"),IF(AG559=3,"Lead calificado",IF(OR(AG559=4,AG559=5),"Tasación/visita",IF(OR(AG559=6,AG559=7),"Captación/oferta",IF(AG559=8,"Cierre","")))),"")</f>
        <v/>
      </c>
      <c r="AE559" s="32"/>
      <c r="AF559" s="32"/>
      <c r="AG559" s="37" t="n">
        <f aca="false">IF(R559="",0,IFERROR(MATCH(R559,Listas!$L$2:$L$50,0),0))</f>
        <v>0</v>
      </c>
    </row>
    <row r="560" customFormat="false" ht="15" hidden="false" customHeight="false" outlineLevel="0" collapsed="false">
      <c r="A560" s="30"/>
      <c r="B560" s="31"/>
      <c r="C560" s="32"/>
      <c r="D560" s="32"/>
      <c r="E560" s="33"/>
      <c r="F560" s="32"/>
      <c r="G560" s="32"/>
      <c r="H560" s="32"/>
      <c r="I560" s="32"/>
      <c r="J560" s="32"/>
      <c r="K560" s="32"/>
      <c r="L560" s="32"/>
      <c r="M560" s="30"/>
      <c r="N560" s="32"/>
      <c r="O560" s="34"/>
      <c r="P560" s="32"/>
      <c r="Q560" s="32"/>
      <c r="R560" s="32"/>
      <c r="S560" s="32"/>
      <c r="T560" s="32"/>
      <c r="U560" s="32"/>
      <c r="V560" s="31"/>
      <c r="W560" s="35" t="str">
        <f aca="true">IF(OR(V560="",AG560&gt;=8),"",IF(V560&lt;TODAY(),"Vencida",IF(V560=TODAY(),"Hoy","")))</f>
        <v/>
      </c>
      <c r="X560" s="36" t="str">
        <f aca="false">IF(A560="","",IF(COUNTIF(Seguimiento!$B$2:$B$5001,A560)=0,"",_xlfn.MAXIFS(Seguimiento!$A$2:$A$5001,Seguimiento!$B$2:$B$5001,A560)))</f>
        <v/>
      </c>
      <c r="Y560" s="37" t="str">
        <f aca="true">IF(B560="","",TODAY()-B560)</f>
        <v/>
      </c>
      <c r="Z560" s="38" t="str">
        <f aca="false">IF(OR(O560="",G560=""),"",O560*IFERROR(INDEX(Listas!$B$2:$B$50,MATCH(G560,Listas!$A$2:$A$50,0)),0))</f>
        <v/>
      </c>
      <c r="AA560" s="32"/>
      <c r="AB560" s="32"/>
      <c r="AC560" s="32"/>
      <c r="AD560" s="35" t="str">
        <f aca="false">IF(OR(LEFT(H560,4)="Meta",LEFT(H560,6)="Google"),IF(AG560=3,"Lead calificado",IF(OR(AG560=4,AG560=5),"Tasación/visita",IF(OR(AG560=6,AG560=7),"Captación/oferta",IF(AG560=8,"Cierre","")))),"")</f>
        <v/>
      </c>
      <c r="AE560" s="32"/>
      <c r="AF560" s="32"/>
      <c r="AG560" s="37" t="n">
        <f aca="false">IF(R560="",0,IFERROR(MATCH(R560,Listas!$L$2:$L$50,0),0))</f>
        <v>0</v>
      </c>
    </row>
    <row r="561" customFormat="false" ht="15" hidden="false" customHeight="false" outlineLevel="0" collapsed="false">
      <c r="A561" s="30"/>
      <c r="B561" s="31"/>
      <c r="C561" s="32"/>
      <c r="D561" s="32"/>
      <c r="E561" s="33"/>
      <c r="F561" s="32"/>
      <c r="G561" s="32"/>
      <c r="H561" s="32"/>
      <c r="I561" s="32"/>
      <c r="J561" s="32"/>
      <c r="K561" s="32"/>
      <c r="L561" s="32"/>
      <c r="M561" s="30"/>
      <c r="N561" s="32"/>
      <c r="O561" s="34"/>
      <c r="P561" s="32"/>
      <c r="Q561" s="32"/>
      <c r="R561" s="32"/>
      <c r="S561" s="32"/>
      <c r="T561" s="32"/>
      <c r="U561" s="32"/>
      <c r="V561" s="31"/>
      <c r="W561" s="35" t="str">
        <f aca="true">IF(OR(V561="",AG561&gt;=8),"",IF(V561&lt;TODAY(),"Vencida",IF(V561=TODAY(),"Hoy","")))</f>
        <v/>
      </c>
      <c r="X561" s="36" t="str">
        <f aca="false">IF(A561="","",IF(COUNTIF(Seguimiento!$B$2:$B$5001,A561)=0,"",_xlfn.MAXIFS(Seguimiento!$A$2:$A$5001,Seguimiento!$B$2:$B$5001,A561)))</f>
        <v/>
      </c>
      <c r="Y561" s="37" t="str">
        <f aca="true">IF(B561="","",TODAY()-B561)</f>
        <v/>
      </c>
      <c r="Z561" s="38" t="str">
        <f aca="false">IF(OR(O561="",G561=""),"",O561*IFERROR(INDEX(Listas!$B$2:$B$50,MATCH(G561,Listas!$A$2:$A$50,0)),0))</f>
        <v/>
      </c>
      <c r="AA561" s="32"/>
      <c r="AB561" s="32"/>
      <c r="AC561" s="32"/>
      <c r="AD561" s="35" t="str">
        <f aca="false">IF(OR(LEFT(H561,4)="Meta",LEFT(H561,6)="Google"),IF(AG561=3,"Lead calificado",IF(OR(AG561=4,AG561=5),"Tasación/visita",IF(OR(AG561=6,AG561=7),"Captación/oferta",IF(AG561=8,"Cierre","")))),"")</f>
        <v/>
      </c>
      <c r="AE561" s="32"/>
      <c r="AF561" s="32"/>
      <c r="AG561" s="37" t="n">
        <f aca="false">IF(R561="",0,IFERROR(MATCH(R561,Listas!$L$2:$L$50,0),0))</f>
        <v>0</v>
      </c>
    </row>
    <row r="562" customFormat="false" ht="15" hidden="false" customHeight="false" outlineLevel="0" collapsed="false">
      <c r="A562" s="30"/>
      <c r="B562" s="31"/>
      <c r="C562" s="32"/>
      <c r="D562" s="32"/>
      <c r="E562" s="33"/>
      <c r="F562" s="32"/>
      <c r="G562" s="32"/>
      <c r="H562" s="32"/>
      <c r="I562" s="32"/>
      <c r="J562" s="32"/>
      <c r="K562" s="32"/>
      <c r="L562" s="32"/>
      <c r="M562" s="30"/>
      <c r="N562" s="32"/>
      <c r="O562" s="34"/>
      <c r="P562" s="32"/>
      <c r="Q562" s="32"/>
      <c r="R562" s="32"/>
      <c r="S562" s="32"/>
      <c r="T562" s="32"/>
      <c r="U562" s="32"/>
      <c r="V562" s="31"/>
      <c r="W562" s="35" t="str">
        <f aca="true">IF(OR(V562="",AG562&gt;=8),"",IF(V562&lt;TODAY(),"Vencida",IF(V562=TODAY(),"Hoy","")))</f>
        <v/>
      </c>
      <c r="X562" s="36" t="str">
        <f aca="false">IF(A562="","",IF(COUNTIF(Seguimiento!$B$2:$B$5001,A562)=0,"",_xlfn.MAXIFS(Seguimiento!$A$2:$A$5001,Seguimiento!$B$2:$B$5001,A562)))</f>
        <v/>
      </c>
      <c r="Y562" s="37" t="str">
        <f aca="true">IF(B562="","",TODAY()-B562)</f>
        <v/>
      </c>
      <c r="Z562" s="38" t="str">
        <f aca="false">IF(OR(O562="",G562=""),"",O562*IFERROR(INDEX(Listas!$B$2:$B$50,MATCH(G562,Listas!$A$2:$A$50,0)),0))</f>
        <v/>
      </c>
      <c r="AA562" s="32"/>
      <c r="AB562" s="32"/>
      <c r="AC562" s="32"/>
      <c r="AD562" s="35" t="str">
        <f aca="false">IF(OR(LEFT(H562,4)="Meta",LEFT(H562,6)="Google"),IF(AG562=3,"Lead calificado",IF(OR(AG562=4,AG562=5),"Tasación/visita",IF(OR(AG562=6,AG562=7),"Captación/oferta",IF(AG562=8,"Cierre","")))),"")</f>
        <v/>
      </c>
      <c r="AE562" s="32"/>
      <c r="AF562" s="32"/>
      <c r="AG562" s="37" t="n">
        <f aca="false">IF(R562="",0,IFERROR(MATCH(R562,Listas!$L$2:$L$50,0),0))</f>
        <v>0</v>
      </c>
    </row>
    <row r="563" customFormat="false" ht="15" hidden="false" customHeight="false" outlineLevel="0" collapsed="false">
      <c r="A563" s="30"/>
      <c r="B563" s="31"/>
      <c r="C563" s="32"/>
      <c r="D563" s="32"/>
      <c r="E563" s="33"/>
      <c r="F563" s="32"/>
      <c r="G563" s="32"/>
      <c r="H563" s="32"/>
      <c r="I563" s="32"/>
      <c r="J563" s="32"/>
      <c r="K563" s="32"/>
      <c r="L563" s="32"/>
      <c r="M563" s="30"/>
      <c r="N563" s="32"/>
      <c r="O563" s="34"/>
      <c r="P563" s="32"/>
      <c r="Q563" s="32"/>
      <c r="R563" s="32"/>
      <c r="S563" s="32"/>
      <c r="T563" s="32"/>
      <c r="U563" s="32"/>
      <c r="V563" s="31"/>
      <c r="W563" s="35" t="str">
        <f aca="true">IF(OR(V563="",AG563&gt;=8),"",IF(V563&lt;TODAY(),"Vencida",IF(V563=TODAY(),"Hoy","")))</f>
        <v/>
      </c>
      <c r="X563" s="36" t="str">
        <f aca="false">IF(A563="","",IF(COUNTIF(Seguimiento!$B$2:$B$5001,A563)=0,"",_xlfn.MAXIFS(Seguimiento!$A$2:$A$5001,Seguimiento!$B$2:$B$5001,A563)))</f>
        <v/>
      </c>
      <c r="Y563" s="37" t="str">
        <f aca="true">IF(B563="","",TODAY()-B563)</f>
        <v/>
      </c>
      <c r="Z563" s="38" t="str">
        <f aca="false">IF(OR(O563="",G563=""),"",O563*IFERROR(INDEX(Listas!$B$2:$B$50,MATCH(G563,Listas!$A$2:$A$50,0)),0))</f>
        <v/>
      </c>
      <c r="AA563" s="32"/>
      <c r="AB563" s="32"/>
      <c r="AC563" s="32"/>
      <c r="AD563" s="35" t="str">
        <f aca="false">IF(OR(LEFT(H563,4)="Meta",LEFT(H563,6)="Google"),IF(AG563=3,"Lead calificado",IF(OR(AG563=4,AG563=5),"Tasación/visita",IF(OR(AG563=6,AG563=7),"Captación/oferta",IF(AG563=8,"Cierre","")))),"")</f>
        <v/>
      </c>
      <c r="AE563" s="32"/>
      <c r="AF563" s="32"/>
      <c r="AG563" s="37" t="n">
        <f aca="false">IF(R563="",0,IFERROR(MATCH(R563,Listas!$L$2:$L$50,0),0))</f>
        <v>0</v>
      </c>
    </row>
    <row r="564" customFormat="false" ht="15" hidden="false" customHeight="false" outlineLevel="0" collapsed="false">
      <c r="A564" s="30"/>
      <c r="B564" s="31"/>
      <c r="C564" s="32"/>
      <c r="D564" s="32"/>
      <c r="E564" s="33"/>
      <c r="F564" s="32"/>
      <c r="G564" s="32"/>
      <c r="H564" s="32"/>
      <c r="I564" s="32"/>
      <c r="J564" s="32"/>
      <c r="K564" s="32"/>
      <c r="L564" s="32"/>
      <c r="M564" s="30"/>
      <c r="N564" s="32"/>
      <c r="O564" s="34"/>
      <c r="P564" s="32"/>
      <c r="Q564" s="32"/>
      <c r="R564" s="32"/>
      <c r="S564" s="32"/>
      <c r="T564" s="32"/>
      <c r="U564" s="32"/>
      <c r="V564" s="31"/>
      <c r="W564" s="35" t="str">
        <f aca="true">IF(OR(V564="",AG564&gt;=8),"",IF(V564&lt;TODAY(),"Vencida",IF(V564=TODAY(),"Hoy","")))</f>
        <v/>
      </c>
      <c r="X564" s="36" t="str">
        <f aca="false">IF(A564="","",IF(COUNTIF(Seguimiento!$B$2:$B$5001,A564)=0,"",_xlfn.MAXIFS(Seguimiento!$A$2:$A$5001,Seguimiento!$B$2:$B$5001,A564)))</f>
        <v/>
      </c>
      <c r="Y564" s="37" t="str">
        <f aca="true">IF(B564="","",TODAY()-B564)</f>
        <v/>
      </c>
      <c r="Z564" s="38" t="str">
        <f aca="false">IF(OR(O564="",G564=""),"",O564*IFERROR(INDEX(Listas!$B$2:$B$50,MATCH(G564,Listas!$A$2:$A$50,0)),0))</f>
        <v/>
      </c>
      <c r="AA564" s="32"/>
      <c r="AB564" s="32"/>
      <c r="AC564" s="32"/>
      <c r="AD564" s="35" t="str">
        <f aca="false">IF(OR(LEFT(H564,4)="Meta",LEFT(H564,6)="Google"),IF(AG564=3,"Lead calificado",IF(OR(AG564=4,AG564=5),"Tasación/visita",IF(OR(AG564=6,AG564=7),"Captación/oferta",IF(AG564=8,"Cierre","")))),"")</f>
        <v/>
      </c>
      <c r="AE564" s="32"/>
      <c r="AF564" s="32"/>
      <c r="AG564" s="37" t="n">
        <f aca="false">IF(R564="",0,IFERROR(MATCH(R564,Listas!$L$2:$L$50,0),0))</f>
        <v>0</v>
      </c>
    </row>
    <row r="565" customFormat="false" ht="15" hidden="false" customHeight="false" outlineLevel="0" collapsed="false">
      <c r="A565" s="30"/>
      <c r="B565" s="31"/>
      <c r="C565" s="32"/>
      <c r="D565" s="32"/>
      <c r="E565" s="33"/>
      <c r="F565" s="32"/>
      <c r="G565" s="32"/>
      <c r="H565" s="32"/>
      <c r="I565" s="32"/>
      <c r="J565" s="32"/>
      <c r="K565" s="32"/>
      <c r="L565" s="32"/>
      <c r="M565" s="30"/>
      <c r="N565" s="32"/>
      <c r="O565" s="34"/>
      <c r="P565" s="32"/>
      <c r="Q565" s="32"/>
      <c r="R565" s="32"/>
      <c r="S565" s="32"/>
      <c r="T565" s="32"/>
      <c r="U565" s="32"/>
      <c r="V565" s="31"/>
      <c r="W565" s="35" t="str">
        <f aca="true">IF(OR(V565="",AG565&gt;=8),"",IF(V565&lt;TODAY(),"Vencida",IF(V565=TODAY(),"Hoy","")))</f>
        <v/>
      </c>
      <c r="X565" s="36" t="str">
        <f aca="false">IF(A565="","",IF(COUNTIF(Seguimiento!$B$2:$B$5001,A565)=0,"",_xlfn.MAXIFS(Seguimiento!$A$2:$A$5001,Seguimiento!$B$2:$B$5001,A565)))</f>
        <v/>
      </c>
      <c r="Y565" s="37" t="str">
        <f aca="true">IF(B565="","",TODAY()-B565)</f>
        <v/>
      </c>
      <c r="Z565" s="38" t="str">
        <f aca="false">IF(OR(O565="",G565=""),"",O565*IFERROR(INDEX(Listas!$B$2:$B$50,MATCH(G565,Listas!$A$2:$A$50,0)),0))</f>
        <v/>
      </c>
      <c r="AA565" s="32"/>
      <c r="AB565" s="32"/>
      <c r="AC565" s="32"/>
      <c r="AD565" s="35" t="str">
        <f aca="false">IF(OR(LEFT(H565,4)="Meta",LEFT(H565,6)="Google"),IF(AG565=3,"Lead calificado",IF(OR(AG565=4,AG565=5),"Tasación/visita",IF(OR(AG565=6,AG565=7),"Captación/oferta",IF(AG565=8,"Cierre","")))),"")</f>
        <v/>
      </c>
      <c r="AE565" s="32"/>
      <c r="AF565" s="32"/>
      <c r="AG565" s="37" t="n">
        <f aca="false">IF(R565="",0,IFERROR(MATCH(R565,Listas!$L$2:$L$50,0),0))</f>
        <v>0</v>
      </c>
    </row>
    <row r="566" customFormat="false" ht="15" hidden="false" customHeight="false" outlineLevel="0" collapsed="false">
      <c r="A566" s="30"/>
      <c r="B566" s="31"/>
      <c r="C566" s="32"/>
      <c r="D566" s="32"/>
      <c r="E566" s="33"/>
      <c r="F566" s="32"/>
      <c r="G566" s="32"/>
      <c r="H566" s="32"/>
      <c r="I566" s="32"/>
      <c r="J566" s="32"/>
      <c r="K566" s="32"/>
      <c r="L566" s="32"/>
      <c r="M566" s="30"/>
      <c r="N566" s="32"/>
      <c r="O566" s="34"/>
      <c r="P566" s="32"/>
      <c r="Q566" s="32"/>
      <c r="R566" s="32"/>
      <c r="S566" s="32"/>
      <c r="T566" s="32"/>
      <c r="U566" s="32"/>
      <c r="V566" s="31"/>
      <c r="W566" s="35" t="str">
        <f aca="true">IF(OR(V566="",AG566&gt;=8),"",IF(V566&lt;TODAY(),"Vencida",IF(V566=TODAY(),"Hoy","")))</f>
        <v/>
      </c>
      <c r="X566" s="36" t="str">
        <f aca="false">IF(A566="","",IF(COUNTIF(Seguimiento!$B$2:$B$5001,A566)=0,"",_xlfn.MAXIFS(Seguimiento!$A$2:$A$5001,Seguimiento!$B$2:$B$5001,A566)))</f>
        <v/>
      </c>
      <c r="Y566" s="37" t="str">
        <f aca="true">IF(B566="","",TODAY()-B566)</f>
        <v/>
      </c>
      <c r="Z566" s="38" t="str">
        <f aca="false">IF(OR(O566="",G566=""),"",O566*IFERROR(INDEX(Listas!$B$2:$B$50,MATCH(G566,Listas!$A$2:$A$50,0)),0))</f>
        <v/>
      </c>
      <c r="AA566" s="32"/>
      <c r="AB566" s="32"/>
      <c r="AC566" s="32"/>
      <c r="AD566" s="35" t="str">
        <f aca="false">IF(OR(LEFT(H566,4)="Meta",LEFT(H566,6)="Google"),IF(AG566=3,"Lead calificado",IF(OR(AG566=4,AG566=5),"Tasación/visita",IF(OR(AG566=6,AG566=7),"Captación/oferta",IF(AG566=8,"Cierre","")))),"")</f>
        <v/>
      </c>
      <c r="AE566" s="32"/>
      <c r="AF566" s="32"/>
      <c r="AG566" s="37" t="n">
        <f aca="false">IF(R566="",0,IFERROR(MATCH(R566,Listas!$L$2:$L$50,0),0))</f>
        <v>0</v>
      </c>
    </row>
    <row r="567" customFormat="false" ht="15" hidden="false" customHeight="false" outlineLevel="0" collapsed="false">
      <c r="A567" s="30"/>
      <c r="B567" s="31"/>
      <c r="C567" s="32"/>
      <c r="D567" s="32"/>
      <c r="E567" s="33"/>
      <c r="F567" s="32"/>
      <c r="G567" s="32"/>
      <c r="H567" s="32"/>
      <c r="I567" s="32"/>
      <c r="J567" s="32"/>
      <c r="K567" s="32"/>
      <c r="L567" s="32"/>
      <c r="M567" s="30"/>
      <c r="N567" s="32"/>
      <c r="O567" s="34"/>
      <c r="P567" s="32"/>
      <c r="Q567" s="32"/>
      <c r="R567" s="32"/>
      <c r="S567" s="32"/>
      <c r="T567" s="32"/>
      <c r="U567" s="32"/>
      <c r="V567" s="31"/>
      <c r="W567" s="35" t="str">
        <f aca="true">IF(OR(V567="",AG567&gt;=8),"",IF(V567&lt;TODAY(),"Vencida",IF(V567=TODAY(),"Hoy","")))</f>
        <v/>
      </c>
      <c r="X567" s="36" t="str">
        <f aca="false">IF(A567="","",IF(COUNTIF(Seguimiento!$B$2:$B$5001,A567)=0,"",_xlfn.MAXIFS(Seguimiento!$A$2:$A$5001,Seguimiento!$B$2:$B$5001,A567)))</f>
        <v/>
      </c>
      <c r="Y567" s="37" t="str">
        <f aca="true">IF(B567="","",TODAY()-B567)</f>
        <v/>
      </c>
      <c r="Z567" s="38" t="str">
        <f aca="false">IF(OR(O567="",G567=""),"",O567*IFERROR(INDEX(Listas!$B$2:$B$50,MATCH(G567,Listas!$A$2:$A$50,0)),0))</f>
        <v/>
      </c>
      <c r="AA567" s="32"/>
      <c r="AB567" s="32"/>
      <c r="AC567" s="32"/>
      <c r="AD567" s="35" t="str">
        <f aca="false">IF(OR(LEFT(H567,4)="Meta",LEFT(H567,6)="Google"),IF(AG567=3,"Lead calificado",IF(OR(AG567=4,AG567=5),"Tasación/visita",IF(OR(AG567=6,AG567=7),"Captación/oferta",IF(AG567=8,"Cierre","")))),"")</f>
        <v/>
      </c>
      <c r="AE567" s="32"/>
      <c r="AF567" s="32"/>
      <c r="AG567" s="37" t="n">
        <f aca="false">IF(R567="",0,IFERROR(MATCH(R567,Listas!$L$2:$L$50,0),0))</f>
        <v>0</v>
      </c>
    </row>
    <row r="568" customFormat="false" ht="15" hidden="false" customHeight="false" outlineLevel="0" collapsed="false">
      <c r="A568" s="30"/>
      <c r="B568" s="31"/>
      <c r="C568" s="32"/>
      <c r="D568" s="32"/>
      <c r="E568" s="33"/>
      <c r="F568" s="32"/>
      <c r="G568" s="32"/>
      <c r="H568" s="32"/>
      <c r="I568" s="32"/>
      <c r="J568" s="32"/>
      <c r="K568" s="32"/>
      <c r="L568" s="32"/>
      <c r="M568" s="30"/>
      <c r="N568" s="32"/>
      <c r="O568" s="34"/>
      <c r="P568" s="32"/>
      <c r="Q568" s="32"/>
      <c r="R568" s="32"/>
      <c r="S568" s="32"/>
      <c r="T568" s="32"/>
      <c r="U568" s="32"/>
      <c r="V568" s="31"/>
      <c r="W568" s="35" t="str">
        <f aca="true">IF(OR(V568="",AG568&gt;=8),"",IF(V568&lt;TODAY(),"Vencida",IF(V568=TODAY(),"Hoy","")))</f>
        <v/>
      </c>
      <c r="X568" s="36" t="str">
        <f aca="false">IF(A568="","",IF(COUNTIF(Seguimiento!$B$2:$B$5001,A568)=0,"",_xlfn.MAXIFS(Seguimiento!$A$2:$A$5001,Seguimiento!$B$2:$B$5001,A568)))</f>
        <v/>
      </c>
      <c r="Y568" s="37" t="str">
        <f aca="true">IF(B568="","",TODAY()-B568)</f>
        <v/>
      </c>
      <c r="Z568" s="38" t="str">
        <f aca="false">IF(OR(O568="",G568=""),"",O568*IFERROR(INDEX(Listas!$B$2:$B$50,MATCH(G568,Listas!$A$2:$A$50,0)),0))</f>
        <v/>
      </c>
      <c r="AA568" s="32"/>
      <c r="AB568" s="32"/>
      <c r="AC568" s="32"/>
      <c r="AD568" s="35" t="str">
        <f aca="false">IF(OR(LEFT(H568,4)="Meta",LEFT(H568,6)="Google"),IF(AG568=3,"Lead calificado",IF(OR(AG568=4,AG568=5),"Tasación/visita",IF(OR(AG568=6,AG568=7),"Captación/oferta",IF(AG568=8,"Cierre","")))),"")</f>
        <v/>
      </c>
      <c r="AE568" s="32"/>
      <c r="AF568" s="32"/>
      <c r="AG568" s="37" t="n">
        <f aca="false">IF(R568="",0,IFERROR(MATCH(R568,Listas!$L$2:$L$50,0),0))</f>
        <v>0</v>
      </c>
    </row>
    <row r="569" customFormat="false" ht="15" hidden="false" customHeight="false" outlineLevel="0" collapsed="false">
      <c r="A569" s="30"/>
      <c r="B569" s="31"/>
      <c r="C569" s="32"/>
      <c r="D569" s="32"/>
      <c r="E569" s="33"/>
      <c r="F569" s="32"/>
      <c r="G569" s="32"/>
      <c r="H569" s="32"/>
      <c r="I569" s="32"/>
      <c r="J569" s="32"/>
      <c r="K569" s="32"/>
      <c r="L569" s="32"/>
      <c r="M569" s="30"/>
      <c r="N569" s="32"/>
      <c r="O569" s="34"/>
      <c r="P569" s="32"/>
      <c r="Q569" s="32"/>
      <c r="R569" s="32"/>
      <c r="S569" s="32"/>
      <c r="T569" s="32"/>
      <c r="U569" s="32"/>
      <c r="V569" s="31"/>
      <c r="W569" s="35" t="str">
        <f aca="true">IF(OR(V569="",AG569&gt;=8),"",IF(V569&lt;TODAY(),"Vencida",IF(V569=TODAY(),"Hoy","")))</f>
        <v/>
      </c>
      <c r="X569" s="36" t="str">
        <f aca="false">IF(A569="","",IF(COUNTIF(Seguimiento!$B$2:$B$5001,A569)=0,"",_xlfn.MAXIFS(Seguimiento!$A$2:$A$5001,Seguimiento!$B$2:$B$5001,A569)))</f>
        <v/>
      </c>
      <c r="Y569" s="37" t="str">
        <f aca="true">IF(B569="","",TODAY()-B569)</f>
        <v/>
      </c>
      <c r="Z569" s="38" t="str">
        <f aca="false">IF(OR(O569="",G569=""),"",O569*IFERROR(INDEX(Listas!$B$2:$B$50,MATCH(G569,Listas!$A$2:$A$50,0)),0))</f>
        <v/>
      </c>
      <c r="AA569" s="32"/>
      <c r="AB569" s="32"/>
      <c r="AC569" s="32"/>
      <c r="AD569" s="35" t="str">
        <f aca="false">IF(OR(LEFT(H569,4)="Meta",LEFT(H569,6)="Google"),IF(AG569=3,"Lead calificado",IF(OR(AG569=4,AG569=5),"Tasación/visita",IF(OR(AG569=6,AG569=7),"Captación/oferta",IF(AG569=8,"Cierre","")))),"")</f>
        <v/>
      </c>
      <c r="AE569" s="32"/>
      <c r="AF569" s="32"/>
      <c r="AG569" s="37" t="n">
        <f aca="false">IF(R569="",0,IFERROR(MATCH(R569,Listas!$L$2:$L$50,0),0))</f>
        <v>0</v>
      </c>
    </row>
    <row r="570" customFormat="false" ht="15" hidden="false" customHeight="false" outlineLevel="0" collapsed="false">
      <c r="A570" s="30"/>
      <c r="B570" s="31"/>
      <c r="C570" s="32"/>
      <c r="D570" s="32"/>
      <c r="E570" s="33"/>
      <c r="F570" s="32"/>
      <c r="G570" s="32"/>
      <c r="H570" s="32"/>
      <c r="I570" s="32"/>
      <c r="J570" s="32"/>
      <c r="K570" s="32"/>
      <c r="L570" s="32"/>
      <c r="M570" s="30"/>
      <c r="N570" s="32"/>
      <c r="O570" s="34"/>
      <c r="P570" s="32"/>
      <c r="Q570" s="32"/>
      <c r="R570" s="32"/>
      <c r="S570" s="32"/>
      <c r="T570" s="32"/>
      <c r="U570" s="32"/>
      <c r="V570" s="31"/>
      <c r="W570" s="35" t="str">
        <f aca="true">IF(OR(V570="",AG570&gt;=8),"",IF(V570&lt;TODAY(),"Vencida",IF(V570=TODAY(),"Hoy","")))</f>
        <v/>
      </c>
      <c r="X570" s="36" t="str">
        <f aca="false">IF(A570="","",IF(COUNTIF(Seguimiento!$B$2:$B$5001,A570)=0,"",_xlfn.MAXIFS(Seguimiento!$A$2:$A$5001,Seguimiento!$B$2:$B$5001,A570)))</f>
        <v/>
      </c>
      <c r="Y570" s="37" t="str">
        <f aca="true">IF(B570="","",TODAY()-B570)</f>
        <v/>
      </c>
      <c r="Z570" s="38" t="str">
        <f aca="false">IF(OR(O570="",G570=""),"",O570*IFERROR(INDEX(Listas!$B$2:$B$50,MATCH(G570,Listas!$A$2:$A$50,0)),0))</f>
        <v/>
      </c>
      <c r="AA570" s="32"/>
      <c r="AB570" s="32"/>
      <c r="AC570" s="32"/>
      <c r="AD570" s="35" t="str">
        <f aca="false">IF(OR(LEFT(H570,4)="Meta",LEFT(H570,6)="Google"),IF(AG570=3,"Lead calificado",IF(OR(AG570=4,AG570=5),"Tasación/visita",IF(OR(AG570=6,AG570=7),"Captación/oferta",IF(AG570=8,"Cierre","")))),"")</f>
        <v/>
      </c>
      <c r="AE570" s="32"/>
      <c r="AF570" s="32"/>
      <c r="AG570" s="37" t="n">
        <f aca="false">IF(R570="",0,IFERROR(MATCH(R570,Listas!$L$2:$L$50,0),0))</f>
        <v>0</v>
      </c>
    </row>
    <row r="571" customFormat="false" ht="15" hidden="false" customHeight="false" outlineLevel="0" collapsed="false">
      <c r="A571" s="30"/>
      <c r="B571" s="31"/>
      <c r="C571" s="32"/>
      <c r="D571" s="32"/>
      <c r="E571" s="33"/>
      <c r="F571" s="32"/>
      <c r="G571" s="32"/>
      <c r="H571" s="32"/>
      <c r="I571" s="32"/>
      <c r="J571" s="32"/>
      <c r="K571" s="32"/>
      <c r="L571" s="32"/>
      <c r="M571" s="30"/>
      <c r="N571" s="32"/>
      <c r="O571" s="34"/>
      <c r="P571" s="32"/>
      <c r="Q571" s="32"/>
      <c r="R571" s="32"/>
      <c r="S571" s="32"/>
      <c r="T571" s="32"/>
      <c r="U571" s="32"/>
      <c r="V571" s="31"/>
      <c r="W571" s="35" t="str">
        <f aca="true">IF(OR(V571="",AG571&gt;=8),"",IF(V571&lt;TODAY(),"Vencida",IF(V571=TODAY(),"Hoy","")))</f>
        <v/>
      </c>
      <c r="X571" s="36" t="str">
        <f aca="false">IF(A571="","",IF(COUNTIF(Seguimiento!$B$2:$B$5001,A571)=0,"",_xlfn.MAXIFS(Seguimiento!$A$2:$A$5001,Seguimiento!$B$2:$B$5001,A571)))</f>
        <v/>
      </c>
      <c r="Y571" s="37" t="str">
        <f aca="true">IF(B571="","",TODAY()-B571)</f>
        <v/>
      </c>
      <c r="Z571" s="38" t="str">
        <f aca="false">IF(OR(O571="",G571=""),"",O571*IFERROR(INDEX(Listas!$B$2:$B$50,MATCH(G571,Listas!$A$2:$A$50,0)),0))</f>
        <v/>
      </c>
      <c r="AA571" s="32"/>
      <c r="AB571" s="32"/>
      <c r="AC571" s="32"/>
      <c r="AD571" s="35" t="str">
        <f aca="false">IF(OR(LEFT(H571,4)="Meta",LEFT(H571,6)="Google"),IF(AG571=3,"Lead calificado",IF(OR(AG571=4,AG571=5),"Tasación/visita",IF(OR(AG571=6,AG571=7),"Captación/oferta",IF(AG571=8,"Cierre","")))),"")</f>
        <v/>
      </c>
      <c r="AE571" s="32"/>
      <c r="AF571" s="32"/>
      <c r="AG571" s="37" t="n">
        <f aca="false">IF(R571="",0,IFERROR(MATCH(R571,Listas!$L$2:$L$50,0),0))</f>
        <v>0</v>
      </c>
    </row>
    <row r="572" customFormat="false" ht="15" hidden="false" customHeight="false" outlineLevel="0" collapsed="false">
      <c r="A572" s="30"/>
      <c r="B572" s="31"/>
      <c r="C572" s="32"/>
      <c r="D572" s="32"/>
      <c r="E572" s="33"/>
      <c r="F572" s="32"/>
      <c r="G572" s="32"/>
      <c r="H572" s="32"/>
      <c r="I572" s="32"/>
      <c r="J572" s="32"/>
      <c r="K572" s="32"/>
      <c r="L572" s="32"/>
      <c r="M572" s="30"/>
      <c r="N572" s="32"/>
      <c r="O572" s="34"/>
      <c r="P572" s="32"/>
      <c r="Q572" s="32"/>
      <c r="R572" s="32"/>
      <c r="S572" s="32"/>
      <c r="T572" s="32"/>
      <c r="U572" s="32"/>
      <c r="V572" s="31"/>
      <c r="W572" s="35" t="str">
        <f aca="true">IF(OR(V572="",AG572&gt;=8),"",IF(V572&lt;TODAY(),"Vencida",IF(V572=TODAY(),"Hoy","")))</f>
        <v/>
      </c>
      <c r="X572" s="36" t="str">
        <f aca="false">IF(A572="","",IF(COUNTIF(Seguimiento!$B$2:$B$5001,A572)=0,"",_xlfn.MAXIFS(Seguimiento!$A$2:$A$5001,Seguimiento!$B$2:$B$5001,A572)))</f>
        <v/>
      </c>
      <c r="Y572" s="37" t="str">
        <f aca="true">IF(B572="","",TODAY()-B572)</f>
        <v/>
      </c>
      <c r="Z572" s="38" t="str">
        <f aca="false">IF(OR(O572="",G572=""),"",O572*IFERROR(INDEX(Listas!$B$2:$B$50,MATCH(G572,Listas!$A$2:$A$50,0)),0))</f>
        <v/>
      </c>
      <c r="AA572" s="32"/>
      <c r="AB572" s="32"/>
      <c r="AC572" s="32"/>
      <c r="AD572" s="35" t="str">
        <f aca="false">IF(OR(LEFT(H572,4)="Meta",LEFT(H572,6)="Google"),IF(AG572=3,"Lead calificado",IF(OR(AG572=4,AG572=5),"Tasación/visita",IF(OR(AG572=6,AG572=7),"Captación/oferta",IF(AG572=8,"Cierre","")))),"")</f>
        <v/>
      </c>
      <c r="AE572" s="32"/>
      <c r="AF572" s="32"/>
      <c r="AG572" s="37" t="n">
        <f aca="false">IF(R572="",0,IFERROR(MATCH(R572,Listas!$L$2:$L$50,0),0))</f>
        <v>0</v>
      </c>
    </row>
    <row r="573" customFormat="false" ht="15" hidden="false" customHeight="false" outlineLevel="0" collapsed="false">
      <c r="A573" s="30"/>
      <c r="B573" s="31"/>
      <c r="C573" s="32"/>
      <c r="D573" s="32"/>
      <c r="E573" s="33"/>
      <c r="F573" s="32"/>
      <c r="G573" s="32"/>
      <c r="H573" s="32"/>
      <c r="I573" s="32"/>
      <c r="J573" s="32"/>
      <c r="K573" s="32"/>
      <c r="L573" s="32"/>
      <c r="M573" s="30"/>
      <c r="N573" s="32"/>
      <c r="O573" s="34"/>
      <c r="P573" s="32"/>
      <c r="Q573" s="32"/>
      <c r="R573" s="32"/>
      <c r="S573" s="32"/>
      <c r="T573" s="32"/>
      <c r="U573" s="32"/>
      <c r="V573" s="31"/>
      <c r="W573" s="35" t="str">
        <f aca="true">IF(OR(V573="",AG573&gt;=8),"",IF(V573&lt;TODAY(),"Vencida",IF(V573=TODAY(),"Hoy","")))</f>
        <v/>
      </c>
      <c r="X573" s="36" t="str">
        <f aca="false">IF(A573="","",IF(COUNTIF(Seguimiento!$B$2:$B$5001,A573)=0,"",_xlfn.MAXIFS(Seguimiento!$A$2:$A$5001,Seguimiento!$B$2:$B$5001,A573)))</f>
        <v/>
      </c>
      <c r="Y573" s="37" t="str">
        <f aca="true">IF(B573="","",TODAY()-B573)</f>
        <v/>
      </c>
      <c r="Z573" s="38" t="str">
        <f aca="false">IF(OR(O573="",G573=""),"",O573*IFERROR(INDEX(Listas!$B$2:$B$50,MATCH(G573,Listas!$A$2:$A$50,0)),0))</f>
        <v/>
      </c>
      <c r="AA573" s="32"/>
      <c r="AB573" s="32"/>
      <c r="AC573" s="32"/>
      <c r="AD573" s="35" t="str">
        <f aca="false">IF(OR(LEFT(H573,4)="Meta",LEFT(H573,6)="Google"),IF(AG573=3,"Lead calificado",IF(OR(AG573=4,AG573=5),"Tasación/visita",IF(OR(AG573=6,AG573=7),"Captación/oferta",IF(AG573=8,"Cierre","")))),"")</f>
        <v/>
      </c>
      <c r="AE573" s="32"/>
      <c r="AF573" s="32"/>
      <c r="AG573" s="37" t="n">
        <f aca="false">IF(R573="",0,IFERROR(MATCH(R573,Listas!$L$2:$L$50,0),0))</f>
        <v>0</v>
      </c>
    </row>
    <row r="574" customFormat="false" ht="15" hidden="false" customHeight="false" outlineLevel="0" collapsed="false">
      <c r="A574" s="30"/>
      <c r="B574" s="31"/>
      <c r="C574" s="32"/>
      <c r="D574" s="32"/>
      <c r="E574" s="33"/>
      <c r="F574" s="32"/>
      <c r="G574" s="32"/>
      <c r="H574" s="32"/>
      <c r="I574" s="32"/>
      <c r="J574" s="32"/>
      <c r="K574" s="32"/>
      <c r="L574" s="32"/>
      <c r="M574" s="30"/>
      <c r="N574" s="32"/>
      <c r="O574" s="34"/>
      <c r="P574" s="32"/>
      <c r="Q574" s="32"/>
      <c r="R574" s="32"/>
      <c r="S574" s="32"/>
      <c r="T574" s="32"/>
      <c r="U574" s="32"/>
      <c r="V574" s="31"/>
      <c r="W574" s="35" t="str">
        <f aca="true">IF(OR(V574="",AG574&gt;=8),"",IF(V574&lt;TODAY(),"Vencida",IF(V574=TODAY(),"Hoy","")))</f>
        <v/>
      </c>
      <c r="X574" s="36" t="str">
        <f aca="false">IF(A574="","",IF(COUNTIF(Seguimiento!$B$2:$B$5001,A574)=0,"",_xlfn.MAXIFS(Seguimiento!$A$2:$A$5001,Seguimiento!$B$2:$B$5001,A574)))</f>
        <v/>
      </c>
      <c r="Y574" s="37" t="str">
        <f aca="true">IF(B574="","",TODAY()-B574)</f>
        <v/>
      </c>
      <c r="Z574" s="38" t="str">
        <f aca="false">IF(OR(O574="",G574=""),"",O574*IFERROR(INDEX(Listas!$B$2:$B$50,MATCH(G574,Listas!$A$2:$A$50,0)),0))</f>
        <v/>
      </c>
      <c r="AA574" s="32"/>
      <c r="AB574" s="32"/>
      <c r="AC574" s="32"/>
      <c r="AD574" s="35" t="str">
        <f aca="false">IF(OR(LEFT(H574,4)="Meta",LEFT(H574,6)="Google"),IF(AG574=3,"Lead calificado",IF(OR(AG574=4,AG574=5),"Tasación/visita",IF(OR(AG574=6,AG574=7),"Captación/oferta",IF(AG574=8,"Cierre","")))),"")</f>
        <v/>
      </c>
      <c r="AE574" s="32"/>
      <c r="AF574" s="32"/>
      <c r="AG574" s="37" t="n">
        <f aca="false">IF(R574="",0,IFERROR(MATCH(R574,Listas!$L$2:$L$50,0),0))</f>
        <v>0</v>
      </c>
    </row>
    <row r="575" customFormat="false" ht="15" hidden="false" customHeight="false" outlineLevel="0" collapsed="false">
      <c r="A575" s="30"/>
      <c r="B575" s="31"/>
      <c r="C575" s="32"/>
      <c r="D575" s="32"/>
      <c r="E575" s="33"/>
      <c r="F575" s="32"/>
      <c r="G575" s="32"/>
      <c r="H575" s="32"/>
      <c r="I575" s="32"/>
      <c r="J575" s="32"/>
      <c r="K575" s="32"/>
      <c r="L575" s="32"/>
      <c r="M575" s="30"/>
      <c r="N575" s="32"/>
      <c r="O575" s="34"/>
      <c r="P575" s="32"/>
      <c r="Q575" s="32"/>
      <c r="R575" s="32"/>
      <c r="S575" s="32"/>
      <c r="T575" s="32"/>
      <c r="U575" s="32"/>
      <c r="V575" s="31"/>
      <c r="W575" s="35" t="str">
        <f aca="true">IF(OR(V575="",AG575&gt;=8),"",IF(V575&lt;TODAY(),"Vencida",IF(V575=TODAY(),"Hoy","")))</f>
        <v/>
      </c>
      <c r="X575" s="36" t="str">
        <f aca="false">IF(A575="","",IF(COUNTIF(Seguimiento!$B$2:$B$5001,A575)=0,"",_xlfn.MAXIFS(Seguimiento!$A$2:$A$5001,Seguimiento!$B$2:$B$5001,A575)))</f>
        <v/>
      </c>
      <c r="Y575" s="37" t="str">
        <f aca="true">IF(B575="","",TODAY()-B575)</f>
        <v/>
      </c>
      <c r="Z575" s="38" t="str">
        <f aca="false">IF(OR(O575="",G575=""),"",O575*IFERROR(INDEX(Listas!$B$2:$B$50,MATCH(G575,Listas!$A$2:$A$50,0)),0))</f>
        <v/>
      </c>
      <c r="AA575" s="32"/>
      <c r="AB575" s="32"/>
      <c r="AC575" s="32"/>
      <c r="AD575" s="35" t="str">
        <f aca="false">IF(OR(LEFT(H575,4)="Meta",LEFT(H575,6)="Google"),IF(AG575=3,"Lead calificado",IF(OR(AG575=4,AG575=5),"Tasación/visita",IF(OR(AG575=6,AG575=7),"Captación/oferta",IF(AG575=8,"Cierre","")))),"")</f>
        <v/>
      </c>
      <c r="AE575" s="32"/>
      <c r="AF575" s="32"/>
      <c r="AG575" s="37" t="n">
        <f aca="false">IF(R575="",0,IFERROR(MATCH(R575,Listas!$L$2:$L$50,0),0))</f>
        <v>0</v>
      </c>
    </row>
    <row r="576" customFormat="false" ht="15" hidden="false" customHeight="false" outlineLevel="0" collapsed="false">
      <c r="A576" s="30"/>
      <c r="B576" s="31"/>
      <c r="C576" s="32"/>
      <c r="D576" s="32"/>
      <c r="E576" s="33"/>
      <c r="F576" s="32"/>
      <c r="G576" s="32"/>
      <c r="H576" s="32"/>
      <c r="I576" s="32"/>
      <c r="J576" s="32"/>
      <c r="K576" s="32"/>
      <c r="L576" s="32"/>
      <c r="M576" s="30"/>
      <c r="N576" s="32"/>
      <c r="O576" s="34"/>
      <c r="P576" s="32"/>
      <c r="Q576" s="32"/>
      <c r="R576" s="32"/>
      <c r="S576" s="32"/>
      <c r="T576" s="32"/>
      <c r="U576" s="32"/>
      <c r="V576" s="31"/>
      <c r="W576" s="35" t="str">
        <f aca="true">IF(OR(V576="",AG576&gt;=8),"",IF(V576&lt;TODAY(),"Vencida",IF(V576=TODAY(),"Hoy","")))</f>
        <v/>
      </c>
      <c r="X576" s="36" t="str">
        <f aca="false">IF(A576="","",IF(COUNTIF(Seguimiento!$B$2:$B$5001,A576)=0,"",_xlfn.MAXIFS(Seguimiento!$A$2:$A$5001,Seguimiento!$B$2:$B$5001,A576)))</f>
        <v/>
      </c>
      <c r="Y576" s="37" t="str">
        <f aca="true">IF(B576="","",TODAY()-B576)</f>
        <v/>
      </c>
      <c r="Z576" s="38" t="str">
        <f aca="false">IF(OR(O576="",G576=""),"",O576*IFERROR(INDEX(Listas!$B$2:$B$50,MATCH(G576,Listas!$A$2:$A$50,0)),0))</f>
        <v/>
      </c>
      <c r="AA576" s="32"/>
      <c r="AB576" s="32"/>
      <c r="AC576" s="32"/>
      <c r="AD576" s="35" t="str">
        <f aca="false">IF(OR(LEFT(H576,4)="Meta",LEFT(H576,6)="Google"),IF(AG576=3,"Lead calificado",IF(OR(AG576=4,AG576=5),"Tasación/visita",IF(OR(AG576=6,AG576=7),"Captación/oferta",IF(AG576=8,"Cierre","")))),"")</f>
        <v/>
      </c>
      <c r="AE576" s="32"/>
      <c r="AF576" s="32"/>
      <c r="AG576" s="37" t="n">
        <f aca="false">IF(R576="",0,IFERROR(MATCH(R576,Listas!$L$2:$L$50,0),0))</f>
        <v>0</v>
      </c>
    </row>
    <row r="577" customFormat="false" ht="15" hidden="false" customHeight="false" outlineLevel="0" collapsed="false">
      <c r="A577" s="30"/>
      <c r="B577" s="31"/>
      <c r="C577" s="32"/>
      <c r="D577" s="32"/>
      <c r="E577" s="33"/>
      <c r="F577" s="32"/>
      <c r="G577" s="32"/>
      <c r="H577" s="32"/>
      <c r="I577" s="32"/>
      <c r="J577" s="32"/>
      <c r="K577" s="32"/>
      <c r="L577" s="32"/>
      <c r="M577" s="30"/>
      <c r="N577" s="32"/>
      <c r="O577" s="34"/>
      <c r="P577" s="32"/>
      <c r="Q577" s="32"/>
      <c r="R577" s="32"/>
      <c r="S577" s="32"/>
      <c r="T577" s="32"/>
      <c r="U577" s="32"/>
      <c r="V577" s="31"/>
      <c r="W577" s="35" t="str">
        <f aca="true">IF(OR(V577="",AG577&gt;=8),"",IF(V577&lt;TODAY(),"Vencida",IF(V577=TODAY(),"Hoy","")))</f>
        <v/>
      </c>
      <c r="X577" s="36" t="str">
        <f aca="false">IF(A577="","",IF(COUNTIF(Seguimiento!$B$2:$B$5001,A577)=0,"",_xlfn.MAXIFS(Seguimiento!$A$2:$A$5001,Seguimiento!$B$2:$B$5001,A577)))</f>
        <v/>
      </c>
      <c r="Y577" s="37" t="str">
        <f aca="true">IF(B577="","",TODAY()-B577)</f>
        <v/>
      </c>
      <c r="Z577" s="38" t="str">
        <f aca="false">IF(OR(O577="",G577=""),"",O577*IFERROR(INDEX(Listas!$B$2:$B$50,MATCH(G577,Listas!$A$2:$A$50,0)),0))</f>
        <v/>
      </c>
      <c r="AA577" s="32"/>
      <c r="AB577" s="32"/>
      <c r="AC577" s="32"/>
      <c r="AD577" s="35" t="str">
        <f aca="false">IF(OR(LEFT(H577,4)="Meta",LEFT(H577,6)="Google"),IF(AG577=3,"Lead calificado",IF(OR(AG577=4,AG577=5),"Tasación/visita",IF(OR(AG577=6,AG577=7),"Captación/oferta",IF(AG577=8,"Cierre","")))),"")</f>
        <v/>
      </c>
      <c r="AE577" s="32"/>
      <c r="AF577" s="32"/>
      <c r="AG577" s="37" t="n">
        <f aca="false">IF(R577="",0,IFERROR(MATCH(R577,Listas!$L$2:$L$50,0),0))</f>
        <v>0</v>
      </c>
    </row>
    <row r="578" customFormat="false" ht="15" hidden="false" customHeight="false" outlineLevel="0" collapsed="false">
      <c r="A578" s="30"/>
      <c r="B578" s="31"/>
      <c r="C578" s="32"/>
      <c r="D578" s="32"/>
      <c r="E578" s="33"/>
      <c r="F578" s="32"/>
      <c r="G578" s="32"/>
      <c r="H578" s="32"/>
      <c r="I578" s="32"/>
      <c r="J578" s="32"/>
      <c r="K578" s="32"/>
      <c r="L578" s="32"/>
      <c r="M578" s="30"/>
      <c r="N578" s="32"/>
      <c r="O578" s="34"/>
      <c r="P578" s="32"/>
      <c r="Q578" s="32"/>
      <c r="R578" s="32"/>
      <c r="S578" s="32"/>
      <c r="T578" s="32"/>
      <c r="U578" s="32"/>
      <c r="V578" s="31"/>
      <c r="W578" s="35" t="str">
        <f aca="true">IF(OR(V578="",AG578&gt;=8),"",IF(V578&lt;TODAY(),"Vencida",IF(V578=TODAY(),"Hoy","")))</f>
        <v/>
      </c>
      <c r="X578" s="36" t="str">
        <f aca="false">IF(A578="","",IF(COUNTIF(Seguimiento!$B$2:$B$5001,A578)=0,"",_xlfn.MAXIFS(Seguimiento!$A$2:$A$5001,Seguimiento!$B$2:$B$5001,A578)))</f>
        <v/>
      </c>
      <c r="Y578" s="37" t="str">
        <f aca="true">IF(B578="","",TODAY()-B578)</f>
        <v/>
      </c>
      <c r="Z578" s="38" t="str">
        <f aca="false">IF(OR(O578="",G578=""),"",O578*IFERROR(INDEX(Listas!$B$2:$B$50,MATCH(G578,Listas!$A$2:$A$50,0)),0))</f>
        <v/>
      </c>
      <c r="AA578" s="32"/>
      <c r="AB578" s="32"/>
      <c r="AC578" s="32"/>
      <c r="AD578" s="35" t="str">
        <f aca="false">IF(OR(LEFT(H578,4)="Meta",LEFT(H578,6)="Google"),IF(AG578=3,"Lead calificado",IF(OR(AG578=4,AG578=5),"Tasación/visita",IF(OR(AG578=6,AG578=7),"Captación/oferta",IF(AG578=8,"Cierre","")))),"")</f>
        <v/>
      </c>
      <c r="AE578" s="32"/>
      <c r="AF578" s="32"/>
      <c r="AG578" s="37" t="n">
        <f aca="false">IF(R578="",0,IFERROR(MATCH(R578,Listas!$L$2:$L$50,0),0))</f>
        <v>0</v>
      </c>
    </row>
    <row r="579" customFormat="false" ht="15" hidden="false" customHeight="false" outlineLevel="0" collapsed="false">
      <c r="A579" s="30"/>
      <c r="B579" s="31"/>
      <c r="C579" s="32"/>
      <c r="D579" s="32"/>
      <c r="E579" s="33"/>
      <c r="F579" s="32"/>
      <c r="G579" s="32"/>
      <c r="H579" s="32"/>
      <c r="I579" s="32"/>
      <c r="J579" s="32"/>
      <c r="K579" s="32"/>
      <c r="L579" s="32"/>
      <c r="M579" s="30"/>
      <c r="N579" s="32"/>
      <c r="O579" s="34"/>
      <c r="P579" s="32"/>
      <c r="Q579" s="32"/>
      <c r="R579" s="32"/>
      <c r="S579" s="32"/>
      <c r="T579" s="32"/>
      <c r="U579" s="32"/>
      <c r="V579" s="31"/>
      <c r="W579" s="35" t="str">
        <f aca="true">IF(OR(V579="",AG579&gt;=8),"",IF(V579&lt;TODAY(),"Vencida",IF(V579=TODAY(),"Hoy","")))</f>
        <v/>
      </c>
      <c r="X579" s="36" t="str">
        <f aca="false">IF(A579="","",IF(COUNTIF(Seguimiento!$B$2:$B$5001,A579)=0,"",_xlfn.MAXIFS(Seguimiento!$A$2:$A$5001,Seguimiento!$B$2:$B$5001,A579)))</f>
        <v/>
      </c>
      <c r="Y579" s="37" t="str">
        <f aca="true">IF(B579="","",TODAY()-B579)</f>
        <v/>
      </c>
      <c r="Z579" s="38" t="str">
        <f aca="false">IF(OR(O579="",G579=""),"",O579*IFERROR(INDEX(Listas!$B$2:$B$50,MATCH(G579,Listas!$A$2:$A$50,0)),0))</f>
        <v/>
      </c>
      <c r="AA579" s="32"/>
      <c r="AB579" s="32"/>
      <c r="AC579" s="32"/>
      <c r="AD579" s="35" t="str">
        <f aca="false">IF(OR(LEFT(H579,4)="Meta",LEFT(H579,6)="Google"),IF(AG579=3,"Lead calificado",IF(OR(AG579=4,AG579=5),"Tasación/visita",IF(OR(AG579=6,AG579=7),"Captación/oferta",IF(AG579=8,"Cierre","")))),"")</f>
        <v/>
      </c>
      <c r="AE579" s="32"/>
      <c r="AF579" s="32"/>
      <c r="AG579" s="37" t="n">
        <f aca="false">IF(R579="",0,IFERROR(MATCH(R579,Listas!$L$2:$L$50,0),0))</f>
        <v>0</v>
      </c>
    </row>
    <row r="580" customFormat="false" ht="15" hidden="false" customHeight="false" outlineLevel="0" collapsed="false">
      <c r="A580" s="30"/>
      <c r="B580" s="31"/>
      <c r="C580" s="32"/>
      <c r="D580" s="32"/>
      <c r="E580" s="33"/>
      <c r="F580" s="32"/>
      <c r="G580" s="32"/>
      <c r="H580" s="32"/>
      <c r="I580" s="32"/>
      <c r="J580" s="32"/>
      <c r="K580" s="32"/>
      <c r="L580" s="32"/>
      <c r="M580" s="30"/>
      <c r="N580" s="32"/>
      <c r="O580" s="34"/>
      <c r="P580" s="32"/>
      <c r="Q580" s="32"/>
      <c r="R580" s="32"/>
      <c r="S580" s="32"/>
      <c r="T580" s="32"/>
      <c r="U580" s="32"/>
      <c r="V580" s="31"/>
      <c r="W580" s="35" t="str">
        <f aca="true">IF(OR(V580="",AG580&gt;=8),"",IF(V580&lt;TODAY(),"Vencida",IF(V580=TODAY(),"Hoy","")))</f>
        <v/>
      </c>
      <c r="X580" s="36" t="str">
        <f aca="false">IF(A580="","",IF(COUNTIF(Seguimiento!$B$2:$B$5001,A580)=0,"",_xlfn.MAXIFS(Seguimiento!$A$2:$A$5001,Seguimiento!$B$2:$B$5001,A580)))</f>
        <v/>
      </c>
      <c r="Y580" s="37" t="str">
        <f aca="true">IF(B580="","",TODAY()-B580)</f>
        <v/>
      </c>
      <c r="Z580" s="38" t="str">
        <f aca="false">IF(OR(O580="",G580=""),"",O580*IFERROR(INDEX(Listas!$B$2:$B$50,MATCH(G580,Listas!$A$2:$A$50,0)),0))</f>
        <v/>
      </c>
      <c r="AA580" s="32"/>
      <c r="AB580" s="32"/>
      <c r="AC580" s="32"/>
      <c r="AD580" s="35" t="str">
        <f aca="false">IF(OR(LEFT(H580,4)="Meta",LEFT(H580,6)="Google"),IF(AG580=3,"Lead calificado",IF(OR(AG580=4,AG580=5),"Tasación/visita",IF(OR(AG580=6,AG580=7),"Captación/oferta",IF(AG580=8,"Cierre","")))),"")</f>
        <v/>
      </c>
      <c r="AE580" s="32"/>
      <c r="AF580" s="32"/>
      <c r="AG580" s="37" t="n">
        <f aca="false">IF(R580="",0,IFERROR(MATCH(R580,Listas!$L$2:$L$50,0),0))</f>
        <v>0</v>
      </c>
    </row>
    <row r="581" customFormat="false" ht="15" hidden="false" customHeight="false" outlineLevel="0" collapsed="false">
      <c r="A581" s="30"/>
      <c r="B581" s="31"/>
      <c r="C581" s="32"/>
      <c r="D581" s="32"/>
      <c r="E581" s="33"/>
      <c r="F581" s="32"/>
      <c r="G581" s="32"/>
      <c r="H581" s="32"/>
      <c r="I581" s="32"/>
      <c r="J581" s="32"/>
      <c r="K581" s="32"/>
      <c r="L581" s="32"/>
      <c r="M581" s="30"/>
      <c r="N581" s="32"/>
      <c r="O581" s="34"/>
      <c r="P581" s="32"/>
      <c r="Q581" s="32"/>
      <c r="R581" s="32"/>
      <c r="S581" s="32"/>
      <c r="T581" s="32"/>
      <c r="U581" s="32"/>
      <c r="V581" s="31"/>
      <c r="W581" s="35" t="str">
        <f aca="true">IF(OR(V581="",AG581&gt;=8),"",IF(V581&lt;TODAY(),"Vencida",IF(V581=TODAY(),"Hoy","")))</f>
        <v/>
      </c>
      <c r="X581" s="36" t="str">
        <f aca="false">IF(A581="","",IF(COUNTIF(Seguimiento!$B$2:$B$5001,A581)=0,"",_xlfn.MAXIFS(Seguimiento!$A$2:$A$5001,Seguimiento!$B$2:$B$5001,A581)))</f>
        <v/>
      </c>
      <c r="Y581" s="37" t="str">
        <f aca="true">IF(B581="","",TODAY()-B581)</f>
        <v/>
      </c>
      <c r="Z581" s="38" t="str">
        <f aca="false">IF(OR(O581="",G581=""),"",O581*IFERROR(INDEX(Listas!$B$2:$B$50,MATCH(G581,Listas!$A$2:$A$50,0)),0))</f>
        <v/>
      </c>
      <c r="AA581" s="32"/>
      <c r="AB581" s="32"/>
      <c r="AC581" s="32"/>
      <c r="AD581" s="35" t="str">
        <f aca="false">IF(OR(LEFT(H581,4)="Meta",LEFT(H581,6)="Google"),IF(AG581=3,"Lead calificado",IF(OR(AG581=4,AG581=5),"Tasación/visita",IF(OR(AG581=6,AG581=7),"Captación/oferta",IF(AG581=8,"Cierre","")))),"")</f>
        <v/>
      </c>
      <c r="AE581" s="32"/>
      <c r="AF581" s="32"/>
      <c r="AG581" s="37" t="n">
        <f aca="false">IF(R581="",0,IFERROR(MATCH(R581,Listas!$L$2:$L$50,0),0))</f>
        <v>0</v>
      </c>
    </row>
    <row r="582" customFormat="false" ht="15" hidden="false" customHeight="false" outlineLevel="0" collapsed="false">
      <c r="A582" s="30"/>
      <c r="B582" s="31"/>
      <c r="C582" s="32"/>
      <c r="D582" s="32"/>
      <c r="E582" s="33"/>
      <c r="F582" s="32"/>
      <c r="G582" s="32"/>
      <c r="H582" s="32"/>
      <c r="I582" s="32"/>
      <c r="J582" s="32"/>
      <c r="K582" s="32"/>
      <c r="L582" s="32"/>
      <c r="M582" s="30"/>
      <c r="N582" s="32"/>
      <c r="O582" s="34"/>
      <c r="P582" s="32"/>
      <c r="Q582" s="32"/>
      <c r="R582" s="32"/>
      <c r="S582" s="32"/>
      <c r="T582" s="32"/>
      <c r="U582" s="32"/>
      <c r="V582" s="31"/>
      <c r="W582" s="35" t="str">
        <f aca="true">IF(OR(V582="",AG582&gt;=8),"",IF(V582&lt;TODAY(),"Vencida",IF(V582=TODAY(),"Hoy","")))</f>
        <v/>
      </c>
      <c r="X582" s="36" t="str">
        <f aca="false">IF(A582="","",IF(COUNTIF(Seguimiento!$B$2:$B$5001,A582)=0,"",_xlfn.MAXIFS(Seguimiento!$A$2:$A$5001,Seguimiento!$B$2:$B$5001,A582)))</f>
        <v/>
      </c>
      <c r="Y582" s="37" t="str">
        <f aca="true">IF(B582="","",TODAY()-B582)</f>
        <v/>
      </c>
      <c r="Z582" s="38" t="str">
        <f aca="false">IF(OR(O582="",G582=""),"",O582*IFERROR(INDEX(Listas!$B$2:$B$50,MATCH(G582,Listas!$A$2:$A$50,0)),0))</f>
        <v/>
      </c>
      <c r="AA582" s="32"/>
      <c r="AB582" s="32"/>
      <c r="AC582" s="32"/>
      <c r="AD582" s="35" t="str">
        <f aca="false">IF(OR(LEFT(H582,4)="Meta",LEFT(H582,6)="Google"),IF(AG582=3,"Lead calificado",IF(OR(AG582=4,AG582=5),"Tasación/visita",IF(OR(AG582=6,AG582=7),"Captación/oferta",IF(AG582=8,"Cierre","")))),"")</f>
        <v/>
      </c>
      <c r="AE582" s="32"/>
      <c r="AF582" s="32"/>
      <c r="AG582" s="37" t="n">
        <f aca="false">IF(R582="",0,IFERROR(MATCH(R582,Listas!$L$2:$L$50,0),0))</f>
        <v>0</v>
      </c>
    </row>
    <row r="583" customFormat="false" ht="15" hidden="false" customHeight="false" outlineLevel="0" collapsed="false">
      <c r="A583" s="30"/>
      <c r="B583" s="31"/>
      <c r="C583" s="32"/>
      <c r="D583" s="32"/>
      <c r="E583" s="33"/>
      <c r="F583" s="32"/>
      <c r="G583" s="32"/>
      <c r="H583" s="32"/>
      <c r="I583" s="32"/>
      <c r="J583" s="32"/>
      <c r="K583" s="32"/>
      <c r="L583" s="32"/>
      <c r="M583" s="30"/>
      <c r="N583" s="32"/>
      <c r="O583" s="34"/>
      <c r="P583" s="32"/>
      <c r="Q583" s="32"/>
      <c r="R583" s="32"/>
      <c r="S583" s="32"/>
      <c r="T583" s="32"/>
      <c r="U583" s="32"/>
      <c r="V583" s="31"/>
      <c r="W583" s="35" t="str">
        <f aca="true">IF(OR(V583="",AG583&gt;=8),"",IF(V583&lt;TODAY(),"Vencida",IF(V583=TODAY(),"Hoy","")))</f>
        <v/>
      </c>
      <c r="X583" s="36" t="str">
        <f aca="false">IF(A583="","",IF(COUNTIF(Seguimiento!$B$2:$B$5001,A583)=0,"",_xlfn.MAXIFS(Seguimiento!$A$2:$A$5001,Seguimiento!$B$2:$B$5001,A583)))</f>
        <v/>
      </c>
      <c r="Y583" s="37" t="str">
        <f aca="true">IF(B583="","",TODAY()-B583)</f>
        <v/>
      </c>
      <c r="Z583" s="38" t="str">
        <f aca="false">IF(OR(O583="",G583=""),"",O583*IFERROR(INDEX(Listas!$B$2:$B$50,MATCH(G583,Listas!$A$2:$A$50,0)),0))</f>
        <v/>
      </c>
      <c r="AA583" s="32"/>
      <c r="AB583" s="32"/>
      <c r="AC583" s="32"/>
      <c r="AD583" s="35" t="str">
        <f aca="false">IF(OR(LEFT(H583,4)="Meta",LEFT(H583,6)="Google"),IF(AG583=3,"Lead calificado",IF(OR(AG583=4,AG583=5),"Tasación/visita",IF(OR(AG583=6,AG583=7),"Captación/oferta",IF(AG583=8,"Cierre","")))),"")</f>
        <v/>
      </c>
      <c r="AE583" s="32"/>
      <c r="AF583" s="32"/>
      <c r="AG583" s="37" t="n">
        <f aca="false">IF(R583="",0,IFERROR(MATCH(R583,Listas!$L$2:$L$50,0),0))</f>
        <v>0</v>
      </c>
    </row>
    <row r="584" customFormat="false" ht="15" hidden="false" customHeight="false" outlineLevel="0" collapsed="false">
      <c r="A584" s="30"/>
      <c r="B584" s="31"/>
      <c r="C584" s="32"/>
      <c r="D584" s="32"/>
      <c r="E584" s="33"/>
      <c r="F584" s="32"/>
      <c r="G584" s="32"/>
      <c r="H584" s="32"/>
      <c r="I584" s="32"/>
      <c r="J584" s="32"/>
      <c r="K584" s="32"/>
      <c r="L584" s="32"/>
      <c r="M584" s="30"/>
      <c r="N584" s="32"/>
      <c r="O584" s="34"/>
      <c r="P584" s="32"/>
      <c r="Q584" s="32"/>
      <c r="R584" s="32"/>
      <c r="S584" s="32"/>
      <c r="T584" s="32"/>
      <c r="U584" s="32"/>
      <c r="V584" s="31"/>
      <c r="W584" s="35" t="str">
        <f aca="true">IF(OR(V584="",AG584&gt;=8),"",IF(V584&lt;TODAY(),"Vencida",IF(V584=TODAY(),"Hoy","")))</f>
        <v/>
      </c>
      <c r="X584" s="36" t="str">
        <f aca="false">IF(A584="","",IF(COUNTIF(Seguimiento!$B$2:$B$5001,A584)=0,"",_xlfn.MAXIFS(Seguimiento!$A$2:$A$5001,Seguimiento!$B$2:$B$5001,A584)))</f>
        <v/>
      </c>
      <c r="Y584" s="37" t="str">
        <f aca="true">IF(B584="","",TODAY()-B584)</f>
        <v/>
      </c>
      <c r="Z584" s="38" t="str">
        <f aca="false">IF(OR(O584="",G584=""),"",O584*IFERROR(INDEX(Listas!$B$2:$B$50,MATCH(G584,Listas!$A$2:$A$50,0)),0))</f>
        <v/>
      </c>
      <c r="AA584" s="32"/>
      <c r="AB584" s="32"/>
      <c r="AC584" s="32"/>
      <c r="AD584" s="35" t="str">
        <f aca="false">IF(OR(LEFT(H584,4)="Meta",LEFT(H584,6)="Google"),IF(AG584=3,"Lead calificado",IF(OR(AG584=4,AG584=5),"Tasación/visita",IF(OR(AG584=6,AG584=7),"Captación/oferta",IF(AG584=8,"Cierre","")))),"")</f>
        <v/>
      </c>
      <c r="AE584" s="32"/>
      <c r="AF584" s="32"/>
      <c r="AG584" s="37" t="n">
        <f aca="false">IF(R584="",0,IFERROR(MATCH(R584,Listas!$L$2:$L$50,0),0))</f>
        <v>0</v>
      </c>
    </row>
    <row r="585" customFormat="false" ht="15" hidden="false" customHeight="false" outlineLevel="0" collapsed="false">
      <c r="A585" s="30"/>
      <c r="B585" s="31"/>
      <c r="C585" s="32"/>
      <c r="D585" s="32"/>
      <c r="E585" s="33"/>
      <c r="F585" s="32"/>
      <c r="G585" s="32"/>
      <c r="H585" s="32"/>
      <c r="I585" s="32"/>
      <c r="J585" s="32"/>
      <c r="K585" s="32"/>
      <c r="L585" s="32"/>
      <c r="M585" s="30"/>
      <c r="N585" s="32"/>
      <c r="O585" s="34"/>
      <c r="P585" s="32"/>
      <c r="Q585" s="32"/>
      <c r="R585" s="32"/>
      <c r="S585" s="32"/>
      <c r="T585" s="32"/>
      <c r="U585" s="32"/>
      <c r="V585" s="31"/>
      <c r="W585" s="35" t="str">
        <f aca="true">IF(OR(V585="",AG585&gt;=8),"",IF(V585&lt;TODAY(),"Vencida",IF(V585=TODAY(),"Hoy","")))</f>
        <v/>
      </c>
      <c r="X585" s="36" t="str">
        <f aca="false">IF(A585="","",IF(COUNTIF(Seguimiento!$B$2:$B$5001,A585)=0,"",_xlfn.MAXIFS(Seguimiento!$A$2:$A$5001,Seguimiento!$B$2:$B$5001,A585)))</f>
        <v/>
      </c>
      <c r="Y585" s="37" t="str">
        <f aca="true">IF(B585="","",TODAY()-B585)</f>
        <v/>
      </c>
      <c r="Z585" s="38" t="str">
        <f aca="false">IF(OR(O585="",G585=""),"",O585*IFERROR(INDEX(Listas!$B$2:$B$50,MATCH(G585,Listas!$A$2:$A$50,0)),0))</f>
        <v/>
      </c>
      <c r="AA585" s="32"/>
      <c r="AB585" s="32"/>
      <c r="AC585" s="32"/>
      <c r="AD585" s="35" t="str">
        <f aca="false">IF(OR(LEFT(H585,4)="Meta",LEFT(H585,6)="Google"),IF(AG585=3,"Lead calificado",IF(OR(AG585=4,AG585=5),"Tasación/visita",IF(OR(AG585=6,AG585=7),"Captación/oferta",IF(AG585=8,"Cierre","")))),"")</f>
        <v/>
      </c>
      <c r="AE585" s="32"/>
      <c r="AF585" s="32"/>
      <c r="AG585" s="37" t="n">
        <f aca="false">IF(R585="",0,IFERROR(MATCH(R585,Listas!$L$2:$L$50,0),0))</f>
        <v>0</v>
      </c>
    </row>
    <row r="586" customFormat="false" ht="15" hidden="false" customHeight="false" outlineLevel="0" collapsed="false">
      <c r="A586" s="30"/>
      <c r="B586" s="31"/>
      <c r="C586" s="32"/>
      <c r="D586" s="32"/>
      <c r="E586" s="33"/>
      <c r="F586" s="32"/>
      <c r="G586" s="32"/>
      <c r="H586" s="32"/>
      <c r="I586" s="32"/>
      <c r="J586" s="32"/>
      <c r="K586" s="32"/>
      <c r="L586" s="32"/>
      <c r="M586" s="30"/>
      <c r="N586" s="32"/>
      <c r="O586" s="34"/>
      <c r="P586" s="32"/>
      <c r="Q586" s="32"/>
      <c r="R586" s="32"/>
      <c r="S586" s="32"/>
      <c r="T586" s="32"/>
      <c r="U586" s="32"/>
      <c r="V586" s="31"/>
      <c r="W586" s="35" t="str">
        <f aca="true">IF(OR(V586="",AG586&gt;=8),"",IF(V586&lt;TODAY(),"Vencida",IF(V586=TODAY(),"Hoy","")))</f>
        <v/>
      </c>
      <c r="X586" s="36" t="str">
        <f aca="false">IF(A586="","",IF(COUNTIF(Seguimiento!$B$2:$B$5001,A586)=0,"",_xlfn.MAXIFS(Seguimiento!$A$2:$A$5001,Seguimiento!$B$2:$B$5001,A586)))</f>
        <v/>
      </c>
      <c r="Y586" s="37" t="str">
        <f aca="true">IF(B586="","",TODAY()-B586)</f>
        <v/>
      </c>
      <c r="Z586" s="38" t="str">
        <f aca="false">IF(OR(O586="",G586=""),"",O586*IFERROR(INDEX(Listas!$B$2:$B$50,MATCH(G586,Listas!$A$2:$A$50,0)),0))</f>
        <v/>
      </c>
      <c r="AA586" s="32"/>
      <c r="AB586" s="32"/>
      <c r="AC586" s="32"/>
      <c r="AD586" s="35" t="str">
        <f aca="false">IF(OR(LEFT(H586,4)="Meta",LEFT(H586,6)="Google"),IF(AG586=3,"Lead calificado",IF(OR(AG586=4,AG586=5),"Tasación/visita",IF(OR(AG586=6,AG586=7),"Captación/oferta",IF(AG586=8,"Cierre","")))),"")</f>
        <v/>
      </c>
      <c r="AE586" s="32"/>
      <c r="AF586" s="32"/>
      <c r="AG586" s="37" t="n">
        <f aca="false">IF(R586="",0,IFERROR(MATCH(R586,Listas!$L$2:$L$50,0),0))</f>
        <v>0</v>
      </c>
    </row>
    <row r="587" customFormat="false" ht="15" hidden="false" customHeight="false" outlineLevel="0" collapsed="false">
      <c r="A587" s="30"/>
      <c r="B587" s="31"/>
      <c r="C587" s="32"/>
      <c r="D587" s="32"/>
      <c r="E587" s="33"/>
      <c r="F587" s="32"/>
      <c r="G587" s="32"/>
      <c r="H587" s="32"/>
      <c r="I587" s="32"/>
      <c r="J587" s="32"/>
      <c r="K587" s="32"/>
      <c r="L587" s="32"/>
      <c r="M587" s="30"/>
      <c r="N587" s="32"/>
      <c r="O587" s="34"/>
      <c r="P587" s="32"/>
      <c r="Q587" s="32"/>
      <c r="R587" s="32"/>
      <c r="S587" s="32"/>
      <c r="T587" s="32"/>
      <c r="U587" s="32"/>
      <c r="V587" s="31"/>
      <c r="W587" s="35" t="str">
        <f aca="true">IF(OR(V587="",AG587&gt;=8),"",IF(V587&lt;TODAY(),"Vencida",IF(V587=TODAY(),"Hoy","")))</f>
        <v/>
      </c>
      <c r="X587" s="36" t="str">
        <f aca="false">IF(A587="","",IF(COUNTIF(Seguimiento!$B$2:$B$5001,A587)=0,"",_xlfn.MAXIFS(Seguimiento!$A$2:$A$5001,Seguimiento!$B$2:$B$5001,A587)))</f>
        <v/>
      </c>
      <c r="Y587" s="37" t="str">
        <f aca="true">IF(B587="","",TODAY()-B587)</f>
        <v/>
      </c>
      <c r="Z587" s="38" t="str">
        <f aca="false">IF(OR(O587="",G587=""),"",O587*IFERROR(INDEX(Listas!$B$2:$B$50,MATCH(G587,Listas!$A$2:$A$50,0)),0))</f>
        <v/>
      </c>
      <c r="AA587" s="32"/>
      <c r="AB587" s="32"/>
      <c r="AC587" s="32"/>
      <c r="AD587" s="35" t="str">
        <f aca="false">IF(OR(LEFT(H587,4)="Meta",LEFT(H587,6)="Google"),IF(AG587=3,"Lead calificado",IF(OR(AG587=4,AG587=5),"Tasación/visita",IF(OR(AG587=6,AG587=7),"Captación/oferta",IF(AG587=8,"Cierre","")))),"")</f>
        <v/>
      </c>
      <c r="AE587" s="32"/>
      <c r="AF587" s="32"/>
      <c r="AG587" s="37" t="n">
        <f aca="false">IF(R587="",0,IFERROR(MATCH(R587,Listas!$L$2:$L$50,0),0))</f>
        <v>0</v>
      </c>
    </row>
    <row r="588" customFormat="false" ht="15" hidden="false" customHeight="false" outlineLevel="0" collapsed="false">
      <c r="A588" s="30"/>
      <c r="B588" s="31"/>
      <c r="C588" s="32"/>
      <c r="D588" s="32"/>
      <c r="E588" s="33"/>
      <c r="F588" s="32"/>
      <c r="G588" s="32"/>
      <c r="H588" s="32"/>
      <c r="I588" s="32"/>
      <c r="J588" s="32"/>
      <c r="K588" s="32"/>
      <c r="L588" s="32"/>
      <c r="M588" s="30"/>
      <c r="N588" s="32"/>
      <c r="O588" s="34"/>
      <c r="P588" s="32"/>
      <c r="Q588" s="32"/>
      <c r="R588" s="32"/>
      <c r="S588" s="32"/>
      <c r="T588" s="32"/>
      <c r="U588" s="32"/>
      <c r="V588" s="31"/>
      <c r="W588" s="35" t="str">
        <f aca="true">IF(OR(V588="",AG588&gt;=8),"",IF(V588&lt;TODAY(),"Vencida",IF(V588=TODAY(),"Hoy","")))</f>
        <v/>
      </c>
      <c r="X588" s="36" t="str">
        <f aca="false">IF(A588="","",IF(COUNTIF(Seguimiento!$B$2:$B$5001,A588)=0,"",_xlfn.MAXIFS(Seguimiento!$A$2:$A$5001,Seguimiento!$B$2:$B$5001,A588)))</f>
        <v/>
      </c>
      <c r="Y588" s="37" t="str">
        <f aca="true">IF(B588="","",TODAY()-B588)</f>
        <v/>
      </c>
      <c r="Z588" s="38" t="str">
        <f aca="false">IF(OR(O588="",G588=""),"",O588*IFERROR(INDEX(Listas!$B$2:$B$50,MATCH(G588,Listas!$A$2:$A$50,0)),0))</f>
        <v/>
      </c>
      <c r="AA588" s="32"/>
      <c r="AB588" s="32"/>
      <c r="AC588" s="32"/>
      <c r="AD588" s="35" t="str">
        <f aca="false">IF(OR(LEFT(H588,4)="Meta",LEFT(H588,6)="Google"),IF(AG588=3,"Lead calificado",IF(OR(AG588=4,AG588=5),"Tasación/visita",IF(OR(AG588=6,AG588=7),"Captación/oferta",IF(AG588=8,"Cierre","")))),"")</f>
        <v/>
      </c>
      <c r="AE588" s="32"/>
      <c r="AF588" s="32"/>
      <c r="AG588" s="37" t="n">
        <f aca="false">IF(R588="",0,IFERROR(MATCH(R588,Listas!$L$2:$L$50,0),0))</f>
        <v>0</v>
      </c>
    </row>
    <row r="589" customFormat="false" ht="15" hidden="false" customHeight="false" outlineLevel="0" collapsed="false">
      <c r="A589" s="30"/>
      <c r="B589" s="31"/>
      <c r="C589" s="32"/>
      <c r="D589" s="32"/>
      <c r="E589" s="33"/>
      <c r="F589" s="32"/>
      <c r="G589" s="32"/>
      <c r="H589" s="32"/>
      <c r="I589" s="32"/>
      <c r="J589" s="32"/>
      <c r="K589" s="32"/>
      <c r="L589" s="32"/>
      <c r="M589" s="30"/>
      <c r="N589" s="32"/>
      <c r="O589" s="34"/>
      <c r="P589" s="32"/>
      <c r="Q589" s="32"/>
      <c r="R589" s="32"/>
      <c r="S589" s="32"/>
      <c r="T589" s="32"/>
      <c r="U589" s="32"/>
      <c r="V589" s="31"/>
      <c r="W589" s="35" t="str">
        <f aca="true">IF(OR(V589="",AG589&gt;=8),"",IF(V589&lt;TODAY(),"Vencida",IF(V589=TODAY(),"Hoy","")))</f>
        <v/>
      </c>
      <c r="X589" s="36" t="str">
        <f aca="false">IF(A589="","",IF(COUNTIF(Seguimiento!$B$2:$B$5001,A589)=0,"",_xlfn.MAXIFS(Seguimiento!$A$2:$A$5001,Seguimiento!$B$2:$B$5001,A589)))</f>
        <v/>
      </c>
      <c r="Y589" s="37" t="str">
        <f aca="true">IF(B589="","",TODAY()-B589)</f>
        <v/>
      </c>
      <c r="Z589" s="38" t="str">
        <f aca="false">IF(OR(O589="",G589=""),"",O589*IFERROR(INDEX(Listas!$B$2:$B$50,MATCH(G589,Listas!$A$2:$A$50,0)),0))</f>
        <v/>
      </c>
      <c r="AA589" s="32"/>
      <c r="AB589" s="32"/>
      <c r="AC589" s="32"/>
      <c r="AD589" s="35" t="str">
        <f aca="false">IF(OR(LEFT(H589,4)="Meta",LEFT(H589,6)="Google"),IF(AG589=3,"Lead calificado",IF(OR(AG589=4,AG589=5),"Tasación/visita",IF(OR(AG589=6,AG589=7),"Captación/oferta",IF(AG589=8,"Cierre","")))),"")</f>
        <v/>
      </c>
      <c r="AE589" s="32"/>
      <c r="AF589" s="32"/>
      <c r="AG589" s="37" t="n">
        <f aca="false">IF(R589="",0,IFERROR(MATCH(R589,Listas!$L$2:$L$50,0),0))</f>
        <v>0</v>
      </c>
    </row>
    <row r="590" customFormat="false" ht="15" hidden="false" customHeight="false" outlineLevel="0" collapsed="false">
      <c r="A590" s="30"/>
      <c r="B590" s="31"/>
      <c r="C590" s="32"/>
      <c r="D590" s="32"/>
      <c r="E590" s="33"/>
      <c r="F590" s="32"/>
      <c r="G590" s="32"/>
      <c r="H590" s="32"/>
      <c r="I590" s="32"/>
      <c r="J590" s="32"/>
      <c r="K590" s="32"/>
      <c r="L590" s="32"/>
      <c r="M590" s="30"/>
      <c r="N590" s="32"/>
      <c r="O590" s="34"/>
      <c r="P590" s="32"/>
      <c r="Q590" s="32"/>
      <c r="R590" s="32"/>
      <c r="S590" s="32"/>
      <c r="T590" s="32"/>
      <c r="U590" s="32"/>
      <c r="V590" s="31"/>
      <c r="W590" s="35" t="str">
        <f aca="true">IF(OR(V590="",AG590&gt;=8),"",IF(V590&lt;TODAY(),"Vencida",IF(V590=TODAY(),"Hoy","")))</f>
        <v/>
      </c>
      <c r="X590" s="36" t="str">
        <f aca="false">IF(A590="","",IF(COUNTIF(Seguimiento!$B$2:$B$5001,A590)=0,"",_xlfn.MAXIFS(Seguimiento!$A$2:$A$5001,Seguimiento!$B$2:$B$5001,A590)))</f>
        <v/>
      </c>
      <c r="Y590" s="37" t="str">
        <f aca="true">IF(B590="","",TODAY()-B590)</f>
        <v/>
      </c>
      <c r="Z590" s="38" t="str">
        <f aca="false">IF(OR(O590="",G590=""),"",O590*IFERROR(INDEX(Listas!$B$2:$B$50,MATCH(G590,Listas!$A$2:$A$50,0)),0))</f>
        <v/>
      </c>
      <c r="AA590" s="32"/>
      <c r="AB590" s="32"/>
      <c r="AC590" s="32"/>
      <c r="AD590" s="35" t="str">
        <f aca="false">IF(OR(LEFT(H590,4)="Meta",LEFT(H590,6)="Google"),IF(AG590=3,"Lead calificado",IF(OR(AG590=4,AG590=5),"Tasación/visita",IF(OR(AG590=6,AG590=7),"Captación/oferta",IF(AG590=8,"Cierre","")))),"")</f>
        <v/>
      </c>
      <c r="AE590" s="32"/>
      <c r="AF590" s="32"/>
      <c r="AG590" s="37" t="n">
        <f aca="false">IF(R590="",0,IFERROR(MATCH(R590,Listas!$L$2:$L$50,0),0))</f>
        <v>0</v>
      </c>
    </row>
    <row r="591" customFormat="false" ht="15" hidden="false" customHeight="false" outlineLevel="0" collapsed="false">
      <c r="A591" s="30"/>
      <c r="B591" s="31"/>
      <c r="C591" s="32"/>
      <c r="D591" s="32"/>
      <c r="E591" s="33"/>
      <c r="F591" s="32"/>
      <c r="G591" s="32"/>
      <c r="H591" s="32"/>
      <c r="I591" s="32"/>
      <c r="J591" s="32"/>
      <c r="K591" s="32"/>
      <c r="L591" s="32"/>
      <c r="M591" s="30"/>
      <c r="N591" s="32"/>
      <c r="O591" s="34"/>
      <c r="P591" s="32"/>
      <c r="Q591" s="32"/>
      <c r="R591" s="32"/>
      <c r="S591" s="32"/>
      <c r="T591" s="32"/>
      <c r="U591" s="32"/>
      <c r="V591" s="31"/>
      <c r="W591" s="35" t="str">
        <f aca="true">IF(OR(V591="",AG591&gt;=8),"",IF(V591&lt;TODAY(),"Vencida",IF(V591=TODAY(),"Hoy","")))</f>
        <v/>
      </c>
      <c r="X591" s="36" t="str">
        <f aca="false">IF(A591="","",IF(COUNTIF(Seguimiento!$B$2:$B$5001,A591)=0,"",_xlfn.MAXIFS(Seguimiento!$A$2:$A$5001,Seguimiento!$B$2:$B$5001,A591)))</f>
        <v/>
      </c>
      <c r="Y591" s="37" t="str">
        <f aca="true">IF(B591="","",TODAY()-B591)</f>
        <v/>
      </c>
      <c r="Z591" s="38" t="str">
        <f aca="false">IF(OR(O591="",G591=""),"",O591*IFERROR(INDEX(Listas!$B$2:$B$50,MATCH(G591,Listas!$A$2:$A$50,0)),0))</f>
        <v/>
      </c>
      <c r="AA591" s="32"/>
      <c r="AB591" s="32"/>
      <c r="AC591" s="32"/>
      <c r="AD591" s="35" t="str">
        <f aca="false">IF(OR(LEFT(H591,4)="Meta",LEFT(H591,6)="Google"),IF(AG591=3,"Lead calificado",IF(OR(AG591=4,AG591=5),"Tasación/visita",IF(OR(AG591=6,AG591=7),"Captación/oferta",IF(AG591=8,"Cierre","")))),"")</f>
        <v/>
      </c>
      <c r="AE591" s="32"/>
      <c r="AF591" s="32"/>
      <c r="AG591" s="37" t="n">
        <f aca="false">IF(R591="",0,IFERROR(MATCH(R591,Listas!$L$2:$L$50,0),0))</f>
        <v>0</v>
      </c>
    </row>
    <row r="592" customFormat="false" ht="15" hidden="false" customHeight="false" outlineLevel="0" collapsed="false">
      <c r="A592" s="30"/>
      <c r="B592" s="31"/>
      <c r="C592" s="32"/>
      <c r="D592" s="32"/>
      <c r="E592" s="33"/>
      <c r="F592" s="32"/>
      <c r="G592" s="32"/>
      <c r="H592" s="32"/>
      <c r="I592" s="32"/>
      <c r="J592" s="32"/>
      <c r="K592" s="32"/>
      <c r="L592" s="32"/>
      <c r="M592" s="30"/>
      <c r="N592" s="32"/>
      <c r="O592" s="34"/>
      <c r="P592" s="32"/>
      <c r="Q592" s="32"/>
      <c r="R592" s="32"/>
      <c r="S592" s="32"/>
      <c r="T592" s="32"/>
      <c r="U592" s="32"/>
      <c r="V592" s="31"/>
      <c r="W592" s="35" t="str">
        <f aca="true">IF(OR(V592="",AG592&gt;=8),"",IF(V592&lt;TODAY(),"Vencida",IF(V592=TODAY(),"Hoy","")))</f>
        <v/>
      </c>
      <c r="X592" s="36" t="str">
        <f aca="false">IF(A592="","",IF(COUNTIF(Seguimiento!$B$2:$B$5001,A592)=0,"",_xlfn.MAXIFS(Seguimiento!$A$2:$A$5001,Seguimiento!$B$2:$B$5001,A592)))</f>
        <v/>
      </c>
      <c r="Y592" s="37" t="str">
        <f aca="true">IF(B592="","",TODAY()-B592)</f>
        <v/>
      </c>
      <c r="Z592" s="38" t="str">
        <f aca="false">IF(OR(O592="",G592=""),"",O592*IFERROR(INDEX(Listas!$B$2:$B$50,MATCH(G592,Listas!$A$2:$A$50,0)),0))</f>
        <v/>
      </c>
      <c r="AA592" s="32"/>
      <c r="AB592" s="32"/>
      <c r="AC592" s="32"/>
      <c r="AD592" s="35" t="str">
        <f aca="false">IF(OR(LEFT(H592,4)="Meta",LEFT(H592,6)="Google"),IF(AG592=3,"Lead calificado",IF(OR(AG592=4,AG592=5),"Tasación/visita",IF(OR(AG592=6,AG592=7),"Captación/oferta",IF(AG592=8,"Cierre","")))),"")</f>
        <v/>
      </c>
      <c r="AE592" s="32"/>
      <c r="AF592" s="32"/>
      <c r="AG592" s="37" t="n">
        <f aca="false">IF(R592="",0,IFERROR(MATCH(R592,Listas!$L$2:$L$50,0),0))</f>
        <v>0</v>
      </c>
    </row>
    <row r="593" customFormat="false" ht="15" hidden="false" customHeight="false" outlineLevel="0" collapsed="false">
      <c r="A593" s="30"/>
      <c r="B593" s="31"/>
      <c r="C593" s="32"/>
      <c r="D593" s="32"/>
      <c r="E593" s="33"/>
      <c r="F593" s="32"/>
      <c r="G593" s="32"/>
      <c r="H593" s="32"/>
      <c r="I593" s="32"/>
      <c r="J593" s="32"/>
      <c r="K593" s="32"/>
      <c r="L593" s="32"/>
      <c r="M593" s="30"/>
      <c r="N593" s="32"/>
      <c r="O593" s="34"/>
      <c r="P593" s="32"/>
      <c r="Q593" s="32"/>
      <c r="R593" s="32"/>
      <c r="S593" s="32"/>
      <c r="T593" s="32"/>
      <c r="U593" s="32"/>
      <c r="V593" s="31"/>
      <c r="W593" s="35" t="str">
        <f aca="true">IF(OR(V593="",AG593&gt;=8),"",IF(V593&lt;TODAY(),"Vencida",IF(V593=TODAY(),"Hoy","")))</f>
        <v/>
      </c>
      <c r="X593" s="36" t="str">
        <f aca="false">IF(A593="","",IF(COUNTIF(Seguimiento!$B$2:$B$5001,A593)=0,"",_xlfn.MAXIFS(Seguimiento!$A$2:$A$5001,Seguimiento!$B$2:$B$5001,A593)))</f>
        <v/>
      </c>
      <c r="Y593" s="37" t="str">
        <f aca="true">IF(B593="","",TODAY()-B593)</f>
        <v/>
      </c>
      <c r="Z593" s="38" t="str">
        <f aca="false">IF(OR(O593="",G593=""),"",O593*IFERROR(INDEX(Listas!$B$2:$B$50,MATCH(G593,Listas!$A$2:$A$50,0)),0))</f>
        <v/>
      </c>
      <c r="AA593" s="32"/>
      <c r="AB593" s="32"/>
      <c r="AC593" s="32"/>
      <c r="AD593" s="35" t="str">
        <f aca="false">IF(OR(LEFT(H593,4)="Meta",LEFT(H593,6)="Google"),IF(AG593=3,"Lead calificado",IF(OR(AG593=4,AG593=5),"Tasación/visita",IF(OR(AG593=6,AG593=7),"Captación/oferta",IF(AG593=8,"Cierre","")))),"")</f>
        <v/>
      </c>
      <c r="AE593" s="32"/>
      <c r="AF593" s="32"/>
      <c r="AG593" s="37" t="n">
        <f aca="false">IF(R593="",0,IFERROR(MATCH(R593,Listas!$L$2:$L$50,0),0))</f>
        <v>0</v>
      </c>
    </row>
    <row r="594" customFormat="false" ht="15" hidden="false" customHeight="false" outlineLevel="0" collapsed="false">
      <c r="A594" s="30"/>
      <c r="B594" s="31"/>
      <c r="C594" s="32"/>
      <c r="D594" s="32"/>
      <c r="E594" s="33"/>
      <c r="F594" s="32"/>
      <c r="G594" s="32"/>
      <c r="H594" s="32"/>
      <c r="I594" s="32"/>
      <c r="J594" s="32"/>
      <c r="K594" s="32"/>
      <c r="L594" s="32"/>
      <c r="M594" s="30"/>
      <c r="N594" s="32"/>
      <c r="O594" s="34"/>
      <c r="P594" s="32"/>
      <c r="Q594" s="32"/>
      <c r="R594" s="32"/>
      <c r="S594" s="32"/>
      <c r="T594" s="32"/>
      <c r="U594" s="32"/>
      <c r="V594" s="31"/>
      <c r="W594" s="35" t="str">
        <f aca="true">IF(OR(V594="",AG594&gt;=8),"",IF(V594&lt;TODAY(),"Vencida",IF(V594=TODAY(),"Hoy","")))</f>
        <v/>
      </c>
      <c r="X594" s="36" t="str">
        <f aca="false">IF(A594="","",IF(COUNTIF(Seguimiento!$B$2:$B$5001,A594)=0,"",_xlfn.MAXIFS(Seguimiento!$A$2:$A$5001,Seguimiento!$B$2:$B$5001,A594)))</f>
        <v/>
      </c>
      <c r="Y594" s="37" t="str">
        <f aca="true">IF(B594="","",TODAY()-B594)</f>
        <v/>
      </c>
      <c r="Z594" s="38" t="str">
        <f aca="false">IF(OR(O594="",G594=""),"",O594*IFERROR(INDEX(Listas!$B$2:$B$50,MATCH(G594,Listas!$A$2:$A$50,0)),0))</f>
        <v/>
      </c>
      <c r="AA594" s="32"/>
      <c r="AB594" s="32"/>
      <c r="AC594" s="32"/>
      <c r="AD594" s="35" t="str">
        <f aca="false">IF(OR(LEFT(H594,4)="Meta",LEFT(H594,6)="Google"),IF(AG594=3,"Lead calificado",IF(OR(AG594=4,AG594=5),"Tasación/visita",IF(OR(AG594=6,AG594=7),"Captación/oferta",IF(AG594=8,"Cierre","")))),"")</f>
        <v/>
      </c>
      <c r="AE594" s="32"/>
      <c r="AF594" s="32"/>
      <c r="AG594" s="37" t="n">
        <f aca="false">IF(R594="",0,IFERROR(MATCH(R594,Listas!$L$2:$L$50,0),0))</f>
        <v>0</v>
      </c>
    </row>
    <row r="595" customFormat="false" ht="15" hidden="false" customHeight="false" outlineLevel="0" collapsed="false">
      <c r="A595" s="30"/>
      <c r="B595" s="31"/>
      <c r="C595" s="32"/>
      <c r="D595" s="32"/>
      <c r="E595" s="33"/>
      <c r="F595" s="32"/>
      <c r="G595" s="32"/>
      <c r="H595" s="32"/>
      <c r="I595" s="32"/>
      <c r="J595" s="32"/>
      <c r="K595" s="32"/>
      <c r="L595" s="32"/>
      <c r="M595" s="30"/>
      <c r="N595" s="32"/>
      <c r="O595" s="34"/>
      <c r="P595" s="32"/>
      <c r="Q595" s="32"/>
      <c r="R595" s="32"/>
      <c r="S595" s="32"/>
      <c r="T595" s="32"/>
      <c r="U595" s="32"/>
      <c r="V595" s="31"/>
      <c r="W595" s="35" t="str">
        <f aca="true">IF(OR(V595="",AG595&gt;=8),"",IF(V595&lt;TODAY(),"Vencida",IF(V595=TODAY(),"Hoy","")))</f>
        <v/>
      </c>
      <c r="X595" s="36" t="str">
        <f aca="false">IF(A595="","",IF(COUNTIF(Seguimiento!$B$2:$B$5001,A595)=0,"",_xlfn.MAXIFS(Seguimiento!$A$2:$A$5001,Seguimiento!$B$2:$B$5001,A595)))</f>
        <v/>
      </c>
      <c r="Y595" s="37" t="str">
        <f aca="true">IF(B595="","",TODAY()-B595)</f>
        <v/>
      </c>
      <c r="Z595" s="38" t="str">
        <f aca="false">IF(OR(O595="",G595=""),"",O595*IFERROR(INDEX(Listas!$B$2:$B$50,MATCH(G595,Listas!$A$2:$A$50,0)),0))</f>
        <v/>
      </c>
      <c r="AA595" s="32"/>
      <c r="AB595" s="32"/>
      <c r="AC595" s="32"/>
      <c r="AD595" s="35" t="str">
        <f aca="false">IF(OR(LEFT(H595,4)="Meta",LEFT(H595,6)="Google"),IF(AG595=3,"Lead calificado",IF(OR(AG595=4,AG595=5),"Tasación/visita",IF(OR(AG595=6,AG595=7),"Captación/oferta",IF(AG595=8,"Cierre","")))),"")</f>
        <v/>
      </c>
      <c r="AE595" s="32"/>
      <c r="AF595" s="32"/>
      <c r="AG595" s="37" t="n">
        <f aca="false">IF(R595="",0,IFERROR(MATCH(R595,Listas!$L$2:$L$50,0),0))</f>
        <v>0</v>
      </c>
    </row>
    <row r="596" customFormat="false" ht="15" hidden="false" customHeight="false" outlineLevel="0" collapsed="false">
      <c r="A596" s="30"/>
      <c r="B596" s="31"/>
      <c r="C596" s="32"/>
      <c r="D596" s="32"/>
      <c r="E596" s="33"/>
      <c r="F596" s="32"/>
      <c r="G596" s="32"/>
      <c r="H596" s="32"/>
      <c r="I596" s="32"/>
      <c r="J596" s="32"/>
      <c r="K596" s="32"/>
      <c r="L596" s="32"/>
      <c r="M596" s="30"/>
      <c r="N596" s="32"/>
      <c r="O596" s="34"/>
      <c r="P596" s="32"/>
      <c r="Q596" s="32"/>
      <c r="R596" s="32"/>
      <c r="S596" s="32"/>
      <c r="T596" s="32"/>
      <c r="U596" s="32"/>
      <c r="V596" s="31"/>
      <c r="W596" s="35" t="str">
        <f aca="true">IF(OR(V596="",AG596&gt;=8),"",IF(V596&lt;TODAY(),"Vencida",IF(V596=TODAY(),"Hoy","")))</f>
        <v/>
      </c>
      <c r="X596" s="36" t="str">
        <f aca="false">IF(A596="","",IF(COUNTIF(Seguimiento!$B$2:$B$5001,A596)=0,"",_xlfn.MAXIFS(Seguimiento!$A$2:$A$5001,Seguimiento!$B$2:$B$5001,A596)))</f>
        <v/>
      </c>
      <c r="Y596" s="37" t="str">
        <f aca="true">IF(B596="","",TODAY()-B596)</f>
        <v/>
      </c>
      <c r="Z596" s="38" t="str">
        <f aca="false">IF(OR(O596="",G596=""),"",O596*IFERROR(INDEX(Listas!$B$2:$B$50,MATCH(G596,Listas!$A$2:$A$50,0)),0))</f>
        <v/>
      </c>
      <c r="AA596" s="32"/>
      <c r="AB596" s="32"/>
      <c r="AC596" s="32"/>
      <c r="AD596" s="35" t="str">
        <f aca="false">IF(OR(LEFT(H596,4)="Meta",LEFT(H596,6)="Google"),IF(AG596=3,"Lead calificado",IF(OR(AG596=4,AG596=5),"Tasación/visita",IF(OR(AG596=6,AG596=7),"Captación/oferta",IF(AG596=8,"Cierre","")))),"")</f>
        <v/>
      </c>
      <c r="AE596" s="32"/>
      <c r="AF596" s="32"/>
      <c r="AG596" s="37" t="n">
        <f aca="false">IF(R596="",0,IFERROR(MATCH(R596,Listas!$L$2:$L$50,0),0))</f>
        <v>0</v>
      </c>
    </row>
    <row r="597" customFormat="false" ht="15" hidden="false" customHeight="false" outlineLevel="0" collapsed="false">
      <c r="A597" s="30"/>
      <c r="B597" s="31"/>
      <c r="C597" s="32"/>
      <c r="D597" s="32"/>
      <c r="E597" s="33"/>
      <c r="F597" s="32"/>
      <c r="G597" s="32"/>
      <c r="H597" s="32"/>
      <c r="I597" s="32"/>
      <c r="J597" s="32"/>
      <c r="K597" s="32"/>
      <c r="L597" s="32"/>
      <c r="M597" s="30"/>
      <c r="N597" s="32"/>
      <c r="O597" s="34"/>
      <c r="P597" s="32"/>
      <c r="Q597" s="32"/>
      <c r="R597" s="32"/>
      <c r="S597" s="32"/>
      <c r="T597" s="32"/>
      <c r="U597" s="32"/>
      <c r="V597" s="31"/>
      <c r="W597" s="35" t="str">
        <f aca="true">IF(OR(V597="",AG597&gt;=8),"",IF(V597&lt;TODAY(),"Vencida",IF(V597=TODAY(),"Hoy","")))</f>
        <v/>
      </c>
      <c r="X597" s="36" t="str">
        <f aca="false">IF(A597="","",IF(COUNTIF(Seguimiento!$B$2:$B$5001,A597)=0,"",_xlfn.MAXIFS(Seguimiento!$A$2:$A$5001,Seguimiento!$B$2:$B$5001,A597)))</f>
        <v/>
      </c>
      <c r="Y597" s="37" t="str">
        <f aca="true">IF(B597="","",TODAY()-B597)</f>
        <v/>
      </c>
      <c r="Z597" s="38" t="str">
        <f aca="false">IF(OR(O597="",G597=""),"",O597*IFERROR(INDEX(Listas!$B$2:$B$50,MATCH(G597,Listas!$A$2:$A$50,0)),0))</f>
        <v/>
      </c>
      <c r="AA597" s="32"/>
      <c r="AB597" s="32"/>
      <c r="AC597" s="32"/>
      <c r="AD597" s="35" t="str">
        <f aca="false">IF(OR(LEFT(H597,4)="Meta",LEFT(H597,6)="Google"),IF(AG597=3,"Lead calificado",IF(OR(AG597=4,AG597=5),"Tasación/visita",IF(OR(AG597=6,AG597=7),"Captación/oferta",IF(AG597=8,"Cierre","")))),"")</f>
        <v/>
      </c>
      <c r="AE597" s="32"/>
      <c r="AF597" s="32"/>
      <c r="AG597" s="37" t="n">
        <f aca="false">IF(R597="",0,IFERROR(MATCH(R597,Listas!$L$2:$L$50,0),0))</f>
        <v>0</v>
      </c>
    </row>
    <row r="598" customFormat="false" ht="15" hidden="false" customHeight="false" outlineLevel="0" collapsed="false">
      <c r="A598" s="30"/>
      <c r="B598" s="31"/>
      <c r="C598" s="32"/>
      <c r="D598" s="32"/>
      <c r="E598" s="33"/>
      <c r="F598" s="32"/>
      <c r="G598" s="32"/>
      <c r="H598" s="32"/>
      <c r="I598" s="32"/>
      <c r="J598" s="32"/>
      <c r="K598" s="32"/>
      <c r="L598" s="32"/>
      <c r="M598" s="30"/>
      <c r="N598" s="32"/>
      <c r="O598" s="34"/>
      <c r="P598" s="32"/>
      <c r="Q598" s="32"/>
      <c r="R598" s="32"/>
      <c r="S598" s="32"/>
      <c r="T598" s="32"/>
      <c r="U598" s="32"/>
      <c r="V598" s="31"/>
      <c r="W598" s="35" t="str">
        <f aca="true">IF(OR(V598="",AG598&gt;=8),"",IF(V598&lt;TODAY(),"Vencida",IF(V598=TODAY(),"Hoy","")))</f>
        <v/>
      </c>
      <c r="X598" s="36" t="str">
        <f aca="false">IF(A598="","",IF(COUNTIF(Seguimiento!$B$2:$B$5001,A598)=0,"",_xlfn.MAXIFS(Seguimiento!$A$2:$A$5001,Seguimiento!$B$2:$B$5001,A598)))</f>
        <v/>
      </c>
      <c r="Y598" s="37" t="str">
        <f aca="true">IF(B598="","",TODAY()-B598)</f>
        <v/>
      </c>
      <c r="Z598" s="38" t="str">
        <f aca="false">IF(OR(O598="",G598=""),"",O598*IFERROR(INDEX(Listas!$B$2:$B$50,MATCH(G598,Listas!$A$2:$A$50,0)),0))</f>
        <v/>
      </c>
      <c r="AA598" s="32"/>
      <c r="AB598" s="32"/>
      <c r="AC598" s="32"/>
      <c r="AD598" s="35" t="str">
        <f aca="false">IF(OR(LEFT(H598,4)="Meta",LEFT(H598,6)="Google"),IF(AG598=3,"Lead calificado",IF(OR(AG598=4,AG598=5),"Tasación/visita",IF(OR(AG598=6,AG598=7),"Captación/oferta",IF(AG598=8,"Cierre","")))),"")</f>
        <v/>
      </c>
      <c r="AE598" s="32"/>
      <c r="AF598" s="32"/>
      <c r="AG598" s="37" t="n">
        <f aca="false">IF(R598="",0,IFERROR(MATCH(R598,Listas!$L$2:$L$50,0),0))</f>
        <v>0</v>
      </c>
    </row>
    <row r="599" customFormat="false" ht="15" hidden="false" customHeight="false" outlineLevel="0" collapsed="false">
      <c r="A599" s="30"/>
      <c r="B599" s="31"/>
      <c r="C599" s="32"/>
      <c r="D599" s="32"/>
      <c r="E599" s="33"/>
      <c r="F599" s="32"/>
      <c r="G599" s="32"/>
      <c r="H599" s="32"/>
      <c r="I599" s="32"/>
      <c r="J599" s="32"/>
      <c r="K599" s="32"/>
      <c r="L599" s="32"/>
      <c r="M599" s="30"/>
      <c r="N599" s="32"/>
      <c r="O599" s="34"/>
      <c r="P599" s="32"/>
      <c r="Q599" s="32"/>
      <c r="R599" s="32"/>
      <c r="S599" s="32"/>
      <c r="T599" s="32"/>
      <c r="U599" s="32"/>
      <c r="V599" s="31"/>
      <c r="W599" s="35" t="str">
        <f aca="true">IF(OR(V599="",AG599&gt;=8),"",IF(V599&lt;TODAY(),"Vencida",IF(V599=TODAY(),"Hoy","")))</f>
        <v/>
      </c>
      <c r="X599" s="36" t="str">
        <f aca="false">IF(A599="","",IF(COUNTIF(Seguimiento!$B$2:$B$5001,A599)=0,"",_xlfn.MAXIFS(Seguimiento!$A$2:$A$5001,Seguimiento!$B$2:$B$5001,A599)))</f>
        <v/>
      </c>
      <c r="Y599" s="37" t="str">
        <f aca="true">IF(B599="","",TODAY()-B599)</f>
        <v/>
      </c>
      <c r="Z599" s="38" t="str">
        <f aca="false">IF(OR(O599="",G599=""),"",O599*IFERROR(INDEX(Listas!$B$2:$B$50,MATCH(G599,Listas!$A$2:$A$50,0)),0))</f>
        <v/>
      </c>
      <c r="AA599" s="32"/>
      <c r="AB599" s="32"/>
      <c r="AC599" s="32"/>
      <c r="AD599" s="35" t="str">
        <f aca="false">IF(OR(LEFT(H599,4)="Meta",LEFT(H599,6)="Google"),IF(AG599=3,"Lead calificado",IF(OR(AG599=4,AG599=5),"Tasación/visita",IF(OR(AG599=6,AG599=7),"Captación/oferta",IF(AG599=8,"Cierre","")))),"")</f>
        <v/>
      </c>
      <c r="AE599" s="32"/>
      <c r="AF599" s="32"/>
      <c r="AG599" s="37" t="n">
        <f aca="false">IF(R599="",0,IFERROR(MATCH(R599,Listas!$L$2:$L$50,0),0))</f>
        <v>0</v>
      </c>
    </row>
    <row r="600" customFormat="false" ht="15" hidden="false" customHeight="false" outlineLevel="0" collapsed="false">
      <c r="A600" s="30"/>
      <c r="B600" s="31"/>
      <c r="C600" s="32"/>
      <c r="D600" s="32"/>
      <c r="E600" s="33"/>
      <c r="F600" s="32"/>
      <c r="G600" s="32"/>
      <c r="H600" s="32"/>
      <c r="I600" s="32"/>
      <c r="J600" s="32"/>
      <c r="K600" s="32"/>
      <c r="L600" s="32"/>
      <c r="M600" s="30"/>
      <c r="N600" s="32"/>
      <c r="O600" s="34"/>
      <c r="P600" s="32"/>
      <c r="Q600" s="32"/>
      <c r="R600" s="32"/>
      <c r="S600" s="32"/>
      <c r="T600" s="32"/>
      <c r="U600" s="32"/>
      <c r="V600" s="31"/>
      <c r="W600" s="35" t="str">
        <f aca="true">IF(OR(V600="",AG600&gt;=8),"",IF(V600&lt;TODAY(),"Vencida",IF(V600=TODAY(),"Hoy","")))</f>
        <v/>
      </c>
      <c r="X600" s="36" t="str">
        <f aca="false">IF(A600="","",IF(COUNTIF(Seguimiento!$B$2:$B$5001,A600)=0,"",_xlfn.MAXIFS(Seguimiento!$A$2:$A$5001,Seguimiento!$B$2:$B$5001,A600)))</f>
        <v/>
      </c>
      <c r="Y600" s="37" t="str">
        <f aca="true">IF(B600="","",TODAY()-B600)</f>
        <v/>
      </c>
      <c r="Z600" s="38" t="str">
        <f aca="false">IF(OR(O600="",G600=""),"",O600*IFERROR(INDEX(Listas!$B$2:$B$50,MATCH(G600,Listas!$A$2:$A$50,0)),0))</f>
        <v/>
      </c>
      <c r="AA600" s="32"/>
      <c r="AB600" s="32"/>
      <c r="AC600" s="32"/>
      <c r="AD600" s="35" t="str">
        <f aca="false">IF(OR(LEFT(H600,4)="Meta",LEFT(H600,6)="Google"),IF(AG600=3,"Lead calificado",IF(OR(AG600=4,AG600=5),"Tasación/visita",IF(OR(AG600=6,AG600=7),"Captación/oferta",IF(AG600=8,"Cierre","")))),"")</f>
        <v/>
      </c>
      <c r="AE600" s="32"/>
      <c r="AF600" s="32"/>
      <c r="AG600" s="37" t="n">
        <f aca="false">IF(R600="",0,IFERROR(MATCH(R600,Listas!$L$2:$L$50,0),0))</f>
        <v>0</v>
      </c>
    </row>
    <row r="601" customFormat="false" ht="15" hidden="false" customHeight="false" outlineLevel="0" collapsed="false">
      <c r="A601" s="30"/>
      <c r="B601" s="31"/>
      <c r="C601" s="32"/>
      <c r="D601" s="32"/>
      <c r="E601" s="33"/>
      <c r="F601" s="32"/>
      <c r="G601" s="32"/>
      <c r="H601" s="32"/>
      <c r="I601" s="32"/>
      <c r="J601" s="32"/>
      <c r="K601" s="32"/>
      <c r="L601" s="32"/>
      <c r="M601" s="30"/>
      <c r="N601" s="32"/>
      <c r="O601" s="34"/>
      <c r="P601" s="32"/>
      <c r="Q601" s="32"/>
      <c r="R601" s="32"/>
      <c r="S601" s="32"/>
      <c r="T601" s="32"/>
      <c r="U601" s="32"/>
      <c r="V601" s="31"/>
      <c r="W601" s="35" t="str">
        <f aca="true">IF(OR(V601="",AG601&gt;=8),"",IF(V601&lt;TODAY(),"Vencida",IF(V601=TODAY(),"Hoy","")))</f>
        <v/>
      </c>
      <c r="X601" s="36" t="str">
        <f aca="false">IF(A601="","",IF(COUNTIF(Seguimiento!$B$2:$B$5001,A601)=0,"",_xlfn.MAXIFS(Seguimiento!$A$2:$A$5001,Seguimiento!$B$2:$B$5001,A601)))</f>
        <v/>
      </c>
      <c r="Y601" s="37" t="str">
        <f aca="true">IF(B601="","",TODAY()-B601)</f>
        <v/>
      </c>
      <c r="Z601" s="38" t="str">
        <f aca="false">IF(OR(O601="",G601=""),"",O601*IFERROR(INDEX(Listas!$B$2:$B$50,MATCH(G601,Listas!$A$2:$A$50,0)),0))</f>
        <v/>
      </c>
      <c r="AA601" s="32"/>
      <c r="AB601" s="32"/>
      <c r="AC601" s="32"/>
      <c r="AD601" s="35" t="str">
        <f aca="false">IF(OR(LEFT(H601,4)="Meta",LEFT(H601,6)="Google"),IF(AG601=3,"Lead calificado",IF(OR(AG601=4,AG601=5),"Tasación/visita",IF(OR(AG601=6,AG601=7),"Captación/oferta",IF(AG601=8,"Cierre","")))),"")</f>
        <v/>
      </c>
      <c r="AE601" s="32"/>
      <c r="AF601" s="32"/>
      <c r="AG601" s="37" t="n">
        <f aca="false">IF(R601="",0,IFERROR(MATCH(R601,Listas!$L$2:$L$50,0),0))</f>
        <v>0</v>
      </c>
    </row>
    <row r="602" customFormat="false" ht="15" hidden="false" customHeight="false" outlineLevel="0" collapsed="false">
      <c r="A602" s="30"/>
      <c r="B602" s="31"/>
      <c r="C602" s="32"/>
      <c r="D602" s="32"/>
      <c r="E602" s="33"/>
      <c r="F602" s="32"/>
      <c r="G602" s="32"/>
      <c r="H602" s="32"/>
      <c r="I602" s="32"/>
      <c r="J602" s="32"/>
      <c r="K602" s="32"/>
      <c r="L602" s="32"/>
      <c r="M602" s="30"/>
      <c r="N602" s="32"/>
      <c r="O602" s="34"/>
      <c r="P602" s="32"/>
      <c r="Q602" s="32"/>
      <c r="R602" s="32"/>
      <c r="S602" s="32"/>
      <c r="T602" s="32"/>
      <c r="U602" s="32"/>
      <c r="V602" s="31"/>
      <c r="W602" s="35" t="str">
        <f aca="true">IF(OR(V602="",AG602&gt;=8),"",IF(V602&lt;TODAY(),"Vencida",IF(V602=TODAY(),"Hoy","")))</f>
        <v/>
      </c>
      <c r="X602" s="36" t="str">
        <f aca="false">IF(A602="","",IF(COUNTIF(Seguimiento!$B$2:$B$5001,A602)=0,"",_xlfn.MAXIFS(Seguimiento!$A$2:$A$5001,Seguimiento!$B$2:$B$5001,A602)))</f>
        <v/>
      </c>
      <c r="Y602" s="37" t="str">
        <f aca="true">IF(B602="","",TODAY()-B602)</f>
        <v/>
      </c>
      <c r="Z602" s="38" t="str">
        <f aca="false">IF(OR(O602="",G602=""),"",O602*IFERROR(INDEX(Listas!$B$2:$B$50,MATCH(G602,Listas!$A$2:$A$50,0)),0))</f>
        <v/>
      </c>
      <c r="AA602" s="32"/>
      <c r="AB602" s="32"/>
      <c r="AC602" s="32"/>
      <c r="AD602" s="35" t="str">
        <f aca="false">IF(OR(LEFT(H602,4)="Meta",LEFT(H602,6)="Google"),IF(AG602=3,"Lead calificado",IF(OR(AG602=4,AG602=5),"Tasación/visita",IF(OR(AG602=6,AG602=7),"Captación/oferta",IF(AG602=8,"Cierre","")))),"")</f>
        <v/>
      </c>
      <c r="AE602" s="32"/>
      <c r="AF602" s="32"/>
      <c r="AG602" s="37" t="n">
        <f aca="false">IF(R602="",0,IFERROR(MATCH(R602,Listas!$L$2:$L$50,0),0))</f>
        <v>0</v>
      </c>
    </row>
    <row r="603" customFormat="false" ht="15" hidden="false" customHeight="false" outlineLevel="0" collapsed="false">
      <c r="A603" s="30"/>
      <c r="B603" s="31"/>
      <c r="C603" s="32"/>
      <c r="D603" s="32"/>
      <c r="E603" s="33"/>
      <c r="F603" s="32"/>
      <c r="G603" s="32"/>
      <c r="H603" s="32"/>
      <c r="I603" s="32"/>
      <c r="J603" s="32"/>
      <c r="K603" s="32"/>
      <c r="L603" s="32"/>
      <c r="M603" s="30"/>
      <c r="N603" s="32"/>
      <c r="O603" s="34"/>
      <c r="P603" s="32"/>
      <c r="Q603" s="32"/>
      <c r="R603" s="32"/>
      <c r="S603" s="32"/>
      <c r="T603" s="32"/>
      <c r="U603" s="32"/>
      <c r="V603" s="31"/>
      <c r="W603" s="35" t="str">
        <f aca="true">IF(OR(V603="",AG603&gt;=8),"",IF(V603&lt;TODAY(),"Vencida",IF(V603=TODAY(),"Hoy","")))</f>
        <v/>
      </c>
      <c r="X603" s="36" t="str">
        <f aca="false">IF(A603="","",IF(COUNTIF(Seguimiento!$B$2:$B$5001,A603)=0,"",_xlfn.MAXIFS(Seguimiento!$A$2:$A$5001,Seguimiento!$B$2:$B$5001,A603)))</f>
        <v/>
      </c>
      <c r="Y603" s="37" t="str">
        <f aca="true">IF(B603="","",TODAY()-B603)</f>
        <v/>
      </c>
      <c r="Z603" s="38" t="str">
        <f aca="false">IF(OR(O603="",G603=""),"",O603*IFERROR(INDEX(Listas!$B$2:$B$50,MATCH(G603,Listas!$A$2:$A$50,0)),0))</f>
        <v/>
      </c>
      <c r="AA603" s="32"/>
      <c r="AB603" s="32"/>
      <c r="AC603" s="32"/>
      <c r="AD603" s="35" t="str">
        <f aca="false">IF(OR(LEFT(H603,4)="Meta",LEFT(H603,6)="Google"),IF(AG603=3,"Lead calificado",IF(OR(AG603=4,AG603=5),"Tasación/visita",IF(OR(AG603=6,AG603=7),"Captación/oferta",IF(AG603=8,"Cierre","")))),"")</f>
        <v/>
      </c>
      <c r="AE603" s="32"/>
      <c r="AF603" s="32"/>
      <c r="AG603" s="37" t="n">
        <f aca="false">IF(R603="",0,IFERROR(MATCH(R603,Listas!$L$2:$L$50,0),0))</f>
        <v>0</v>
      </c>
    </row>
    <row r="604" customFormat="false" ht="15" hidden="false" customHeight="false" outlineLevel="0" collapsed="false">
      <c r="A604" s="30"/>
      <c r="B604" s="31"/>
      <c r="C604" s="32"/>
      <c r="D604" s="32"/>
      <c r="E604" s="33"/>
      <c r="F604" s="32"/>
      <c r="G604" s="32"/>
      <c r="H604" s="32"/>
      <c r="I604" s="32"/>
      <c r="J604" s="32"/>
      <c r="K604" s="32"/>
      <c r="L604" s="32"/>
      <c r="M604" s="30"/>
      <c r="N604" s="32"/>
      <c r="O604" s="34"/>
      <c r="P604" s="32"/>
      <c r="Q604" s="32"/>
      <c r="R604" s="32"/>
      <c r="S604" s="32"/>
      <c r="T604" s="32"/>
      <c r="U604" s="32"/>
      <c r="V604" s="31"/>
      <c r="W604" s="35" t="str">
        <f aca="true">IF(OR(V604="",AG604&gt;=8),"",IF(V604&lt;TODAY(),"Vencida",IF(V604=TODAY(),"Hoy","")))</f>
        <v/>
      </c>
      <c r="X604" s="36" t="str">
        <f aca="false">IF(A604="","",IF(COUNTIF(Seguimiento!$B$2:$B$5001,A604)=0,"",_xlfn.MAXIFS(Seguimiento!$A$2:$A$5001,Seguimiento!$B$2:$B$5001,A604)))</f>
        <v/>
      </c>
      <c r="Y604" s="37" t="str">
        <f aca="true">IF(B604="","",TODAY()-B604)</f>
        <v/>
      </c>
      <c r="Z604" s="38" t="str">
        <f aca="false">IF(OR(O604="",G604=""),"",O604*IFERROR(INDEX(Listas!$B$2:$B$50,MATCH(G604,Listas!$A$2:$A$50,0)),0))</f>
        <v/>
      </c>
      <c r="AA604" s="32"/>
      <c r="AB604" s="32"/>
      <c r="AC604" s="32"/>
      <c r="AD604" s="35" t="str">
        <f aca="false">IF(OR(LEFT(H604,4)="Meta",LEFT(H604,6)="Google"),IF(AG604=3,"Lead calificado",IF(OR(AG604=4,AG604=5),"Tasación/visita",IF(OR(AG604=6,AG604=7),"Captación/oferta",IF(AG604=8,"Cierre","")))),"")</f>
        <v/>
      </c>
      <c r="AE604" s="32"/>
      <c r="AF604" s="32"/>
      <c r="AG604" s="37" t="n">
        <f aca="false">IF(R604="",0,IFERROR(MATCH(R604,Listas!$L$2:$L$50,0),0))</f>
        <v>0</v>
      </c>
    </row>
    <row r="605" customFormat="false" ht="15" hidden="false" customHeight="false" outlineLevel="0" collapsed="false">
      <c r="A605" s="30"/>
      <c r="B605" s="31"/>
      <c r="C605" s="32"/>
      <c r="D605" s="32"/>
      <c r="E605" s="33"/>
      <c r="F605" s="32"/>
      <c r="G605" s="32"/>
      <c r="H605" s="32"/>
      <c r="I605" s="32"/>
      <c r="J605" s="32"/>
      <c r="K605" s="32"/>
      <c r="L605" s="32"/>
      <c r="M605" s="30"/>
      <c r="N605" s="32"/>
      <c r="O605" s="34"/>
      <c r="P605" s="32"/>
      <c r="Q605" s="32"/>
      <c r="R605" s="32"/>
      <c r="S605" s="32"/>
      <c r="T605" s="32"/>
      <c r="U605" s="32"/>
      <c r="V605" s="31"/>
      <c r="W605" s="35" t="str">
        <f aca="true">IF(OR(V605="",AG605&gt;=8),"",IF(V605&lt;TODAY(),"Vencida",IF(V605=TODAY(),"Hoy","")))</f>
        <v/>
      </c>
      <c r="X605" s="36" t="str">
        <f aca="false">IF(A605="","",IF(COUNTIF(Seguimiento!$B$2:$B$5001,A605)=0,"",_xlfn.MAXIFS(Seguimiento!$A$2:$A$5001,Seguimiento!$B$2:$B$5001,A605)))</f>
        <v/>
      </c>
      <c r="Y605" s="37" t="str">
        <f aca="true">IF(B605="","",TODAY()-B605)</f>
        <v/>
      </c>
      <c r="Z605" s="38" t="str">
        <f aca="false">IF(OR(O605="",G605=""),"",O605*IFERROR(INDEX(Listas!$B$2:$B$50,MATCH(G605,Listas!$A$2:$A$50,0)),0))</f>
        <v/>
      </c>
      <c r="AA605" s="32"/>
      <c r="AB605" s="32"/>
      <c r="AC605" s="32"/>
      <c r="AD605" s="35" t="str">
        <f aca="false">IF(OR(LEFT(H605,4)="Meta",LEFT(H605,6)="Google"),IF(AG605=3,"Lead calificado",IF(OR(AG605=4,AG605=5),"Tasación/visita",IF(OR(AG605=6,AG605=7),"Captación/oferta",IF(AG605=8,"Cierre","")))),"")</f>
        <v/>
      </c>
      <c r="AE605" s="32"/>
      <c r="AF605" s="32"/>
      <c r="AG605" s="37" t="n">
        <f aca="false">IF(R605="",0,IFERROR(MATCH(R605,Listas!$L$2:$L$50,0),0))</f>
        <v>0</v>
      </c>
    </row>
    <row r="606" customFormat="false" ht="15" hidden="false" customHeight="false" outlineLevel="0" collapsed="false">
      <c r="A606" s="30"/>
      <c r="B606" s="31"/>
      <c r="C606" s="32"/>
      <c r="D606" s="32"/>
      <c r="E606" s="33"/>
      <c r="F606" s="32"/>
      <c r="G606" s="32"/>
      <c r="H606" s="32"/>
      <c r="I606" s="32"/>
      <c r="J606" s="32"/>
      <c r="K606" s="32"/>
      <c r="L606" s="32"/>
      <c r="M606" s="30"/>
      <c r="N606" s="32"/>
      <c r="O606" s="34"/>
      <c r="P606" s="32"/>
      <c r="Q606" s="32"/>
      <c r="R606" s="32"/>
      <c r="S606" s="32"/>
      <c r="T606" s="32"/>
      <c r="U606" s="32"/>
      <c r="V606" s="31"/>
      <c r="W606" s="35" t="str">
        <f aca="true">IF(OR(V606="",AG606&gt;=8),"",IF(V606&lt;TODAY(),"Vencida",IF(V606=TODAY(),"Hoy","")))</f>
        <v/>
      </c>
      <c r="X606" s="36" t="str">
        <f aca="false">IF(A606="","",IF(COUNTIF(Seguimiento!$B$2:$B$5001,A606)=0,"",_xlfn.MAXIFS(Seguimiento!$A$2:$A$5001,Seguimiento!$B$2:$B$5001,A606)))</f>
        <v/>
      </c>
      <c r="Y606" s="37" t="str">
        <f aca="true">IF(B606="","",TODAY()-B606)</f>
        <v/>
      </c>
      <c r="Z606" s="38" t="str">
        <f aca="false">IF(OR(O606="",G606=""),"",O606*IFERROR(INDEX(Listas!$B$2:$B$50,MATCH(G606,Listas!$A$2:$A$50,0)),0))</f>
        <v/>
      </c>
      <c r="AA606" s="32"/>
      <c r="AB606" s="32"/>
      <c r="AC606" s="32"/>
      <c r="AD606" s="35" t="str">
        <f aca="false">IF(OR(LEFT(H606,4)="Meta",LEFT(H606,6)="Google"),IF(AG606=3,"Lead calificado",IF(OR(AG606=4,AG606=5),"Tasación/visita",IF(OR(AG606=6,AG606=7),"Captación/oferta",IF(AG606=8,"Cierre","")))),"")</f>
        <v/>
      </c>
      <c r="AE606" s="32"/>
      <c r="AF606" s="32"/>
      <c r="AG606" s="37" t="n">
        <f aca="false">IF(R606="",0,IFERROR(MATCH(R606,Listas!$L$2:$L$50,0),0))</f>
        <v>0</v>
      </c>
    </row>
    <row r="607" customFormat="false" ht="15" hidden="false" customHeight="false" outlineLevel="0" collapsed="false">
      <c r="A607" s="30"/>
      <c r="B607" s="31"/>
      <c r="C607" s="32"/>
      <c r="D607" s="32"/>
      <c r="E607" s="33"/>
      <c r="F607" s="32"/>
      <c r="G607" s="32"/>
      <c r="H607" s="32"/>
      <c r="I607" s="32"/>
      <c r="J607" s="32"/>
      <c r="K607" s="32"/>
      <c r="L607" s="32"/>
      <c r="M607" s="30"/>
      <c r="N607" s="32"/>
      <c r="O607" s="34"/>
      <c r="P607" s="32"/>
      <c r="Q607" s="32"/>
      <c r="R607" s="32"/>
      <c r="S607" s="32"/>
      <c r="T607" s="32"/>
      <c r="U607" s="32"/>
      <c r="V607" s="31"/>
      <c r="W607" s="35" t="str">
        <f aca="true">IF(OR(V607="",AG607&gt;=8),"",IF(V607&lt;TODAY(),"Vencida",IF(V607=TODAY(),"Hoy","")))</f>
        <v/>
      </c>
      <c r="X607" s="36" t="str">
        <f aca="false">IF(A607="","",IF(COUNTIF(Seguimiento!$B$2:$B$5001,A607)=0,"",_xlfn.MAXIFS(Seguimiento!$A$2:$A$5001,Seguimiento!$B$2:$B$5001,A607)))</f>
        <v/>
      </c>
      <c r="Y607" s="37" t="str">
        <f aca="true">IF(B607="","",TODAY()-B607)</f>
        <v/>
      </c>
      <c r="Z607" s="38" t="str">
        <f aca="false">IF(OR(O607="",G607=""),"",O607*IFERROR(INDEX(Listas!$B$2:$B$50,MATCH(G607,Listas!$A$2:$A$50,0)),0))</f>
        <v/>
      </c>
      <c r="AA607" s="32"/>
      <c r="AB607" s="32"/>
      <c r="AC607" s="32"/>
      <c r="AD607" s="35" t="str">
        <f aca="false">IF(OR(LEFT(H607,4)="Meta",LEFT(H607,6)="Google"),IF(AG607=3,"Lead calificado",IF(OR(AG607=4,AG607=5),"Tasación/visita",IF(OR(AG607=6,AG607=7),"Captación/oferta",IF(AG607=8,"Cierre","")))),"")</f>
        <v/>
      </c>
      <c r="AE607" s="32"/>
      <c r="AF607" s="32"/>
      <c r="AG607" s="37" t="n">
        <f aca="false">IF(R607="",0,IFERROR(MATCH(R607,Listas!$L$2:$L$50,0),0))</f>
        <v>0</v>
      </c>
    </row>
    <row r="608" customFormat="false" ht="15" hidden="false" customHeight="false" outlineLevel="0" collapsed="false">
      <c r="A608" s="30"/>
      <c r="B608" s="31"/>
      <c r="C608" s="32"/>
      <c r="D608" s="32"/>
      <c r="E608" s="33"/>
      <c r="F608" s="32"/>
      <c r="G608" s="32"/>
      <c r="H608" s="32"/>
      <c r="I608" s="32"/>
      <c r="J608" s="32"/>
      <c r="K608" s="32"/>
      <c r="L608" s="32"/>
      <c r="M608" s="30"/>
      <c r="N608" s="32"/>
      <c r="O608" s="34"/>
      <c r="P608" s="32"/>
      <c r="Q608" s="32"/>
      <c r="R608" s="32"/>
      <c r="S608" s="32"/>
      <c r="T608" s="32"/>
      <c r="U608" s="32"/>
      <c r="V608" s="31"/>
      <c r="W608" s="35" t="str">
        <f aca="true">IF(OR(V608="",AG608&gt;=8),"",IF(V608&lt;TODAY(),"Vencida",IF(V608=TODAY(),"Hoy","")))</f>
        <v/>
      </c>
      <c r="X608" s="36" t="str">
        <f aca="false">IF(A608="","",IF(COUNTIF(Seguimiento!$B$2:$B$5001,A608)=0,"",_xlfn.MAXIFS(Seguimiento!$A$2:$A$5001,Seguimiento!$B$2:$B$5001,A608)))</f>
        <v/>
      </c>
      <c r="Y608" s="37" t="str">
        <f aca="true">IF(B608="","",TODAY()-B608)</f>
        <v/>
      </c>
      <c r="Z608" s="38" t="str">
        <f aca="false">IF(OR(O608="",G608=""),"",O608*IFERROR(INDEX(Listas!$B$2:$B$50,MATCH(G608,Listas!$A$2:$A$50,0)),0))</f>
        <v/>
      </c>
      <c r="AA608" s="32"/>
      <c r="AB608" s="32"/>
      <c r="AC608" s="32"/>
      <c r="AD608" s="35" t="str">
        <f aca="false">IF(OR(LEFT(H608,4)="Meta",LEFT(H608,6)="Google"),IF(AG608=3,"Lead calificado",IF(OR(AG608=4,AG608=5),"Tasación/visita",IF(OR(AG608=6,AG608=7),"Captación/oferta",IF(AG608=8,"Cierre","")))),"")</f>
        <v/>
      </c>
      <c r="AE608" s="32"/>
      <c r="AF608" s="32"/>
      <c r="AG608" s="37" t="n">
        <f aca="false">IF(R608="",0,IFERROR(MATCH(R608,Listas!$L$2:$L$50,0),0))</f>
        <v>0</v>
      </c>
    </row>
    <row r="609" customFormat="false" ht="15" hidden="false" customHeight="false" outlineLevel="0" collapsed="false">
      <c r="A609" s="30"/>
      <c r="B609" s="31"/>
      <c r="C609" s="32"/>
      <c r="D609" s="32"/>
      <c r="E609" s="33"/>
      <c r="F609" s="32"/>
      <c r="G609" s="32"/>
      <c r="H609" s="32"/>
      <c r="I609" s="32"/>
      <c r="J609" s="32"/>
      <c r="K609" s="32"/>
      <c r="L609" s="32"/>
      <c r="M609" s="30"/>
      <c r="N609" s="32"/>
      <c r="O609" s="34"/>
      <c r="P609" s="32"/>
      <c r="Q609" s="32"/>
      <c r="R609" s="32"/>
      <c r="S609" s="32"/>
      <c r="T609" s="32"/>
      <c r="U609" s="32"/>
      <c r="V609" s="31"/>
      <c r="W609" s="35" t="str">
        <f aca="true">IF(OR(V609="",AG609&gt;=8),"",IF(V609&lt;TODAY(),"Vencida",IF(V609=TODAY(),"Hoy","")))</f>
        <v/>
      </c>
      <c r="X609" s="36" t="str">
        <f aca="false">IF(A609="","",IF(COUNTIF(Seguimiento!$B$2:$B$5001,A609)=0,"",_xlfn.MAXIFS(Seguimiento!$A$2:$A$5001,Seguimiento!$B$2:$B$5001,A609)))</f>
        <v/>
      </c>
      <c r="Y609" s="37" t="str">
        <f aca="true">IF(B609="","",TODAY()-B609)</f>
        <v/>
      </c>
      <c r="Z609" s="38" t="str">
        <f aca="false">IF(OR(O609="",G609=""),"",O609*IFERROR(INDEX(Listas!$B$2:$B$50,MATCH(G609,Listas!$A$2:$A$50,0)),0))</f>
        <v/>
      </c>
      <c r="AA609" s="32"/>
      <c r="AB609" s="32"/>
      <c r="AC609" s="32"/>
      <c r="AD609" s="35" t="str">
        <f aca="false">IF(OR(LEFT(H609,4)="Meta",LEFT(H609,6)="Google"),IF(AG609=3,"Lead calificado",IF(OR(AG609=4,AG609=5),"Tasación/visita",IF(OR(AG609=6,AG609=7),"Captación/oferta",IF(AG609=8,"Cierre","")))),"")</f>
        <v/>
      </c>
      <c r="AE609" s="32"/>
      <c r="AF609" s="32"/>
      <c r="AG609" s="37" t="n">
        <f aca="false">IF(R609="",0,IFERROR(MATCH(R609,Listas!$L$2:$L$50,0),0))</f>
        <v>0</v>
      </c>
    </row>
    <row r="610" customFormat="false" ht="15" hidden="false" customHeight="false" outlineLevel="0" collapsed="false">
      <c r="A610" s="30"/>
      <c r="B610" s="31"/>
      <c r="C610" s="32"/>
      <c r="D610" s="32"/>
      <c r="E610" s="33"/>
      <c r="F610" s="32"/>
      <c r="G610" s="32"/>
      <c r="H610" s="32"/>
      <c r="I610" s="32"/>
      <c r="J610" s="32"/>
      <c r="K610" s="32"/>
      <c r="L610" s="32"/>
      <c r="M610" s="30"/>
      <c r="N610" s="32"/>
      <c r="O610" s="34"/>
      <c r="P610" s="32"/>
      <c r="Q610" s="32"/>
      <c r="R610" s="32"/>
      <c r="S610" s="32"/>
      <c r="T610" s="32"/>
      <c r="U610" s="32"/>
      <c r="V610" s="31"/>
      <c r="W610" s="35" t="str">
        <f aca="true">IF(OR(V610="",AG610&gt;=8),"",IF(V610&lt;TODAY(),"Vencida",IF(V610=TODAY(),"Hoy","")))</f>
        <v/>
      </c>
      <c r="X610" s="36" t="str">
        <f aca="false">IF(A610="","",IF(COUNTIF(Seguimiento!$B$2:$B$5001,A610)=0,"",_xlfn.MAXIFS(Seguimiento!$A$2:$A$5001,Seguimiento!$B$2:$B$5001,A610)))</f>
        <v/>
      </c>
      <c r="Y610" s="37" t="str">
        <f aca="true">IF(B610="","",TODAY()-B610)</f>
        <v/>
      </c>
      <c r="Z610" s="38" t="str">
        <f aca="false">IF(OR(O610="",G610=""),"",O610*IFERROR(INDEX(Listas!$B$2:$B$50,MATCH(G610,Listas!$A$2:$A$50,0)),0))</f>
        <v/>
      </c>
      <c r="AA610" s="32"/>
      <c r="AB610" s="32"/>
      <c r="AC610" s="32"/>
      <c r="AD610" s="35" t="str">
        <f aca="false">IF(OR(LEFT(H610,4)="Meta",LEFT(H610,6)="Google"),IF(AG610=3,"Lead calificado",IF(OR(AG610=4,AG610=5),"Tasación/visita",IF(OR(AG610=6,AG610=7),"Captación/oferta",IF(AG610=8,"Cierre","")))),"")</f>
        <v/>
      </c>
      <c r="AE610" s="32"/>
      <c r="AF610" s="32"/>
      <c r="AG610" s="37" t="n">
        <f aca="false">IF(R610="",0,IFERROR(MATCH(R610,Listas!$L$2:$L$50,0),0))</f>
        <v>0</v>
      </c>
    </row>
    <row r="611" customFormat="false" ht="15" hidden="false" customHeight="false" outlineLevel="0" collapsed="false">
      <c r="A611" s="30"/>
      <c r="B611" s="31"/>
      <c r="C611" s="32"/>
      <c r="D611" s="32"/>
      <c r="E611" s="33"/>
      <c r="F611" s="32"/>
      <c r="G611" s="32"/>
      <c r="H611" s="32"/>
      <c r="I611" s="32"/>
      <c r="J611" s="32"/>
      <c r="K611" s="32"/>
      <c r="L611" s="32"/>
      <c r="M611" s="30"/>
      <c r="N611" s="32"/>
      <c r="O611" s="34"/>
      <c r="P611" s="32"/>
      <c r="Q611" s="32"/>
      <c r="R611" s="32"/>
      <c r="S611" s="32"/>
      <c r="T611" s="32"/>
      <c r="U611" s="32"/>
      <c r="V611" s="31"/>
      <c r="W611" s="35" t="str">
        <f aca="true">IF(OR(V611="",AG611&gt;=8),"",IF(V611&lt;TODAY(),"Vencida",IF(V611=TODAY(),"Hoy","")))</f>
        <v/>
      </c>
      <c r="X611" s="36" t="str">
        <f aca="false">IF(A611="","",IF(COUNTIF(Seguimiento!$B$2:$B$5001,A611)=0,"",_xlfn.MAXIFS(Seguimiento!$A$2:$A$5001,Seguimiento!$B$2:$B$5001,A611)))</f>
        <v/>
      </c>
      <c r="Y611" s="37" t="str">
        <f aca="true">IF(B611="","",TODAY()-B611)</f>
        <v/>
      </c>
      <c r="Z611" s="38" t="str">
        <f aca="false">IF(OR(O611="",G611=""),"",O611*IFERROR(INDEX(Listas!$B$2:$B$50,MATCH(G611,Listas!$A$2:$A$50,0)),0))</f>
        <v/>
      </c>
      <c r="AA611" s="32"/>
      <c r="AB611" s="32"/>
      <c r="AC611" s="32"/>
      <c r="AD611" s="35" t="str">
        <f aca="false">IF(OR(LEFT(H611,4)="Meta",LEFT(H611,6)="Google"),IF(AG611=3,"Lead calificado",IF(OR(AG611=4,AG611=5),"Tasación/visita",IF(OR(AG611=6,AG611=7),"Captación/oferta",IF(AG611=8,"Cierre","")))),"")</f>
        <v/>
      </c>
      <c r="AE611" s="32"/>
      <c r="AF611" s="32"/>
      <c r="AG611" s="37" t="n">
        <f aca="false">IF(R611="",0,IFERROR(MATCH(R611,Listas!$L$2:$L$50,0),0))</f>
        <v>0</v>
      </c>
    </row>
    <row r="612" customFormat="false" ht="15" hidden="false" customHeight="false" outlineLevel="0" collapsed="false">
      <c r="A612" s="30"/>
      <c r="B612" s="31"/>
      <c r="C612" s="32"/>
      <c r="D612" s="32"/>
      <c r="E612" s="33"/>
      <c r="F612" s="32"/>
      <c r="G612" s="32"/>
      <c r="H612" s="32"/>
      <c r="I612" s="32"/>
      <c r="J612" s="32"/>
      <c r="K612" s="32"/>
      <c r="L612" s="32"/>
      <c r="M612" s="30"/>
      <c r="N612" s="32"/>
      <c r="O612" s="34"/>
      <c r="P612" s="32"/>
      <c r="Q612" s="32"/>
      <c r="R612" s="32"/>
      <c r="S612" s="32"/>
      <c r="T612" s="32"/>
      <c r="U612" s="32"/>
      <c r="V612" s="31"/>
      <c r="W612" s="35" t="str">
        <f aca="true">IF(OR(V612="",AG612&gt;=8),"",IF(V612&lt;TODAY(),"Vencida",IF(V612=TODAY(),"Hoy","")))</f>
        <v/>
      </c>
      <c r="X612" s="36" t="str">
        <f aca="false">IF(A612="","",IF(COUNTIF(Seguimiento!$B$2:$B$5001,A612)=0,"",_xlfn.MAXIFS(Seguimiento!$A$2:$A$5001,Seguimiento!$B$2:$B$5001,A612)))</f>
        <v/>
      </c>
      <c r="Y612" s="37" t="str">
        <f aca="true">IF(B612="","",TODAY()-B612)</f>
        <v/>
      </c>
      <c r="Z612" s="38" t="str">
        <f aca="false">IF(OR(O612="",G612=""),"",O612*IFERROR(INDEX(Listas!$B$2:$B$50,MATCH(G612,Listas!$A$2:$A$50,0)),0))</f>
        <v/>
      </c>
      <c r="AA612" s="32"/>
      <c r="AB612" s="32"/>
      <c r="AC612" s="32"/>
      <c r="AD612" s="35" t="str">
        <f aca="false">IF(OR(LEFT(H612,4)="Meta",LEFT(H612,6)="Google"),IF(AG612=3,"Lead calificado",IF(OR(AG612=4,AG612=5),"Tasación/visita",IF(OR(AG612=6,AG612=7),"Captación/oferta",IF(AG612=8,"Cierre","")))),"")</f>
        <v/>
      </c>
      <c r="AE612" s="32"/>
      <c r="AF612" s="32"/>
      <c r="AG612" s="37" t="n">
        <f aca="false">IF(R612="",0,IFERROR(MATCH(R612,Listas!$L$2:$L$50,0),0))</f>
        <v>0</v>
      </c>
    </row>
    <row r="613" customFormat="false" ht="15" hidden="false" customHeight="false" outlineLevel="0" collapsed="false">
      <c r="A613" s="30"/>
      <c r="B613" s="31"/>
      <c r="C613" s="32"/>
      <c r="D613" s="32"/>
      <c r="E613" s="33"/>
      <c r="F613" s="32"/>
      <c r="G613" s="32"/>
      <c r="H613" s="32"/>
      <c r="I613" s="32"/>
      <c r="J613" s="32"/>
      <c r="K613" s="32"/>
      <c r="L613" s="32"/>
      <c r="M613" s="30"/>
      <c r="N613" s="32"/>
      <c r="O613" s="34"/>
      <c r="P613" s="32"/>
      <c r="Q613" s="32"/>
      <c r="R613" s="32"/>
      <c r="S613" s="32"/>
      <c r="T613" s="32"/>
      <c r="U613" s="32"/>
      <c r="V613" s="31"/>
      <c r="W613" s="35" t="str">
        <f aca="true">IF(OR(V613="",AG613&gt;=8),"",IF(V613&lt;TODAY(),"Vencida",IF(V613=TODAY(),"Hoy","")))</f>
        <v/>
      </c>
      <c r="X613" s="36" t="str">
        <f aca="false">IF(A613="","",IF(COUNTIF(Seguimiento!$B$2:$B$5001,A613)=0,"",_xlfn.MAXIFS(Seguimiento!$A$2:$A$5001,Seguimiento!$B$2:$B$5001,A613)))</f>
        <v/>
      </c>
      <c r="Y613" s="37" t="str">
        <f aca="true">IF(B613="","",TODAY()-B613)</f>
        <v/>
      </c>
      <c r="Z613" s="38" t="str">
        <f aca="false">IF(OR(O613="",G613=""),"",O613*IFERROR(INDEX(Listas!$B$2:$B$50,MATCH(G613,Listas!$A$2:$A$50,0)),0))</f>
        <v/>
      </c>
      <c r="AA613" s="32"/>
      <c r="AB613" s="32"/>
      <c r="AC613" s="32"/>
      <c r="AD613" s="35" t="str">
        <f aca="false">IF(OR(LEFT(H613,4)="Meta",LEFT(H613,6)="Google"),IF(AG613=3,"Lead calificado",IF(OR(AG613=4,AG613=5),"Tasación/visita",IF(OR(AG613=6,AG613=7),"Captación/oferta",IF(AG613=8,"Cierre","")))),"")</f>
        <v/>
      </c>
      <c r="AE613" s="32"/>
      <c r="AF613" s="32"/>
      <c r="AG613" s="37" t="n">
        <f aca="false">IF(R613="",0,IFERROR(MATCH(R613,Listas!$L$2:$L$50,0),0))</f>
        <v>0</v>
      </c>
    </row>
    <row r="614" customFormat="false" ht="15" hidden="false" customHeight="false" outlineLevel="0" collapsed="false">
      <c r="A614" s="30"/>
      <c r="B614" s="31"/>
      <c r="C614" s="32"/>
      <c r="D614" s="32"/>
      <c r="E614" s="33"/>
      <c r="F614" s="32"/>
      <c r="G614" s="32"/>
      <c r="H614" s="32"/>
      <c r="I614" s="32"/>
      <c r="J614" s="32"/>
      <c r="K614" s="32"/>
      <c r="L614" s="32"/>
      <c r="M614" s="30"/>
      <c r="N614" s="32"/>
      <c r="O614" s="34"/>
      <c r="P614" s="32"/>
      <c r="Q614" s="32"/>
      <c r="R614" s="32"/>
      <c r="S614" s="32"/>
      <c r="T614" s="32"/>
      <c r="U614" s="32"/>
      <c r="V614" s="31"/>
      <c r="W614" s="35" t="str">
        <f aca="true">IF(OR(V614="",AG614&gt;=8),"",IF(V614&lt;TODAY(),"Vencida",IF(V614=TODAY(),"Hoy","")))</f>
        <v/>
      </c>
      <c r="X614" s="36" t="str">
        <f aca="false">IF(A614="","",IF(COUNTIF(Seguimiento!$B$2:$B$5001,A614)=0,"",_xlfn.MAXIFS(Seguimiento!$A$2:$A$5001,Seguimiento!$B$2:$B$5001,A614)))</f>
        <v/>
      </c>
      <c r="Y614" s="37" t="str">
        <f aca="true">IF(B614="","",TODAY()-B614)</f>
        <v/>
      </c>
      <c r="Z614" s="38" t="str">
        <f aca="false">IF(OR(O614="",G614=""),"",O614*IFERROR(INDEX(Listas!$B$2:$B$50,MATCH(G614,Listas!$A$2:$A$50,0)),0))</f>
        <v/>
      </c>
      <c r="AA614" s="32"/>
      <c r="AB614" s="32"/>
      <c r="AC614" s="32"/>
      <c r="AD614" s="35" t="str">
        <f aca="false">IF(OR(LEFT(H614,4)="Meta",LEFT(H614,6)="Google"),IF(AG614=3,"Lead calificado",IF(OR(AG614=4,AG614=5),"Tasación/visita",IF(OR(AG614=6,AG614=7),"Captación/oferta",IF(AG614=8,"Cierre","")))),"")</f>
        <v/>
      </c>
      <c r="AE614" s="32"/>
      <c r="AF614" s="32"/>
      <c r="AG614" s="37" t="n">
        <f aca="false">IF(R614="",0,IFERROR(MATCH(R614,Listas!$L$2:$L$50,0),0))</f>
        <v>0</v>
      </c>
    </row>
    <row r="615" customFormat="false" ht="15" hidden="false" customHeight="false" outlineLevel="0" collapsed="false">
      <c r="A615" s="30"/>
      <c r="B615" s="31"/>
      <c r="C615" s="32"/>
      <c r="D615" s="32"/>
      <c r="E615" s="33"/>
      <c r="F615" s="32"/>
      <c r="G615" s="32"/>
      <c r="H615" s="32"/>
      <c r="I615" s="32"/>
      <c r="J615" s="32"/>
      <c r="K615" s="32"/>
      <c r="L615" s="32"/>
      <c r="M615" s="30"/>
      <c r="N615" s="32"/>
      <c r="O615" s="34"/>
      <c r="P615" s="32"/>
      <c r="Q615" s="32"/>
      <c r="R615" s="32"/>
      <c r="S615" s="32"/>
      <c r="T615" s="32"/>
      <c r="U615" s="32"/>
      <c r="V615" s="31"/>
      <c r="W615" s="35" t="str">
        <f aca="true">IF(OR(V615="",AG615&gt;=8),"",IF(V615&lt;TODAY(),"Vencida",IF(V615=TODAY(),"Hoy","")))</f>
        <v/>
      </c>
      <c r="X615" s="36" t="str">
        <f aca="false">IF(A615="","",IF(COUNTIF(Seguimiento!$B$2:$B$5001,A615)=0,"",_xlfn.MAXIFS(Seguimiento!$A$2:$A$5001,Seguimiento!$B$2:$B$5001,A615)))</f>
        <v/>
      </c>
      <c r="Y615" s="37" t="str">
        <f aca="true">IF(B615="","",TODAY()-B615)</f>
        <v/>
      </c>
      <c r="Z615" s="38" t="str">
        <f aca="false">IF(OR(O615="",G615=""),"",O615*IFERROR(INDEX(Listas!$B$2:$B$50,MATCH(G615,Listas!$A$2:$A$50,0)),0))</f>
        <v/>
      </c>
      <c r="AA615" s="32"/>
      <c r="AB615" s="32"/>
      <c r="AC615" s="32"/>
      <c r="AD615" s="35" t="str">
        <f aca="false">IF(OR(LEFT(H615,4)="Meta",LEFT(H615,6)="Google"),IF(AG615=3,"Lead calificado",IF(OR(AG615=4,AG615=5),"Tasación/visita",IF(OR(AG615=6,AG615=7),"Captación/oferta",IF(AG615=8,"Cierre","")))),"")</f>
        <v/>
      </c>
      <c r="AE615" s="32"/>
      <c r="AF615" s="32"/>
      <c r="AG615" s="37" t="n">
        <f aca="false">IF(R615="",0,IFERROR(MATCH(R615,Listas!$L$2:$L$50,0),0))</f>
        <v>0</v>
      </c>
    </row>
    <row r="616" customFormat="false" ht="15" hidden="false" customHeight="false" outlineLevel="0" collapsed="false">
      <c r="A616" s="30"/>
      <c r="B616" s="31"/>
      <c r="C616" s="32"/>
      <c r="D616" s="32"/>
      <c r="E616" s="33"/>
      <c r="F616" s="32"/>
      <c r="G616" s="32"/>
      <c r="H616" s="32"/>
      <c r="I616" s="32"/>
      <c r="J616" s="32"/>
      <c r="K616" s="32"/>
      <c r="L616" s="32"/>
      <c r="M616" s="30"/>
      <c r="N616" s="32"/>
      <c r="O616" s="34"/>
      <c r="P616" s="32"/>
      <c r="Q616" s="32"/>
      <c r="R616" s="32"/>
      <c r="S616" s="32"/>
      <c r="T616" s="32"/>
      <c r="U616" s="32"/>
      <c r="V616" s="31"/>
      <c r="W616" s="35" t="str">
        <f aca="true">IF(OR(V616="",AG616&gt;=8),"",IF(V616&lt;TODAY(),"Vencida",IF(V616=TODAY(),"Hoy","")))</f>
        <v/>
      </c>
      <c r="X616" s="36" t="str">
        <f aca="false">IF(A616="","",IF(COUNTIF(Seguimiento!$B$2:$B$5001,A616)=0,"",_xlfn.MAXIFS(Seguimiento!$A$2:$A$5001,Seguimiento!$B$2:$B$5001,A616)))</f>
        <v/>
      </c>
      <c r="Y616" s="37" t="str">
        <f aca="true">IF(B616="","",TODAY()-B616)</f>
        <v/>
      </c>
      <c r="Z616" s="38" t="str">
        <f aca="false">IF(OR(O616="",G616=""),"",O616*IFERROR(INDEX(Listas!$B$2:$B$50,MATCH(G616,Listas!$A$2:$A$50,0)),0))</f>
        <v/>
      </c>
      <c r="AA616" s="32"/>
      <c r="AB616" s="32"/>
      <c r="AC616" s="32"/>
      <c r="AD616" s="35" t="str">
        <f aca="false">IF(OR(LEFT(H616,4)="Meta",LEFT(H616,6)="Google"),IF(AG616=3,"Lead calificado",IF(OR(AG616=4,AG616=5),"Tasación/visita",IF(OR(AG616=6,AG616=7),"Captación/oferta",IF(AG616=8,"Cierre","")))),"")</f>
        <v/>
      </c>
      <c r="AE616" s="32"/>
      <c r="AF616" s="32"/>
      <c r="AG616" s="37" t="n">
        <f aca="false">IF(R616="",0,IFERROR(MATCH(R616,Listas!$L$2:$L$50,0),0))</f>
        <v>0</v>
      </c>
    </row>
    <row r="617" customFormat="false" ht="15" hidden="false" customHeight="false" outlineLevel="0" collapsed="false">
      <c r="A617" s="30"/>
      <c r="B617" s="31"/>
      <c r="C617" s="32"/>
      <c r="D617" s="32"/>
      <c r="E617" s="33"/>
      <c r="F617" s="32"/>
      <c r="G617" s="32"/>
      <c r="H617" s="32"/>
      <c r="I617" s="32"/>
      <c r="J617" s="32"/>
      <c r="K617" s="32"/>
      <c r="L617" s="32"/>
      <c r="M617" s="30"/>
      <c r="N617" s="32"/>
      <c r="O617" s="34"/>
      <c r="P617" s="32"/>
      <c r="Q617" s="32"/>
      <c r="R617" s="32"/>
      <c r="S617" s="32"/>
      <c r="T617" s="32"/>
      <c r="U617" s="32"/>
      <c r="V617" s="31"/>
      <c r="W617" s="35" t="str">
        <f aca="true">IF(OR(V617="",AG617&gt;=8),"",IF(V617&lt;TODAY(),"Vencida",IF(V617=TODAY(),"Hoy","")))</f>
        <v/>
      </c>
      <c r="X617" s="36" t="str">
        <f aca="false">IF(A617="","",IF(COUNTIF(Seguimiento!$B$2:$B$5001,A617)=0,"",_xlfn.MAXIFS(Seguimiento!$A$2:$A$5001,Seguimiento!$B$2:$B$5001,A617)))</f>
        <v/>
      </c>
      <c r="Y617" s="37" t="str">
        <f aca="true">IF(B617="","",TODAY()-B617)</f>
        <v/>
      </c>
      <c r="Z617" s="38" t="str">
        <f aca="false">IF(OR(O617="",G617=""),"",O617*IFERROR(INDEX(Listas!$B$2:$B$50,MATCH(G617,Listas!$A$2:$A$50,0)),0))</f>
        <v/>
      </c>
      <c r="AA617" s="32"/>
      <c r="AB617" s="32"/>
      <c r="AC617" s="32"/>
      <c r="AD617" s="35" t="str">
        <f aca="false">IF(OR(LEFT(H617,4)="Meta",LEFT(H617,6)="Google"),IF(AG617=3,"Lead calificado",IF(OR(AG617=4,AG617=5),"Tasación/visita",IF(OR(AG617=6,AG617=7),"Captación/oferta",IF(AG617=8,"Cierre","")))),"")</f>
        <v/>
      </c>
      <c r="AE617" s="32"/>
      <c r="AF617" s="32"/>
      <c r="AG617" s="37" t="n">
        <f aca="false">IF(R617="",0,IFERROR(MATCH(R617,Listas!$L$2:$L$50,0),0))</f>
        <v>0</v>
      </c>
    </row>
    <row r="618" customFormat="false" ht="15" hidden="false" customHeight="false" outlineLevel="0" collapsed="false">
      <c r="A618" s="30"/>
      <c r="B618" s="31"/>
      <c r="C618" s="32"/>
      <c r="D618" s="32"/>
      <c r="E618" s="33"/>
      <c r="F618" s="32"/>
      <c r="G618" s="32"/>
      <c r="H618" s="32"/>
      <c r="I618" s="32"/>
      <c r="J618" s="32"/>
      <c r="K618" s="32"/>
      <c r="L618" s="32"/>
      <c r="M618" s="30"/>
      <c r="N618" s="32"/>
      <c r="O618" s="34"/>
      <c r="P618" s="32"/>
      <c r="Q618" s="32"/>
      <c r="R618" s="32"/>
      <c r="S618" s="32"/>
      <c r="T618" s="32"/>
      <c r="U618" s="32"/>
      <c r="V618" s="31"/>
      <c r="W618" s="35" t="str">
        <f aca="true">IF(OR(V618="",AG618&gt;=8),"",IF(V618&lt;TODAY(),"Vencida",IF(V618=TODAY(),"Hoy","")))</f>
        <v/>
      </c>
      <c r="X618" s="36" t="str">
        <f aca="false">IF(A618="","",IF(COUNTIF(Seguimiento!$B$2:$B$5001,A618)=0,"",_xlfn.MAXIFS(Seguimiento!$A$2:$A$5001,Seguimiento!$B$2:$B$5001,A618)))</f>
        <v/>
      </c>
      <c r="Y618" s="37" t="str">
        <f aca="true">IF(B618="","",TODAY()-B618)</f>
        <v/>
      </c>
      <c r="Z618" s="38" t="str">
        <f aca="false">IF(OR(O618="",G618=""),"",O618*IFERROR(INDEX(Listas!$B$2:$B$50,MATCH(G618,Listas!$A$2:$A$50,0)),0))</f>
        <v/>
      </c>
      <c r="AA618" s="32"/>
      <c r="AB618" s="32"/>
      <c r="AC618" s="32"/>
      <c r="AD618" s="35" t="str">
        <f aca="false">IF(OR(LEFT(H618,4)="Meta",LEFT(H618,6)="Google"),IF(AG618=3,"Lead calificado",IF(OR(AG618=4,AG618=5),"Tasación/visita",IF(OR(AG618=6,AG618=7),"Captación/oferta",IF(AG618=8,"Cierre","")))),"")</f>
        <v/>
      </c>
      <c r="AE618" s="32"/>
      <c r="AF618" s="32"/>
      <c r="AG618" s="37" t="n">
        <f aca="false">IF(R618="",0,IFERROR(MATCH(R618,Listas!$L$2:$L$50,0),0))</f>
        <v>0</v>
      </c>
    </row>
    <row r="619" customFormat="false" ht="15" hidden="false" customHeight="false" outlineLevel="0" collapsed="false">
      <c r="A619" s="30"/>
      <c r="B619" s="31"/>
      <c r="C619" s="32"/>
      <c r="D619" s="32"/>
      <c r="E619" s="33"/>
      <c r="F619" s="32"/>
      <c r="G619" s="32"/>
      <c r="H619" s="32"/>
      <c r="I619" s="32"/>
      <c r="J619" s="32"/>
      <c r="K619" s="32"/>
      <c r="L619" s="32"/>
      <c r="M619" s="30"/>
      <c r="N619" s="32"/>
      <c r="O619" s="34"/>
      <c r="P619" s="32"/>
      <c r="Q619" s="32"/>
      <c r="R619" s="32"/>
      <c r="S619" s="32"/>
      <c r="T619" s="32"/>
      <c r="U619" s="32"/>
      <c r="V619" s="31"/>
      <c r="W619" s="35" t="str">
        <f aca="true">IF(OR(V619="",AG619&gt;=8),"",IF(V619&lt;TODAY(),"Vencida",IF(V619=TODAY(),"Hoy","")))</f>
        <v/>
      </c>
      <c r="X619" s="36" t="str">
        <f aca="false">IF(A619="","",IF(COUNTIF(Seguimiento!$B$2:$B$5001,A619)=0,"",_xlfn.MAXIFS(Seguimiento!$A$2:$A$5001,Seguimiento!$B$2:$B$5001,A619)))</f>
        <v/>
      </c>
      <c r="Y619" s="37" t="str">
        <f aca="true">IF(B619="","",TODAY()-B619)</f>
        <v/>
      </c>
      <c r="Z619" s="38" t="str">
        <f aca="false">IF(OR(O619="",G619=""),"",O619*IFERROR(INDEX(Listas!$B$2:$B$50,MATCH(G619,Listas!$A$2:$A$50,0)),0))</f>
        <v/>
      </c>
      <c r="AA619" s="32"/>
      <c r="AB619" s="32"/>
      <c r="AC619" s="32"/>
      <c r="AD619" s="35" t="str">
        <f aca="false">IF(OR(LEFT(H619,4)="Meta",LEFT(H619,6)="Google"),IF(AG619=3,"Lead calificado",IF(OR(AG619=4,AG619=5),"Tasación/visita",IF(OR(AG619=6,AG619=7),"Captación/oferta",IF(AG619=8,"Cierre","")))),"")</f>
        <v/>
      </c>
      <c r="AE619" s="32"/>
      <c r="AF619" s="32"/>
      <c r="AG619" s="37" t="n">
        <f aca="false">IF(R619="",0,IFERROR(MATCH(R619,Listas!$L$2:$L$50,0),0))</f>
        <v>0</v>
      </c>
    </row>
    <row r="620" customFormat="false" ht="15" hidden="false" customHeight="false" outlineLevel="0" collapsed="false">
      <c r="A620" s="30"/>
      <c r="B620" s="31"/>
      <c r="C620" s="32"/>
      <c r="D620" s="32"/>
      <c r="E620" s="33"/>
      <c r="F620" s="32"/>
      <c r="G620" s="32"/>
      <c r="H620" s="32"/>
      <c r="I620" s="32"/>
      <c r="J620" s="32"/>
      <c r="K620" s="32"/>
      <c r="L620" s="32"/>
      <c r="M620" s="30"/>
      <c r="N620" s="32"/>
      <c r="O620" s="34"/>
      <c r="P620" s="32"/>
      <c r="Q620" s="32"/>
      <c r="R620" s="32"/>
      <c r="S620" s="32"/>
      <c r="T620" s="32"/>
      <c r="U620" s="32"/>
      <c r="V620" s="31"/>
      <c r="W620" s="35" t="str">
        <f aca="true">IF(OR(V620="",AG620&gt;=8),"",IF(V620&lt;TODAY(),"Vencida",IF(V620=TODAY(),"Hoy","")))</f>
        <v/>
      </c>
      <c r="X620" s="36" t="str">
        <f aca="false">IF(A620="","",IF(COUNTIF(Seguimiento!$B$2:$B$5001,A620)=0,"",_xlfn.MAXIFS(Seguimiento!$A$2:$A$5001,Seguimiento!$B$2:$B$5001,A620)))</f>
        <v/>
      </c>
      <c r="Y620" s="37" t="str">
        <f aca="true">IF(B620="","",TODAY()-B620)</f>
        <v/>
      </c>
      <c r="Z620" s="38" t="str">
        <f aca="false">IF(OR(O620="",G620=""),"",O620*IFERROR(INDEX(Listas!$B$2:$B$50,MATCH(G620,Listas!$A$2:$A$50,0)),0))</f>
        <v/>
      </c>
      <c r="AA620" s="32"/>
      <c r="AB620" s="32"/>
      <c r="AC620" s="32"/>
      <c r="AD620" s="35" t="str">
        <f aca="false">IF(OR(LEFT(H620,4)="Meta",LEFT(H620,6)="Google"),IF(AG620=3,"Lead calificado",IF(OR(AG620=4,AG620=5),"Tasación/visita",IF(OR(AG620=6,AG620=7),"Captación/oferta",IF(AG620=8,"Cierre","")))),"")</f>
        <v/>
      </c>
      <c r="AE620" s="32"/>
      <c r="AF620" s="32"/>
      <c r="AG620" s="37" t="n">
        <f aca="false">IF(R620="",0,IFERROR(MATCH(R620,Listas!$L$2:$L$50,0),0))</f>
        <v>0</v>
      </c>
    </row>
    <row r="621" customFormat="false" ht="15" hidden="false" customHeight="false" outlineLevel="0" collapsed="false">
      <c r="A621" s="30"/>
      <c r="B621" s="31"/>
      <c r="C621" s="32"/>
      <c r="D621" s="32"/>
      <c r="E621" s="33"/>
      <c r="F621" s="32"/>
      <c r="G621" s="32"/>
      <c r="H621" s="32"/>
      <c r="I621" s="32"/>
      <c r="J621" s="32"/>
      <c r="K621" s="32"/>
      <c r="L621" s="32"/>
      <c r="M621" s="30"/>
      <c r="N621" s="32"/>
      <c r="O621" s="34"/>
      <c r="P621" s="32"/>
      <c r="Q621" s="32"/>
      <c r="R621" s="32"/>
      <c r="S621" s="32"/>
      <c r="T621" s="32"/>
      <c r="U621" s="32"/>
      <c r="V621" s="31"/>
      <c r="W621" s="35" t="str">
        <f aca="true">IF(OR(V621="",AG621&gt;=8),"",IF(V621&lt;TODAY(),"Vencida",IF(V621=TODAY(),"Hoy","")))</f>
        <v/>
      </c>
      <c r="X621" s="36" t="str">
        <f aca="false">IF(A621="","",IF(COUNTIF(Seguimiento!$B$2:$B$5001,A621)=0,"",_xlfn.MAXIFS(Seguimiento!$A$2:$A$5001,Seguimiento!$B$2:$B$5001,A621)))</f>
        <v/>
      </c>
      <c r="Y621" s="37" t="str">
        <f aca="true">IF(B621="","",TODAY()-B621)</f>
        <v/>
      </c>
      <c r="Z621" s="38" t="str">
        <f aca="false">IF(OR(O621="",G621=""),"",O621*IFERROR(INDEX(Listas!$B$2:$B$50,MATCH(G621,Listas!$A$2:$A$50,0)),0))</f>
        <v/>
      </c>
      <c r="AA621" s="32"/>
      <c r="AB621" s="32"/>
      <c r="AC621" s="32"/>
      <c r="AD621" s="35" t="str">
        <f aca="false">IF(OR(LEFT(H621,4)="Meta",LEFT(H621,6)="Google"),IF(AG621=3,"Lead calificado",IF(OR(AG621=4,AG621=5),"Tasación/visita",IF(OR(AG621=6,AG621=7),"Captación/oferta",IF(AG621=8,"Cierre","")))),"")</f>
        <v/>
      </c>
      <c r="AE621" s="32"/>
      <c r="AF621" s="32"/>
      <c r="AG621" s="37" t="n">
        <f aca="false">IF(R621="",0,IFERROR(MATCH(R621,Listas!$L$2:$L$50,0),0))</f>
        <v>0</v>
      </c>
    </row>
    <row r="622" customFormat="false" ht="15" hidden="false" customHeight="false" outlineLevel="0" collapsed="false">
      <c r="A622" s="30"/>
      <c r="B622" s="31"/>
      <c r="C622" s="32"/>
      <c r="D622" s="32"/>
      <c r="E622" s="33"/>
      <c r="F622" s="32"/>
      <c r="G622" s="32"/>
      <c r="H622" s="32"/>
      <c r="I622" s="32"/>
      <c r="J622" s="32"/>
      <c r="K622" s="32"/>
      <c r="L622" s="32"/>
      <c r="M622" s="30"/>
      <c r="N622" s="32"/>
      <c r="O622" s="34"/>
      <c r="P622" s="32"/>
      <c r="Q622" s="32"/>
      <c r="R622" s="32"/>
      <c r="S622" s="32"/>
      <c r="T622" s="32"/>
      <c r="U622" s="32"/>
      <c r="V622" s="31"/>
      <c r="W622" s="35" t="str">
        <f aca="true">IF(OR(V622="",AG622&gt;=8),"",IF(V622&lt;TODAY(),"Vencida",IF(V622=TODAY(),"Hoy","")))</f>
        <v/>
      </c>
      <c r="X622" s="36" t="str">
        <f aca="false">IF(A622="","",IF(COUNTIF(Seguimiento!$B$2:$B$5001,A622)=0,"",_xlfn.MAXIFS(Seguimiento!$A$2:$A$5001,Seguimiento!$B$2:$B$5001,A622)))</f>
        <v/>
      </c>
      <c r="Y622" s="37" t="str">
        <f aca="true">IF(B622="","",TODAY()-B622)</f>
        <v/>
      </c>
      <c r="Z622" s="38" t="str">
        <f aca="false">IF(OR(O622="",G622=""),"",O622*IFERROR(INDEX(Listas!$B$2:$B$50,MATCH(G622,Listas!$A$2:$A$50,0)),0))</f>
        <v/>
      </c>
      <c r="AA622" s="32"/>
      <c r="AB622" s="32"/>
      <c r="AC622" s="32"/>
      <c r="AD622" s="35" t="str">
        <f aca="false">IF(OR(LEFT(H622,4)="Meta",LEFT(H622,6)="Google"),IF(AG622=3,"Lead calificado",IF(OR(AG622=4,AG622=5),"Tasación/visita",IF(OR(AG622=6,AG622=7),"Captación/oferta",IF(AG622=8,"Cierre","")))),"")</f>
        <v/>
      </c>
      <c r="AE622" s="32"/>
      <c r="AF622" s="32"/>
      <c r="AG622" s="37" t="n">
        <f aca="false">IF(R622="",0,IFERROR(MATCH(R622,Listas!$L$2:$L$50,0),0))</f>
        <v>0</v>
      </c>
    </row>
    <row r="623" customFormat="false" ht="15" hidden="false" customHeight="false" outlineLevel="0" collapsed="false">
      <c r="A623" s="30"/>
      <c r="B623" s="31"/>
      <c r="C623" s="32"/>
      <c r="D623" s="32"/>
      <c r="E623" s="33"/>
      <c r="F623" s="32"/>
      <c r="G623" s="32"/>
      <c r="H623" s="32"/>
      <c r="I623" s="32"/>
      <c r="J623" s="32"/>
      <c r="K623" s="32"/>
      <c r="L623" s="32"/>
      <c r="M623" s="30"/>
      <c r="N623" s="32"/>
      <c r="O623" s="34"/>
      <c r="P623" s="32"/>
      <c r="Q623" s="32"/>
      <c r="R623" s="32"/>
      <c r="S623" s="32"/>
      <c r="T623" s="32"/>
      <c r="U623" s="32"/>
      <c r="V623" s="31"/>
      <c r="W623" s="35" t="str">
        <f aca="true">IF(OR(V623="",AG623&gt;=8),"",IF(V623&lt;TODAY(),"Vencida",IF(V623=TODAY(),"Hoy","")))</f>
        <v/>
      </c>
      <c r="X623" s="36" t="str">
        <f aca="false">IF(A623="","",IF(COUNTIF(Seguimiento!$B$2:$B$5001,A623)=0,"",_xlfn.MAXIFS(Seguimiento!$A$2:$A$5001,Seguimiento!$B$2:$B$5001,A623)))</f>
        <v/>
      </c>
      <c r="Y623" s="37" t="str">
        <f aca="true">IF(B623="","",TODAY()-B623)</f>
        <v/>
      </c>
      <c r="Z623" s="38" t="str">
        <f aca="false">IF(OR(O623="",G623=""),"",O623*IFERROR(INDEX(Listas!$B$2:$B$50,MATCH(G623,Listas!$A$2:$A$50,0)),0))</f>
        <v/>
      </c>
      <c r="AA623" s="32"/>
      <c r="AB623" s="32"/>
      <c r="AC623" s="32"/>
      <c r="AD623" s="35" t="str">
        <f aca="false">IF(OR(LEFT(H623,4)="Meta",LEFT(H623,6)="Google"),IF(AG623=3,"Lead calificado",IF(OR(AG623=4,AG623=5),"Tasación/visita",IF(OR(AG623=6,AG623=7),"Captación/oferta",IF(AG623=8,"Cierre","")))),"")</f>
        <v/>
      </c>
      <c r="AE623" s="32"/>
      <c r="AF623" s="32"/>
      <c r="AG623" s="37" t="n">
        <f aca="false">IF(R623="",0,IFERROR(MATCH(R623,Listas!$L$2:$L$50,0),0))</f>
        <v>0</v>
      </c>
    </row>
    <row r="624" customFormat="false" ht="15" hidden="false" customHeight="false" outlineLevel="0" collapsed="false">
      <c r="A624" s="30"/>
      <c r="B624" s="31"/>
      <c r="C624" s="32"/>
      <c r="D624" s="32"/>
      <c r="E624" s="33"/>
      <c r="F624" s="32"/>
      <c r="G624" s="32"/>
      <c r="H624" s="32"/>
      <c r="I624" s="32"/>
      <c r="J624" s="32"/>
      <c r="K624" s="32"/>
      <c r="L624" s="32"/>
      <c r="M624" s="30"/>
      <c r="N624" s="32"/>
      <c r="O624" s="34"/>
      <c r="P624" s="32"/>
      <c r="Q624" s="32"/>
      <c r="R624" s="32"/>
      <c r="S624" s="32"/>
      <c r="T624" s="32"/>
      <c r="U624" s="32"/>
      <c r="V624" s="31"/>
      <c r="W624" s="35" t="str">
        <f aca="true">IF(OR(V624="",AG624&gt;=8),"",IF(V624&lt;TODAY(),"Vencida",IF(V624=TODAY(),"Hoy","")))</f>
        <v/>
      </c>
      <c r="X624" s="36" t="str">
        <f aca="false">IF(A624="","",IF(COUNTIF(Seguimiento!$B$2:$B$5001,A624)=0,"",_xlfn.MAXIFS(Seguimiento!$A$2:$A$5001,Seguimiento!$B$2:$B$5001,A624)))</f>
        <v/>
      </c>
      <c r="Y624" s="37" t="str">
        <f aca="true">IF(B624="","",TODAY()-B624)</f>
        <v/>
      </c>
      <c r="Z624" s="38" t="str">
        <f aca="false">IF(OR(O624="",G624=""),"",O624*IFERROR(INDEX(Listas!$B$2:$B$50,MATCH(G624,Listas!$A$2:$A$50,0)),0))</f>
        <v/>
      </c>
      <c r="AA624" s="32"/>
      <c r="AB624" s="32"/>
      <c r="AC624" s="32"/>
      <c r="AD624" s="35" t="str">
        <f aca="false">IF(OR(LEFT(H624,4)="Meta",LEFT(H624,6)="Google"),IF(AG624=3,"Lead calificado",IF(OR(AG624=4,AG624=5),"Tasación/visita",IF(OR(AG624=6,AG624=7),"Captación/oferta",IF(AG624=8,"Cierre","")))),"")</f>
        <v/>
      </c>
      <c r="AE624" s="32"/>
      <c r="AF624" s="32"/>
      <c r="AG624" s="37" t="n">
        <f aca="false">IF(R624="",0,IFERROR(MATCH(R624,Listas!$L$2:$L$50,0),0))</f>
        <v>0</v>
      </c>
    </row>
    <row r="625" customFormat="false" ht="15" hidden="false" customHeight="false" outlineLevel="0" collapsed="false">
      <c r="A625" s="30"/>
      <c r="B625" s="31"/>
      <c r="C625" s="32"/>
      <c r="D625" s="32"/>
      <c r="E625" s="33"/>
      <c r="F625" s="32"/>
      <c r="G625" s="32"/>
      <c r="H625" s="32"/>
      <c r="I625" s="32"/>
      <c r="J625" s="32"/>
      <c r="K625" s="32"/>
      <c r="L625" s="32"/>
      <c r="M625" s="30"/>
      <c r="N625" s="32"/>
      <c r="O625" s="34"/>
      <c r="P625" s="32"/>
      <c r="Q625" s="32"/>
      <c r="R625" s="32"/>
      <c r="S625" s="32"/>
      <c r="T625" s="32"/>
      <c r="U625" s="32"/>
      <c r="V625" s="31"/>
      <c r="W625" s="35" t="str">
        <f aca="true">IF(OR(V625="",AG625&gt;=8),"",IF(V625&lt;TODAY(),"Vencida",IF(V625=TODAY(),"Hoy","")))</f>
        <v/>
      </c>
      <c r="X625" s="36" t="str">
        <f aca="false">IF(A625="","",IF(COUNTIF(Seguimiento!$B$2:$B$5001,A625)=0,"",_xlfn.MAXIFS(Seguimiento!$A$2:$A$5001,Seguimiento!$B$2:$B$5001,A625)))</f>
        <v/>
      </c>
      <c r="Y625" s="37" t="str">
        <f aca="true">IF(B625="","",TODAY()-B625)</f>
        <v/>
      </c>
      <c r="Z625" s="38" t="str">
        <f aca="false">IF(OR(O625="",G625=""),"",O625*IFERROR(INDEX(Listas!$B$2:$B$50,MATCH(G625,Listas!$A$2:$A$50,0)),0))</f>
        <v/>
      </c>
      <c r="AA625" s="32"/>
      <c r="AB625" s="32"/>
      <c r="AC625" s="32"/>
      <c r="AD625" s="35" t="str">
        <f aca="false">IF(OR(LEFT(H625,4)="Meta",LEFT(H625,6)="Google"),IF(AG625=3,"Lead calificado",IF(OR(AG625=4,AG625=5),"Tasación/visita",IF(OR(AG625=6,AG625=7),"Captación/oferta",IF(AG625=8,"Cierre","")))),"")</f>
        <v/>
      </c>
      <c r="AE625" s="32"/>
      <c r="AF625" s="32"/>
      <c r="AG625" s="37" t="n">
        <f aca="false">IF(R625="",0,IFERROR(MATCH(R625,Listas!$L$2:$L$50,0),0))</f>
        <v>0</v>
      </c>
    </row>
    <row r="626" customFormat="false" ht="15" hidden="false" customHeight="false" outlineLevel="0" collapsed="false">
      <c r="A626" s="30"/>
      <c r="B626" s="31"/>
      <c r="C626" s="32"/>
      <c r="D626" s="32"/>
      <c r="E626" s="33"/>
      <c r="F626" s="32"/>
      <c r="G626" s="32"/>
      <c r="H626" s="32"/>
      <c r="I626" s="32"/>
      <c r="J626" s="32"/>
      <c r="K626" s="32"/>
      <c r="L626" s="32"/>
      <c r="M626" s="30"/>
      <c r="N626" s="32"/>
      <c r="O626" s="34"/>
      <c r="P626" s="32"/>
      <c r="Q626" s="32"/>
      <c r="R626" s="32"/>
      <c r="S626" s="32"/>
      <c r="T626" s="32"/>
      <c r="U626" s="32"/>
      <c r="V626" s="31"/>
      <c r="W626" s="35" t="str">
        <f aca="true">IF(OR(V626="",AG626&gt;=8),"",IF(V626&lt;TODAY(),"Vencida",IF(V626=TODAY(),"Hoy","")))</f>
        <v/>
      </c>
      <c r="X626" s="36" t="str">
        <f aca="false">IF(A626="","",IF(COUNTIF(Seguimiento!$B$2:$B$5001,A626)=0,"",_xlfn.MAXIFS(Seguimiento!$A$2:$A$5001,Seguimiento!$B$2:$B$5001,A626)))</f>
        <v/>
      </c>
      <c r="Y626" s="37" t="str">
        <f aca="true">IF(B626="","",TODAY()-B626)</f>
        <v/>
      </c>
      <c r="Z626" s="38" t="str">
        <f aca="false">IF(OR(O626="",G626=""),"",O626*IFERROR(INDEX(Listas!$B$2:$B$50,MATCH(G626,Listas!$A$2:$A$50,0)),0))</f>
        <v/>
      </c>
      <c r="AA626" s="32"/>
      <c r="AB626" s="32"/>
      <c r="AC626" s="32"/>
      <c r="AD626" s="35" t="str">
        <f aca="false">IF(OR(LEFT(H626,4)="Meta",LEFT(H626,6)="Google"),IF(AG626=3,"Lead calificado",IF(OR(AG626=4,AG626=5),"Tasación/visita",IF(OR(AG626=6,AG626=7),"Captación/oferta",IF(AG626=8,"Cierre","")))),"")</f>
        <v/>
      </c>
      <c r="AE626" s="32"/>
      <c r="AF626" s="32"/>
      <c r="AG626" s="37" t="n">
        <f aca="false">IF(R626="",0,IFERROR(MATCH(R626,Listas!$L$2:$L$50,0),0))</f>
        <v>0</v>
      </c>
    </row>
    <row r="627" customFormat="false" ht="15" hidden="false" customHeight="false" outlineLevel="0" collapsed="false">
      <c r="A627" s="30"/>
      <c r="B627" s="31"/>
      <c r="C627" s="32"/>
      <c r="D627" s="32"/>
      <c r="E627" s="33"/>
      <c r="F627" s="32"/>
      <c r="G627" s="32"/>
      <c r="H627" s="32"/>
      <c r="I627" s="32"/>
      <c r="J627" s="32"/>
      <c r="K627" s="32"/>
      <c r="L627" s="32"/>
      <c r="M627" s="30"/>
      <c r="N627" s="32"/>
      <c r="O627" s="34"/>
      <c r="P627" s="32"/>
      <c r="Q627" s="32"/>
      <c r="R627" s="32"/>
      <c r="S627" s="32"/>
      <c r="T627" s="32"/>
      <c r="U627" s="32"/>
      <c r="V627" s="31"/>
      <c r="W627" s="35" t="str">
        <f aca="true">IF(OR(V627="",AG627&gt;=8),"",IF(V627&lt;TODAY(),"Vencida",IF(V627=TODAY(),"Hoy","")))</f>
        <v/>
      </c>
      <c r="X627" s="36" t="str">
        <f aca="false">IF(A627="","",IF(COUNTIF(Seguimiento!$B$2:$B$5001,A627)=0,"",_xlfn.MAXIFS(Seguimiento!$A$2:$A$5001,Seguimiento!$B$2:$B$5001,A627)))</f>
        <v/>
      </c>
      <c r="Y627" s="37" t="str">
        <f aca="true">IF(B627="","",TODAY()-B627)</f>
        <v/>
      </c>
      <c r="Z627" s="38" t="str">
        <f aca="false">IF(OR(O627="",G627=""),"",O627*IFERROR(INDEX(Listas!$B$2:$B$50,MATCH(G627,Listas!$A$2:$A$50,0)),0))</f>
        <v/>
      </c>
      <c r="AA627" s="32"/>
      <c r="AB627" s="32"/>
      <c r="AC627" s="32"/>
      <c r="AD627" s="35" t="str">
        <f aca="false">IF(OR(LEFT(H627,4)="Meta",LEFT(H627,6)="Google"),IF(AG627=3,"Lead calificado",IF(OR(AG627=4,AG627=5),"Tasación/visita",IF(OR(AG627=6,AG627=7),"Captación/oferta",IF(AG627=8,"Cierre","")))),"")</f>
        <v/>
      </c>
      <c r="AE627" s="32"/>
      <c r="AF627" s="32"/>
      <c r="AG627" s="37" t="n">
        <f aca="false">IF(R627="",0,IFERROR(MATCH(R627,Listas!$L$2:$L$50,0),0))</f>
        <v>0</v>
      </c>
    </row>
    <row r="628" customFormat="false" ht="15" hidden="false" customHeight="false" outlineLevel="0" collapsed="false">
      <c r="A628" s="30"/>
      <c r="B628" s="31"/>
      <c r="C628" s="32"/>
      <c r="D628" s="32"/>
      <c r="E628" s="33"/>
      <c r="F628" s="32"/>
      <c r="G628" s="32"/>
      <c r="H628" s="32"/>
      <c r="I628" s="32"/>
      <c r="J628" s="32"/>
      <c r="K628" s="32"/>
      <c r="L628" s="32"/>
      <c r="M628" s="30"/>
      <c r="N628" s="32"/>
      <c r="O628" s="34"/>
      <c r="P628" s="32"/>
      <c r="Q628" s="32"/>
      <c r="R628" s="32"/>
      <c r="S628" s="32"/>
      <c r="T628" s="32"/>
      <c r="U628" s="32"/>
      <c r="V628" s="31"/>
      <c r="W628" s="35" t="str">
        <f aca="true">IF(OR(V628="",AG628&gt;=8),"",IF(V628&lt;TODAY(),"Vencida",IF(V628=TODAY(),"Hoy","")))</f>
        <v/>
      </c>
      <c r="X628" s="36" t="str">
        <f aca="false">IF(A628="","",IF(COUNTIF(Seguimiento!$B$2:$B$5001,A628)=0,"",_xlfn.MAXIFS(Seguimiento!$A$2:$A$5001,Seguimiento!$B$2:$B$5001,A628)))</f>
        <v/>
      </c>
      <c r="Y628" s="37" t="str">
        <f aca="true">IF(B628="","",TODAY()-B628)</f>
        <v/>
      </c>
      <c r="Z628" s="38" t="str">
        <f aca="false">IF(OR(O628="",G628=""),"",O628*IFERROR(INDEX(Listas!$B$2:$B$50,MATCH(G628,Listas!$A$2:$A$50,0)),0))</f>
        <v/>
      </c>
      <c r="AA628" s="32"/>
      <c r="AB628" s="32"/>
      <c r="AC628" s="32"/>
      <c r="AD628" s="35" t="str">
        <f aca="false">IF(OR(LEFT(H628,4)="Meta",LEFT(H628,6)="Google"),IF(AG628=3,"Lead calificado",IF(OR(AG628=4,AG628=5),"Tasación/visita",IF(OR(AG628=6,AG628=7),"Captación/oferta",IF(AG628=8,"Cierre","")))),"")</f>
        <v/>
      </c>
      <c r="AE628" s="32"/>
      <c r="AF628" s="32"/>
      <c r="AG628" s="37" t="n">
        <f aca="false">IF(R628="",0,IFERROR(MATCH(R628,Listas!$L$2:$L$50,0),0))</f>
        <v>0</v>
      </c>
    </row>
    <row r="629" customFormat="false" ht="15" hidden="false" customHeight="false" outlineLevel="0" collapsed="false">
      <c r="A629" s="30"/>
      <c r="B629" s="31"/>
      <c r="C629" s="32"/>
      <c r="D629" s="32"/>
      <c r="E629" s="33"/>
      <c r="F629" s="32"/>
      <c r="G629" s="32"/>
      <c r="H629" s="32"/>
      <c r="I629" s="32"/>
      <c r="J629" s="32"/>
      <c r="K629" s="32"/>
      <c r="L629" s="32"/>
      <c r="M629" s="30"/>
      <c r="N629" s="32"/>
      <c r="O629" s="34"/>
      <c r="P629" s="32"/>
      <c r="Q629" s="32"/>
      <c r="R629" s="32"/>
      <c r="S629" s="32"/>
      <c r="T629" s="32"/>
      <c r="U629" s="32"/>
      <c r="V629" s="31"/>
      <c r="W629" s="35" t="str">
        <f aca="true">IF(OR(V629="",AG629&gt;=8),"",IF(V629&lt;TODAY(),"Vencida",IF(V629=TODAY(),"Hoy","")))</f>
        <v/>
      </c>
      <c r="X629" s="36" t="str">
        <f aca="false">IF(A629="","",IF(COUNTIF(Seguimiento!$B$2:$B$5001,A629)=0,"",_xlfn.MAXIFS(Seguimiento!$A$2:$A$5001,Seguimiento!$B$2:$B$5001,A629)))</f>
        <v/>
      </c>
      <c r="Y629" s="37" t="str">
        <f aca="true">IF(B629="","",TODAY()-B629)</f>
        <v/>
      </c>
      <c r="Z629" s="38" t="str">
        <f aca="false">IF(OR(O629="",G629=""),"",O629*IFERROR(INDEX(Listas!$B$2:$B$50,MATCH(G629,Listas!$A$2:$A$50,0)),0))</f>
        <v/>
      </c>
      <c r="AA629" s="32"/>
      <c r="AB629" s="32"/>
      <c r="AC629" s="32"/>
      <c r="AD629" s="35" t="str">
        <f aca="false">IF(OR(LEFT(H629,4)="Meta",LEFT(H629,6)="Google"),IF(AG629=3,"Lead calificado",IF(OR(AG629=4,AG629=5),"Tasación/visita",IF(OR(AG629=6,AG629=7),"Captación/oferta",IF(AG629=8,"Cierre","")))),"")</f>
        <v/>
      </c>
      <c r="AE629" s="32"/>
      <c r="AF629" s="32"/>
      <c r="AG629" s="37" t="n">
        <f aca="false">IF(R629="",0,IFERROR(MATCH(R629,Listas!$L$2:$L$50,0),0))</f>
        <v>0</v>
      </c>
    </row>
    <row r="630" customFormat="false" ht="15" hidden="false" customHeight="false" outlineLevel="0" collapsed="false">
      <c r="A630" s="30"/>
      <c r="B630" s="31"/>
      <c r="C630" s="32"/>
      <c r="D630" s="32"/>
      <c r="E630" s="33"/>
      <c r="F630" s="32"/>
      <c r="G630" s="32"/>
      <c r="H630" s="32"/>
      <c r="I630" s="32"/>
      <c r="J630" s="32"/>
      <c r="K630" s="32"/>
      <c r="L630" s="32"/>
      <c r="M630" s="30"/>
      <c r="N630" s="32"/>
      <c r="O630" s="34"/>
      <c r="P630" s="32"/>
      <c r="Q630" s="32"/>
      <c r="R630" s="32"/>
      <c r="S630" s="32"/>
      <c r="T630" s="32"/>
      <c r="U630" s="32"/>
      <c r="V630" s="31"/>
      <c r="W630" s="35" t="str">
        <f aca="true">IF(OR(V630="",AG630&gt;=8),"",IF(V630&lt;TODAY(),"Vencida",IF(V630=TODAY(),"Hoy","")))</f>
        <v/>
      </c>
      <c r="X630" s="36" t="str">
        <f aca="false">IF(A630="","",IF(COUNTIF(Seguimiento!$B$2:$B$5001,A630)=0,"",_xlfn.MAXIFS(Seguimiento!$A$2:$A$5001,Seguimiento!$B$2:$B$5001,A630)))</f>
        <v/>
      </c>
      <c r="Y630" s="37" t="str">
        <f aca="true">IF(B630="","",TODAY()-B630)</f>
        <v/>
      </c>
      <c r="Z630" s="38" t="str">
        <f aca="false">IF(OR(O630="",G630=""),"",O630*IFERROR(INDEX(Listas!$B$2:$B$50,MATCH(G630,Listas!$A$2:$A$50,0)),0))</f>
        <v/>
      </c>
      <c r="AA630" s="32"/>
      <c r="AB630" s="32"/>
      <c r="AC630" s="32"/>
      <c r="AD630" s="35" t="str">
        <f aca="false">IF(OR(LEFT(H630,4)="Meta",LEFT(H630,6)="Google"),IF(AG630=3,"Lead calificado",IF(OR(AG630=4,AG630=5),"Tasación/visita",IF(OR(AG630=6,AG630=7),"Captación/oferta",IF(AG630=8,"Cierre","")))),"")</f>
        <v/>
      </c>
      <c r="AE630" s="32"/>
      <c r="AF630" s="32"/>
      <c r="AG630" s="37" t="n">
        <f aca="false">IF(R630="",0,IFERROR(MATCH(R630,Listas!$L$2:$L$50,0),0))</f>
        <v>0</v>
      </c>
    </row>
    <row r="631" customFormat="false" ht="15" hidden="false" customHeight="false" outlineLevel="0" collapsed="false">
      <c r="A631" s="30"/>
      <c r="B631" s="31"/>
      <c r="C631" s="32"/>
      <c r="D631" s="32"/>
      <c r="E631" s="33"/>
      <c r="F631" s="32"/>
      <c r="G631" s="32"/>
      <c r="H631" s="32"/>
      <c r="I631" s="32"/>
      <c r="J631" s="32"/>
      <c r="K631" s="32"/>
      <c r="L631" s="32"/>
      <c r="M631" s="30"/>
      <c r="N631" s="32"/>
      <c r="O631" s="34"/>
      <c r="P631" s="32"/>
      <c r="Q631" s="32"/>
      <c r="R631" s="32"/>
      <c r="S631" s="32"/>
      <c r="T631" s="32"/>
      <c r="U631" s="32"/>
      <c r="V631" s="31"/>
      <c r="W631" s="35" t="str">
        <f aca="true">IF(OR(V631="",AG631&gt;=8),"",IF(V631&lt;TODAY(),"Vencida",IF(V631=TODAY(),"Hoy","")))</f>
        <v/>
      </c>
      <c r="X631" s="36" t="str">
        <f aca="false">IF(A631="","",IF(COUNTIF(Seguimiento!$B$2:$B$5001,A631)=0,"",_xlfn.MAXIFS(Seguimiento!$A$2:$A$5001,Seguimiento!$B$2:$B$5001,A631)))</f>
        <v/>
      </c>
      <c r="Y631" s="37" t="str">
        <f aca="true">IF(B631="","",TODAY()-B631)</f>
        <v/>
      </c>
      <c r="Z631" s="38" t="str">
        <f aca="false">IF(OR(O631="",G631=""),"",O631*IFERROR(INDEX(Listas!$B$2:$B$50,MATCH(G631,Listas!$A$2:$A$50,0)),0))</f>
        <v/>
      </c>
      <c r="AA631" s="32"/>
      <c r="AB631" s="32"/>
      <c r="AC631" s="32"/>
      <c r="AD631" s="35" t="str">
        <f aca="false">IF(OR(LEFT(H631,4)="Meta",LEFT(H631,6)="Google"),IF(AG631=3,"Lead calificado",IF(OR(AG631=4,AG631=5),"Tasación/visita",IF(OR(AG631=6,AG631=7),"Captación/oferta",IF(AG631=8,"Cierre","")))),"")</f>
        <v/>
      </c>
      <c r="AE631" s="32"/>
      <c r="AF631" s="32"/>
      <c r="AG631" s="37" t="n">
        <f aca="false">IF(R631="",0,IFERROR(MATCH(R631,Listas!$L$2:$L$50,0),0))</f>
        <v>0</v>
      </c>
    </row>
    <row r="632" customFormat="false" ht="15" hidden="false" customHeight="false" outlineLevel="0" collapsed="false">
      <c r="A632" s="30"/>
      <c r="B632" s="31"/>
      <c r="C632" s="32"/>
      <c r="D632" s="32"/>
      <c r="E632" s="33"/>
      <c r="F632" s="32"/>
      <c r="G632" s="32"/>
      <c r="H632" s="32"/>
      <c r="I632" s="32"/>
      <c r="J632" s="32"/>
      <c r="K632" s="32"/>
      <c r="L632" s="32"/>
      <c r="M632" s="30"/>
      <c r="N632" s="32"/>
      <c r="O632" s="34"/>
      <c r="P632" s="32"/>
      <c r="Q632" s="32"/>
      <c r="R632" s="32"/>
      <c r="S632" s="32"/>
      <c r="T632" s="32"/>
      <c r="U632" s="32"/>
      <c r="V632" s="31"/>
      <c r="W632" s="35" t="str">
        <f aca="true">IF(OR(V632="",AG632&gt;=8),"",IF(V632&lt;TODAY(),"Vencida",IF(V632=TODAY(),"Hoy","")))</f>
        <v/>
      </c>
      <c r="X632" s="36" t="str">
        <f aca="false">IF(A632="","",IF(COUNTIF(Seguimiento!$B$2:$B$5001,A632)=0,"",_xlfn.MAXIFS(Seguimiento!$A$2:$A$5001,Seguimiento!$B$2:$B$5001,A632)))</f>
        <v/>
      </c>
      <c r="Y632" s="37" t="str">
        <f aca="true">IF(B632="","",TODAY()-B632)</f>
        <v/>
      </c>
      <c r="Z632" s="38" t="str">
        <f aca="false">IF(OR(O632="",G632=""),"",O632*IFERROR(INDEX(Listas!$B$2:$B$50,MATCH(G632,Listas!$A$2:$A$50,0)),0))</f>
        <v/>
      </c>
      <c r="AA632" s="32"/>
      <c r="AB632" s="32"/>
      <c r="AC632" s="32"/>
      <c r="AD632" s="35" t="str">
        <f aca="false">IF(OR(LEFT(H632,4)="Meta",LEFT(H632,6)="Google"),IF(AG632=3,"Lead calificado",IF(OR(AG632=4,AG632=5),"Tasación/visita",IF(OR(AG632=6,AG632=7),"Captación/oferta",IF(AG632=8,"Cierre","")))),"")</f>
        <v/>
      </c>
      <c r="AE632" s="32"/>
      <c r="AF632" s="32"/>
      <c r="AG632" s="37" t="n">
        <f aca="false">IF(R632="",0,IFERROR(MATCH(R632,Listas!$L$2:$L$50,0),0))</f>
        <v>0</v>
      </c>
    </row>
    <row r="633" customFormat="false" ht="15" hidden="false" customHeight="false" outlineLevel="0" collapsed="false">
      <c r="A633" s="30"/>
      <c r="B633" s="31"/>
      <c r="C633" s="32"/>
      <c r="D633" s="32"/>
      <c r="E633" s="33"/>
      <c r="F633" s="32"/>
      <c r="G633" s="32"/>
      <c r="H633" s="32"/>
      <c r="I633" s="32"/>
      <c r="J633" s="32"/>
      <c r="K633" s="32"/>
      <c r="L633" s="32"/>
      <c r="M633" s="30"/>
      <c r="N633" s="32"/>
      <c r="O633" s="34"/>
      <c r="P633" s="32"/>
      <c r="Q633" s="32"/>
      <c r="R633" s="32"/>
      <c r="S633" s="32"/>
      <c r="T633" s="32"/>
      <c r="U633" s="32"/>
      <c r="V633" s="31"/>
      <c r="W633" s="35" t="str">
        <f aca="true">IF(OR(V633="",AG633&gt;=8),"",IF(V633&lt;TODAY(),"Vencida",IF(V633=TODAY(),"Hoy","")))</f>
        <v/>
      </c>
      <c r="X633" s="36" t="str">
        <f aca="false">IF(A633="","",IF(COUNTIF(Seguimiento!$B$2:$B$5001,A633)=0,"",_xlfn.MAXIFS(Seguimiento!$A$2:$A$5001,Seguimiento!$B$2:$B$5001,A633)))</f>
        <v/>
      </c>
      <c r="Y633" s="37" t="str">
        <f aca="true">IF(B633="","",TODAY()-B633)</f>
        <v/>
      </c>
      <c r="Z633" s="38" t="str">
        <f aca="false">IF(OR(O633="",G633=""),"",O633*IFERROR(INDEX(Listas!$B$2:$B$50,MATCH(G633,Listas!$A$2:$A$50,0)),0))</f>
        <v/>
      </c>
      <c r="AA633" s="32"/>
      <c r="AB633" s="32"/>
      <c r="AC633" s="32"/>
      <c r="AD633" s="35" t="str">
        <f aca="false">IF(OR(LEFT(H633,4)="Meta",LEFT(H633,6)="Google"),IF(AG633=3,"Lead calificado",IF(OR(AG633=4,AG633=5),"Tasación/visita",IF(OR(AG633=6,AG633=7),"Captación/oferta",IF(AG633=8,"Cierre","")))),"")</f>
        <v/>
      </c>
      <c r="AE633" s="32"/>
      <c r="AF633" s="32"/>
      <c r="AG633" s="37" t="n">
        <f aca="false">IF(R633="",0,IFERROR(MATCH(R633,Listas!$L$2:$L$50,0),0))</f>
        <v>0</v>
      </c>
    </row>
    <row r="634" customFormat="false" ht="15" hidden="false" customHeight="false" outlineLevel="0" collapsed="false">
      <c r="A634" s="30"/>
      <c r="B634" s="31"/>
      <c r="C634" s="32"/>
      <c r="D634" s="32"/>
      <c r="E634" s="33"/>
      <c r="F634" s="32"/>
      <c r="G634" s="32"/>
      <c r="H634" s="32"/>
      <c r="I634" s="32"/>
      <c r="J634" s="32"/>
      <c r="K634" s="32"/>
      <c r="L634" s="32"/>
      <c r="M634" s="30"/>
      <c r="N634" s="32"/>
      <c r="O634" s="34"/>
      <c r="P634" s="32"/>
      <c r="Q634" s="32"/>
      <c r="R634" s="32"/>
      <c r="S634" s="32"/>
      <c r="T634" s="32"/>
      <c r="U634" s="32"/>
      <c r="V634" s="31"/>
      <c r="W634" s="35" t="str">
        <f aca="true">IF(OR(V634="",AG634&gt;=8),"",IF(V634&lt;TODAY(),"Vencida",IF(V634=TODAY(),"Hoy","")))</f>
        <v/>
      </c>
      <c r="X634" s="36" t="str">
        <f aca="false">IF(A634="","",IF(COUNTIF(Seguimiento!$B$2:$B$5001,A634)=0,"",_xlfn.MAXIFS(Seguimiento!$A$2:$A$5001,Seguimiento!$B$2:$B$5001,A634)))</f>
        <v/>
      </c>
      <c r="Y634" s="37" t="str">
        <f aca="true">IF(B634="","",TODAY()-B634)</f>
        <v/>
      </c>
      <c r="Z634" s="38" t="str">
        <f aca="false">IF(OR(O634="",G634=""),"",O634*IFERROR(INDEX(Listas!$B$2:$B$50,MATCH(G634,Listas!$A$2:$A$50,0)),0))</f>
        <v/>
      </c>
      <c r="AA634" s="32"/>
      <c r="AB634" s="32"/>
      <c r="AC634" s="32"/>
      <c r="AD634" s="35" t="str">
        <f aca="false">IF(OR(LEFT(H634,4)="Meta",LEFT(H634,6)="Google"),IF(AG634=3,"Lead calificado",IF(OR(AG634=4,AG634=5),"Tasación/visita",IF(OR(AG634=6,AG634=7),"Captación/oferta",IF(AG634=8,"Cierre","")))),"")</f>
        <v/>
      </c>
      <c r="AE634" s="32"/>
      <c r="AF634" s="32"/>
      <c r="AG634" s="37" t="n">
        <f aca="false">IF(R634="",0,IFERROR(MATCH(R634,Listas!$L$2:$L$50,0),0))</f>
        <v>0</v>
      </c>
    </row>
    <row r="635" customFormat="false" ht="15" hidden="false" customHeight="false" outlineLevel="0" collapsed="false">
      <c r="A635" s="30"/>
      <c r="B635" s="31"/>
      <c r="C635" s="32"/>
      <c r="D635" s="32"/>
      <c r="E635" s="33"/>
      <c r="F635" s="32"/>
      <c r="G635" s="32"/>
      <c r="H635" s="32"/>
      <c r="I635" s="32"/>
      <c r="J635" s="32"/>
      <c r="K635" s="32"/>
      <c r="L635" s="32"/>
      <c r="M635" s="30"/>
      <c r="N635" s="32"/>
      <c r="O635" s="34"/>
      <c r="P635" s="32"/>
      <c r="Q635" s="32"/>
      <c r="R635" s="32"/>
      <c r="S635" s="32"/>
      <c r="T635" s="32"/>
      <c r="U635" s="32"/>
      <c r="V635" s="31"/>
      <c r="W635" s="35" t="str">
        <f aca="true">IF(OR(V635="",AG635&gt;=8),"",IF(V635&lt;TODAY(),"Vencida",IF(V635=TODAY(),"Hoy","")))</f>
        <v/>
      </c>
      <c r="X635" s="36" t="str">
        <f aca="false">IF(A635="","",IF(COUNTIF(Seguimiento!$B$2:$B$5001,A635)=0,"",_xlfn.MAXIFS(Seguimiento!$A$2:$A$5001,Seguimiento!$B$2:$B$5001,A635)))</f>
        <v/>
      </c>
      <c r="Y635" s="37" t="str">
        <f aca="true">IF(B635="","",TODAY()-B635)</f>
        <v/>
      </c>
      <c r="Z635" s="38" t="str">
        <f aca="false">IF(OR(O635="",G635=""),"",O635*IFERROR(INDEX(Listas!$B$2:$B$50,MATCH(G635,Listas!$A$2:$A$50,0)),0))</f>
        <v/>
      </c>
      <c r="AA635" s="32"/>
      <c r="AB635" s="32"/>
      <c r="AC635" s="32"/>
      <c r="AD635" s="35" t="str">
        <f aca="false">IF(OR(LEFT(H635,4)="Meta",LEFT(H635,6)="Google"),IF(AG635=3,"Lead calificado",IF(OR(AG635=4,AG635=5),"Tasación/visita",IF(OR(AG635=6,AG635=7),"Captación/oferta",IF(AG635=8,"Cierre","")))),"")</f>
        <v/>
      </c>
      <c r="AE635" s="32"/>
      <c r="AF635" s="32"/>
      <c r="AG635" s="37" t="n">
        <f aca="false">IF(R635="",0,IFERROR(MATCH(R635,Listas!$L$2:$L$50,0),0))</f>
        <v>0</v>
      </c>
    </row>
    <row r="636" customFormat="false" ht="15" hidden="false" customHeight="false" outlineLevel="0" collapsed="false">
      <c r="A636" s="30"/>
      <c r="B636" s="31"/>
      <c r="C636" s="32"/>
      <c r="D636" s="32"/>
      <c r="E636" s="33"/>
      <c r="F636" s="32"/>
      <c r="G636" s="32"/>
      <c r="H636" s="32"/>
      <c r="I636" s="32"/>
      <c r="J636" s="32"/>
      <c r="K636" s="32"/>
      <c r="L636" s="32"/>
      <c r="M636" s="30"/>
      <c r="N636" s="32"/>
      <c r="O636" s="34"/>
      <c r="P636" s="32"/>
      <c r="Q636" s="32"/>
      <c r="R636" s="32"/>
      <c r="S636" s="32"/>
      <c r="T636" s="32"/>
      <c r="U636" s="32"/>
      <c r="V636" s="31"/>
      <c r="W636" s="35" t="str">
        <f aca="true">IF(OR(V636="",AG636&gt;=8),"",IF(V636&lt;TODAY(),"Vencida",IF(V636=TODAY(),"Hoy","")))</f>
        <v/>
      </c>
      <c r="X636" s="36" t="str">
        <f aca="false">IF(A636="","",IF(COUNTIF(Seguimiento!$B$2:$B$5001,A636)=0,"",_xlfn.MAXIFS(Seguimiento!$A$2:$A$5001,Seguimiento!$B$2:$B$5001,A636)))</f>
        <v/>
      </c>
      <c r="Y636" s="37" t="str">
        <f aca="true">IF(B636="","",TODAY()-B636)</f>
        <v/>
      </c>
      <c r="Z636" s="38" t="str">
        <f aca="false">IF(OR(O636="",G636=""),"",O636*IFERROR(INDEX(Listas!$B$2:$B$50,MATCH(G636,Listas!$A$2:$A$50,0)),0))</f>
        <v/>
      </c>
      <c r="AA636" s="32"/>
      <c r="AB636" s="32"/>
      <c r="AC636" s="32"/>
      <c r="AD636" s="35" t="str">
        <f aca="false">IF(OR(LEFT(H636,4)="Meta",LEFT(H636,6)="Google"),IF(AG636=3,"Lead calificado",IF(OR(AG636=4,AG636=5),"Tasación/visita",IF(OR(AG636=6,AG636=7),"Captación/oferta",IF(AG636=8,"Cierre","")))),"")</f>
        <v/>
      </c>
      <c r="AE636" s="32"/>
      <c r="AF636" s="32"/>
      <c r="AG636" s="37" t="n">
        <f aca="false">IF(R636="",0,IFERROR(MATCH(R636,Listas!$L$2:$L$50,0),0))</f>
        <v>0</v>
      </c>
    </row>
    <row r="637" customFormat="false" ht="15" hidden="false" customHeight="false" outlineLevel="0" collapsed="false">
      <c r="A637" s="30"/>
      <c r="B637" s="31"/>
      <c r="C637" s="32"/>
      <c r="D637" s="32"/>
      <c r="E637" s="33"/>
      <c r="F637" s="32"/>
      <c r="G637" s="32"/>
      <c r="H637" s="32"/>
      <c r="I637" s="32"/>
      <c r="J637" s="32"/>
      <c r="K637" s="32"/>
      <c r="L637" s="32"/>
      <c r="M637" s="30"/>
      <c r="N637" s="32"/>
      <c r="O637" s="34"/>
      <c r="P637" s="32"/>
      <c r="Q637" s="32"/>
      <c r="R637" s="32"/>
      <c r="S637" s="32"/>
      <c r="T637" s="32"/>
      <c r="U637" s="32"/>
      <c r="V637" s="31"/>
      <c r="W637" s="35" t="str">
        <f aca="true">IF(OR(V637="",AG637&gt;=8),"",IF(V637&lt;TODAY(),"Vencida",IF(V637=TODAY(),"Hoy","")))</f>
        <v/>
      </c>
      <c r="X637" s="36" t="str">
        <f aca="false">IF(A637="","",IF(COUNTIF(Seguimiento!$B$2:$B$5001,A637)=0,"",_xlfn.MAXIFS(Seguimiento!$A$2:$A$5001,Seguimiento!$B$2:$B$5001,A637)))</f>
        <v/>
      </c>
      <c r="Y637" s="37" t="str">
        <f aca="true">IF(B637="","",TODAY()-B637)</f>
        <v/>
      </c>
      <c r="Z637" s="38" t="str">
        <f aca="false">IF(OR(O637="",G637=""),"",O637*IFERROR(INDEX(Listas!$B$2:$B$50,MATCH(G637,Listas!$A$2:$A$50,0)),0))</f>
        <v/>
      </c>
      <c r="AA637" s="32"/>
      <c r="AB637" s="32"/>
      <c r="AC637" s="32"/>
      <c r="AD637" s="35" t="str">
        <f aca="false">IF(OR(LEFT(H637,4)="Meta",LEFT(H637,6)="Google"),IF(AG637=3,"Lead calificado",IF(OR(AG637=4,AG637=5),"Tasación/visita",IF(OR(AG637=6,AG637=7),"Captación/oferta",IF(AG637=8,"Cierre","")))),"")</f>
        <v/>
      </c>
      <c r="AE637" s="32"/>
      <c r="AF637" s="32"/>
      <c r="AG637" s="37" t="n">
        <f aca="false">IF(R637="",0,IFERROR(MATCH(R637,Listas!$L$2:$L$50,0),0))</f>
        <v>0</v>
      </c>
    </row>
    <row r="638" customFormat="false" ht="15" hidden="false" customHeight="false" outlineLevel="0" collapsed="false">
      <c r="A638" s="30"/>
      <c r="B638" s="31"/>
      <c r="C638" s="32"/>
      <c r="D638" s="32"/>
      <c r="E638" s="33"/>
      <c r="F638" s="32"/>
      <c r="G638" s="32"/>
      <c r="H638" s="32"/>
      <c r="I638" s="32"/>
      <c r="J638" s="32"/>
      <c r="K638" s="32"/>
      <c r="L638" s="32"/>
      <c r="M638" s="30"/>
      <c r="N638" s="32"/>
      <c r="O638" s="34"/>
      <c r="P638" s="32"/>
      <c r="Q638" s="32"/>
      <c r="R638" s="32"/>
      <c r="S638" s="32"/>
      <c r="T638" s="32"/>
      <c r="U638" s="32"/>
      <c r="V638" s="31"/>
      <c r="W638" s="35" t="str">
        <f aca="true">IF(OR(V638="",AG638&gt;=8),"",IF(V638&lt;TODAY(),"Vencida",IF(V638=TODAY(),"Hoy","")))</f>
        <v/>
      </c>
      <c r="X638" s="36" t="str">
        <f aca="false">IF(A638="","",IF(COUNTIF(Seguimiento!$B$2:$B$5001,A638)=0,"",_xlfn.MAXIFS(Seguimiento!$A$2:$A$5001,Seguimiento!$B$2:$B$5001,A638)))</f>
        <v/>
      </c>
      <c r="Y638" s="37" t="str">
        <f aca="true">IF(B638="","",TODAY()-B638)</f>
        <v/>
      </c>
      <c r="Z638" s="38" t="str">
        <f aca="false">IF(OR(O638="",G638=""),"",O638*IFERROR(INDEX(Listas!$B$2:$B$50,MATCH(G638,Listas!$A$2:$A$50,0)),0))</f>
        <v/>
      </c>
      <c r="AA638" s="32"/>
      <c r="AB638" s="32"/>
      <c r="AC638" s="32"/>
      <c r="AD638" s="35" t="str">
        <f aca="false">IF(OR(LEFT(H638,4)="Meta",LEFT(H638,6)="Google"),IF(AG638=3,"Lead calificado",IF(OR(AG638=4,AG638=5),"Tasación/visita",IF(OR(AG638=6,AG638=7),"Captación/oferta",IF(AG638=8,"Cierre","")))),"")</f>
        <v/>
      </c>
      <c r="AE638" s="32"/>
      <c r="AF638" s="32"/>
      <c r="AG638" s="37" t="n">
        <f aca="false">IF(R638="",0,IFERROR(MATCH(R638,Listas!$L$2:$L$50,0),0))</f>
        <v>0</v>
      </c>
    </row>
    <row r="639" customFormat="false" ht="15" hidden="false" customHeight="false" outlineLevel="0" collapsed="false">
      <c r="A639" s="30"/>
      <c r="B639" s="31"/>
      <c r="C639" s="32"/>
      <c r="D639" s="32"/>
      <c r="E639" s="33"/>
      <c r="F639" s="32"/>
      <c r="G639" s="32"/>
      <c r="H639" s="32"/>
      <c r="I639" s="32"/>
      <c r="J639" s="32"/>
      <c r="K639" s="32"/>
      <c r="L639" s="32"/>
      <c r="M639" s="30"/>
      <c r="N639" s="32"/>
      <c r="O639" s="34"/>
      <c r="P639" s="32"/>
      <c r="Q639" s="32"/>
      <c r="R639" s="32"/>
      <c r="S639" s="32"/>
      <c r="T639" s="32"/>
      <c r="U639" s="32"/>
      <c r="V639" s="31"/>
      <c r="W639" s="35" t="str">
        <f aca="true">IF(OR(V639="",AG639&gt;=8),"",IF(V639&lt;TODAY(),"Vencida",IF(V639=TODAY(),"Hoy","")))</f>
        <v/>
      </c>
      <c r="X639" s="36" t="str">
        <f aca="false">IF(A639="","",IF(COUNTIF(Seguimiento!$B$2:$B$5001,A639)=0,"",_xlfn.MAXIFS(Seguimiento!$A$2:$A$5001,Seguimiento!$B$2:$B$5001,A639)))</f>
        <v/>
      </c>
      <c r="Y639" s="37" t="str">
        <f aca="true">IF(B639="","",TODAY()-B639)</f>
        <v/>
      </c>
      <c r="Z639" s="38" t="str">
        <f aca="false">IF(OR(O639="",G639=""),"",O639*IFERROR(INDEX(Listas!$B$2:$B$50,MATCH(G639,Listas!$A$2:$A$50,0)),0))</f>
        <v/>
      </c>
      <c r="AA639" s="32"/>
      <c r="AB639" s="32"/>
      <c r="AC639" s="32"/>
      <c r="AD639" s="35" t="str">
        <f aca="false">IF(OR(LEFT(H639,4)="Meta",LEFT(H639,6)="Google"),IF(AG639=3,"Lead calificado",IF(OR(AG639=4,AG639=5),"Tasación/visita",IF(OR(AG639=6,AG639=7),"Captación/oferta",IF(AG639=8,"Cierre","")))),"")</f>
        <v/>
      </c>
      <c r="AE639" s="32"/>
      <c r="AF639" s="32"/>
      <c r="AG639" s="37" t="n">
        <f aca="false">IF(R639="",0,IFERROR(MATCH(R639,Listas!$L$2:$L$50,0),0))</f>
        <v>0</v>
      </c>
    </row>
    <row r="640" customFormat="false" ht="15" hidden="false" customHeight="false" outlineLevel="0" collapsed="false">
      <c r="A640" s="30"/>
      <c r="B640" s="31"/>
      <c r="C640" s="32"/>
      <c r="D640" s="32"/>
      <c r="E640" s="33"/>
      <c r="F640" s="32"/>
      <c r="G640" s="32"/>
      <c r="H640" s="32"/>
      <c r="I640" s="32"/>
      <c r="J640" s="32"/>
      <c r="K640" s="32"/>
      <c r="L640" s="32"/>
      <c r="M640" s="30"/>
      <c r="N640" s="32"/>
      <c r="O640" s="34"/>
      <c r="P640" s="32"/>
      <c r="Q640" s="32"/>
      <c r="R640" s="32"/>
      <c r="S640" s="32"/>
      <c r="T640" s="32"/>
      <c r="U640" s="32"/>
      <c r="V640" s="31"/>
      <c r="W640" s="35" t="str">
        <f aca="true">IF(OR(V640="",AG640&gt;=8),"",IF(V640&lt;TODAY(),"Vencida",IF(V640=TODAY(),"Hoy","")))</f>
        <v/>
      </c>
      <c r="X640" s="36" t="str">
        <f aca="false">IF(A640="","",IF(COUNTIF(Seguimiento!$B$2:$B$5001,A640)=0,"",_xlfn.MAXIFS(Seguimiento!$A$2:$A$5001,Seguimiento!$B$2:$B$5001,A640)))</f>
        <v/>
      </c>
      <c r="Y640" s="37" t="str">
        <f aca="true">IF(B640="","",TODAY()-B640)</f>
        <v/>
      </c>
      <c r="Z640" s="38" t="str">
        <f aca="false">IF(OR(O640="",G640=""),"",O640*IFERROR(INDEX(Listas!$B$2:$B$50,MATCH(G640,Listas!$A$2:$A$50,0)),0))</f>
        <v/>
      </c>
      <c r="AA640" s="32"/>
      <c r="AB640" s="32"/>
      <c r="AC640" s="32"/>
      <c r="AD640" s="35" t="str">
        <f aca="false">IF(OR(LEFT(H640,4)="Meta",LEFT(H640,6)="Google"),IF(AG640=3,"Lead calificado",IF(OR(AG640=4,AG640=5),"Tasación/visita",IF(OR(AG640=6,AG640=7),"Captación/oferta",IF(AG640=8,"Cierre","")))),"")</f>
        <v/>
      </c>
      <c r="AE640" s="32"/>
      <c r="AF640" s="32"/>
      <c r="AG640" s="37" t="n">
        <f aca="false">IF(R640="",0,IFERROR(MATCH(R640,Listas!$L$2:$L$50,0),0))</f>
        <v>0</v>
      </c>
    </row>
    <row r="641" customFormat="false" ht="15" hidden="false" customHeight="false" outlineLevel="0" collapsed="false">
      <c r="A641" s="30"/>
      <c r="B641" s="31"/>
      <c r="C641" s="32"/>
      <c r="D641" s="32"/>
      <c r="E641" s="33"/>
      <c r="F641" s="32"/>
      <c r="G641" s="32"/>
      <c r="H641" s="32"/>
      <c r="I641" s="32"/>
      <c r="J641" s="32"/>
      <c r="K641" s="32"/>
      <c r="L641" s="32"/>
      <c r="M641" s="30"/>
      <c r="N641" s="32"/>
      <c r="O641" s="34"/>
      <c r="P641" s="32"/>
      <c r="Q641" s="32"/>
      <c r="R641" s="32"/>
      <c r="S641" s="32"/>
      <c r="T641" s="32"/>
      <c r="U641" s="32"/>
      <c r="V641" s="31"/>
      <c r="W641" s="35" t="str">
        <f aca="true">IF(OR(V641="",AG641&gt;=8),"",IF(V641&lt;TODAY(),"Vencida",IF(V641=TODAY(),"Hoy","")))</f>
        <v/>
      </c>
      <c r="X641" s="36" t="str">
        <f aca="false">IF(A641="","",IF(COUNTIF(Seguimiento!$B$2:$B$5001,A641)=0,"",_xlfn.MAXIFS(Seguimiento!$A$2:$A$5001,Seguimiento!$B$2:$B$5001,A641)))</f>
        <v/>
      </c>
      <c r="Y641" s="37" t="str">
        <f aca="true">IF(B641="","",TODAY()-B641)</f>
        <v/>
      </c>
      <c r="Z641" s="38" t="str">
        <f aca="false">IF(OR(O641="",G641=""),"",O641*IFERROR(INDEX(Listas!$B$2:$B$50,MATCH(G641,Listas!$A$2:$A$50,0)),0))</f>
        <v/>
      </c>
      <c r="AA641" s="32"/>
      <c r="AB641" s="32"/>
      <c r="AC641" s="32"/>
      <c r="AD641" s="35" t="str">
        <f aca="false">IF(OR(LEFT(H641,4)="Meta",LEFT(H641,6)="Google"),IF(AG641=3,"Lead calificado",IF(OR(AG641=4,AG641=5),"Tasación/visita",IF(OR(AG641=6,AG641=7),"Captación/oferta",IF(AG641=8,"Cierre","")))),"")</f>
        <v/>
      </c>
      <c r="AE641" s="32"/>
      <c r="AF641" s="32"/>
      <c r="AG641" s="37" t="n">
        <f aca="false">IF(R641="",0,IFERROR(MATCH(R641,Listas!$L$2:$L$50,0),0))</f>
        <v>0</v>
      </c>
    </row>
    <row r="642" customFormat="false" ht="15" hidden="false" customHeight="false" outlineLevel="0" collapsed="false">
      <c r="A642" s="30"/>
      <c r="B642" s="31"/>
      <c r="C642" s="32"/>
      <c r="D642" s="32"/>
      <c r="E642" s="33"/>
      <c r="F642" s="32"/>
      <c r="G642" s="32"/>
      <c r="H642" s="32"/>
      <c r="I642" s="32"/>
      <c r="J642" s="32"/>
      <c r="K642" s="32"/>
      <c r="L642" s="32"/>
      <c r="M642" s="30"/>
      <c r="N642" s="32"/>
      <c r="O642" s="34"/>
      <c r="P642" s="32"/>
      <c r="Q642" s="32"/>
      <c r="R642" s="32"/>
      <c r="S642" s="32"/>
      <c r="T642" s="32"/>
      <c r="U642" s="32"/>
      <c r="V642" s="31"/>
      <c r="W642" s="35" t="str">
        <f aca="true">IF(OR(V642="",AG642&gt;=8),"",IF(V642&lt;TODAY(),"Vencida",IF(V642=TODAY(),"Hoy","")))</f>
        <v/>
      </c>
      <c r="X642" s="36" t="str">
        <f aca="false">IF(A642="","",IF(COUNTIF(Seguimiento!$B$2:$B$5001,A642)=0,"",_xlfn.MAXIFS(Seguimiento!$A$2:$A$5001,Seguimiento!$B$2:$B$5001,A642)))</f>
        <v/>
      </c>
      <c r="Y642" s="37" t="str">
        <f aca="true">IF(B642="","",TODAY()-B642)</f>
        <v/>
      </c>
      <c r="Z642" s="38" t="str">
        <f aca="false">IF(OR(O642="",G642=""),"",O642*IFERROR(INDEX(Listas!$B$2:$B$50,MATCH(G642,Listas!$A$2:$A$50,0)),0))</f>
        <v/>
      </c>
      <c r="AA642" s="32"/>
      <c r="AB642" s="32"/>
      <c r="AC642" s="32"/>
      <c r="AD642" s="35" t="str">
        <f aca="false">IF(OR(LEFT(H642,4)="Meta",LEFT(H642,6)="Google"),IF(AG642=3,"Lead calificado",IF(OR(AG642=4,AG642=5),"Tasación/visita",IF(OR(AG642=6,AG642=7),"Captación/oferta",IF(AG642=8,"Cierre","")))),"")</f>
        <v/>
      </c>
      <c r="AE642" s="32"/>
      <c r="AF642" s="32"/>
      <c r="AG642" s="37" t="n">
        <f aca="false">IF(R642="",0,IFERROR(MATCH(R642,Listas!$L$2:$L$50,0),0))</f>
        <v>0</v>
      </c>
    </row>
    <row r="643" customFormat="false" ht="15" hidden="false" customHeight="false" outlineLevel="0" collapsed="false">
      <c r="A643" s="30"/>
      <c r="B643" s="31"/>
      <c r="C643" s="32"/>
      <c r="D643" s="32"/>
      <c r="E643" s="33"/>
      <c r="F643" s="32"/>
      <c r="G643" s="32"/>
      <c r="H643" s="32"/>
      <c r="I643" s="32"/>
      <c r="J643" s="32"/>
      <c r="K643" s="32"/>
      <c r="L643" s="32"/>
      <c r="M643" s="30"/>
      <c r="N643" s="32"/>
      <c r="O643" s="34"/>
      <c r="P643" s="32"/>
      <c r="Q643" s="32"/>
      <c r="R643" s="32"/>
      <c r="S643" s="32"/>
      <c r="T643" s="32"/>
      <c r="U643" s="32"/>
      <c r="V643" s="31"/>
      <c r="W643" s="35" t="str">
        <f aca="true">IF(OR(V643="",AG643&gt;=8),"",IF(V643&lt;TODAY(),"Vencida",IF(V643=TODAY(),"Hoy","")))</f>
        <v/>
      </c>
      <c r="X643" s="36" t="str">
        <f aca="false">IF(A643="","",IF(COUNTIF(Seguimiento!$B$2:$B$5001,A643)=0,"",_xlfn.MAXIFS(Seguimiento!$A$2:$A$5001,Seguimiento!$B$2:$B$5001,A643)))</f>
        <v/>
      </c>
      <c r="Y643" s="37" t="str">
        <f aca="true">IF(B643="","",TODAY()-B643)</f>
        <v/>
      </c>
      <c r="Z643" s="38" t="str">
        <f aca="false">IF(OR(O643="",G643=""),"",O643*IFERROR(INDEX(Listas!$B$2:$B$50,MATCH(G643,Listas!$A$2:$A$50,0)),0))</f>
        <v/>
      </c>
      <c r="AA643" s="32"/>
      <c r="AB643" s="32"/>
      <c r="AC643" s="32"/>
      <c r="AD643" s="35" t="str">
        <f aca="false">IF(OR(LEFT(H643,4)="Meta",LEFT(H643,6)="Google"),IF(AG643=3,"Lead calificado",IF(OR(AG643=4,AG643=5),"Tasación/visita",IF(OR(AG643=6,AG643=7),"Captación/oferta",IF(AG643=8,"Cierre","")))),"")</f>
        <v/>
      </c>
      <c r="AE643" s="32"/>
      <c r="AF643" s="32"/>
      <c r="AG643" s="37" t="n">
        <f aca="false">IF(R643="",0,IFERROR(MATCH(R643,Listas!$L$2:$L$50,0),0))</f>
        <v>0</v>
      </c>
    </row>
    <row r="644" customFormat="false" ht="15" hidden="false" customHeight="false" outlineLevel="0" collapsed="false">
      <c r="A644" s="30"/>
      <c r="B644" s="31"/>
      <c r="C644" s="32"/>
      <c r="D644" s="32"/>
      <c r="E644" s="33"/>
      <c r="F644" s="32"/>
      <c r="G644" s="32"/>
      <c r="H644" s="32"/>
      <c r="I644" s="32"/>
      <c r="J644" s="32"/>
      <c r="K644" s="32"/>
      <c r="L644" s="32"/>
      <c r="M644" s="30"/>
      <c r="N644" s="32"/>
      <c r="O644" s="34"/>
      <c r="P644" s="32"/>
      <c r="Q644" s="32"/>
      <c r="R644" s="32"/>
      <c r="S644" s="32"/>
      <c r="T644" s="32"/>
      <c r="U644" s="32"/>
      <c r="V644" s="31"/>
      <c r="W644" s="35" t="str">
        <f aca="true">IF(OR(V644="",AG644&gt;=8),"",IF(V644&lt;TODAY(),"Vencida",IF(V644=TODAY(),"Hoy","")))</f>
        <v/>
      </c>
      <c r="X644" s="36" t="str">
        <f aca="false">IF(A644="","",IF(COUNTIF(Seguimiento!$B$2:$B$5001,A644)=0,"",_xlfn.MAXIFS(Seguimiento!$A$2:$A$5001,Seguimiento!$B$2:$B$5001,A644)))</f>
        <v/>
      </c>
      <c r="Y644" s="37" t="str">
        <f aca="true">IF(B644="","",TODAY()-B644)</f>
        <v/>
      </c>
      <c r="Z644" s="38" t="str">
        <f aca="false">IF(OR(O644="",G644=""),"",O644*IFERROR(INDEX(Listas!$B$2:$B$50,MATCH(G644,Listas!$A$2:$A$50,0)),0))</f>
        <v/>
      </c>
      <c r="AA644" s="32"/>
      <c r="AB644" s="32"/>
      <c r="AC644" s="32"/>
      <c r="AD644" s="35" t="str">
        <f aca="false">IF(OR(LEFT(H644,4)="Meta",LEFT(H644,6)="Google"),IF(AG644=3,"Lead calificado",IF(OR(AG644=4,AG644=5),"Tasación/visita",IF(OR(AG644=6,AG644=7),"Captación/oferta",IF(AG644=8,"Cierre","")))),"")</f>
        <v/>
      </c>
      <c r="AE644" s="32"/>
      <c r="AF644" s="32"/>
      <c r="AG644" s="37" t="n">
        <f aca="false">IF(R644="",0,IFERROR(MATCH(R644,Listas!$L$2:$L$50,0),0))</f>
        <v>0</v>
      </c>
    </row>
    <row r="645" customFormat="false" ht="15" hidden="false" customHeight="false" outlineLevel="0" collapsed="false">
      <c r="A645" s="30"/>
      <c r="B645" s="31"/>
      <c r="C645" s="32"/>
      <c r="D645" s="32"/>
      <c r="E645" s="33"/>
      <c r="F645" s="32"/>
      <c r="G645" s="32"/>
      <c r="H645" s="32"/>
      <c r="I645" s="32"/>
      <c r="J645" s="32"/>
      <c r="K645" s="32"/>
      <c r="L645" s="32"/>
      <c r="M645" s="30"/>
      <c r="N645" s="32"/>
      <c r="O645" s="34"/>
      <c r="P645" s="32"/>
      <c r="Q645" s="32"/>
      <c r="R645" s="32"/>
      <c r="S645" s="32"/>
      <c r="T645" s="32"/>
      <c r="U645" s="32"/>
      <c r="V645" s="31"/>
      <c r="W645" s="35" t="str">
        <f aca="true">IF(OR(V645="",AG645&gt;=8),"",IF(V645&lt;TODAY(),"Vencida",IF(V645=TODAY(),"Hoy","")))</f>
        <v/>
      </c>
      <c r="X645" s="36" t="str">
        <f aca="false">IF(A645="","",IF(COUNTIF(Seguimiento!$B$2:$B$5001,A645)=0,"",_xlfn.MAXIFS(Seguimiento!$A$2:$A$5001,Seguimiento!$B$2:$B$5001,A645)))</f>
        <v/>
      </c>
      <c r="Y645" s="37" t="str">
        <f aca="true">IF(B645="","",TODAY()-B645)</f>
        <v/>
      </c>
      <c r="Z645" s="38" t="str">
        <f aca="false">IF(OR(O645="",G645=""),"",O645*IFERROR(INDEX(Listas!$B$2:$B$50,MATCH(G645,Listas!$A$2:$A$50,0)),0))</f>
        <v/>
      </c>
      <c r="AA645" s="32"/>
      <c r="AB645" s="32"/>
      <c r="AC645" s="32"/>
      <c r="AD645" s="35" t="str">
        <f aca="false">IF(OR(LEFT(H645,4)="Meta",LEFT(H645,6)="Google"),IF(AG645=3,"Lead calificado",IF(OR(AG645=4,AG645=5),"Tasación/visita",IF(OR(AG645=6,AG645=7),"Captación/oferta",IF(AG645=8,"Cierre","")))),"")</f>
        <v/>
      </c>
      <c r="AE645" s="32"/>
      <c r="AF645" s="32"/>
      <c r="AG645" s="37" t="n">
        <f aca="false">IF(R645="",0,IFERROR(MATCH(R645,Listas!$L$2:$L$50,0),0))</f>
        <v>0</v>
      </c>
    </row>
    <row r="646" customFormat="false" ht="15" hidden="false" customHeight="false" outlineLevel="0" collapsed="false">
      <c r="A646" s="30"/>
      <c r="B646" s="31"/>
      <c r="C646" s="32"/>
      <c r="D646" s="32"/>
      <c r="E646" s="33"/>
      <c r="F646" s="32"/>
      <c r="G646" s="32"/>
      <c r="H646" s="32"/>
      <c r="I646" s="32"/>
      <c r="J646" s="32"/>
      <c r="K646" s="32"/>
      <c r="L646" s="32"/>
      <c r="M646" s="30"/>
      <c r="N646" s="32"/>
      <c r="O646" s="34"/>
      <c r="P646" s="32"/>
      <c r="Q646" s="32"/>
      <c r="R646" s="32"/>
      <c r="S646" s="32"/>
      <c r="T646" s="32"/>
      <c r="U646" s="32"/>
      <c r="V646" s="31"/>
      <c r="W646" s="35" t="str">
        <f aca="true">IF(OR(V646="",AG646&gt;=8),"",IF(V646&lt;TODAY(),"Vencida",IF(V646=TODAY(),"Hoy","")))</f>
        <v/>
      </c>
      <c r="X646" s="36" t="str">
        <f aca="false">IF(A646="","",IF(COUNTIF(Seguimiento!$B$2:$B$5001,A646)=0,"",_xlfn.MAXIFS(Seguimiento!$A$2:$A$5001,Seguimiento!$B$2:$B$5001,A646)))</f>
        <v/>
      </c>
      <c r="Y646" s="37" t="str">
        <f aca="true">IF(B646="","",TODAY()-B646)</f>
        <v/>
      </c>
      <c r="Z646" s="38" t="str">
        <f aca="false">IF(OR(O646="",G646=""),"",O646*IFERROR(INDEX(Listas!$B$2:$B$50,MATCH(G646,Listas!$A$2:$A$50,0)),0))</f>
        <v/>
      </c>
      <c r="AA646" s="32"/>
      <c r="AB646" s="32"/>
      <c r="AC646" s="32"/>
      <c r="AD646" s="35" t="str">
        <f aca="false">IF(OR(LEFT(H646,4)="Meta",LEFT(H646,6)="Google"),IF(AG646=3,"Lead calificado",IF(OR(AG646=4,AG646=5),"Tasación/visita",IF(OR(AG646=6,AG646=7),"Captación/oferta",IF(AG646=8,"Cierre","")))),"")</f>
        <v/>
      </c>
      <c r="AE646" s="32"/>
      <c r="AF646" s="32"/>
      <c r="AG646" s="37" t="n">
        <f aca="false">IF(R646="",0,IFERROR(MATCH(R646,Listas!$L$2:$L$50,0),0))</f>
        <v>0</v>
      </c>
    </row>
    <row r="647" customFormat="false" ht="15" hidden="false" customHeight="false" outlineLevel="0" collapsed="false">
      <c r="A647" s="30"/>
      <c r="B647" s="31"/>
      <c r="C647" s="32"/>
      <c r="D647" s="32"/>
      <c r="E647" s="33"/>
      <c r="F647" s="32"/>
      <c r="G647" s="32"/>
      <c r="H647" s="32"/>
      <c r="I647" s="32"/>
      <c r="J647" s="32"/>
      <c r="K647" s="32"/>
      <c r="L647" s="32"/>
      <c r="M647" s="30"/>
      <c r="N647" s="32"/>
      <c r="O647" s="34"/>
      <c r="P647" s="32"/>
      <c r="Q647" s="32"/>
      <c r="R647" s="32"/>
      <c r="S647" s="32"/>
      <c r="T647" s="32"/>
      <c r="U647" s="32"/>
      <c r="V647" s="31"/>
      <c r="W647" s="35" t="str">
        <f aca="true">IF(OR(V647="",AG647&gt;=8),"",IF(V647&lt;TODAY(),"Vencida",IF(V647=TODAY(),"Hoy","")))</f>
        <v/>
      </c>
      <c r="X647" s="36" t="str">
        <f aca="false">IF(A647="","",IF(COUNTIF(Seguimiento!$B$2:$B$5001,A647)=0,"",_xlfn.MAXIFS(Seguimiento!$A$2:$A$5001,Seguimiento!$B$2:$B$5001,A647)))</f>
        <v/>
      </c>
      <c r="Y647" s="37" t="str">
        <f aca="true">IF(B647="","",TODAY()-B647)</f>
        <v/>
      </c>
      <c r="Z647" s="38" t="str">
        <f aca="false">IF(OR(O647="",G647=""),"",O647*IFERROR(INDEX(Listas!$B$2:$B$50,MATCH(G647,Listas!$A$2:$A$50,0)),0))</f>
        <v/>
      </c>
      <c r="AA647" s="32"/>
      <c r="AB647" s="32"/>
      <c r="AC647" s="32"/>
      <c r="AD647" s="35" t="str">
        <f aca="false">IF(OR(LEFT(H647,4)="Meta",LEFT(H647,6)="Google"),IF(AG647=3,"Lead calificado",IF(OR(AG647=4,AG647=5),"Tasación/visita",IF(OR(AG647=6,AG647=7),"Captación/oferta",IF(AG647=8,"Cierre","")))),"")</f>
        <v/>
      </c>
      <c r="AE647" s="32"/>
      <c r="AF647" s="32"/>
      <c r="AG647" s="37" t="n">
        <f aca="false">IF(R647="",0,IFERROR(MATCH(R647,Listas!$L$2:$L$50,0),0))</f>
        <v>0</v>
      </c>
    </row>
    <row r="648" customFormat="false" ht="15" hidden="false" customHeight="false" outlineLevel="0" collapsed="false">
      <c r="A648" s="30"/>
      <c r="B648" s="31"/>
      <c r="C648" s="32"/>
      <c r="D648" s="32"/>
      <c r="E648" s="33"/>
      <c r="F648" s="32"/>
      <c r="G648" s="32"/>
      <c r="H648" s="32"/>
      <c r="I648" s="32"/>
      <c r="J648" s="32"/>
      <c r="K648" s="32"/>
      <c r="L648" s="32"/>
      <c r="M648" s="30"/>
      <c r="N648" s="32"/>
      <c r="O648" s="34"/>
      <c r="P648" s="32"/>
      <c r="Q648" s="32"/>
      <c r="R648" s="32"/>
      <c r="S648" s="32"/>
      <c r="T648" s="32"/>
      <c r="U648" s="32"/>
      <c r="V648" s="31"/>
      <c r="W648" s="35" t="str">
        <f aca="true">IF(OR(V648="",AG648&gt;=8),"",IF(V648&lt;TODAY(),"Vencida",IF(V648=TODAY(),"Hoy","")))</f>
        <v/>
      </c>
      <c r="X648" s="36" t="str">
        <f aca="false">IF(A648="","",IF(COUNTIF(Seguimiento!$B$2:$B$5001,A648)=0,"",_xlfn.MAXIFS(Seguimiento!$A$2:$A$5001,Seguimiento!$B$2:$B$5001,A648)))</f>
        <v/>
      </c>
      <c r="Y648" s="37" t="str">
        <f aca="true">IF(B648="","",TODAY()-B648)</f>
        <v/>
      </c>
      <c r="Z648" s="38" t="str">
        <f aca="false">IF(OR(O648="",G648=""),"",O648*IFERROR(INDEX(Listas!$B$2:$B$50,MATCH(G648,Listas!$A$2:$A$50,0)),0))</f>
        <v/>
      </c>
      <c r="AA648" s="32"/>
      <c r="AB648" s="32"/>
      <c r="AC648" s="32"/>
      <c r="AD648" s="35" t="str">
        <f aca="false">IF(OR(LEFT(H648,4)="Meta",LEFT(H648,6)="Google"),IF(AG648=3,"Lead calificado",IF(OR(AG648=4,AG648=5),"Tasación/visita",IF(OR(AG648=6,AG648=7),"Captación/oferta",IF(AG648=8,"Cierre","")))),"")</f>
        <v/>
      </c>
      <c r="AE648" s="32"/>
      <c r="AF648" s="32"/>
      <c r="AG648" s="37" t="n">
        <f aca="false">IF(R648="",0,IFERROR(MATCH(R648,Listas!$L$2:$L$50,0),0))</f>
        <v>0</v>
      </c>
    </row>
    <row r="649" customFormat="false" ht="15" hidden="false" customHeight="false" outlineLevel="0" collapsed="false">
      <c r="A649" s="30"/>
      <c r="B649" s="31"/>
      <c r="C649" s="32"/>
      <c r="D649" s="32"/>
      <c r="E649" s="33"/>
      <c r="F649" s="32"/>
      <c r="G649" s="32"/>
      <c r="H649" s="32"/>
      <c r="I649" s="32"/>
      <c r="J649" s="32"/>
      <c r="K649" s="32"/>
      <c r="L649" s="32"/>
      <c r="M649" s="30"/>
      <c r="N649" s="32"/>
      <c r="O649" s="34"/>
      <c r="P649" s="32"/>
      <c r="Q649" s="32"/>
      <c r="R649" s="32"/>
      <c r="S649" s="32"/>
      <c r="T649" s="32"/>
      <c r="U649" s="32"/>
      <c r="V649" s="31"/>
      <c r="W649" s="35" t="str">
        <f aca="true">IF(OR(V649="",AG649&gt;=8),"",IF(V649&lt;TODAY(),"Vencida",IF(V649=TODAY(),"Hoy","")))</f>
        <v/>
      </c>
      <c r="X649" s="36" t="str">
        <f aca="false">IF(A649="","",IF(COUNTIF(Seguimiento!$B$2:$B$5001,A649)=0,"",_xlfn.MAXIFS(Seguimiento!$A$2:$A$5001,Seguimiento!$B$2:$B$5001,A649)))</f>
        <v/>
      </c>
      <c r="Y649" s="37" t="str">
        <f aca="true">IF(B649="","",TODAY()-B649)</f>
        <v/>
      </c>
      <c r="Z649" s="38" t="str">
        <f aca="false">IF(OR(O649="",G649=""),"",O649*IFERROR(INDEX(Listas!$B$2:$B$50,MATCH(G649,Listas!$A$2:$A$50,0)),0))</f>
        <v/>
      </c>
      <c r="AA649" s="32"/>
      <c r="AB649" s="32"/>
      <c r="AC649" s="32"/>
      <c r="AD649" s="35" t="str">
        <f aca="false">IF(OR(LEFT(H649,4)="Meta",LEFT(H649,6)="Google"),IF(AG649=3,"Lead calificado",IF(OR(AG649=4,AG649=5),"Tasación/visita",IF(OR(AG649=6,AG649=7),"Captación/oferta",IF(AG649=8,"Cierre","")))),"")</f>
        <v/>
      </c>
      <c r="AE649" s="32"/>
      <c r="AF649" s="32"/>
      <c r="AG649" s="37" t="n">
        <f aca="false">IF(R649="",0,IFERROR(MATCH(R649,Listas!$L$2:$L$50,0),0))</f>
        <v>0</v>
      </c>
    </row>
    <row r="650" customFormat="false" ht="15" hidden="false" customHeight="false" outlineLevel="0" collapsed="false">
      <c r="A650" s="30"/>
      <c r="B650" s="31"/>
      <c r="C650" s="32"/>
      <c r="D650" s="32"/>
      <c r="E650" s="33"/>
      <c r="F650" s="32"/>
      <c r="G650" s="32"/>
      <c r="H650" s="32"/>
      <c r="I650" s="32"/>
      <c r="J650" s="32"/>
      <c r="K650" s="32"/>
      <c r="L650" s="32"/>
      <c r="M650" s="30"/>
      <c r="N650" s="32"/>
      <c r="O650" s="34"/>
      <c r="P650" s="32"/>
      <c r="Q650" s="32"/>
      <c r="R650" s="32"/>
      <c r="S650" s="32"/>
      <c r="T650" s="32"/>
      <c r="U650" s="32"/>
      <c r="V650" s="31"/>
      <c r="W650" s="35" t="str">
        <f aca="true">IF(OR(V650="",AG650&gt;=8),"",IF(V650&lt;TODAY(),"Vencida",IF(V650=TODAY(),"Hoy","")))</f>
        <v/>
      </c>
      <c r="X650" s="36" t="str">
        <f aca="false">IF(A650="","",IF(COUNTIF(Seguimiento!$B$2:$B$5001,A650)=0,"",_xlfn.MAXIFS(Seguimiento!$A$2:$A$5001,Seguimiento!$B$2:$B$5001,A650)))</f>
        <v/>
      </c>
      <c r="Y650" s="37" t="str">
        <f aca="true">IF(B650="","",TODAY()-B650)</f>
        <v/>
      </c>
      <c r="Z650" s="38" t="str">
        <f aca="false">IF(OR(O650="",G650=""),"",O650*IFERROR(INDEX(Listas!$B$2:$B$50,MATCH(G650,Listas!$A$2:$A$50,0)),0))</f>
        <v/>
      </c>
      <c r="AA650" s="32"/>
      <c r="AB650" s="32"/>
      <c r="AC650" s="32"/>
      <c r="AD650" s="35" t="str">
        <f aca="false">IF(OR(LEFT(H650,4)="Meta",LEFT(H650,6)="Google"),IF(AG650=3,"Lead calificado",IF(OR(AG650=4,AG650=5),"Tasación/visita",IF(OR(AG650=6,AG650=7),"Captación/oferta",IF(AG650=8,"Cierre","")))),"")</f>
        <v/>
      </c>
      <c r="AE650" s="32"/>
      <c r="AF650" s="32"/>
      <c r="AG650" s="37" t="n">
        <f aca="false">IF(R650="",0,IFERROR(MATCH(R650,Listas!$L$2:$L$50,0),0))</f>
        <v>0</v>
      </c>
    </row>
    <row r="651" customFormat="false" ht="15" hidden="false" customHeight="false" outlineLevel="0" collapsed="false">
      <c r="A651" s="30"/>
      <c r="B651" s="31"/>
      <c r="C651" s="32"/>
      <c r="D651" s="32"/>
      <c r="E651" s="33"/>
      <c r="F651" s="32"/>
      <c r="G651" s="32"/>
      <c r="H651" s="32"/>
      <c r="I651" s="32"/>
      <c r="J651" s="32"/>
      <c r="K651" s="32"/>
      <c r="L651" s="32"/>
      <c r="M651" s="30"/>
      <c r="N651" s="32"/>
      <c r="O651" s="34"/>
      <c r="P651" s="32"/>
      <c r="Q651" s="32"/>
      <c r="R651" s="32"/>
      <c r="S651" s="32"/>
      <c r="T651" s="32"/>
      <c r="U651" s="32"/>
      <c r="V651" s="31"/>
      <c r="W651" s="35" t="str">
        <f aca="true">IF(OR(V651="",AG651&gt;=8),"",IF(V651&lt;TODAY(),"Vencida",IF(V651=TODAY(),"Hoy","")))</f>
        <v/>
      </c>
      <c r="X651" s="36" t="str">
        <f aca="false">IF(A651="","",IF(COUNTIF(Seguimiento!$B$2:$B$5001,A651)=0,"",_xlfn.MAXIFS(Seguimiento!$A$2:$A$5001,Seguimiento!$B$2:$B$5001,A651)))</f>
        <v/>
      </c>
      <c r="Y651" s="37" t="str">
        <f aca="true">IF(B651="","",TODAY()-B651)</f>
        <v/>
      </c>
      <c r="Z651" s="38" t="str">
        <f aca="false">IF(OR(O651="",G651=""),"",O651*IFERROR(INDEX(Listas!$B$2:$B$50,MATCH(G651,Listas!$A$2:$A$50,0)),0))</f>
        <v/>
      </c>
      <c r="AA651" s="32"/>
      <c r="AB651" s="32"/>
      <c r="AC651" s="32"/>
      <c r="AD651" s="35" t="str">
        <f aca="false">IF(OR(LEFT(H651,4)="Meta",LEFT(H651,6)="Google"),IF(AG651=3,"Lead calificado",IF(OR(AG651=4,AG651=5),"Tasación/visita",IF(OR(AG651=6,AG651=7),"Captación/oferta",IF(AG651=8,"Cierre","")))),"")</f>
        <v/>
      </c>
      <c r="AE651" s="32"/>
      <c r="AF651" s="32"/>
      <c r="AG651" s="37" t="n">
        <f aca="false">IF(R651="",0,IFERROR(MATCH(R651,Listas!$L$2:$L$50,0),0))</f>
        <v>0</v>
      </c>
    </row>
    <row r="652" customFormat="false" ht="15" hidden="false" customHeight="false" outlineLevel="0" collapsed="false">
      <c r="A652" s="30"/>
      <c r="B652" s="31"/>
      <c r="C652" s="32"/>
      <c r="D652" s="32"/>
      <c r="E652" s="33"/>
      <c r="F652" s="32"/>
      <c r="G652" s="32"/>
      <c r="H652" s="32"/>
      <c r="I652" s="32"/>
      <c r="J652" s="32"/>
      <c r="K652" s="32"/>
      <c r="L652" s="32"/>
      <c r="M652" s="30"/>
      <c r="N652" s="32"/>
      <c r="O652" s="34"/>
      <c r="P652" s="32"/>
      <c r="Q652" s="32"/>
      <c r="R652" s="32"/>
      <c r="S652" s="32"/>
      <c r="T652" s="32"/>
      <c r="U652" s="32"/>
      <c r="V652" s="31"/>
      <c r="W652" s="35" t="str">
        <f aca="true">IF(OR(V652="",AG652&gt;=8),"",IF(V652&lt;TODAY(),"Vencida",IF(V652=TODAY(),"Hoy","")))</f>
        <v/>
      </c>
      <c r="X652" s="36" t="str">
        <f aca="false">IF(A652="","",IF(COUNTIF(Seguimiento!$B$2:$B$5001,A652)=0,"",_xlfn.MAXIFS(Seguimiento!$A$2:$A$5001,Seguimiento!$B$2:$B$5001,A652)))</f>
        <v/>
      </c>
      <c r="Y652" s="37" t="str">
        <f aca="true">IF(B652="","",TODAY()-B652)</f>
        <v/>
      </c>
      <c r="Z652" s="38" t="str">
        <f aca="false">IF(OR(O652="",G652=""),"",O652*IFERROR(INDEX(Listas!$B$2:$B$50,MATCH(G652,Listas!$A$2:$A$50,0)),0))</f>
        <v/>
      </c>
      <c r="AA652" s="32"/>
      <c r="AB652" s="32"/>
      <c r="AC652" s="32"/>
      <c r="AD652" s="35" t="str">
        <f aca="false">IF(OR(LEFT(H652,4)="Meta",LEFT(H652,6)="Google"),IF(AG652=3,"Lead calificado",IF(OR(AG652=4,AG652=5),"Tasación/visita",IF(OR(AG652=6,AG652=7),"Captación/oferta",IF(AG652=8,"Cierre","")))),"")</f>
        <v/>
      </c>
      <c r="AE652" s="32"/>
      <c r="AF652" s="32"/>
      <c r="AG652" s="37" t="n">
        <f aca="false">IF(R652="",0,IFERROR(MATCH(R652,Listas!$L$2:$L$50,0),0))</f>
        <v>0</v>
      </c>
    </row>
    <row r="653" customFormat="false" ht="15" hidden="false" customHeight="false" outlineLevel="0" collapsed="false">
      <c r="A653" s="30"/>
      <c r="B653" s="31"/>
      <c r="C653" s="32"/>
      <c r="D653" s="32"/>
      <c r="E653" s="33"/>
      <c r="F653" s="32"/>
      <c r="G653" s="32"/>
      <c r="H653" s="32"/>
      <c r="I653" s="32"/>
      <c r="J653" s="32"/>
      <c r="K653" s="32"/>
      <c r="L653" s="32"/>
      <c r="M653" s="30"/>
      <c r="N653" s="32"/>
      <c r="O653" s="34"/>
      <c r="P653" s="32"/>
      <c r="Q653" s="32"/>
      <c r="R653" s="32"/>
      <c r="S653" s="32"/>
      <c r="T653" s="32"/>
      <c r="U653" s="32"/>
      <c r="V653" s="31"/>
      <c r="W653" s="35" t="str">
        <f aca="true">IF(OR(V653="",AG653&gt;=8),"",IF(V653&lt;TODAY(),"Vencida",IF(V653=TODAY(),"Hoy","")))</f>
        <v/>
      </c>
      <c r="X653" s="36" t="str">
        <f aca="false">IF(A653="","",IF(COUNTIF(Seguimiento!$B$2:$B$5001,A653)=0,"",_xlfn.MAXIFS(Seguimiento!$A$2:$A$5001,Seguimiento!$B$2:$B$5001,A653)))</f>
        <v/>
      </c>
      <c r="Y653" s="37" t="str">
        <f aca="true">IF(B653="","",TODAY()-B653)</f>
        <v/>
      </c>
      <c r="Z653" s="38" t="str">
        <f aca="false">IF(OR(O653="",G653=""),"",O653*IFERROR(INDEX(Listas!$B$2:$B$50,MATCH(G653,Listas!$A$2:$A$50,0)),0))</f>
        <v/>
      </c>
      <c r="AA653" s="32"/>
      <c r="AB653" s="32"/>
      <c r="AC653" s="32"/>
      <c r="AD653" s="35" t="str">
        <f aca="false">IF(OR(LEFT(H653,4)="Meta",LEFT(H653,6)="Google"),IF(AG653=3,"Lead calificado",IF(OR(AG653=4,AG653=5),"Tasación/visita",IF(OR(AG653=6,AG653=7),"Captación/oferta",IF(AG653=8,"Cierre","")))),"")</f>
        <v/>
      </c>
      <c r="AE653" s="32"/>
      <c r="AF653" s="32"/>
      <c r="AG653" s="37" t="n">
        <f aca="false">IF(R653="",0,IFERROR(MATCH(R653,Listas!$L$2:$L$50,0),0))</f>
        <v>0</v>
      </c>
    </row>
    <row r="654" customFormat="false" ht="15" hidden="false" customHeight="false" outlineLevel="0" collapsed="false">
      <c r="A654" s="30"/>
      <c r="B654" s="31"/>
      <c r="C654" s="32"/>
      <c r="D654" s="32"/>
      <c r="E654" s="33"/>
      <c r="F654" s="32"/>
      <c r="G654" s="32"/>
      <c r="H654" s="32"/>
      <c r="I654" s="32"/>
      <c r="J654" s="32"/>
      <c r="K654" s="32"/>
      <c r="L654" s="32"/>
      <c r="M654" s="30"/>
      <c r="N654" s="32"/>
      <c r="O654" s="34"/>
      <c r="P654" s="32"/>
      <c r="Q654" s="32"/>
      <c r="R654" s="32"/>
      <c r="S654" s="32"/>
      <c r="T654" s="32"/>
      <c r="U654" s="32"/>
      <c r="V654" s="31"/>
      <c r="W654" s="35" t="str">
        <f aca="true">IF(OR(V654="",AG654&gt;=8),"",IF(V654&lt;TODAY(),"Vencida",IF(V654=TODAY(),"Hoy","")))</f>
        <v/>
      </c>
      <c r="X654" s="36" t="str">
        <f aca="false">IF(A654="","",IF(COUNTIF(Seguimiento!$B$2:$B$5001,A654)=0,"",_xlfn.MAXIFS(Seguimiento!$A$2:$A$5001,Seguimiento!$B$2:$B$5001,A654)))</f>
        <v/>
      </c>
      <c r="Y654" s="37" t="str">
        <f aca="true">IF(B654="","",TODAY()-B654)</f>
        <v/>
      </c>
      <c r="Z654" s="38" t="str">
        <f aca="false">IF(OR(O654="",G654=""),"",O654*IFERROR(INDEX(Listas!$B$2:$B$50,MATCH(G654,Listas!$A$2:$A$50,0)),0))</f>
        <v/>
      </c>
      <c r="AA654" s="32"/>
      <c r="AB654" s="32"/>
      <c r="AC654" s="32"/>
      <c r="AD654" s="35" t="str">
        <f aca="false">IF(OR(LEFT(H654,4)="Meta",LEFT(H654,6)="Google"),IF(AG654=3,"Lead calificado",IF(OR(AG654=4,AG654=5),"Tasación/visita",IF(OR(AG654=6,AG654=7),"Captación/oferta",IF(AG654=8,"Cierre","")))),"")</f>
        <v/>
      </c>
      <c r="AE654" s="32"/>
      <c r="AF654" s="32"/>
      <c r="AG654" s="37" t="n">
        <f aca="false">IF(R654="",0,IFERROR(MATCH(R654,Listas!$L$2:$L$50,0),0))</f>
        <v>0</v>
      </c>
    </row>
    <row r="655" customFormat="false" ht="15" hidden="false" customHeight="false" outlineLevel="0" collapsed="false">
      <c r="A655" s="30"/>
      <c r="B655" s="31"/>
      <c r="C655" s="32"/>
      <c r="D655" s="32"/>
      <c r="E655" s="33"/>
      <c r="F655" s="32"/>
      <c r="G655" s="32"/>
      <c r="H655" s="32"/>
      <c r="I655" s="32"/>
      <c r="J655" s="32"/>
      <c r="K655" s="32"/>
      <c r="L655" s="32"/>
      <c r="M655" s="30"/>
      <c r="N655" s="32"/>
      <c r="O655" s="34"/>
      <c r="P655" s="32"/>
      <c r="Q655" s="32"/>
      <c r="R655" s="32"/>
      <c r="S655" s="32"/>
      <c r="T655" s="32"/>
      <c r="U655" s="32"/>
      <c r="V655" s="31"/>
      <c r="W655" s="35" t="str">
        <f aca="true">IF(OR(V655="",AG655&gt;=8),"",IF(V655&lt;TODAY(),"Vencida",IF(V655=TODAY(),"Hoy","")))</f>
        <v/>
      </c>
      <c r="X655" s="36" t="str">
        <f aca="false">IF(A655="","",IF(COUNTIF(Seguimiento!$B$2:$B$5001,A655)=0,"",_xlfn.MAXIFS(Seguimiento!$A$2:$A$5001,Seguimiento!$B$2:$B$5001,A655)))</f>
        <v/>
      </c>
      <c r="Y655" s="37" t="str">
        <f aca="true">IF(B655="","",TODAY()-B655)</f>
        <v/>
      </c>
      <c r="Z655" s="38" t="str">
        <f aca="false">IF(OR(O655="",G655=""),"",O655*IFERROR(INDEX(Listas!$B$2:$B$50,MATCH(G655,Listas!$A$2:$A$50,0)),0))</f>
        <v/>
      </c>
      <c r="AA655" s="32"/>
      <c r="AB655" s="32"/>
      <c r="AC655" s="32"/>
      <c r="AD655" s="35" t="str">
        <f aca="false">IF(OR(LEFT(H655,4)="Meta",LEFT(H655,6)="Google"),IF(AG655=3,"Lead calificado",IF(OR(AG655=4,AG655=5),"Tasación/visita",IF(OR(AG655=6,AG655=7),"Captación/oferta",IF(AG655=8,"Cierre","")))),"")</f>
        <v/>
      </c>
      <c r="AE655" s="32"/>
      <c r="AF655" s="32"/>
      <c r="AG655" s="37" t="n">
        <f aca="false">IF(R655="",0,IFERROR(MATCH(R655,Listas!$L$2:$L$50,0),0))</f>
        <v>0</v>
      </c>
    </row>
    <row r="656" customFormat="false" ht="15" hidden="false" customHeight="false" outlineLevel="0" collapsed="false">
      <c r="A656" s="30"/>
      <c r="B656" s="31"/>
      <c r="C656" s="32"/>
      <c r="D656" s="32"/>
      <c r="E656" s="33"/>
      <c r="F656" s="32"/>
      <c r="G656" s="32"/>
      <c r="H656" s="32"/>
      <c r="I656" s="32"/>
      <c r="J656" s="32"/>
      <c r="K656" s="32"/>
      <c r="L656" s="32"/>
      <c r="M656" s="30"/>
      <c r="N656" s="32"/>
      <c r="O656" s="34"/>
      <c r="P656" s="32"/>
      <c r="Q656" s="32"/>
      <c r="R656" s="32"/>
      <c r="S656" s="32"/>
      <c r="T656" s="32"/>
      <c r="U656" s="32"/>
      <c r="V656" s="31"/>
      <c r="W656" s="35" t="str">
        <f aca="true">IF(OR(V656="",AG656&gt;=8),"",IF(V656&lt;TODAY(),"Vencida",IF(V656=TODAY(),"Hoy","")))</f>
        <v/>
      </c>
      <c r="X656" s="36" t="str">
        <f aca="false">IF(A656="","",IF(COUNTIF(Seguimiento!$B$2:$B$5001,A656)=0,"",_xlfn.MAXIFS(Seguimiento!$A$2:$A$5001,Seguimiento!$B$2:$B$5001,A656)))</f>
        <v/>
      </c>
      <c r="Y656" s="37" t="str">
        <f aca="true">IF(B656="","",TODAY()-B656)</f>
        <v/>
      </c>
      <c r="Z656" s="38" t="str">
        <f aca="false">IF(OR(O656="",G656=""),"",O656*IFERROR(INDEX(Listas!$B$2:$B$50,MATCH(G656,Listas!$A$2:$A$50,0)),0))</f>
        <v/>
      </c>
      <c r="AA656" s="32"/>
      <c r="AB656" s="32"/>
      <c r="AC656" s="32"/>
      <c r="AD656" s="35" t="str">
        <f aca="false">IF(OR(LEFT(H656,4)="Meta",LEFT(H656,6)="Google"),IF(AG656=3,"Lead calificado",IF(OR(AG656=4,AG656=5),"Tasación/visita",IF(OR(AG656=6,AG656=7),"Captación/oferta",IF(AG656=8,"Cierre","")))),"")</f>
        <v/>
      </c>
      <c r="AE656" s="32"/>
      <c r="AF656" s="32"/>
      <c r="AG656" s="37" t="n">
        <f aca="false">IF(R656="",0,IFERROR(MATCH(R656,Listas!$L$2:$L$50,0),0))</f>
        <v>0</v>
      </c>
    </row>
    <row r="657" customFormat="false" ht="15" hidden="false" customHeight="false" outlineLevel="0" collapsed="false">
      <c r="A657" s="30"/>
      <c r="B657" s="31"/>
      <c r="C657" s="32"/>
      <c r="D657" s="32"/>
      <c r="E657" s="33"/>
      <c r="F657" s="32"/>
      <c r="G657" s="32"/>
      <c r="H657" s="32"/>
      <c r="I657" s="32"/>
      <c r="J657" s="32"/>
      <c r="K657" s="32"/>
      <c r="L657" s="32"/>
      <c r="M657" s="30"/>
      <c r="N657" s="32"/>
      <c r="O657" s="34"/>
      <c r="P657" s="32"/>
      <c r="Q657" s="32"/>
      <c r="R657" s="32"/>
      <c r="S657" s="32"/>
      <c r="T657" s="32"/>
      <c r="U657" s="32"/>
      <c r="V657" s="31"/>
      <c r="W657" s="35" t="str">
        <f aca="true">IF(OR(V657="",AG657&gt;=8),"",IF(V657&lt;TODAY(),"Vencida",IF(V657=TODAY(),"Hoy","")))</f>
        <v/>
      </c>
      <c r="X657" s="36" t="str">
        <f aca="false">IF(A657="","",IF(COUNTIF(Seguimiento!$B$2:$B$5001,A657)=0,"",_xlfn.MAXIFS(Seguimiento!$A$2:$A$5001,Seguimiento!$B$2:$B$5001,A657)))</f>
        <v/>
      </c>
      <c r="Y657" s="37" t="str">
        <f aca="true">IF(B657="","",TODAY()-B657)</f>
        <v/>
      </c>
      <c r="Z657" s="38" t="str">
        <f aca="false">IF(OR(O657="",G657=""),"",O657*IFERROR(INDEX(Listas!$B$2:$B$50,MATCH(G657,Listas!$A$2:$A$50,0)),0))</f>
        <v/>
      </c>
      <c r="AA657" s="32"/>
      <c r="AB657" s="32"/>
      <c r="AC657" s="32"/>
      <c r="AD657" s="35" t="str">
        <f aca="false">IF(OR(LEFT(H657,4)="Meta",LEFT(H657,6)="Google"),IF(AG657=3,"Lead calificado",IF(OR(AG657=4,AG657=5),"Tasación/visita",IF(OR(AG657=6,AG657=7),"Captación/oferta",IF(AG657=8,"Cierre","")))),"")</f>
        <v/>
      </c>
      <c r="AE657" s="32"/>
      <c r="AF657" s="32"/>
      <c r="AG657" s="37" t="n">
        <f aca="false">IF(R657="",0,IFERROR(MATCH(R657,Listas!$L$2:$L$50,0),0))</f>
        <v>0</v>
      </c>
    </row>
    <row r="658" customFormat="false" ht="15" hidden="false" customHeight="false" outlineLevel="0" collapsed="false">
      <c r="A658" s="30"/>
      <c r="B658" s="31"/>
      <c r="C658" s="32"/>
      <c r="D658" s="32"/>
      <c r="E658" s="33"/>
      <c r="F658" s="32"/>
      <c r="G658" s="32"/>
      <c r="H658" s="32"/>
      <c r="I658" s="32"/>
      <c r="J658" s="32"/>
      <c r="K658" s="32"/>
      <c r="L658" s="32"/>
      <c r="M658" s="30"/>
      <c r="N658" s="32"/>
      <c r="O658" s="34"/>
      <c r="P658" s="32"/>
      <c r="Q658" s="32"/>
      <c r="R658" s="32"/>
      <c r="S658" s="32"/>
      <c r="T658" s="32"/>
      <c r="U658" s="32"/>
      <c r="V658" s="31"/>
      <c r="W658" s="35" t="str">
        <f aca="true">IF(OR(V658="",AG658&gt;=8),"",IF(V658&lt;TODAY(),"Vencida",IF(V658=TODAY(),"Hoy","")))</f>
        <v/>
      </c>
      <c r="X658" s="36" t="str">
        <f aca="false">IF(A658="","",IF(COUNTIF(Seguimiento!$B$2:$B$5001,A658)=0,"",_xlfn.MAXIFS(Seguimiento!$A$2:$A$5001,Seguimiento!$B$2:$B$5001,A658)))</f>
        <v/>
      </c>
      <c r="Y658" s="37" t="str">
        <f aca="true">IF(B658="","",TODAY()-B658)</f>
        <v/>
      </c>
      <c r="Z658" s="38" t="str">
        <f aca="false">IF(OR(O658="",G658=""),"",O658*IFERROR(INDEX(Listas!$B$2:$B$50,MATCH(G658,Listas!$A$2:$A$50,0)),0))</f>
        <v/>
      </c>
      <c r="AA658" s="32"/>
      <c r="AB658" s="32"/>
      <c r="AC658" s="32"/>
      <c r="AD658" s="35" t="str">
        <f aca="false">IF(OR(LEFT(H658,4)="Meta",LEFT(H658,6)="Google"),IF(AG658=3,"Lead calificado",IF(OR(AG658=4,AG658=5),"Tasación/visita",IF(OR(AG658=6,AG658=7),"Captación/oferta",IF(AG658=8,"Cierre","")))),"")</f>
        <v/>
      </c>
      <c r="AE658" s="32"/>
      <c r="AF658" s="32"/>
      <c r="AG658" s="37" t="n">
        <f aca="false">IF(R658="",0,IFERROR(MATCH(R658,Listas!$L$2:$L$50,0),0))</f>
        <v>0</v>
      </c>
    </row>
    <row r="659" customFormat="false" ht="15" hidden="false" customHeight="false" outlineLevel="0" collapsed="false">
      <c r="A659" s="30"/>
      <c r="B659" s="31"/>
      <c r="C659" s="32"/>
      <c r="D659" s="32"/>
      <c r="E659" s="33"/>
      <c r="F659" s="32"/>
      <c r="G659" s="32"/>
      <c r="H659" s="32"/>
      <c r="I659" s="32"/>
      <c r="J659" s="32"/>
      <c r="K659" s="32"/>
      <c r="L659" s="32"/>
      <c r="M659" s="30"/>
      <c r="N659" s="32"/>
      <c r="O659" s="34"/>
      <c r="P659" s="32"/>
      <c r="Q659" s="32"/>
      <c r="R659" s="32"/>
      <c r="S659" s="32"/>
      <c r="T659" s="32"/>
      <c r="U659" s="32"/>
      <c r="V659" s="31"/>
      <c r="W659" s="35" t="str">
        <f aca="true">IF(OR(V659="",AG659&gt;=8),"",IF(V659&lt;TODAY(),"Vencida",IF(V659=TODAY(),"Hoy","")))</f>
        <v/>
      </c>
      <c r="X659" s="36" t="str">
        <f aca="false">IF(A659="","",IF(COUNTIF(Seguimiento!$B$2:$B$5001,A659)=0,"",_xlfn.MAXIFS(Seguimiento!$A$2:$A$5001,Seguimiento!$B$2:$B$5001,A659)))</f>
        <v/>
      </c>
      <c r="Y659" s="37" t="str">
        <f aca="true">IF(B659="","",TODAY()-B659)</f>
        <v/>
      </c>
      <c r="Z659" s="38" t="str">
        <f aca="false">IF(OR(O659="",G659=""),"",O659*IFERROR(INDEX(Listas!$B$2:$B$50,MATCH(G659,Listas!$A$2:$A$50,0)),0))</f>
        <v/>
      </c>
      <c r="AA659" s="32"/>
      <c r="AB659" s="32"/>
      <c r="AC659" s="32"/>
      <c r="AD659" s="35" t="str">
        <f aca="false">IF(OR(LEFT(H659,4)="Meta",LEFT(H659,6)="Google"),IF(AG659=3,"Lead calificado",IF(OR(AG659=4,AG659=5),"Tasación/visita",IF(OR(AG659=6,AG659=7),"Captación/oferta",IF(AG659=8,"Cierre","")))),"")</f>
        <v/>
      </c>
      <c r="AE659" s="32"/>
      <c r="AF659" s="32"/>
      <c r="AG659" s="37" t="n">
        <f aca="false">IF(R659="",0,IFERROR(MATCH(R659,Listas!$L$2:$L$50,0),0))</f>
        <v>0</v>
      </c>
    </row>
    <row r="660" customFormat="false" ht="15" hidden="false" customHeight="false" outlineLevel="0" collapsed="false">
      <c r="A660" s="30"/>
      <c r="B660" s="31"/>
      <c r="C660" s="32"/>
      <c r="D660" s="32"/>
      <c r="E660" s="33"/>
      <c r="F660" s="32"/>
      <c r="G660" s="32"/>
      <c r="H660" s="32"/>
      <c r="I660" s="32"/>
      <c r="J660" s="32"/>
      <c r="K660" s="32"/>
      <c r="L660" s="32"/>
      <c r="M660" s="30"/>
      <c r="N660" s="32"/>
      <c r="O660" s="34"/>
      <c r="P660" s="32"/>
      <c r="Q660" s="32"/>
      <c r="R660" s="32"/>
      <c r="S660" s="32"/>
      <c r="T660" s="32"/>
      <c r="U660" s="32"/>
      <c r="V660" s="31"/>
      <c r="W660" s="35" t="str">
        <f aca="true">IF(OR(V660="",AG660&gt;=8),"",IF(V660&lt;TODAY(),"Vencida",IF(V660=TODAY(),"Hoy","")))</f>
        <v/>
      </c>
      <c r="X660" s="36" t="str">
        <f aca="false">IF(A660="","",IF(COUNTIF(Seguimiento!$B$2:$B$5001,A660)=0,"",_xlfn.MAXIFS(Seguimiento!$A$2:$A$5001,Seguimiento!$B$2:$B$5001,A660)))</f>
        <v/>
      </c>
      <c r="Y660" s="37" t="str">
        <f aca="true">IF(B660="","",TODAY()-B660)</f>
        <v/>
      </c>
      <c r="Z660" s="38" t="str">
        <f aca="false">IF(OR(O660="",G660=""),"",O660*IFERROR(INDEX(Listas!$B$2:$B$50,MATCH(G660,Listas!$A$2:$A$50,0)),0))</f>
        <v/>
      </c>
      <c r="AA660" s="32"/>
      <c r="AB660" s="32"/>
      <c r="AC660" s="32"/>
      <c r="AD660" s="35" t="str">
        <f aca="false">IF(OR(LEFT(H660,4)="Meta",LEFT(H660,6)="Google"),IF(AG660=3,"Lead calificado",IF(OR(AG660=4,AG660=5),"Tasación/visita",IF(OR(AG660=6,AG660=7),"Captación/oferta",IF(AG660=8,"Cierre","")))),"")</f>
        <v/>
      </c>
      <c r="AE660" s="32"/>
      <c r="AF660" s="32"/>
      <c r="AG660" s="37" t="n">
        <f aca="false">IF(R660="",0,IFERROR(MATCH(R660,Listas!$L$2:$L$50,0),0))</f>
        <v>0</v>
      </c>
    </row>
    <row r="661" customFormat="false" ht="15" hidden="false" customHeight="false" outlineLevel="0" collapsed="false">
      <c r="A661" s="30"/>
      <c r="B661" s="31"/>
      <c r="C661" s="32"/>
      <c r="D661" s="32"/>
      <c r="E661" s="33"/>
      <c r="F661" s="32"/>
      <c r="G661" s="32"/>
      <c r="H661" s="32"/>
      <c r="I661" s="32"/>
      <c r="J661" s="32"/>
      <c r="K661" s="32"/>
      <c r="L661" s="32"/>
      <c r="M661" s="30"/>
      <c r="N661" s="32"/>
      <c r="O661" s="34"/>
      <c r="P661" s="32"/>
      <c r="Q661" s="32"/>
      <c r="R661" s="32"/>
      <c r="S661" s="32"/>
      <c r="T661" s="32"/>
      <c r="U661" s="32"/>
      <c r="V661" s="31"/>
      <c r="W661" s="35" t="str">
        <f aca="true">IF(OR(V661="",AG661&gt;=8),"",IF(V661&lt;TODAY(),"Vencida",IF(V661=TODAY(),"Hoy","")))</f>
        <v/>
      </c>
      <c r="X661" s="36" t="str">
        <f aca="false">IF(A661="","",IF(COUNTIF(Seguimiento!$B$2:$B$5001,A661)=0,"",_xlfn.MAXIFS(Seguimiento!$A$2:$A$5001,Seguimiento!$B$2:$B$5001,A661)))</f>
        <v/>
      </c>
      <c r="Y661" s="37" t="str">
        <f aca="true">IF(B661="","",TODAY()-B661)</f>
        <v/>
      </c>
      <c r="Z661" s="38" t="str">
        <f aca="false">IF(OR(O661="",G661=""),"",O661*IFERROR(INDEX(Listas!$B$2:$B$50,MATCH(G661,Listas!$A$2:$A$50,0)),0))</f>
        <v/>
      </c>
      <c r="AA661" s="32"/>
      <c r="AB661" s="32"/>
      <c r="AC661" s="32"/>
      <c r="AD661" s="35" t="str">
        <f aca="false">IF(OR(LEFT(H661,4)="Meta",LEFT(H661,6)="Google"),IF(AG661=3,"Lead calificado",IF(OR(AG661=4,AG661=5),"Tasación/visita",IF(OR(AG661=6,AG661=7),"Captación/oferta",IF(AG661=8,"Cierre","")))),"")</f>
        <v/>
      </c>
      <c r="AE661" s="32"/>
      <c r="AF661" s="32"/>
      <c r="AG661" s="37" t="n">
        <f aca="false">IF(R661="",0,IFERROR(MATCH(R661,Listas!$L$2:$L$50,0),0))</f>
        <v>0</v>
      </c>
    </row>
    <row r="662" customFormat="false" ht="15" hidden="false" customHeight="false" outlineLevel="0" collapsed="false">
      <c r="A662" s="30"/>
      <c r="B662" s="31"/>
      <c r="C662" s="32"/>
      <c r="D662" s="32"/>
      <c r="E662" s="33"/>
      <c r="F662" s="32"/>
      <c r="G662" s="32"/>
      <c r="H662" s="32"/>
      <c r="I662" s="32"/>
      <c r="J662" s="32"/>
      <c r="K662" s="32"/>
      <c r="L662" s="32"/>
      <c r="M662" s="30"/>
      <c r="N662" s="32"/>
      <c r="O662" s="34"/>
      <c r="P662" s="32"/>
      <c r="Q662" s="32"/>
      <c r="R662" s="32"/>
      <c r="S662" s="32"/>
      <c r="T662" s="32"/>
      <c r="U662" s="32"/>
      <c r="V662" s="31"/>
      <c r="W662" s="35" t="str">
        <f aca="true">IF(OR(V662="",AG662&gt;=8),"",IF(V662&lt;TODAY(),"Vencida",IF(V662=TODAY(),"Hoy","")))</f>
        <v/>
      </c>
      <c r="X662" s="36" t="str">
        <f aca="false">IF(A662="","",IF(COUNTIF(Seguimiento!$B$2:$B$5001,A662)=0,"",_xlfn.MAXIFS(Seguimiento!$A$2:$A$5001,Seguimiento!$B$2:$B$5001,A662)))</f>
        <v/>
      </c>
      <c r="Y662" s="37" t="str">
        <f aca="true">IF(B662="","",TODAY()-B662)</f>
        <v/>
      </c>
      <c r="Z662" s="38" t="str">
        <f aca="false">IF(OR(O662="",G662=""),"",O662*IFERROR(INDEX(Listas!$B$2:$B$50,MATCH(G662,Listas!$A$2:$A$50,0)),0))</f>
        <v/>
      </c>
      <c r="AA662" s="32"/>
      <c r="AB662" s="32"/>
      <c r="AC662" s="32"/>
      <c r="AD662" s="35" t="str">
        <f aca="false">IF(OR(LEFT(H662,4)="Meta",LEFT(H662,6)="Google"),IF(AG662=3,"Lead calificado",IF(OR(AG662=4,AG662=5),"Tasación/visita",IF(OR(AG662=6,AG662=7),"Captación/oferta",IF(AG662=8,"Cierre","")))),"")</f>
        <v/>
      </c>
      <c r="AE662" s="32"/>
      <c r="AF662" s="32"/>
      <c r="AG662" s="37" t="n">
        <f aca="false">IF(R662="",0,IFERROR(MATCH(R662,Listas!$L$2:$L$50,0),0))</f>
        <v>0</v>
      </c>
    </row>
    <row r="663" customFormat="false" ht="15" hidden="false" customHeight="false" outlineLevel="0" collapsed="false">
      <c r="A663" s="30"/>
      <c r="B663" s="31"/>
      <c r="C663" s="32"/>
      <c r="D663" s="32"/>
      <c r="E663" s="33"/>
      <c r="F663" s="32"/>
      <c r="G663" s="32"/>
      <c r="H663" s="32"/>
      <c r="I663" s="32"/>
      <c r="J663" s="32"/>
      <c r="K663" s="32"/>
      <c r="L663" s="32"/>
      <c r="M663" s="30"/>
      <c r="N663" s="32"/>
      <c r="O663" s="34"/>
      <c r="P663" s="32"/>
      <c r="Q663" s="32"/>
      <c r="R663" s="32"/>
      <c r="S663" s="32"/>
      <c r="T663" s="32"/>
      <c r="U663" s="32"/>
      <c r="V663" s="31"/>
      <c r="W663" s="35" t="str">
        <f aca="true">IF(OR(V663="",AG663&gt;=8),"",IF(V663&lt;TODAY(),"Vencida",IF(V663=TODAY(),"Hoy","")))</f>
        <v/>
      </c>
      <c r="X663" s="36" t="str">
        <f aca="false">IF(A663="","",IF(COUNTIF(Seguimiento!$B$2:$B$5001,A663)=0,"",_xlfn.MAXIFS(Seguimiento!$A$2:$A$5001,Seguimiento!$B$2:$B$5001,A663)))</f>
        <v/>
      </c>
      <c r="Y663" s="37" t="str">
        <f aca="true">IF(B663="","",TODAY()-B663)</f>
        <v/>
      </c>
      <c r="Z663" s="38" t="str">
        <f aca="false">IF(OR(O663="",G663=""),"",O663*IFERROR(INDEX(Listas!$B$2:$B$50,MATCH(G663,Listas!$A$2:$A$50,0)),0))</f>
        <v/>
      </c>
      <c r="AA663" s="32"/>
      <c r="AB663" s="32"/>
      <c r="AC663" s="32"/>
      <c r="AD663" s="35" t="str">
        <f aca="false">IF(OR(LEFT(H663,4)="Meta",LEFT(H663,6)="Google"),IF(AG663=3,"Lead calificado",IF(OR(AG663=4,AG663=5),"Tasación/visita",IF(OR(AG663=6,AG663=7),"Captación/oferta",IF(AG663=8,"Cierre","")))),"")</f>
        <v/>
      </c>
      <c r="AE663" s="32"/>
      <c r="AF663" s="32"/>
      <c r="AG663" s="37" t="n">
        <f aca="false">IF(R663="",0,IFERROR(MATCH(R663,Listas!$L$2:$L$50,0),0))</f>
        <v>0</v>
      </c>
    </row>
    <row r="664" customFormat="false" ht="15" hidden="false" customHeight="false" outlineLevel="0" collapsed="false">
      <c r="A664" s="30"/>
      <c r="B664" s="31"/>
      <c r="C664" s="32"/>
      <c r="D664" s="32"/>
      <c r="E664" s="33"/>
      <c r="F664" s="32"/>
      <c r="G664" s="32"/>
      <c r="H664" s="32"/>
      <c r="I664" s="32"/>
      <c r="J664" s="32"/>
      <c r="K664" s="32"/>
      <c r="L664" s="32"/>
      <c r="M664" s="30"/>
      <c r="N664" s="32"/>
      <c r="O664" s="34"/>
      <c r="P664" s="32"/>
      <c r="Q664" s="32"/>
      <c r="R664" s="32"/>
      <c r="S664" s="32"/>
      <c r="T664" s="32"/>
      <c r="U664" s="32"/>
      <c r="V664" s="31"/>
      <c r="W664" s="35" t="str">
        <f aca="true">IF(OR(V664="",AG664&gt;=8),"",IF(V664&lt;TODAY(),"Vencida",IF(V664=TODAY(),"Hoy","")))</f>
        <v/>
      </c>
      <c r="X664" s="36" t="str">
        <f aca="false">IF(A664="","",IF(COUNTIF(Seguimiento!$B$2:$B$5001,A664)=0,"",_xlfn.MAXIFS(Seguimiento!$A$2:$A$5001,Seguimiento!$B$2:$B$5001,A664)))</f>
        <v/>
      </c>
      <c r="Y664" s="37" t="str">
        <f aca="true">IF(B664="","",TODAY()-B664)</f>
        <v/>
      </c>
      <c r="Z664" s="38" t="str">
        <f aca="false">IF(OR(O664="",G664=""),"",O664*IFERROR(INDEX(Listas!$B$2:$B$50,MATCH(G664,Listas!$A$2:$A$50,0)),0))</f>
        <v/>
      </c>
      <c r="AA664" s="32"/>
      <c r="AB664" s="32"/>
      <c r="AC664" s="32"/>
      <c r="AD664" s="35" t="str">
        <f aca="false">IF(OR(LEFT(H664,4)="Meta",LEFT(H664,6)="Google"),IF(AG664=3,"Lead calificado",IF(OR(AG664=4,AG664=5),"Tasación/visita",IF(OR(AG664=6,AG664=7),"Captación/oferta",IF(AG664=8,"Cierre","")))),"")</f>
        <v/>
      </c>
      <c r="AE664" s="32"/>
      <c r="AF664" s="32"/>
      <c r="AG664" s="37" t="n">
        <f aca="false">IF(R664="",0,IFERROR(MATCH(R664,Listas!$L$2:$L$50,0),0))</f>
        <v>0</v>
      </c>
    </row>
    <row r="665" customFormat="false" ht="15" hidden="false" customHeight="false" outlineLevel="0" collapsed="false">
      <c r="A665" s="30"/>
      <c r="B665" s="31"/>
      <c r="C665" s="32"/>
      <c r="D665" s="32"/>
      <c r="E665" s="33"/>
      <c r="F665" s="32"/>
      <c r="G665" s="32"/>
      <c r="H665" s="32"/>
      <c r="I665" s="32"/>
      <c r="J665" s="32"/>
      <c r="K665" s="32"/>
      <c r="L665" s="32"/>
      <c r="M665" s="30"/>
      <c r="N665" s="32"/>
      <c r="O665" s="34"/>
      <c r="P665" s="32"/>
      <c r="Q665" s="32"/>
      <c r="R665" s="32"/>
      <c r="S665" s="32"/>
      <c r="T665" s="32"/>
      <c r="U665" s="32"/>
      <c r="V665" s="31"/>
      <c r="W665" s="35" t="str">
        <f aca="true">IF(OR(V665="",AG665&gt;=8),"",IF(V665&lt;TODAY(),"Vencida",IF(V665=TODAY(),"Hoy","")))</f>
        <v/>
      </c>
      <c r="X665" s="36" t="str">
        <f aca="false">IF(A665="","",IF(COUNTIF(Seguimiento!$B$2:$B$5001,A665)=0,"",_xlfn.MAXIFS(Seguimiento!$A$2:$A$5001,Seguimiento!$B$2:$B$5001,A665)))</f>
        <v/>
      </c>
      <c r="Y665" s="37" t="str">
        <f aca="true">IF(B665="","",TODAY()-B665)</f>
        <v/>
      </c>
      <c r="Z665" s="38" t="str">
        <f aca="false">IF(OR(O665="",G665=""),"",O665*IFERROR(INDEX(Listas!$B$2:$B$50,MATCH(G665,Listas!$A$2:$A$50,0)),0))</f>
        <v/>
      </c>
      <c r="AA665" s="32"/>
      <c r="AB665" s="32"/>
      <c r="AC665" s="32"/>
      <c r="AD665" s="35" t="str">
        <f aca="false">IF(OR(LEFT(H665,4)="Meta",LEFT(H665,6)="Google"),IF(AG665=3,"Lead calificado",IF(OR(AG665=4,AG665=5),"Tasación/visita",IF(OR(AG665=6,AG665=7),"Captación/oferta",IF(AG665=8,"Cierre","")))),"")</f>
        <v/>
      </c>
      <c r="AE665" s="32"/>
      <c r="AF665" s="32"/>
      <c r="AG665" s="37" t="n">
        <f aca="false">IF(R665="",0,IFERROR(MATCH(R665,Listas!$L$2:$L$50,0),0))</f>
        <v>0</v>
      </c>
    </row>
    <row r="666" customFormat="false" ht="15" hidden="false" customHeight="false" outlineLevel="0" collapsed="false">
      <c r="A666" s="30"/>
      <c r="B666" s="31"/>
      <c r="C666" s="32"/>
      <c r="D666" s="32"/>
      <c r="E666" s="33"/>
      <c r="F666" s="32"/>
      <c r="G666" s="32"/>
      <c r="H666" s="32"/>
      <c r="I666" s="32"/>
      <c r="J666" s="32"/>
      <c r="K666" s="32"/>
      <c r="L666" s="32"/>
      <c r="M666" s="30"/>
      <c r="N666" s="32"/>
      <c r="O666" s="34"/>
      <c r="P666" s="32"/>
      <c r="Q666" s="32"/>
      <c r="R666" s="32"/>
      <c r="S666" s="32"/>
      <c r="T666" s="32"/>
      <c r="U666" s="32"/>
      <c r="V666" s="31"/>
      <c r="W666" s="35" t="str">
        <f aca="true">IF(OR(V666="",AG666&gt;=8),"",IF(V666&lt;TODAY(),"Vencida",IF(V666=TODAY(),"Hoy","")))</f>
        <v/>
      </c>
      <c r="X666" s="36" t="str">
        <f aca="false">IF(A666="","",IF(COUNTIF(Seguimiento!$B$2:$B$5001,A666)=0,"",_xlfn.MAXIFS(Seguimiento!$A$2:$A$5001,Seguimiento!$B$2:$B$5001,A666)))</f>
        <v/>
      </c>
      <c r="Y666" s="37" t="str">
        <f aca="true">IF(B666="","",TODAY()-B666)</f>
        <v/>
      </c>
      <c r="Z666" s="38" t="str">
        <f aca="false">IF(OR(O666="",G666=""),"",O666*IFERROR(INDEX(Listas!$B$2:$B$50,MATCH(G666,Listas!$A$2:$A$50,0)),0))</f>
        <v/>
      </c>
      <c r="AA666" s="32"/>
      <c r="AB666" s="32"/>
      <c r="AC666" s="32"/>
      <c r="AD666" s="35" t="str">
        <f aca="false">IF(OR(LEFT(H666,4)="Meta",LEFT(H666,6)="Google"),IF(AG666=3,"Lead calificado",IF(OR(AG666=4,AG666=5),"Tasación/visita",IF(OR(AG666=6,AG666=7),"Captación/oferta",IF(AG666=8,"Cierre","")))),"")</f>
        <v/>
      </c>
      <c r="AE666" s="32"/>
      <c r="AF666" s="32"/>
      <c r="AG666" s="37" t="n">
        <f aca="false">IF(R666="",0,IFERROR(MATCH(R666,Listas!$L$2:$L$50,0),0))</f>
        <v>0</v>
      </c>
    </row>
    <row r="667" customFormat="false" ht="15" hidden="false" customHeight="false" outlineLevel="0" collapsed="false">
      <c r="A667" s="30"/>
      <c r="B667" s="31"/>
      <c r="C667" s="32"/>
      <c r="D667" s="32"/>
      <c r="E667" s="33"/>
      <c r="F667" s="32"/>
      <c r="G667" s="32"/>
      <c r="H667" s="32"/>
      <c r="I667" s="32"/>
      <c r="J667" s="32"/>
      <c r="K667" s="32"/>
      <c r="L667" s="32"/>
      <c r="M667" s="30"/>
      <c r="N667" s="32"/>
      <c r="O667" s="34"/>
      <c r="P667" s="32"/>
      <c r="Q667" s="32"/>
      <c r="R667" s="32"/>
      <c r="S667" s="32"/>
      <c r="T667" s="32"/>
      <c r="U667" s="32"/>
      <c r="V667" s="31"/>
      <c r="W667" s="35" t="str">
        <f aca="true">IF(OR(V667="",AG667&gt;=8),"",IF(V667&lt;TODAY(),"Vencida",IF(V667=TODAY(),"Hoy","")))</f>
        <v/>
      </c>
      <c r="X667" s="36" t="str">
        <f aca="false">IF(A667="","",IF(COUNTIF(Seguimiento!$B$2:$B$5001,A667)=0,"",_xlfn.MAXIFS(Seguimiento!$A$2:$A$5001,Seguimiento!$B$2:$B$5001,A667)))</f>
        <v/>
      </c>
      <c r="Y667" s="37" t="str">
        <f aca="true">IF(B667="","",TODAY()-B667)</f>
        <v/>
      </c>
      <c r="Z667" s="38" t="str">
        <f aca="false">IF(OR(O667="",G667=""),"",O667*IFERROR(INDEX(Listas!$B$2:$B$50,MATCH(G667,Listas!$A$2:$A$50,0)),0))</f>
        <v/>
      </c>
      <c r="AA667" s="32"/>
      <c r="AB667" s="32"/>
      <c r="AC667" s="32"/>
      <c r="AD667" s="35" t="str">
        <f aca="false">IF(OR(LEFT(H667,4)="Meta",LEFT(H667,6)="Google"),IF(AG667=3,"Lead calificado",IF(OR(AG667=4,AG667=5),"Tasación/visita",IF(OR(AG667=6,AG667=7),"Captación/oferta",IF(AG667=8,"Cierre","")))),"")</f>
        <v/>
      </c>
      <c r="AE667" s="32"/>
      <c r="AF667" s="32"/>
      <c r="AG667" s="37" t="n">
        <f aca="false">IF(R667="",0,IFERROR(MATCH(R667,Listas!$L$2:$L$50,0),0))</f>
        <v>0</v>
      </c>
    </row>
    <row r="668" customFormat="false" ht="15" hidden="false" customHeight="false" outlineLevel="0" collapsed="false">
      <c r="A668" s="30"/>
      <c r="B668" s="31"/>
      <c r="C668" s="32"/>
      <c r="D668" s="32"/>
      <c r="E668" s="33"/>
      <c r="F668" s="32"/>
      <c r="G668" s="32"/>
      <c r="H668" s="32"/>
      <c r="I668" s="32"/>
      <c r="J668" s="32"/>
      <c r="K668" s="32"/>
      <c r="L668" s="32"/>
      <c r="M668" s="30"/>
      <c r="N668" s="32"/>
      <c r="O668" s="34"/>
      <c r="P668" s="32"/>
      <c r="Q668" s="32"/>
      <c r="R668" s="32"/>
      <c r="S668" s="32"/>
      <c r="T668" s="32"/>
      <c r="U668" s="32"/>
      <c r="V668" s="31"/>
      <c r="W668" s="35" t="str">
        <f aca="true">IF(OR(V668="",AG668&gt;=8),"",IF(V668&lt;TODAY(),"Vencida",IF(V668=TODAY(),"Hoy","")))</f>
        <v/>
      </c>
      <c r="X668" s="36" t="str">
        <f aca="false">IF(A668="","",IF(COUNTIF(Seguimiento!$B$2:$B$5001,A668)=0,"",_xlfn.MAXIFS(Seguimiento!$A$2:$A$5001,Seguimiento!$B$2:$B$5001,A668)))</f>
        <v/>
      </c>
      <c r="Y668" s="37" t="str">
        <f aca="true">IF(B668="","",TODAY()-B668)</f>
        <v/>
      </c>
      <c r="Z668" s="38" t="str">
        <f aca="false">IF(OR(O668="",G668=""),"",O668*IFERROR(INDEX(Listas!$B$2:$B$50,MATCH(G668,Listas!$A$2:$A$50,0)),0))</f>
        <v/>
      </c>
      <c r="AA668" s="32"/>
      <c r="AB668" s="32"/>
      <c r="AC668" s="32"/>
      <c r="AD668" s="35" t="str">
        <f aca="false">IF(OR(LEFT(H668,4)="Meta",LEFT(H668,6)="Google"),IF(AG668=3,"Lead calificado",IF(OR(AG668=4,AG668=5),"Tasación/visita",IF(OR(AG668=6,AG668=7),"Captación/oferta",IF(AG668=8,"Cierre","")))),"")</f>
        <v/>
      </c>
      <c r="AE668" s="32"/>
      <c r="AF668" s="32"/>
      <c r="AG668" s="37" t="n">
        <f aca="false">IF(R668="",0,IFERROR(MATCH(R668,Listas!$L$2:$L$50,0),0))</f>
        <v>0</v>
      </c>
    </row>
    <row r="669" customFormat="false" ht="15" hidden="false" customHeight="false" outlineLevel="0" collapsed="false">
      <c r="A669" s="30"/>
      <c r="B669" s="31"/>
      <c r="C669" s="32"/>
      <c r="D669" s="32"/>
      <c r="E669" s="33"/>
      <c r="F669" s="32"/>
      <c r="G669" s="32"/>
      <c r="H669" s="32"/>
      <c r="I669" s="32"/>
      <c r="J669" s="32"/>
      <c r="K669" s="32"/>
      <c r="L669" s="32"/>
      <c r="M669" s="30"/>
      <c r="N669" s="32"/>
      <c r="O669" s="34"/>
      <c r="P669" s="32"/>
      <c r="Q669" s="32"/>
      <c r="R669" s="32"/>
      <c r="S669" s="32"/>
      <c r="T669" s="32"/>
      <c r="U669" s="32"/>
      <c r="V669" s="31"/>
      <c r="W669" s="35" t="str">
        <f aca="true">IF(OR(V669="",AG669&gt;=8),"",IF(V669&lt;TODAY(),"Vencida",IF(V669=TODAY(),"Hoy","")))</f>
        <v/>
      </c>
      <c r="X669" s="36" t="str">
        <f aca="false">IF(A669="","",IF(COUNTIF(Seguimiento!$B$2:$B$5001,A669)=0,"",_xlfn.MAXIFS(Seguimiento!$A$2:$A$5001,Seguimiento!$B$2:$B$5001,A669)))</f>
        <v/>
      </c>
      <c r="Y669" s="37" t="str">
        <f aca="true">IF(B669="","",TODAY()-B669)</f>
        <v/>
      </c>
      <c r="Z669" s="38" t="str">
        <f aca="false">IF(OR(O669="",G669=""),"",O669*IFERROR(INDEX(Listas!$B$2:$B$50,MATCH(G669,Listas!$A$2:$A$50,0)),0))</f>
        <v/>
      </c>
      <c r="AA669" s="32"/>
      <c r="AB669" s="32"/>
      <c r="AC669" s="32"/>
      <c r="AD669" s="35" t="str">
        <f aca="false">IF(OR(LEFT(H669,4)="Meta",LEFT(H669,6)="Google"),IF(AG669=3,"Lead calificado",IF(OR(AG669=4,AG669=5),"Tasación/visita",IF(OR(AG669=6,AG669=7),"Captación/oferta",IF(AG669=8,"Cierre","")))),"")</f>
        <v/>
      </c>
      <c r="AE669" s="32"/>
      <c r="AF669" s="32"/>
      <c r="AG669" s="37" t="n">
        <f aca="false">IF(R669="",0,IFERROR(MATCH(R669,Listas!$L$2:$L$50,0),0))</f>
        <v>0</v>
      </c>
    </row>
    <row r="670" customFormat="false" ht="15" hidden="false" customHeight="false" outlineLevel="0" collapsed="false">
      <c r="A670" s="30"/>
      <c r="B670" s="31"/>
      <c r="C670" s="32"/>
      <c r="D670" s="32"/>
      <c r="E670" s="33"/>
      <c r="F670" s="32"/>
      <c r="G670" s="32"/>
      <c r="H670" s="32"/>
      <c r="I670" s="32"/>
      <c r="J670" s="32"/>
      <c r="K670" s="32"/>
      <c r="L670" s="32"/>
      <c r="M670" s="30"/>
      <c r="N670" s="32"/>
      <c r="O670" s="34"/>
      <c r="P670" s="32"/>
      <c r="Q670" s="32"/>
      <c r="R670" s="32"/>
      <c r="S670" s="32"/>
      <c r="T670" s="32"/>
      <c r="U670" s="32"/>
      <c r="V670" s="31"/>
      <c r="W670" s="35" t="str">
        <f aca="true">IF(OR(V670="",AG670&gt;=8),"",IF(V670&lt;TODAY(),"Vencida",IF(V670=TODAY(),"Hoy","")))</f>
        <v/>
      </c>
      <c r="X670" s="36" t="str">
        <f aca="false">IF(A670="","",IF(COUNTIF(Seguimiento!$B$2:$B$5001,A670)=0,"",_xlfn.MAXIFS(Seguimiento!$A$2:$A$5001,Seguimiento!$B$2:$B$5001,A670)))</f>
        <v/>
      </c>
      <c r="Y670" s="37" t="str">
        <f aca="true">IF(B670="","",TODAY()-B670)</f>
        <v/>
      </c>
      <c r="Z670" s="38" t="str">
        <f aca="false">IF(OR(O670="",G670=""),"",O670*IFERROR(INDEX(Listas!$B$2:$B$50,MATCH(G670,Listas!$A$2:$A$50,0)),0))</f>
        <v/>
      </c>
      <c r="AA670" s="32"/>
      <c r="AB670" s="32"/>
      <c r="AC670" s="32"/>
      <c r="AD670" s="35" t="str">
        <f aca="false">IF(OR(LEFT(H670,4)="Meta",LEFT(H670,6)="Google"),IF(AG670=3,"Lead calificado",IF(OR(AG670=4,AG670=5),"Tasación/visita",IF(OR(AG670=6,AG670=7),"Captación/oferta",IF(AG670=8,"Cierre","")))),"")</f>
        <v/>
      </c>
      <c r="AE670" s="32"/>
      <c r="AF670" s="32"/>
      <c r="AG670" s="37" t="n">
        <f aca="false">IF(R670="",0,IFERROR(MATCH(R670,Listas!$L$2:$L$50,0),0))</f>
        <v>0</v>
      </c>
    </row>
    <row r="671" customFormat="false" ht="15" hidden="false" customHeight="false" outlineLevel="0" collapsed="false">
      <c r="A671" s="30"/>
      <c r="B671" s="31"/>
      <c r="C671" s="32"/>
      <c r="D671" s="32"/>
      <c r="E671" s="33"/>
      <c r="F671" s="32"/>
      <c r="G671" s="32"/>
      <c r="H671" s="32"/>
      <c r="I671" s="32"/>
      <c r="J671" s="32"/>
      <c r="K671" s="32"/>
      <c r="L671" s="32"/>
      <c r="M671" s="30"/>
      <c r="N671" s="32"/>
      <c r="O671" s="34"/>
      <c r="P671" s="32"/>
      <c r="Q671" s="32"/>
      <c r="R671" s="32"/>
      <c r="S671" s="32"/>
      <c r="T671" s="32"/>
      <c r="U671" s="32"/>
      <c r="V671" s="31"/>
      <c r="W671" s="35" t="str">
        <f aca="true">IF(OR(V671="",AG671&gt;=8),"",IF(V671&lt;TODAY(),"Vencida",IF(V671=TODAY(),"Hoy","")))</f>
        <v/>
      </c>
      <c r="X671" s="36" t="str">
        <f aca="false">IF(A671="","",IF(COUNTIF(Seguimiento!$B$2:$B$5001,A671)=0,"",_xlfn.MAXIFS(Seguimiento!$A$2:$A$5001,Seguimiento!$B$2:$B$5001,A671)))</f>
        <v/>
      </c>
      <c r="Y671" s="37" t="str">
        <f aca="true">IF(B671="","",TODAY()-B671)</f>
        <v/>
      </c>
      <c r="Z671" s="38" t="str">
        <f aca="false">IF(OR(O671="",G671=""),"",O671*IFERROR(INDEX(Listas!$B$2:$B$50,MATCH(G671,Listas!$A$2:$A$50,0)),0))</f>
        <v/>
      </c>
      <c r="AA671" s="32"/>
      <c r="AB671" s="32"/>
      <c r="AC671" s="32"/>
      <c r="AD671" s="35" t="str">
        <f aca="false">IF(OR(LEFT(H671,4)="Meta",LEFT(H671,6)="Google"),IF(AG671=3,"Lead calificado",IF(OR(AG671=4,AG671=5),"Tasación/visita",IF(OR(AG671=6,AG671=7),"Captación/oferta",IF(AG671=8,"Cierre","")))),"")</f>
        <v/>
      </c>
      <c r="AE671" s="32"/>
      <c r="AF671" s="32"/>
      <c r="AG671" s="37" t="n">
        <f aca="false">IF(R671="",0,IFERROR(MATCH(R671,Listas!$L$2:$L$50,0),0))</f>
        <v>0</v>
      </c>
    </row>
    <row r="672" customFormat="false" ht="15" hidden="false" customHeight="false" outlineLevel="0" collapsed="false">
      <c r="A672" s="30"/>
      <c r="B672" s="31"/>
      <c r="C672" s="32"/>
      <c r="D672" s="32"/>
      <c r="E672" s="33"/>
      <c r="F672" s="32"/>
      <c r="G672" s="32"/>
      <c r="H672" s="32"/>
      <c r="I672" s="32"/>
      <c r="J672" s="32"/>
      <c r="K672" s="32"/>
      <c r="L672" s="32"/>
      <c r="M672" s="30"/>
      <c r="N672" s="32"/>
      <c r="O672" s="34"/>
      <c r="P672" s="32"/>
      <c r="Q672" s="32"/>
      <c r="R672" s="32"/>
      <c r="S672" s="32"/>
      <c r="T672" s="32"/>
      <c r="U672" s="32"/>
      <c r="V672" s="31"/>
      <c r="W672" s="35" t="str">
        <f aca="true">IF(OR(V672="",AG672&gt;=8),"",IF(V672&lt;TODAY(),"Vencida",IF(V672=TODAY(),"Hoy","")))</f>
        <v/>
      </c>
      <c r="X672" s="36" t="str">
        <f aca="false">IF(A672="","",IF(COUNTIF(Seguimiento!$B$2:$B$5001,A672)=0,"",_xlfn.MAXIFS(Seguimiento!$A$2:$A$5001,Seguimiento!$B$2:$B$5001,A672)))</f>
        <v/>
      </c>
      <c r="Y672" s="37" t="str">
        <f aca="true">IF(B672="","",TODAY()-B672)</f>
        <v/>
      </c>
      <c r="Z672" s="38" t="str">
        <f aca="false">IF(OR(O672="",G672=""),"",O672*IFERROR(INDEX(Listas!$B$2:$B$50,MATCH(G672,Listas!$A$2:$A$50,0)),0))</f>
        <v/>
      </c>
      <c r="AA672" s="32"/>
      <c r="AB672" s="32"/>
      <c r="AC672" s="32"/>
      <c r="AD672" s="35" t="str">
        <f aca="false">IF(OR(LEFT(H672,4)="Meta",LEFT(H672,6)="Google"),IF(AG672=3,"Lead calificado",IF(OR(AG672=4,AG672=5),"Tasación/visita",IF(OR(AG672=6,AG672=7),"Captación/oferta",IF(AG672=8,"Cierre","")))),"")</f>
        <v/>
      </c>
      <c r="AE672" s="32"/>
      <c r="AF672" s="32"/>
      <c r="AG672" s="37" t="n">
        <f aca="false">IF(R672="",0,IFERROR(MATCH(R672,Listas!$L$2:$L$50,0),0))</f>
        <v>0</v>
      </c>
    </row>
    <row r="673" customFormat="false" ht="15" hidden="false" customHeight="false" outlineLevel="0" collapsed="false">
      <c r="A673" s="30"/>
      <c r="B673" s="31"/>
      <c r="C673" s="32"/>
      <c r="D673" s="32"/>
      <c r="E673" s="33"/>
      <c r="F673" s="32"/>
      <c r="G673" s="32"/>
      <c r="H673" s="32"/>
      <c r="I673" s="32"/>
      <c r="J673" s="32"/>
      <c r="K673" s="32"/>
      <c r="L673" s="32"/>
      <c r="M673" s="30"/>
      <c r="N673" s="32"/>
      <c r="O673" s="34"/>
      <c r="P673" s="32"/>
      <c r="Q673" s="32"/>
      <c r="R673" s="32"/>
      <c r="S673" s="32"/>
      <c r="T673" s="32"/>
      <c r="U673" s="32"/>
      <c r="V673" s="31"/>
      <c r="W673" s="35" t="str">
        <f aca="true">IF(OR(V673="",AG673&gt;=8),"",IF(V673&lt;TODAY(),"Vencida",IF(V673=TODAY(),"Hoy","")))</f>
        <v/>
      </c>
      <c r="X673" s="36" t="str">
        <f aca="false">IF(A673="","",IF(COUNTIF(Seguimiento!$B$2:$B$5001,A673)=0,"",_xlfn.MAXIFS(Seguimiento!$A$2:$A$5001,Seguimiento!$B$2:$B$5001,A673)))</f>
        <v/>
      </c>
      <c r="Y673" s="37" t="str">
        <f aca="true">IF(B673="","",TODAY()-B673)</f>
        <v/>
      </c>
      <c r="Z673" s="38" t="str">
        <f aca="false">IF(OR(O673="",G673=""),"",O673*IFERROR(INDEX(Listas!$B$2:$B$50,MATCH(G673,Listas!$A$2:$A$50,0)),0))</f>
        <v/>
      </c>
      <c r="AA673" s="32"/>
      <c r="AB673" s="32"/>
      <c r="AC673" s="32"/>
      <c r="AD673" s="35" t="str">
        <f aca="false">IF(OR(LEFT(H673,4)="Meta",LEFT(H673,6)="Google"),IF(AG673=3,"Lead calificado",IF(OR(AG673=4,AG673=5),"Tasación/visita",IF(OR(AG673=6,AG673=7),"Captación/oferta",IF(AG673=8,"Cierre","")))),"")</f>
        <v/>
      </c>
      <c r="AE673" s="32"/>
      <c r="AF673" s="32"/>
      <c r="AG673" s="37" t="n">
        <f aca="false">IF(R673="",0,IFERROR(MATCH(R673,Listas!$L$2:$L$50,0),0))</f>
        <v>0</v>
      </c>
    </row>
    <row r="674" customFormat="false" ht="15" hidden="false" customHeight="false" outlineLevel="0" collapsed="false">
      <c r="A674" s="30"/>
      <c r="B674" s="31"/>
      <c r="C674" s="32"/>
      <c r="D674" s="32"/>
      <c r="E674" s="33"/>
      <c r="F674" s="32"/>
      <c r="G674" s="32"/>
      <c r="H674" s="32"/>
      <c r="I674" s="32"/>
      <c r="J674" s="32"/>
      <c r="K674" s="32"/>
      <c r="L674" s="32"/>
      <c r="M674" s="30"/>
      <c r="N674" s="32"/>
      <c r="O674" s="34"/>
      <c r="P674" s="32"/>
      <c r="Q674" s="32"/>
      <c r="R674" s="32"/>
      <c r="S674" s="32"/>
      <c r="T674" s="32"/>
      <c r="U674" s="32"/>
      <c r="V674" s="31"/>
      <c r="W674" s="35" t="str">
        <f aca="true">IF(OR(V674="",AG674&gt;=8),"",IF(V674&lt;TODAY(),"Vencida",IF(V674=TODAY(),"Hoy","")))</f>
        <v/>
      </c>
      <c r="X674" s="36" t="str">
        <f aca="false">IF(A674="","",IF(COUNTIF(Seguimiento!$B$2:$B$5001,A674)=0,"",_xlfn.MAXIFS(Seguimiento!$A$2:$A$5001,Seguimiento!$B$2:$B$5001,A674)))</f>
        <v/>
      </c>
      <c r="Y674" s="37" t="str">
        <f aca="true">IF(B674="","",TODAY()-B674)</f>
        <v/>
      </c>
      <c r="Z674" s="38" t="str">
        <f aca="false">IF(OR(O674="",G674=""),"",O674*IFERROR(INDEX(Listas!$B$2:$B$50,MATCH(G674,Listas!$A$2:$A$50,0)),0))</f>
        <v/>
      </c>
      <c r="AA674" s="32"/>
      <c r="AB674" s="32"/>
      <c r="AC674" s="32"/>
      <c r="AD674" s="35" t="str">
        <f aca="false">IF(OR(LEFT(H674,4)="Meta",LEFT(H674,6)="Google"),IF(AG674=3,"Lead calificado",IF(OR(AG674=4,AG674=5),"Tasación/visita",IF(OR(AG674=6,AG674=7),"Captación/oferta",IF(AG674=8,"Cierre","")))),"")</f>
        <v/>
      </c>
      <c r="AE674" s="32"/>
      <c r="AF674" s="32"/>
      <c r="AG674" s="37" t="n">
        <f aca="false">IF(R674="",0,IFERROR(MATCH(R674,Listas!$L$2:$L$50,0),0))</f>
        <v>0</v>
      </c>
    </row>
    <row r="675" customFormat="false" ht="15" hidden="false" customHeight="false" outlineLevel="0" collapsed="false">
      <c r="A675" s="30"/>
      <c r="B675" s="31"/>
      <c r="C675" s="32"/>
      <c r="D675" s="32"/>
      <c r="E675" s="33"/>
      <c r="F675" s="32"/>
      <c r="G675" s="32"/>
      <c r="H675" s="32"/>
      <c r="I675" s="32"/>
      <c r="J675" s="32"/>
      <c r="K675" s="32"/>
      <c r="L675" s="32"/>
      <c r="M675" s="30"/>
      <c r="N675" s="32"/>
      <c r="O675" s="34"/>
      <c r="P675" s="32"/>
      <c r="Q675" s="32"/>
      <c r="R675" s="32"/>
      <c r="S675" s="32"/>
      <c r="T675" s="32"/>
      <c r="U675" s="32"/>
      <c r="V675" s="31"/>
      <c r="W675" s="35" t="str">
        <f aca="true">IF(OR(V675="",AG675&gt;=8),"",IF(V675&lt;TODAY(),"Vencida",IF(V675=TODAY(),"Hoy","")))</f>
        <v/>
      </c>
      <c r="X675" s="36" t="str">
        <f aca="false">IF(A675="","",IF(COUNTIF(Seguimiento!$B$2:$B$5001,A675)=0,"",_xlfn.MAXIFS(Seguimiento!$A$2:$A$5001,Seguimiento!$B$2:$B$5001,A675)))</f>
        <v/>
      </c>
      <c r="Y675" s="37" t="str">
        <f aca="true">IF(B675="","",TODAY()-B675)</f>
        <v/>
      </c>
      <c r="Z675" s="38" t="str">
        <f aca="false">IF(OR(O675="",G675=""),"",O675*IFERROR(INDEX(Listas!$B$2:$B$50,MATCH(G675,Listas!$A$2:$A$50,0)),0))</f>
        <v/>
      </c>
      <c r="AA675" s="32"/>
      <c r="AB675" s="32"/>
      <c r="AC675" s="32"/>
      <c r="AD675" s="35" t="str">
        <f aca="false">IF(OR(LEFT(H675,4)="Meta",LEFT(H675,6)="Google"),IF(AG675=3,"Lead calificado",IF(OR(AG675=4,AG675=5),"Tasación/visita",IF(OR(AG675=6,AG675=7),"Captación/oferta",IF(AG675=8,"Cierre","")))),"")</f>
        <v/>
      </c>
      <c r="AE675" s="32"/>
      <c r="AF675" s="32"/>
      <c r="AG675" s="37" t="n">
        <f aca="false">IF(R675="",0,IFERROR(MATCH(R675,Listas!$L$2:$L$50,0),0))</f>
        <v>0</v>
      </c>
    </row>
    <row r="676" customFormat="false" ht="15" hidden="false" customHeight="false" outlineLevel="0" collapsed="false">
      <c r="A676" s="30"/>
      <c r="B676" s="31"/>
      <c r="C676" s="32"/>
      <c r="D676" s="32"/>
      <c r="E676" s="33"/>
      <c r="F676" s="32"/>
      <c r="G676" s="32"/>
      <c r="H676" s="32"/>
      <c r="I676" s="32"/>
      <c r="J676" s="32"/>
      <c r="K676" s="32"/>
      <c r="L676" s="32"/>
      <c r="M676" s="30"/>
      <c r="N676" s="32"/>
      <c r="O676" s="34"/>
      <c r="P676" s="32"/>
      <c r="Q676" s="32"/>
      <c r="R676" s="32"/>
      <c r="S676" s="32"/>
      <c r="T676" s="32"/>
      <c r="U676" s="32"/>
      <c r="V676" s="31"/>
      <c r="W676" s="35" t="str">
        <f aca="true">IF(OR(V676="",AG676&gt;=8),"",IF(V676&lt;TODAY(),"Vencida",IF(V676=TODAY(),"Hoy","")))</f>
        <v/>
      </c>
      <c r="X676" s="36" t="str">
        <f aca="false">IF(A676="","",IF(COUNTIF(Seguimiento!$B$2:$B$5001,A676)=0,"",_xlfn.MAXIFS(Seguimiento!$A$2:$A$5001,Seguimiento!$B$2:$B$5001,A676)))</f>
        <v/>
      </c>
      <c r="Y676" s="37" t="str">
        <f aca="true">IF(B676="","",TODAY()-B676)</f>
        <v/>
      </c>
      <c r="Z676" s="38" t="str">
        <f aca="false">IF(OR(O676="",G676=""),"",O676*IFERROR(INDEX(Listas!$B$2:$B$50,MATCH(G676,Listas!$A$2:$A$50,0)),0))</f>
        <v/>
      </c>
      <c r="AA676" s="32"/>
      <c r="AB676" s="32"/>
      <c r="AC676" s="32"/>
      <c r="AD676" s="35" t="str">
        <f aca="false">IF(OR(LEFT(H676,4)="Meta",LEFT(H676,6)="Google"),IF(AG676=3,"Lead calificado",IF(OR(AG676=4,AG676=5),"Tasación/visita",IF(OR(AG676=6,AG676=7),"Captación/oferta",IF(AG676=8,"Cierre","")))),"")</f>
        <v/>
      </c>
      <c r="AE676" s="32"/>
      <c r="AF676" s="32"/>
      <c r="AG676" s="37" t="n">
        <f aca="false">IF(R676="",0,IFERROR(MATCH(R676,Listas!$L$2:$L$50,0),0))</f>
        <v>0</v>
      </c>
    </row>
    <row r="677" customFormat="false" ht="15" hidden="false" customHeight="false" outlineLevel="0" collapsed="false">
      <c r="A677" s="30"/>
      <c r="B677" s="31"/>
      <c r="C677" s="32"/>
      <c r="D677" s="32"/>
      <c r="E677" s="33"/>
      <c r="F677" s="32"/>
      <c r="G677" s="32"/>
      <c r="H677" s="32"/>
      <c r="I677" s="32"/>
      <c r="J677" s="32"/>
      <c r="K677" s="32"/>
      <c r="L677" s="32"/>
      <c r="M677" s="30"/>
      <c r="N677" s="32"/>
      <c r="O677" s="34"/>
      <c r="P677" s="32"/>
      <c r="Q677" s="32"/>
      <c r="R677" s="32"/>
      <c r="S677" s="32"/>
      <c r="T677" s="32"/>
      <c r="U677" s="32"/>
      <c r="V677" s="31"/>
      <c r="W677" s="35" t="str">
        <f aca="true">IF(OR(V677="",AG677&gt;=8),"",IF(V677&lt;TODAY(),"Vencida",IF(V677=TODAY(),"Hoy","")))</f>
        <v/>
      </c>
      <c r="X677" s="36" t="str">
        <f aca="false">IF(A677="","",IF(COUNTIF(Seguimiento!$B$2:$B$5001,A677)=0,"",_xlfn.MAXIFS(Seguimiento!$A$2:$A$5001,Seguimiento!$B$2:$B$5001,A677)))</f>
        <v/>
      </c>
      <c r="Y677" s="37" t="str">
        <f aca="true">IF(B677="","",TODAY()-B677)</f>
        <v/>
      </c>
      <c r="Z677" s="38" t="str">
        <f aca="false">IF(OR(O677="",G677=""),"",O677*IFERROR(INDEX(Listas!$B$2:$B$50,MATCH(G677,Listas!$A$2:$A$50,0)),0))</f>
        <v/>
      </c>
      <c r="AA677" s="32"/>
      <c r="AB677" s="32"/>
      <c r="AC677" s="32"/>
      <c r="AD677" s="35" t="str">
        <f aca="false">IF(OR(LEFT(H677,4)="Meta",LEFT(H677,6)="Google"),IF(AG677=3,"Lead calificado",IF(OR(AG677=4,AG677=5),"Tasación/visita",IF(OR(AG677=6,AG677=7),"Captación/oferta",IF(AG677=8,"Cierre","")))),"")</f>
        <v/>
      </c>
      <c r="AE677" s="32"/>
      <c r="AF677" s="32"/>
      <c r="AG677" s="37" t="n">
        <f aca="false">IF(R677="",0,IFERROR(MATCH(R677,Listas!$L$2:$L$50,0),0))</f>
        <v>0</v>
      </c>
    </row>
    <row r="678" customFormat="false" ht="15" hidden="false" customHeight="false" outlineLevel="0" collapsed="false">
      <c r="A678" s="30"/>
      <c r="B678" s="31"/>
      <c r="C678" s="32"/>
      <c r="D678" s="32"/>
      <c r="E678" s="33"/>
      <c r="F678" s="32"/>
      <c r="G678" s="32"/>
      <c r="H678" s="32"/>
      <c r="I678" s="32"/>
      <c r="J678" s="32"/>
      <c r="K678" s="32"/>
      <c r="L678" s="32"/>
      <c r="M678" s="30"/>
      <c r="N678" s="32"/>
      <c r="O678" s="34"/>
      <c r="P678" s="32"/>
      <c r="Q678" s="32"/>
      <c r="R678" s="32"/>
      <c r="S678" s="32"/>
      <c r="T678" s="32"/>
      <c r="U678" s="32"/>
      <c r="V678" s="31"/>
      <c r="W678" s="35" t="str">
        <f aca="true">IF(OR(V678="",AG678&gt;=8),"",IF(V678&lt;TODAY(),"Vencida",IF(V678=TODAY(),"Hoy","")))</f>
        <v/>
      </c>
      <c r="X678" s="36" t="str">
        <f aca="false">IF(A678="","",IF(COUNTIF(Seguimiento!$B$2:$B$5001,A678)=0,"",_xlfn.MAXIFS(Seguimiento!$A$2:$A$5001,Seguimiento!$B$2:$B$5001,A678)))</f>
        <v/>
      </c>
      <c r="Y678" s="37" t="str">
        <f aca="true">IF(B678="","",TODAY()-B678)</f>
        <v/>
      </c>
      <c r="Z678" s="38" t="str">
        <f aca="false">IF(OR(O678="",G678=""),"",O678*IFERROR(INDEX(Listas!$B$2:$B$50,MATCH(G678,Listas!$A$2:$A$50,0)),0))</f>
        <v/>
      </c>
      <c r="AA678" s="32"/>
      <c r="AB678" s="32"/>
      <c r="AC678" s="32"/>
      <c r="AD678" s="35" t="str">
        <f aca="false">IF(OR(LEFT(H678,4)="Meta",LEFT(H678,6)="Google"),IF(AG678=3,"Lead calificado",IF(OR(AG678=4,AG678=5),"Tasación/visita",IF(OR(AG678=6,AG678=7),"Captación/oferta",IF(AG678=8,"Cierre","")))),"")</f>
        <v/>
      </c>
      <c r="AE678" s="32"/>
      <c r="AF678" s="32"/>
      <c r="AG678" s="37" t="n">
        <f aca="false">IF(R678="",0,IFERROR(MATCH(R678,Listas!$L$2:$L$50,0),0))</f>
        <v>0</v>
      </c>
    </row>
    <row r="679" customFormat="false" ht="15" hidden="false" customHeight="false" outlineLevel="0" collapsed="false">
      <c r="A679" s="30"/>
      <c r="B679" s="31"/>
      <c r="C679" s="32"/>
      <c r="D679" s="32"/>
      <c r="E679" s="33"/>
      <c r="F679" s="32"/>
      <c r="G679" s="32"/>
      <c r="H679" s="32"/>
      <c r="I679" s="32"/>
      <c r="J679" s="32"/>
      <c r="K679" s="32"/>
      <c r="L679" s="32"/>
      <c r="M679" s="30"/>
      <c r="N679" s="32"/>
      <c r="O679" s="34"/>
      <c r="P679" s="32"/>
      <c r="Q679" s="32"/>
      <c r="R679" s="32"/>
      <c r="S679" s="32"/>
      <c r="T679" s="32"/>
      <c r="U679" s="32"/>
      <c r="V679" s="31"/>
      <c r="W679" s="35" t="str">
        <f aca="true">IF(OR(V679="",AG679&gt;=8),"",IF(V679&lt;TODAY(),"Vencida",IF(V679=TODAY(),"Hoy","")))</f>
        <v/>
      </c>
      <c r="X679" s="36" t="str">
        <f aca="false">IF(A679="","",IF(COUNTIF(Seguimiento!$B$2:$B$5001,A679)=0,"",_xlfn.MAXIFS(Seguimiento!$A$2:$A$5001,Seguimiento!$B$2:$B$5001,A679)))</f>
        <v/>
      </c>
      <c r="Y679" s="37" t="str">
        <f aca="true">IF(B679="","",TODAY()-B679)</f>
        <v/>
      </c>
      <c r="Z679" s="38" t="str">
        <f aca="false">IF(OR(O679="",G679=""),"",O679*IFERROR(INDEX(Listas!$B$2:$B$50,MATCH(G679,Listas!$A$2:$A$50,0)),0))</f>
        <v/>
      </c>
      <c r="AA679" s="32"/>
      <c r="AB679" s="32"/>
      <c r="AC679" s="32"/>
      <c r="AD679" s="35" t="str">
        <f aca="false">IF(OR(LEFT(H679,4)="Meta",LEFT(H679,6)="Google"),IF(AG679=3,"Lead calificado",IF(OR(AG679=4,AG679=5),"Tasación/visita",IF(OR(AG679=6,AG679=7),"Captación/oferta",IF(AG679=8,"Cierre","")))),"")</f>
        <v/>
      </c>
      <c r="AE679" s="32"/>
      <c r="AF679" s="32"/>
      <c r="AG679" s="37" t="n">
        <f aca="false">IF(R679="",0,IFERROR(MATCH(R679,Listas!$L$2:$L$50,0),0))</f>
        <v>0</v>
      </c>
    </row>
    <row r="680" customFormat="false" ht="15" hidden="false" customHeight="false" outlineLevel="0" collapsed="false">
      <c r="A680" s="30"/>
      <c r="B680" s="31"/>
      <c r="C680" s="32"/>
      <c r="D680" s="32"/>
      <c r="E680" s="33"/>
      <c r="F680" s="32"/>
      <c r="G680" s="32"/>
      <c r="H680" s="32"/>
      <c r="I680" s="32"/>
      <c r="J680" s="32"/>
      <c r="K680" s="32"/>
      <c r="L680" s="32"/>
      <c r="M680" s="30"/>
      <c r="N680" s="32"/>
      <c r="O680" s="34"/>
      <c r="P680" s="32"/>
      <c r="Q680" s="32"/>
      <c r="R680" s="32"/>
      <c r="S680" s="32"/>
      <c r="T680" s="32"/>
      <c r="U680" s="32"/>
      <c r="V680" s="31"/>
      <c r="W680" s="35" t="str">
        <f aca="true">IF(OR(V680="",AG680&gt;=8),"",IF(V680&lt;TODAY(),"Vencida",IF(V680=TODAY(),"Hoy","")))</f>
        <v/>
      </c>
      <c r="X680" s="36" t="str">
        <f aca="false">IF(A680="","",IF(COUNTIF(Seguimiento!$B$2:$B$5001,A680)=0,"",_xlfn.MAXIFS(Seguimiento!$A$2:$A$5001,Seguimiento!$B$2:$B$5001,A680)))</f>
        <v/>
      </c>
      <c r="Y680" s="37" t="str">
        <f aca="true">IF(B680="","",TODAY()-B680)</f>
        <v/>
      </c>
      <c r="Z680" s="38" t="str">
        <f aca="false">IF(OR(O680="",G680=""),"",O680*IFERROR(INDEX(Listas!$B$2:$B$50,MATCH(G680,Listas!$A$2:$A$50,0)),0))</f>
        <v/>
      </c>
      <c r="AA680" s="32"/>
      <c r="AB680" s="32"/>
      <c r="AC680" s="32"/>
      <c r="AD680" s="35" t="str">
        <f aca="false">IF(OR(LEFT(H680,4)="Meta",LEFT(H680,6)="Google"),IF(AG680=3,"Lead calificado",IF(OR(AG680=4,AG680=5),"Tasación/visita",IF(OR(AG680=6,AG680=7),"Captación/oferta",IF(AG680=8,"Cierre","")))),"")</f>
        <v/>
      </c>
      <c r="AE680" s="32"/>
      <c r="AF680" s="32"/>
      <c r="AG680" s="37" t="n">
        <f aca="false">IF(R680="",0,IFERROR(MATCH(R680,Listas!$L$2:$L$50,0),0))</f>
        <v>0</v>
      </c>
    </row>
    <row r="681" customFormat="false" ht="15" hidden="false" customHeight="false" outlineLevel="0" collapsed="false">
      <c r="A681" s="30"/>
      <c r="B681" s="31"/>
      <c r="C681" s="32"/>
      <c r="D681" s="32"/>
      <c r="E681" s="33"/>
      <c r="F681" s="32"/>
      <c r="G681" s="32"/>
      <c r="H681" s="32"/>
      <c r="I681" s="32"/>
      <c r="J681" s="32"/>
      <c r="K681" s="32"/>
      <c r="L681" s="32"/>
      <c r="M681" s="30"/>
      <c r="N681" s="32"/>
      <c r="O681" s="34"/>
      <c r="P681" s="32"/>
      <c r="Q681" s="32"/>
      <c r="R681" s="32"/>
      <c r="S681" s="32"/>
      <c r="T681" s="32"/>
      <c r="U681" s="32"/>
      <c r="V681" s="31"/>
      <c r="W681" s="35" t="str">
        <f aca="true">IF(OR(V681="",AG681&gt;=8),"",IF(V681&lt;TODAY(),"Vencida",IF(V681=TODAY(),"Hoy","")))</f>
        <v/>
      </c>
      <c r="X681" s="36" t="str">
        <f aca="false">IF(A681="","",IF(COUNTIF(Seguimiento!$B$2:$B$5001,A681)=0,"",_xlfn.MAXIFS(Seguimiento!$A$2:$A$5001,Seguimiento!$B$2:$B$5001,A681)))</f>
        <v/>
      </c>
      <c r="Y681" s="37" t="str">
        <f aca="true">IF(B681="","",TODAY()-B681)</f>
        <v/>
      </c>
      <c r="Z681" s="38" t="str">
        <f aca="false">IF(OR(O681="",G681=""),"",O681*IFERROR(INDEX(Listas!$B$2:$B$50,MATCH(G681,Listas!$A$2:$A$50,0)),0))</f>
        <v/>
      </c>
      <c r="AA681" s="32"/>
      <c r="AB681" s="32"/>
      <c r="AC681" s="32"/>
      <c r="AD681" s="35" t="str">
        <f aca="false">IF(OR(LEFT(H681,4)="Meta",LEFT(H681,6)="Google"),IF(AG681=3,"Lead calificado",IF(OR(AG681=4,AG681=5),"Tasación/visita",IF(OR(AG681=6,AG681=7),"Captación/oferta",IF(AG681=8,"Cierre","")))),"")</f>
        <v/>
      </c>
      <c r="AE681" s="32"/>
      <c r="AF681" s="32"/>
      <c r="AG681" s="37" t="n">
        <f aca="false">IF(R681="",0,IFERROR(MATCH(R681,Listas!$L$2:$L$50,0),0))</f>
        <v>0</v>
      </c>
    </row>
    <row r="682" customFormat="false" ht="15" hidden="false" customHeight="false" outlineLevel="0" collapsed="false">
      <c r="A682" s="30"/>
      <c r="B682" s="31"/>
      <c r="C682" s="32"/>
      <c r="D682" s="32"/>
      <c r="E682" s="33"/>
      <c r="F682" s="32"/>
      <c r="G682" s="32"/>
      <c r="H682" s="32"/>
      <c r="I682" s="32"/>
      <c r="J682" s="32"/>
      <c r="K682" s="32"/>
      <c r="L682" s="32"/>
      <c r="M682" s="30"/>
      <c r="N682" s="32"/>
      <c r="O682" s="34"/>
      <c r="P682" s="32"/>
      <c r="Q682" s="32"/>
      <c r="R682" s="32"/>
      <c r="S682" s="32"/>
      <c r="T682" s="32"/>
      <c r="U682" s="32"/>
      <c r="V682" s="31"/>
      <c r="W682" s="35" t="str">
        <f aca="true">IF(OR(V682="",AG682&gt;=8),"",IF(V682&lt;TODAY(),"Vencida",IF(V682=TODAY(),"Hoy","")))</f>
        <v/>
      </c>
      <c r="X682" s="36" t="str">
        <f aca="false">IF(A682="","",IF(COUNTIF(Seguimiento!$B$2:$B$5001,A682)=0,"",_xlfn.MAXIFS(Seguimiento!$A$2:$A$5001,Seguimiento!$B$2:$B$5001,A682)))</f>
        <v/>
      </c>
      <c r="Y682" s="37" t="str">
        <f aca="true">IF(B682="","",TODAY()-B682)</f>
        <v/>
      </c>
      <c r="Z682" s="38" t="str">
        <f aca="false">IF(OR(O682="",G682=""),"",O682*IFERROR(INDEX(Listas!$B$2:$B$50,MATCH(G682,Listas!$A$2:$A$50,0)),0))</f>
        <v/>
      </c>
      <c r="AA682" s="32"/>
      <c r="AB682" s="32"/>
      <c r="AC682" s="32"/>
      <c r="AD682" s="35" t="str">
        <f aca="false">IF(OR(LEFT(H682,4)="Meta",LEFT(H682,6)="Google"),IF(AG682=3,"Lead calificado",IF(OR(AG682=4,AG682=5),"Tasación/visita",IF(OR(AG682=6,AG682=7),"Captación/oferta",IF(AG682=8,"Cierre","")))),"")</f>
        <v/>
      </c>
      <c r="AE682" s="32"/>
      <c r="AF682" s="32"/>
      <c r="AG682" s="37" t="n">
        <f aca="false">IF(R682="",0,IFERROR(MATCH(R682,Listas!$L$2:$L$50,0),0))</f>
        <v>0</v>
      </c>
    </row>
    <row r="683" customFormat="false" ht="15" hidden="false" customHeight="false" outlineLevel="0" collapsed="false">
      <c r="A683" s="30"/>
      <c r="B683" s="31"/>
      <c r="C683" s="32"/>
      <c r="D683" s="32"/>
      <c r="E683" s="33"/>
      <c r="F683" s="32"/>
      <c r="G683" s="32"/>
      <c r="H683" s="32"/>
      <c r="I683" s="32"/>
      <c r="J683" s="32"/>
      <c r="K683" s="32"/>
      <c r="L683" s="32"/>
      <c r="M683" s="30"/>
      <c r="N683" s="32"/>
      <c r="O683" s="34"/>
      <c r="P683" s="32"/>
      <c r="Q683" s="32"/>
      <c r="R683" s="32"/>
      <c r="S683" s="32"/>
      <c r="T683" s="32"/>
      <c r="U683" s="32"/>
      <c r="V683" s="31"/>
      <c r="W683" s="35" t="str">
        <f aca="true">IF(OR(V683="",AG683&gt;=8),"",IF(V683&lt;TODAY(),"Vencida",IF(V683=TODAY(),"Hoy","")))</f>
        <v/>
      </c>
      <c r="X683" s="36" t="str">
        <f aca="false">IF(A683="","",IF(COUNTIF(Seguimiento!$B$2:$B$5001,A683)=0,"",_xlfn.MAXIFS(Seguimiento!$A$2:$A$5001,Seguimiento!$B$2:$B$5001,A683)))</f>
        <v/>
      </c>
      <c r="Y683" s="37" t="str">
        <f aca="true">IF(B683="","",TODAY()-B683)</f>
        <v/>
      </c>
      <c r="Z683" s="38" t="str">
        <f aca="false">IF(OR(O683="",G683=""),"",O683*IFERROR(INDEX(Listas!$B$2:$B$50,MATCH(G683,Listas!$A$2:$A$50,0)),0))</f>
        <v/>
      </c>
      <c r="AA683" s="32"/>
      <c r="AB683" s="32"/>
      <c r="AC683" s="32"/>
      <c r="AD683" s="35" t="str">
        <f aca="false">IF(OR(LEFT(H683,4)="Meta",LEFT(H683,6)="Google"),IF(AG683=3,"Lead calificado",IF(OR(AG683=4,AG683=5),"Tasación/visita",IF(OR(AG683=6,AG683=7),"Captación/oferta",IF(AG683=8,"Cierre","")))),"")</f>
        <v/>
      </c>
      <c r="AE683" s="32"/>
      <c r="AF683" s="32"/>
      <c r="AG683" s="37" t="n">
        <f aca="false">IF(R683="",0,IFERROR(MATCH(R683,Listas!$L$2:$L$50,0),0))</f>
        <v>0</v>
      </c>
    </row>
    <row r="684" customFormat="false" ht="15" hidden="false" customHeight="false" outlineLevel="0" collapsed="false">
      <c r="A684" s="30"/>
      <c r="B684" s="31"/>
      <c r="C684" s="32"/>
      <c r="D684" s="32"/>
      <c r="E684" s="33"/>
      <c r="F684" s="32"/>
      <c r="G684" s="32"/>
      <c r="H684" s="32"/>
      <c r="I684" s="32"/>
      <c r="J684" s="32"/>
      <c r="K684" s="32"/>
      <c r="L684" s="32"/>
      <c r="M684" s="30"/>
      <c r="N684" s="32"/>
      <c r="O684" s="34"/>
      <c r="P684" s="32"/>
      <c r="Q684" s="32"/>
      <c r="R684" s="32"/>
      <c r="S684" s="32"/>
      <c r="T684" s="32"/>
      <c r="U684" s="32"/>
      <c r="V684" s="31"/>
      <c r="W684" s="35" t="str">
        <f aca="true">IF(OR(V684="",AG684&gt;=8),"",IF(V684&lt;TODAY(),"Vencida",IF(V684=TODAY(),"Hoy","")))</f>
        <v/>
      </c>
      <c r="X684" s="36" t="str">
        <f aca="false">IF(A684="","",IF(COUNTIF(Seguimiento!$B$2:$B$5001,A684)=0,"",_xlfn.MAXIFS(Seguimiento!$A$2:$A$5001,Seguimiento!$B$2:$B$5001,A684)))</f>
        <v/>
      </c>
      <c r="Y684" s="37" t="str">
        <f aca="true">IF(B684="","",TODAY()-B684)</f>
        <v/>
      </c>
      <c r="Z684" s="38" t="str">
        <f aca="false">IF(OR(O684="",G684=""),"",O684*IFERROR(INDEX(Listas!$B$2:$B$50,MATCH(G684,Listas!$A$2:$A$50,0)),0))</f>
        <v/>
      </c>
      <c r="AA684" s="32"/>
      <c r="AB684" s="32"/>
      <c r="AC684" s="32"/>
      <c r="AD684" s="35" t="str">
        <f aca="false">IF(OR(LEFT(H684,4)="Meta",LEFT(H684,6)="Google"),IF(AG684=3,"Lead calificado",IF(OR(AG684=4,AG684=5),"Tasación/visita",IF(OR(AG684=6,AG684=7),"Captación/oferta",IF(AG684=8,"Cierre","")))),"")</f>
        <v/>
      </c>
      <c r="AE684" s="32"/>
      <c r="AF684" s="32"/>
      <c r="AG684" s="37" t="n">
        <f aca="false">IF(R684="",0,IFERROR(MATCH(R684,Listas!$L$2:$L$50,0),0))</f>
        <v>0</v>
      </c>
    </row>
    <row r="685" customFormat="false" ht="15" hidden="false" customHeight="false" outlineLevel="0" collapsed="false">
      <c r="A685" s="30"/>
      <c r="B685" s="31"/>
      <c r="C685" s="32"/>
      <c r="D685" s="32"/>
      <c r="E685" s="33"/>
      <c r="F685" s="32"/>
      <c r="G685" s="32"/>
      <c r="H685" s="32"/>
      <c r="I685" s="32"/>
      <c r="J685" s="32"/>
      <c r="K685" s="32"/>
      <c r="L685" s="32"/>
      <c r="M685" s="30"/>
      <c r="N685" s="32"/>
      <c r="O685" s="34"/>
      <c r="P685" s="32"/>
      <c r="Q685" s="32"/>
      <c r="R685" s="32"/>
      <c r="S685" s="32"/>
      <c r="T685" s="32"/>
      <c r="U685" s="32"/>
      <c r="V685" s="31"/>
      <c r="W685" s="35" t="str">
        <f aca="true">IF(OR(V685="",AG685&gt;=8),"",IF(V685&lt;TODAY(),"Vencida",IF(V685=TODAY(),"Hoy","")))</f>
        <v/>
      </c>
      <c r="X685" s="36" t="str">
        <f aca="false">IF(A685="","",IF(COUNTIF(Seguimiento!$B$2:$B$5001,A685)=0,"",_xlfn.MAXIFS(Seguimiento!$A$2:$A$5001,Seguimiento!$B$2:$B$5001,A685)))</f>
        <v/>
      </c>
      <c r="Y685" s="37" t="str">
        <f aca="true">IF(B685="","",TODAY()-B685)</f>
        <v/>
      </c>
      <c r="Z685" s="38" t="str">
        <f aca="false">IF(OR(O685="",G685=""),"",O685*IFERROR(INDEX(Listas!$B$2:$B$50,MATCH(G685,Listas!$A$2:$A$50,0)),0))</f>
        <v/>
      </c>
      <c r="AA685" s="32"/>
      <c r="AB685" s="32"/>
      <c r="AC685" s="32"/>
      <c r="AD685" s="35" t="str">
        <f aca="false">IF(OR(LEFT(H685,4)="Meta",LEFT(H685,6)="Google"),IF(AG685=3,"Lead calificado",IF(OR(AG685=4,AG685=5),"Tasación/visita",IF(OR(AG685=6,AG685=7),"Captación/oferta",IF(AG685=8,"Cierre","")))),"")</f>
        <v/>
      </c>
      <c r="AE685" s="32"/>
      <c r="AF685" s="32"/>
      <c r="AG685" s="37" t="n">
        <f aca="false">IF(R685="",0,IFERROR(MATCH(R685,Listas!$L$2:$L$50,0),0))</f>
        <v>0</v>
      </c>
    </row>
    <row r="686" customFormat="false" ht="15" hidden="false" customHeight="false" outlineLevel="0" collapsed="false">
      <c r="A686" s="30"/>
      <c r="B686" s="31"/>
      <c r="C686" s="32"/>
      <c r="D686" s="32"/>
      <c r="E686" s="33"/>
      <c r="F686" s="32"/>
      <c r="G686" s="32"/>
      <c r="H686" s="32"/>
      <c r="I686" s="32"/>
      <c r="J686" s="32"/>
      <c r="K686" s="32"/>
      <c r="L686" s="32"/>
      <c r="M686" s="30"/>
      <c r="N686" s="32"/>
      <c r="O686" s="34"/>
      <c r="P686" s="32"/>
      <c r="Q686" s="32"/>
      <c r="R686" s="32"/>
      <c r="S686" s="32"/>
      <c r="T686" s="32"/>
      <c r="U686" s="32"/>
      <c r="V686" s="31"/>
      <c r="W686" s="35" t="str">
        <f aca="true">IF(OR(V686="",AG686&gt;=8),"",IF(V686&lt;TODAY(),"Vencida",IF(V686=TODAY(),"Hoy","")))</f>
        <v/>
      </c>
      <c r="X686" s="36" t="str">
        <f aca="false">IF(A686="","",IF(COUNTIF(Seguimiento!$B$2:$B$5001,A686)=0,"",_xlfn.MAXIFS(Seguimiento!$A$2:$A$5001,Seguimiento!$B$2:$B$5001,A686)))</f>
        <v/>
      </c>
      <c r="Y686" s="37" t="str">
        <f aca="true">IF(B686="","",TODAY()-B686)</f>
        <v/>
      </c>
      <c r="Z686" s="38" t="str">
        <f aca="false">IF(OR(O686="",G686=""),"",O686*IFERROR(INDEX(Listas!$B$2:$B$50,MATCH(G686,Listas!$A$2:$A$50,0)),0))</f>
        <v/>
      </c>
      <c r="AA686" s="32"/>
      <c r="AB686" s="32"/>
      <c r="AC686" s="32"/>
      <c r="AD686" s="35" t="str">
        <f aca="false">IF(OR(LEFT(H686,4)="Meta",LEFT(H686,6)="Google"),IF(AG686=3,"Lead calificado",IF(OR(AG686=4,AG686=5),"Tasación/visita",IF(OR(AG686=6,AG686=7),"Captación/oferta",IF(AG686=8,"Cierre","")))),"")</f>
        <v/>
      </c>
      <c r="AE686" s="32"/>
      <c r="AF686" s="32"/>
      <c r="AG686" s="37" t="n">
        <f aca="false">IF(R686="",0,IFERROR(MATCH(R686,Listas!$L$2:$L$50,0),0))</f>
        <v>0</v>
      </c>
    </row>
    <row r="687" customFormat="false" ht="15" hidden="false" customHeight="false" outlineLevel="0" collapsed="false">
      <c r="A687" s="30"/>
      <c r="B687" s="31"/>
      <c r="C687" s="32"/>
      <c r="D687" s="32"/>
      <c r="E687" s="33"/>
      <c r="F687" s="32"/>
      <c r="G687" s="32"/>
      <c r="H687" s="32"/>
      <c r="I687" s="32"/>
      <c r="J687" s="32"/>
      <c r="K687" s="32"/>
      <c r="L687" s="32"/>
      <c r="M687" s="30"/>
      <c r="N687" s="32"/>
      <c r="O687" s="34"/>
      <c r="P687" s="32"/>
      <c r="Q687" s="32"/>
      <c r="R687" s="32"/>
      <c r="S687" s="32"/>
      <c r="T687" s="32"/>
      <c r="U687" s="32"/>
      <c r="V687" s="31"/>
      <c r="W687" s="35" t="str">
        <f aca="true">IF(OR(V687="",AG687&gt;=8),"",IF(V687&lt;TODAY(),"Vencida",IF(V687=TODAY(),"Hoy","")))</f>
        <v/>
      </c>
      <c r="X687" s="36" t="str">
        <f aca="false">IF(A687="","",IF(COUNTIF(Seguimiento!$B$2:$B$5001,A687)=0,"",_xlfn.MAXIFS(Seguimiento!$A$2:$A$5001,Seguimiento!$B$2:$B$5001,A687)))</f>
        <v/>
      </c>
      <c r="Y687" s="37" t="str">
        <f aca="true">IF(B687="","",TODAY()-B687)</f>
        <v/>
      </c>
      <c r="Z687" s="38" t="str">
        <f aca="false">IF(OR(O687="",G687=""),"",O687*IFERROR(INDEX(Listas!$B$2:$B$50,MATCH(G687,Listas!$A$2:$A$50,0)),0))</f>
        <v/>
      </c>
      <c r="AA687" s="32"/>
      <c r="AB687" s="32"/>
      <c r="AC687" s="32"/>
      <c r="AD687" s="35" t="str">
        <f aca="false">IF(OR(LEFT(H687,4)="Meta",LEFT(H687,6)="Google"),IF(AG687=3,"Lead calificado",IF(OR(AG687=4,AG687=5),"Tasación/visita",IF(OR(AG687=6,AG687=7),"Captación/oferta",IF(AG687=8,"Cierre","")))),"")</f>
        <v/>
      </c>
      <c r="AE687" s="32"/>
      <c r="AF687" s="32"/>
      <c r="AG687" s="37" t="n">
        <f aca="false">IF(R687="",0,IFERROR(MATCH(R687,Listas!$L$2:$L$50,0),0))</f>
        <v>0</v>
      </c>
    </row>
    <row r="688" customFormat="false" ht="15" hidden="false" customHeight="false" outlineLevel="0" collapsed="false">
      <c r="A688" s="30"/>
      <c r="B688" s="31"/>
      <c r="C688" s="32"/>
      <c r="D688" s="32"/>
      <c r="E688" s="33"/>
      <c r="F688" s="32"/>
      <c r="G688" s="32"/>
      <c r="H688" s="32"/>
      <c r="I688" s="32"/>
      <c r="J688" s="32"/>
      <c r="K688" s="32"/>
      <c r="L688" s="32"/>
      <c r="M688" s="30"/>
      <c r="N688" s="32"/>
      <c r="O688" s="34"/>
      <c r="P688" s="32"/>
      <c r="Q688" s="32"/>
      <c r="R688" s="32"/>
      <c r="S688" s="32"/>
      <c r="T688" s="32"/>
      <c r="U688" s="32"/>
      <c r="V688" s="31"/>
      <c r="W688" s="35" t="str">
        <f aca="true">IF(OR(V688="",AG688&gt;=8),"",IF(V688&lt;TODAY(),"Vencida",IF(V688=TODAY(),"Hoy","")))</f>
        <v/>
      </c>
      <c r="X688" s="36" t="str">
        <f aca="false">IF(A688="","",IF(COUNTIF(Seguimiento!$B$2:$B$5001,A688)=0,"",_xlfn.MAXIFS(Seguimiento!$A$2:$A$5001,Seguimiento!$B$2:$B$5001,A688)))</f>
        <v/>
      </c>
      <c r="Y688" s="37" t="str">
        <f aca="true">IF(B688="","",TODAY()-B688)</f>
        <v/>
      </c>
      <c r="Z688" s="38" t="str">
        <f aca="false">IF(OR(O688="",G688=""),"",O688*IFERROR(INDEX(Listas!$B$2:$B$50,MATCH(G688,Listas!$A$2:$A$50,0)),0))</f>
        <v/>
      </c>
      <c r="AA688" s="32"/>
      <c r="AB688" s="32"/>
      <c r="AC688" s="32"/>
      <c r="AD688" s="35" t="str">
        <f aca="false">IF(OR(LEFT(H688,4)="Meta",LEFT(H688,6)="Google"),IF(AG688=3,"Lead calificado",IF(OR(AG688=4,AG688=5),"Tasación/visita",IF(OR(AG688=6,AG688=7),"Captación/oferta",IF(AG688=8,"Cierre","")))),"")</f>
        <v/>
      </c>
      <c r="AE688" s="32"/>
      <c r="AF688" s="32"/>
      <c r="AG688" s="37" t="n">
        <f aca="false">IF(R688="",0,IFERROR(MATCH(R688,Listas!$L$2:$L$50,0),0))</f>
        <v>0</v>
      </c>
    </row>
    <row r="689" customFormat="false" ht="15" hidden="false" customHeight="false" outlineLevel="0" collapsed="false">
      <c r="A689" s="30"/>
      <c r="B689" s="31"/>
      <c r="C689" s="32"/>
      <c r="D689" s="32"/>
      <c r="E689" s="33"/>
      <c r="F689" s="32"/>
      <c r="G689" s="32"/>
      <c r="H689" s="32"/>
      <c r="I689" s="32"/>
      <c r="J689" s="32"/>
      <c r="K689" s="32"/>
      <c r="L689" s="32"/>
      <c r="M689" s="30"/>
      <c r="N689" s="32"/>
      <c r="O689" s="34"/>
      <c r="P689" s="32"/>
      <c r="Q689" s="32"/>
      <c r="R689" s="32"/>
      <c r="S689" s="32"/>
      <c r="T689" s="32"/>
      <c r="U689" s="32"/>
      <c r="V689" s="31"/>
      <c r="W689" s="35" t="str">
        <f aca="true">IF(OR(V689="",AG689&gt;=8),"",IF(V689&lt;TODAY(),"Vencida",IF(V689=TODAY(),"Hoy","")))</f>
        <v/>
      </c>
      <c r="X689" s="36" t="str">
        <f aca="false">IF(A689="","",IF(COUNTIF(Seguimiento!$B$2:$B$5001,A689)=0,"",_xlfn.MAXIFS(Seguimiento!$A$2:$A$5001,Seguimiento!$B$2:$B$5001,A689)))</f>
        <v/>
      </c>
      <c r="Y689" s="37" t="str">
        <f aca="true">IF(B689="","",TODAY()-B689)</f>
        <v/>
      </c>
      <c r="Z689" s="38" t="str">
        <f aca="false">IF(OR(O689="",G689=""),"",O689*IFERROR(INDEX(Listas!$B$2:$B$50,MATCH(G689,Listas!$A$2:$A$50,0)),0))</f>
        <v/>
      </c>
      <c r="AA689" s="32"/>
      <c r="AB689" s="32"/>
      <c r="AC689" s="32"/>
      <c r="AD689" s="35" t="str">
        <f aca="false">IF(OR(LEFT(H689,4)="Meta",LEFT(H689,6)="Google"),IF(AG689=3,"Lead calificado",IF(OR(AG689=4,AG689=5),"Tasación/visita",IF(OR(AG689=6,AG689=7),"Captación/oferta",IF(AG689=8,"Cierre","")))),"")</f>
        <v/>
      </c>
      <c r="AE689" s="32"/>
      <c r="AF689" s="32"/>
      <c r="AG689" s="37" t="n">
        <f aca="false">IF(R689="",0,IFERROR(MATCH(R689,Listas!$L$2:$L$50,0),0))</f>
        <v>0</v>
      </c>
    </row>
    <row r="690" customFormat="false" ht="15" hidden="false" customHeight="false" outlineLevel="0" collapsed="false">
      <c r="A690" s="30"/>
      <c r="B690" s="31"/>
      <c r="C690" s="32"/>
      <c r="D690" s="32"/>
      <c r="E690" s="33"/>
      <c r="F690" s="32"/>
      <c r="G690" s="32"/>
      <c r="H690" s="32"/>
      <c r="I690" s="32"/>
      <c r="J690" s="32"/>
      <c r="K690" s="32"/>
      <c r="L690" s="32"/>
      <c r="M690" s="30"/>
      <c r="N690" s="32"/>
      <c r="O690" s="34"/>
      <c r="P690" s="32"/>
      <c r="Q690" s="32"/>
      <c r="R690" s="32"/>
      <c r="S690" s="32"/>
      <c r="T690" s="32"/>
      <c r="U690" s="32"/>
      <c r="V690" s="31"/>
      <c r="W690" s="35" t="str">
        <f aca="true">IF(OR(V690="",AG690&gt;=8),"",IF(V690&lt;TODAY(),"Vencida",IF(V690=TODAY(),"Hoy","")))</f>
        <v/>
      </c>
      <c r="X690" s="36" t="str">
        <f aca="false">IF(A690="","",IF(COUNTIF(Seguimiento!$B$2:$B$5001,A690)=0,"",_xlfn.MAXIFS(Seguimiento!$A$2:$A$5001,Seguimiento!$B$2:$B$5001,A690)))</f>
        <v/>
      </c>
      <c r="Y690" s="37" t="str">
        <f aca="true">IF(B690="","",TODAY()-B690)</f>
        <v/>
      </c>
      <c r="Z690" s="38" t="str">
        <f aca="false">IF(OR(O690="",G690=""),"",O690*IFERROR(INDEX(Listas!$B$2:$B$50,MATCH(G690,Listas!$A$2:$A$50,0)),0))</f>
        <v/>
      </c>
      <c r="AA690" s="32"/>
      <c r="AB690" s="32"/>
      <c r="AC690" s="32"/>
      <c r="AD690" s="35" t="str">
        <f aca="false">IF(OR(LEFT(H690,4)="Meta",LEFT(H690,6)="Google"),IF(AG690=3,"Lead calificado",IF(OR(AG690=4,AG690=5),"Tasación/visita",IF(OR(AG690=6,AG690=7),"Captación/oferta",IF(AG690=8,"Cierre","")))),"")</f>
        <v/>
      </c>
      <c r="AE690" s="32"/>
      <c r="AF690" s="32"/>
      <c r="AG690" s="37" t="n">
        <f aca="false">IF(R690="",0,IFERROR(MATCH(R690,Listas!$L$2:$L$50,0),0))</f>
        <v>0</v>
      </c>
    </row>
    <row r="691" customFormat="false" ht="15" hidden="false" customHeight="false" outlineLevel="0" collapsed="false">
      <c r="A691" s="30"/>
      <c r="B691" s="31"/>
      <c r="C691" s="32"/>
      <c r="D691" s="32"/>
      <c r="E691" s="33"/>
      <c r="F691" s="32"/>
      <c r="G691" s="32"/>
      <c r="H691" s="32"/>
      <c r="I691" s="32"/>
      <c r="J691" s="32"/>
      <c r="K691" s="32"/>
      <c r="L691" s="32"/>
      <c r="M691" s="30"/>
      <c r="N691" s="32"/>
      <c r="O691" s="34"/>
      <c r="P691" s="32"/>
      <c r="Q691" s="32"/>
      <c r="R691" s="32"/>
      <c r="S691" s="32"/>
      <c r="T691" s="32"/>
      <c r="U691" s="32"/>
      <c r="V691" s="31"/>
      <c r="W691" s="35" t="str">
        <f aca="true">IF(OR(V691="",AG691&gt;=8),"",IF(V691&lt;TODAY(),"Vencida",IF(V691=TODAY(),"Hoy","")))</f>
        <v/>
      </c>
      <c r="X691" s="36" t="str">
        <f aca="false">IF(A691="","",IF(COUNTIF(Seguimiento!$B$2:$B$5001,A691)=0,"",_xlfn.MAXIFS(Seguimiento!$A$2:$A$5001,Seguimiento!$B$2:$B$5001,A691)))</f>
        <v/>
      </c>
      <c r="Y691" s="37" t="str">
        <f aca="true">IF(B691="","",TODAY()-B691)</f>
        <v/>
      </c>
      <c r="Z691" s="38" t="str">
        <f aca="false">IF(OR(O691="",G691=""),"",O691*IFERROR(INDEX(Listas!$B$2:$B$50,MATCH(G691,Listas!$A$2:$A$50,0)),0))</f>
        <v/>
      </c>
      <c r="AA691" s="32"/>
      <c r="AB691" s="32"/>
      <c r="AC691" s="32"/>
      <c r="AD691" s="35" t="str">
        <f aca="false">IF(OR(LEFT(H691,4)="Meta",LEFT(H691,6)="Google"),IF(AG691=3,"Lead calificado",IF(OR(AG691=4,AG691=5),"Tasación/visita",IF(OR(AG691=6,AG691=7),"Captación/oferta",IF(AG691=8,"Cierre","")))),"")</f>
        <v/>
      </c>
      <c r="AE691" s="32"/>
      <c r="AF691" s="32"/>
      <c r="AG691" s="37" t="n">
        <f aca="false">IF(R691="",0,IFERROR(MATCH(R691,Listas!$L$2:$L$50,0),0))</f>
        <v>0</v>
      </c>
    </row>
    <row r="692" customFormat="false" ht="15" hidden="false" customHeight="false" outlineLevel="0" collapsed="false">
      <c r="A692" s="30"/>
      <c r="B692" s="31"/>
      <c r="C692" s="32"/>
      <c r="D692" s="32"/>
      <c r="E692" s="33"/>
      <c r="F692" s="32"/>
      <c r="G692" s="32"/>
      <c r="H692" s="32"/>
      <c r="I692" s="32"/>
      <c r="J692" s="32"/>
      <c r="K692" s="32"/>
      <c r="L692" s="32"/>
      <c r="M692" s="30"/>
      <c r="N692" s="32"/>
      <c r="O692" s="34"/>
      <c r="P692" s="32"/>
      <c r="Q692" s="32"/>
      <c r="R692" s="32"/>
      <c r="S692" s="32"/>
      <c r="T692" s="32"/>
      <c r="U692" s="32"/>
      <c r="V692" s="31"/>
      <c r="W692" s="35" t="str">
        <f aca="true">IF(OR(V692="",AG692&gt;=8),"",IF(V692&lt;TODAY(),"Vencida",IF(V692=TODAY(),"Hoy","")))</f>
        <v/>
      </c>
      <c r="X692" s="36" t="str">
        <f aca="false">IF(A692="","",IF(COUNTIF(Seguimiento!$B$2:$B$5001,A692)=0,"",_xlfn.MAXIFS(Seguimiento!$A$2:$A$5001,Seguimiento!$B$2:$B$5001,A692)))</f>
        <v/>
      </c>
      <c r="Y692" s="37" t="str">
        <f aca="true">IF(B692="","",TODAY()-B692)</f>
        <v/>
      </c>
      <c r="Z692" s="38" t="str">
        <f aca="false">IF(OR(O692="",G692=""),"",O692*IFERROR(INDEX(Listas!$B$2:$B$50,MATCH(G692,Listas!$A$2:$A$50,0)),0))</f>
        <v/>
      </c>
      <c r="AA692" s="32"/>
      <c r="AB692" s="32"/>
      <c r="AC692" s="32"/>
      <c r="AD692" s="35" t="str">
        <f aca="false">IF(OR(LEFT(H692,4)="Meta",LEFT(H692,6)="Google"),IF(AG692=3,"Lead calificado",IF(OR(AG692=4,AG692=5),"Tasación/visita",IF(OR(AG692=6,AG692=7),"Captación/oferta",IF(AG692=8,"Cierre","")))),"")</f>
        <v/>
      </c>
      <c r="AE692" s="32"/>
      <c r="AF692" s="32"/>
      <c r="AG692" s="37" t="n">
        <f aca="false">IF(R692="",0,IFERROR(MATCH(R692,Listas!$L$2:$L$50,0),0))</f>
        <v>0</v>
      </c>
    </row>
    <row r="693" customFormat="false" ht="15" hidden="false" customHeight="false" outlineLevel="0" collapsed="false">
      <c r="A693" s="30"/>
      <c r="B693" s="31"/>
      <c r="C693" s="32"/>
      <c r="D693" s="32"/>
      <c r="E693" s="33"/>
      <c r="F693" s="32"/>
      <c r="G693" s="32"/>
      <c r="H693" s="32"/>
      <c r="I693" s="32"/>
      <c r="J693" s="32"/>
      <c r="K693" s="32"/>
      <c r="L693" s="32"/>
      <c r="M693" s="30"/>
      <c r="N693" s="32"/>
      <c r="O693" s="34"/>
      <c r="P693" s="32"/>
      <c r="Q693" s="32"/>
      <c r="R693" s="32"/>
      <c r="S693" s="32"/>
      <c r="T693" s="32"/>
      <c r="U693" s="32"/>
      <c r="V693" s="31"/>
      <c r="W693" s="35" t="str">
        <f aca="true">IF(OR(V693="",AG693&gt;=8),"",IF(V693&lt;TODAY(),"Vencida",IF(V693=TODAY(),"Hoy","")))</f>
        <v/>
      </c>
      <c r="X693" s="36" t="str">
        <f aca="false">IF(A693="","",IF(COUNTIF(Seguimiento!$B$2:$B$5001,A693)=0,"",_xlfn.MAXIFS(Seguimiento!$A$2:$A$5001,Seguimiento!$B$2:$B$5001,A693)))</f>
        <v/>
      </c>
      <c r="Y693" s="37" t="str">
        <f aca="true">IF(B693="","",TODAY()-B693)</f>
        <v/>
      </c>
      <c r="Z693" s="38" t="str">
        <f aca="false">IF(OR(O693="",G693=""),"",O693*IFERROR(INDEX(Listas!$B$2:$B$50,MATCH(G693,Listas!$A$2:$A$50,0)),0))</f>
        <v/>
      </c>
      <c r="AA693" s="32"/>
      <c r="AB693" s="32"/>
      <c r="AC693" s="32"/>
      <c r="AD693" s="35" t="str">
        <f aca="false">IF(OR(LEFT(H693,4)="Meta",LEFT(H693,6)="Google"),IF(AG693=3,"Lead calificado",IF(OR(AG693=4,AG693=5),"Tasación/visita",IF(OR(AG693=6,AG693=7),"Captación/oferta",IF(AG693=8,"Cierre","")))),"")</f>
        <v/>
      </c>
      <c r="AE693" s="32"/>
      <c r="AF693" s="32"/>
      <c r="AG693" s="37" t="n">
        <f aca="false">IF(R693="",0,IFERROR(MATCH(R693,Listas!$L$2:$L$50,0),0))</f>
        <v>0</v>
      </c>
    </row>
    <row r="694" customFormat="false" ht="15" hidden="false" customHeight="false" outlineLevel="0" collapsed="false">
      <c r="A694" s="30"/>
      <c r="B694" s="31"/>
      <c r="C694" s="32"/>
      <c r="D694" s="32"/>
      <c r="E694" s="33"/>
      <c r="F694" s="32"/>
      <c r="G694" s="32"/>
      <c r="H694" s="32"/>
      <c r="I694" s="32"/>
      <c r="J694" s="32"/>
      <c r="K694" s="32"/>
      <c r="L694" s="32"/>
      <c r="M694" s="30"/>
      <c r="N694" s="32"/>
      <c r="O694" s="34"/>
      <c r="P694" s="32"/>
      <c r="Q694" s="32"/>
      <c r="R694" s="32"/>
      <c r="S694" s="32"/>
      <c r="T694" s="32"/>
      <c r="U694" s="32"/>
      <c r="V694" s="31"/>
      <c r="W694" s="35" t="str">
        <f aca="true">IF(OR(V694="",AG694&gt;=8),"",IF(V694&lt;TODAY(),"Vencida",IF(V694=TODAY(),"Hoy","")))</f>
        <v/>
      </c>
      <c r="X694" s="36" t="str">
        <f aca="false">IF(A694="","",IF(COUNTIF(Seguimiento!$B$2:$B$5001,A694)=0,"",_xlfn.MAXIFS(Seguimiento!$A$2:$A$5001,Seguimiento!$B$2:$B$5001,A694)))</f>
        <v/>
      </c>
      <c r="Y694" s="37" t="str">
        <f aca="true">IF(B694="","",TODAY()-B694)</f>
        <v/>
      </c>
      <c r="Z694" s="38" t="str">
        <f aca="false">IF(OR(O694="",G694=""),"",O694*IFERROR(INDEX(Listas!$B$2:$B$50,MATCH(G694,Listas!$A$2:$A$50,0)),0))</f>
        <v/>
      </c>
      <c r="AA694" s="32"/>
      <c r="AB694" s="32"/>
      <c r="AC694" s="32"/>
      <c r="AD694" s="35" t="str">
        <f aca="false">IF(OR(LEFT(H694,4)="Meta",LEFT(H694,6)="Google"),IF(AG694=3,"Lead calificado",IF(OR(AG694=4,AG694=5),"Tasación/visita",IF(OR(AG694=6,AG694=7),"Captación/oferta",IF(AG694=8,"Cierre","")))),"")</f>
        <v/>
      </c>
      <c r="AE694" s="32"/>
      <c r="AF694" s="32"/>
      <c r="AG694" s="37" t="n">
        <f aca="false">IF(R694="",0,IFERROR(MATCH(R694,Listas!$L$2:$L$50,0),0))</f>
        <v>0</v>
      </c>
    </row>
    <row r="695" customFormat="false" ht="15" hidden="false" customHeight="false" outlineLevel="0" collapsed="false">
      <c r="A695" s="30"/>
      <c r="B695" s="31"/>
      <c r="C695" s="32"/>
      <c r="D695" s="32"/>
      <c r="E695" s="33"/>
      <c r="F695" s="32"/>
      <c r="G695" s="32"/>
      <c r="H695" s="32"/>
      <c r="I695" s="32"/>
      <c r="J695" s="32"/>
      <c r="K695" s="32"/>
      <c r="L695" s="32"/>
      <c r="M695" s="30"/>
      <c r="N695" s="32"/>
      <c r="O695" s="34"/>
      <c r="P695" s="32"/>
      <c r="Q695" s="32"/>
      <c r="R695" s="32"/>
      <c r="S695" s="32"/>
      <c r="T695" s="32"/>
      <c r="U695" s="32"/>
      <c r="V695" s="31"/>
      <c r="W695" s="35" t="str">
        <f aca="true">IF(OR(V695="",AG695&gt;=8),"",IF(V695&lt;TODAY(),"Vencida",IF(V695=TODAY(),"Hoy","")))</f>
        <v/>
      </c>
      <c r="X695" s="36" t="str">
        <f aca="false">IF(A695="","",IF(COUNTIF(Seguimiento!$B$2:$B$5001,A695)=0,"",_xlfn.MAXIFS(Seguimiento!$A$2:$A$5001,Seguimiento!$B$2:$B$5001,A695)))</f>
        <v/>
      </c>
      <c r="Y695" s="37" t="str">
        <f aca="true">IF(B695="","",TODAY()-B695)</f>
        <v/>
      </c>
      <c r="Z695" s="38" t="str">
        <f aca="false">IF(OR(O695="",G695=""),"",O695*IFERROR(INDEX(Listas!$B$2:$B$50,MATCH(G695,Listas!$A$2:$A$50,0)),0))</f>
        <v/>
      </c>
      <c r="AA695" s="32"/>
      <c r="AB695" s="32"/>
      <c r="AC695" s="32"/>
      <c r="AD695" s="35" t="str">
        <f aca="false">IF(OR(LEFT(H695,4)="Meta",LEFT(H695,6)="Google"),IF(AG695=3,"Lead calificado",IF(OR(AG695=4,AG695=5),"Tasación/visita",IF(OR(AG695=6,AG695=7),"Captación/oferta",IF(AG695=8,"Cierre","")))),"")</f>
        <v/>
      </c>
      <c r="AE695" s="32"/>
      <c r="AF695" s="32"/>
      <c r="AG695" s="37" t="n">
        <f aca="false">IF(R695="",0,IFERROR(MATCH(R695,Listas!$L$2:$L$50,0),0))</f>
        <v>0</v>
      </c>
    </row>
    <row r="696" customFormat="false" ht="15" hidden="false" customHeight="false" outlineLevel="0" collapsed="false">
      <c r="A696" s="30"/>
      <c r="B696" s="31"/>
      <c r="C696" s="32"/>
      <c r="D696" s="32"/>
      <c r="E696" s="33"/>
      <c r="F696" s="32"/>
      <c r="G696" s="32"/>
      <c r="H696" s="32"/>
      <c r="I696" s="32"/>
      <c r="J696" s="32"/>
      <c r="K696" s="32"/>
      <c r="L696" s="32"/>
      <c r="M696" s="30"/>
      <c r="N696" s="32"/>
      <c r="O696" s="34"/>
      <c r="P696" s="32"/>
      <c r="Q696" s="32"/>
      <c r="R696" s="32"/>
      <c r="S696" s="32"/>
      <c r="T696" s="32"/>
      <c r="U696" s="32"/>
      <c r="V696" s="31"/>
      <c r="W696" s="35" t="str">
        <f aca="true">IF(OR(V696="",AG696&gt;=8),"",IF(V696&lt;TODAY(),"Vencida",IF(V696=TODAY(),"Hoy","")))</f>
        <v/>
      </c>
      <c r="X696" s="36" t="str">
        <f aca="false">IF(A696="","",IF(COUNTIF(Seguimiento!$B$2:$B$5001,A696)=0,"",_xlfn.MAXIFS(Seguimiento!$A$2:$A$5001,Seguimiento!$B$2:$B$5001,A696)))</f>
        <v/>
      </c>
      <c r="Y696" s="37" t="str">
        <f aca="true">IF(B696="","",TODAY()-B696)</f>
        <v/>
      </c>
      <c r="Z696" s="38" t="str">
        <f aca="false">IF(OR(O696="",G696=""),"",O696*IFERROR(INDEX(Listas!$B$2:$B$50,MATCH(G696,Listas!$A$2:$A$50,0)),0))</f>
        <v/>
      </c>
      <c r="AA696" s="32"/>
      <c r="AB696" s="32"/>
      <c r="AC696" s="32"/>
      <c r="AD696" s="35" t="str">
        <f aca="false">IF(OR(LEFT(H696,4)="Meta",LEFT(H696,6)="Google"),IF(AG696=3,"Lead calificado",IF(OR(AG696=4,AG696=5),"Tasación/visita",IF(OR(AG696=6,AG696=7),"Captación/oferta",IF(AG696=8,"Cierre","")))),"")</f>
        <v/>
      </c>
      <c r="AE696" s="32"/>
      <c r="AF696" s="32"/>
      <c r="AG696" s="37" t="n">
        <f aca="false">IF(R696="",0,IFERROR(MATCH(R696,Listas!$L$2:$L$50,0),0))</f>
        <v>0</v>
      </c>
    </row>
    <row r="697" customFormat="false" ht="15" hidden="false" customHeight="false" outlineLevel="0" collapsed="false">
      <c r="A697" s="30"/>
      <c r="B697" s="31"/>
      <c r="C697" s="32"/>
      <c r="D697" s="32"/>
      <c r="E697" s="33"/>
      <c r="F697" s="32"/>
      <c r="G697" s="32"/>
      <c r="H697" s="32"/>
      <c r="I697" s="32"/>
      <c r="J697" s="32"/>
      <c r="K697" s="32"/>
      <c r="L697" s="32"/>
      <c r="M697" s="30"/>
      <c r="N697" s="32"/>
      <c r="O697" s="34"/>
      <c r="P697" s="32"/>
      <c r="Q697" s="32"/>
      <c r="R697" s="32"/>
      <c r="S697" s="32"/>
      <c r="T697" s="32"/>
      <c r="U697" s="32"/>
      <c r="V697" s="31"/>
      <c r="W697" s="35" t="str">
        <f aca="true">IF(OR(V697="",AG697&gt;=8),"",IF(V697&lt;TODAY(),"Vencida",IF(V697=TODAY(),"Hoy","")))</f>
        <v/>
      </c>
      <c r="X697" s="36" t="str">
        <f aca="false">IF(A697="","",IF(COUNTIF(Seguimiento!$B$2:$B$5001,A697)=0,"",_xlfn.MAXIFS(Seguimiento!$A$2:$A$5001,Seguimiento!$B$2:$B$5001,A697)))</f>
        <v/>
      </c>
      <c r="Y697" s="37" t="str">
        <f aca="true">IF(B697="","",TODAY()-B697)</f>
        <v/>
      </c>
      <c r="Z697" s="38" t="str">
        <f aca="false">IF(OR(O697="",G697=""),"",O697*IFERROR(INDEX(Listas!$B$2:$B$50,MATCH(G697,Listas!$A$2:$A$50,0)),0))</f>
        <v/>
      </c>
      <c r="AA697" s="32"/>
      <c r="AB697" s="32"/>
      <c r="AC697" s="32"/>
      <c r="AD697" s="35" t="str">
        <f aca="false">IF(OR(LEFT(H697,4)="Meta",LEFT(H697,6)="Google"),IF(AG697=3,"Lead calificado",IF(OR(AG697=4,AG697=5),"Tasación/visita",IF(OR(AG697=6,AG697=7),"Captación/oferta",IF(AG697=8,"Cierre","")))),"")</f>
        <v/>
      </c>
      <c r="AE697" s="32"/>
      <c r="AF697" s="32"/>
      <c r="AG697" s="37" t="n">
        <f aca="false">IF(R697="",0,IFERROR(MATCH(R697,Listas!$L$2:$L$50,0),0))</f>
        <v>0</v>
      </c>
    </row>
    <row r="698" customFormat="false" ht="15" hidden="false" customHeight="false" outlineLevel="0" collapsed="false">
      <c r="A698" s="30"/>
      <c r="B698" s="31"/>
      <c r="C698" s="32"/>
      <c r="D698" s="32"/>
      <c r="E698" s="33"/>
      <c r="F698" s="32"/>
      <c r="G698" s="32"/>
      <c r="H698" s="32"/>
      <c r="I698" s="32"/>
      <c r="J698" s="32"/>
      <c r="K698" s="32"/>
      <c r="L698" s="32"/>
      <c r="M698" s="30"/>
      <c r="N698" s="32"/>
      <c r="O698" s="34"/>
      <c r="P698" s="32"/>
      <c r="Q698" s="32"/>
      <c r="R698" s="32"/>
      <c r="S698" s="32"/>
      <c r="T698" s="32"/>
      <c r="U698" s="32"/>
      <c r="V698" s="31"/>
      <c r="W698" s="35" t="str">
        <f aca="true">IF(OR(V698="",AG698&gt;=8),"",IF(V698&lt;TODAY(),"Vencida",IF(V698=TODAY(),"Hoy","")))</f>
        <v/>
      </c>
      <c r="X698" s="36" t="str">
        <f aca="false">IF(A698="","",IF(COUNTIF(Seguimiento!$B$2:$B$5001,A698)=0,"",_xlfn.MAXIFS(Seguimiento!$A$2:$A$5001,Seguimiento!$B$2:$B$5001,A698)))</f>
        <v/>
      </c>
      <c r="Y698" s="37" t="str">
        <f aca="true">IF(B698="","",TODAY()-B698)</f>
        <v/>
      </c>
      <c r="Z698" s="38" t="str">
        <f aca="false">IF(OR(O698="",G698=""),"",O698*IFERROR(INDEX(Listas!$B$2:$B$50,MATCH(G698,Listas!$A$2:$A$50,0)),0))</f>
        <v/>
      </c>
      <c r="AA698" s="32"/>
      <c r="AB698" s="32"/>
      <c r="AC698" s="32"/>
      <c r="AD698" s="35" t="str">
        <f aca="false">IF(OR(LEFT(H698,4)="Meta",LEFT(H698,6)="Google"),IF(AG698=3,"Lead calificado",IF(OR(AG698=4,AG698=5),"Tasación/visita",IF(OR(AG698=6,AG698=7),"Captación/oferta",IF(AG698=8,"Cierre","")))),"")</f>
        <v/>
      </c>
      <c r="AE698" s="32"/>
      <c r="AF698" s="32"/>
      <c r="AG698" s="37" t="n">
        <f aca="false">IF(R698="",0,IFERROR(MATCH(R698,Listas!$L$2:$L$50,0),0))</f>
        <v>0</v>
      </c>
    </row>
    <row r="699" customFormat="false" ht="15" hidden="false" customHeight="false" outlineLevel="0" collapsed="false">
      <c r="A699" s="30"/>
      <c r="B699" s="31"/>
      <c r="C699" s="32"/>
      <c r="D699" s="32"/>
      <c r="E699" s="33"/>
      <c r="F699" s="32"/>
      <c r="G699" s="32"/>
      <c r="H699" s="32"/>
      <c r="I699" s="32"/>
      <c r="J699" s="32"/>
      <c r="K699" s="32"/>
      <c r="L699" s="32"/>
      <c r="M699" s="30"/>
      <c r="N699" s="32"/>
      <c r="O699" s="34"/>
      <c r="P699" s="32"/>
      <c r="Q699" s="32"/>
      <c r="R699" s="32"/>
      <c r="S699" s="32"/>
      <c r="T699" s="32"/>
      <c r="U699" s="32"/>
      <c r="V699" s="31"/>
      <c r="W699" s="35" t="str">
        <f aca="true">IF(OR(V699="",AG699&gt;=8),"",IF(V699&lt;TODAY(),"Vencida",IF(V699=TODAY(),"Hoy","")))</f>
        <v/>
      </c>
      <c r="X699" s="36" t="str">
        <f aca="false">IF(A699="","",IF(COUNTIF(Seguimiento!$B$2:$B$5001,A699)=0,"",_xlfn.MAXIFS(Seguimiento!$A$2:$A$5001,Seguimiento!$B$2:$B$5001,A699)))</f>
        <v/>
      </c>
      <c r="Y699" s="37" t="str">
        <f aca="true">IF(B699="","",TODAY()-B699)</f>
        <v/>
      </c>
      <c r="Z699" s="38" t="str">
        <f aca="false">IF(OR(O699="",G699=""),"",O699*IFERROR(INDEX(Listas!$B$2:$B$50,MATCH(G699,Listas!$A$2:$A$50,0)),0))</f>
        <v/>
      </c>
      <c r="AA699" s="32"/>
      <c r="AB699" s="32"/>
      <c r="AC699" s="32"/>
      <c r="AD699" s="35" t="str">
        <f aca="false">IF(OR(LEFT(H699,4)="Meta",LEFT(H699,6)="Google"),IF(AG699=3,"Lead calificado",IF(OR(AG699=4,AG699=5),"Tasación/visita",IF(OR(AG699=6,AG699=7),"Captación/oferta",IF(AG699=8,"Cierre","")))),"")</f>
        <v/>
      </c>
      <c r="AE699" s="32"/>
      <c r="AF699" s="32"/>
      <c r="AG699" s="37" t="n">
        <f aca="false">IF(R699="",0,IFERROR(MATCH(R699,Listas!$L$2:$L$50,0),0))</f>
        <v>0</v>
      </c>
    </row>
    <row r="700" customFormat="false" ht="15" hidden="false" customHeight="false" outlineLevel="0" collapsed="false">
      <c r="A700" s="30"/>
      <c r="B700" s="31"/>
      <c r="C700" s="32"/>
      <c r="D700" s="32"/>
      <c r="E700" s="33"/>
      <c r="F700" s="32"/>
      <c r="G700" s="32"/>
      <c r="H700" s="32"/>
      <c r="I700" s="32"/>
      <c r="J700" s="32"/>
      <c r="K700" s="32"/>
      <c r="L700" s="32"/>
      <c r="M700" s="30"/>
      <c r="N700" s="32"/>
      <c r="O700" s="34"/>
      <c r="P700" s="32"/>
      <c r="Q700" s="32"/>
      <c r="R700" s="32"/>
      <c r="S700" s="32"/>
      <c r="T700" s="32"/>
      <c r="U700" s="32"/>
      <c r="V700" s="31"/>
      <c r="W700" s="35" t="str">
        <f aca="true">IF(OR(V700="",AG700&gt;=8),"",IF(V700&lt;TODAY(),"Vencida",IF(V700=TODAY(),"Hoy","")))</f>
        <v/>
      </c>
      <c r="X700" s="36" t="str">
        <f aca="false">IF(A700="","",IF(COUNTIF(Seguimiento!$B$2:$B$5001,A700)=0,"",_xlfn.MAXIFS(Seguimiento!$A$2:$A$5001,Seguimiento!$B$2:$B$5001,A700)))</f>
        <v/>
      </c>
      <c r="Y700" s="37" t="str">
        <f aca="true">IF(B700="","",TODAY()-B700)</f>
        <v/>
      </c>
      <c r="Z700" s="38" t="str">
        <f aca="false">IF(OR(O700="",G700=""),"",O700*IFERROR(INDEX(Listas!$B$2:$B$50,MATCH(G700,Listas!$A$2:$A$50,0)),0))</f>
        <v/>
      </c>
      <c r="AA700" s="32"/>
      <c r="AB700" s="32"/>
      <c r="AC700" s="32"/>
      <c r="AD700" s="35" t="str">
        <f aca="false">IF(OR(LEFT(H700,4)="Meta",LEFT(H700,6)="Google"),IF(AG700=3,"Lead calificado",IF(OR(AG700=4,AG700=5),"Tasación/visita",IF(OR(AG700=6,AG700=7),"Captación/oferta",IF(AG700=8,"Cierre","")))),"")</f>
        <v/>
      </c>
      <c r="AE700" s="32"/>
      <c r="AF700" s="32"/>
      <c r="AG700" s="37" t="n">
        <f aca="false">IF(R700="",0,IFERROR(MATCH(R700,Listas!$L$2:$L$50,0),0))</f>
        <v>0</v>
      </c>
    </row>
    <row r="701" customFormat="false" ht="15" hidden="false" customHeight="false" outlineLevel="0" collapsed="false">
      <c r="A701" s="30"/>
      <c r="B701" s="31"/>
      <c r="C701" s="32"/>
      <c r="D701" s="32"/>
      <c r="E701" s="33"/>
      <c r="F701" s="32"/>
      <c r="G701" s="32"/>
      <c r="H701" s="32"/>
      <c r="I701" s="32"/>
      <c r="J701" s="32"/>
      <c r="K701" s="32"/>
      <c r="L701" s="32"/>
      <c r="M701" s="30"/>
      <c r="N701" s="32"/>
      <c r="O701" s="34"/>
      <c r="P701" s="32"/>
      <c r="Q701" s="32"/>
      <c r="R701" s="32"/>
      <c r="S701" s="32"/>
      <c r="T701" s="32"/>
      <c r="U701" s="32"/>
      <c r="V701" s="31"/>
      <c r="W701" s="35" t="str">
        <f aca="true">IF(OR(V701="",AG701&gt;=8),"",IF(V701&lt;TODAY(),"Vencida",IF(V701=TODAY(),"Hoy","")))</f>
        <v/>
      </c>
      <c r="X701" s="36" t="str">
        <f aca="false">IF(A701="","",IF(COUNTIF(Seguimiento!$B$2:$B$5001,A701)=0,"",_xlfn.MAXIFS(Seguimiento!$A$2:$A$5001,Seguimiento!$B$2:$B$5001,A701)))</f>
        <v/>
      </c>
      <c r="Y701" s="37" t="str">
        <f aca="true">IF(B701="","",TODAY()-B701)</f>
        <v/>
      </c>
      <c r="Z701" s="38" t="str">
        <f aca="false">IF(OR(O701="",G701=""),"",O701*IFERROR(INDEX(Listas!$B$2:$B$50,MATCH(G701,Listas!$A$2:$A$50,0)),0))</f>
        <v/>
      </c>
      <c r="AA701" s="32"/>
      <c r="AB701" s="32"/>
      <c r="AC701" s="32"/>
      <c r="AD701" s="35" t="str">
        <f aca="false">IF(OR(LEFT(H701,4)="Meta",LEFT(H701,6)="Google"),IF(AG701=3,"Lead calificado",IF(OR(AG701=4,AG701=5),"Tasación/visita",IF(OR(AG701=6,AG701=7),"Captación/oferta",IF(AG701=8,"Cierre","")))),"")</f>
        <v/>
      </c>
      <c r="AE701" s="32"/>
      <c r="AF701" s="32"/>
      <c r="AG701" s="37" t="n">
        <f aca="false">IF(R701="",0,IFERROR(MATCH(R701,Listas!$L$2:$L$50,0),0))</f>
        <v>0</v>
      </c>
    </row>
    <row r="702" customFormat="false" ht="15" hidden="false" customHeight="false" outlineLevel="0" collapsed="false">
      <c r="A702" s="30"/>
      <c r="B702" s="31"/>
      <c r="C702" s="32"/>
      <c r="D702" s="32"/>
      <c r="E702" s="33"/>
      <c r="F702" s="32"/>
      <c r="G702" s="32"/>
      <c r="H702" s="32"/>
      <c r="I702" s="32"/>
      <c r="J702" s="32"/>
      <c r="K702" s="32"/>
      <c r="L702" s="32"/>
      <c r="M702" s="30"/>
      <c r="N702" s="32"/>
      <c r="O702" s="34"/>
      <c r="P702" s="32"/>
      <c r="Q702" s="32"/>
      <c r="R702" s="32"/>
      <c r="S702" s="32"/>
      <c r="T702" s="32"/>
      <c r="U702" s="32"/>
      <c r="V702" s="31"/>
      <c r="W702" s="35" t="str">
        <f aca="true">IF(OR(V702="",AG702&gt;=8),"",IF(V702&lt;TODAY(),"Vencida",IF(V702=TODAY(),"Hoy","")))</f>
        <v/>
      </c>
      <c r="X702" s="36" t="str">
        <f aca="false">IF(A702="","",IF(COUNTIF(Seguimiento!$B$2:$B$5001,A702)=0,"",_xlfn.MAXIFS(Seguimiento!$A$2:$A$5001,Seguimiento!$B$2:$B$5001,A702)))</f>
        <v/>
      </c>
      <c r="Y702" s="37" t="str">
        <f aca="true">IF(B702="","",TODAY()-B702)</f>
        <v/>
      </c>
      <c r="Z702" s="38" t="str">
        <f aca="false">IF(OR(O702="",G702=""),"",O702*IFERROR(INDEX(Listas!$B$2:$B$50,MATCH(G702,Listas!$A$2:$A$50,0)),0))</f>
        <v/>
      </c>
      <c r="AA702" s="32"/>
      <c r="AB702" s="32"/>
      <c r="AC702" s="32"/>
      <c r="AD702" s="35" t="str">
        <f aca="false">IF(OR(LEFT(H702,4)="Meta",LEFT(H702,6)="Google"),IF(AG702=3,"Lead calificado",IF(OR(AG702=4,AG702=5),"Tasación/visita",IF(OR(AG702=6,AG702=7),"Captación/oferta",IF(AG702=8,"Cierre","")))),"")</f>
        <v/>
      </c>
      <c r="AE702" s="32"/>
      <c r="AF702" s="32"/>
      <c r="AG702" s="37" t="n">
        <f aca="false">IF(R702="",0,IFERROR(MATCH(R702,Listas!$L$2:$L$50,0),0))</f>
        <v>0</v>
      </c>
    </row>
    <row r="703" customFormat="false" ht="15" hidden="false" customHeight="false" outlineLevel="0" collapsed="false">
      <c r="A703" s="30"/>
      <c r="B703" s="31"/>
      <c r="C703" s="32"/>
      <c r="D703" s="32"/>
      <c r="E703" s="33"/>
      <c r="F703" s="32"/>
      <c r="G703" s="32"/>
      <c r="H703" s="32"/>
      <c r="I703" s="32"/>
      <c r="J703" s="32"/>
      <c r="K703" s="32"/>
      <c r="L703" s="32"/>
      <c r="M703" s="30"/>
      <c r="N703" s="32"/>
      <c r="O703" s="34"/>
      <c r="P703" s="32"/>
      <c r="Q703" s="32"/>
      <c r="R703" s="32"/>
      <c r="S703" s="32"/>
      <c r="T703" s="32"/>
      <c r="U703" s="32"/>
      <c r="V703" s="31"/>
      <c r="W703" s="35" t="str">
        <f aca="true">IF(OR(V703="",AG703&gt;=8),"",IF(V703&lt;TODAY(),"Vencida",IF(V703=TODAY(),"Hoy","")))</f>
        <v/>
      </c>
      <c r="X703" s="36" t="str">
        <f aca="false">IF(A703="","",IF(COUNTIF(Seguimiento!$B$2:$B$5001,A703)=0,"",_xlfn.MAXIFS(Seguimiento!$A$2:$A$5001,Seguimiento!$B$2:$B$5001,A703)))</f>
        <v/>
      </c>
      <c r="Y703" s="37" t="str">
        <f aca="true">IF(B703="","",TODAY()-B703)</f>
        <v/>
      </c>
      <c r="Z703" s="38" t="str">
        <f aca="false">IF(OR(O703="",G703=""),"",O703*IFERROR(INDEX(Listas!$B$2:$B$50,MATCH(G703,Listas!$A$2:$A$50,0)),0))</f>
        <v/>
      </c>
      <c r="AA703" s="32"/>
      <c r="AB703" s="32"/>
      <c r="AC703" s="32"/>
      <c r="AD703" s="35" t="str">
        <f aca="false">IF(OR(LEFT(H703,4)="Meta",LEFT(H703,6)="Google"),IF(AG703=3,"Lead calificado",IF(OR(AG703=4,AG703=5),"Tasación/visita",IF(OR(AG703=6,AG703=7),"Captación/oferta",IF(AG703=8,"Cierre","")))),"")</f>
        <v/>
      </c>
      <c r="AE703" s="32"/>
      <c r="AF703" s="32"/>
      <c r="AG703" s="37" t="n">
        <f aca="false">IF(R703="",0,IFERROR(MATCH(R703,Listas!$L$2:$L$50,0),0))</f>
        <v>0</v>
      </c>
    </row>
    <row r="704" customFormat="false" ht="15" hidden="false" customHeight="false" outlineLevel="0" collapsed="false">
      <c r="A704" s="30"/>
      <c r="B704" s="31"/>
      <c r="C704" s="32"/>
      <c r="D704" s="32"/>
      <c r="E704" s="33"/>
      <c r="F704" s="32"/>
      <c r="G704" s="32"/>
      <c r="H704" s="32"/>
      <c r="I704" s="32"/>
      <c r="J704" s="32"/>
      <c r="K704" s="32"/>
      <c r="L704" s="32"/>
      <c r="M704" s="30"/>
      <c r="N704" s="32"/>
      <c r="O704" s="34"/>
      <c r="P704" s="32"/>
      <c r="Q704" s="32"/>
      <c r="R704" s="32"/>
      <c r="S704" s="32"/>
      <c r="T704" s="32"/>
      <c r="U704" s="32"/>
      <c r="V704" s="31"/>
      <c r="W704" s="35" t="str">
        <f aca="true">IF(OR(V704="",AG704&gt;=8),"",IF(V704&lt;TODAY(),"Vencida",IF(V704=TODAY(),"Hoy","")))</f>
        <v/>
      </c>
      <c r="X704" s="36" t="str">
        <f aca="false">IF(A704="","",IF(COUNTIF(Seguimiento!$B$2:$B$5001,A704)=0,"",_xlfn.MAXIFS(Seguimiento!$A$2:$A$5001,Seguimiento!$B$2:$B$5001,A704)))</f>
        <v/>
      </c>
      <c r="Y704" s="37" t="str">
        <f aca="true">IF(B704="","",TODAY()-B704)</f>
        <v/>
      </c>
      <c r="Z704" s="38" t="str">
        <f aca="false">IF(OR(O704="",G704=""),"",O704*IFERROR(INDEX(Listas!$B$2:$B$50,MATCH(G704,Listas!$A$2:$A$50,0)),0))</f>
        <v/>
      </c>
      <c r="AA704" s="32"/>
      <c r="AB704" s="32"/>
      <c r="AC704" s="32"/>
      <c r="AD704" s="35" t="str">
        <f aca="false">IF(OR(LEFT(H704,4)="Meta",LEFT(H704,6)="Google"),IF(AG704=3,"Lead calificado",IF(OR(AG704=4,AG704=5),"Tasación/visita",IF(OR(AG704=6,AG704=7),"Captación/oferta",IF(AG704=8,"Cierre","")))),"")</f>
        <v/>
      </c>
      <c r="AE704" s="32"/>
      <c r="AF704" s="32"/>
      <c r="AG704" s="37" t="n">
        <f aca="false">IF(R704="",0,IFERROR(MATCH(R704,Listas!$L$2:$L$50,0),0))</f>
        <v>0</v>
      </c>
    </row>
    <row r="705" customFormat="false" ht="15" hidden="false" customHeight="false" outlineLevel="0" collapsed="false">
      <c r="A705" s="30"/>
      <c r="B705" s="31"/>
      <c r="C705" s="32"/>
      <c r="D705" s="32"/>
      <c r="E705" s="33"/>
      <c r="F705" s="32"/>
      <c r="G705" s="32"/>
      <c r="H705" s="32"/>
      <c r="I705" s="32"/>
      <c r="J705" s="32"/>
      <c r="K705" s="32"/>
      <c r="L705" s="32"/>
      <c r="M705" s="30"/>
      <c r="N705" s="32"/>
      <c r="O705" s="34"/>
      <c r="P705" s="32"/>
      <c r="Q705" s="32"/>
      <c r="R705" s="32"/>
      <c r="S705" s="32"/>
      <c r="T705" s="32"/>
      <c r="U705" s="32"/>
      <c r="V705" s="31"/>
      <c r="W705" s="35" t="str">
        <f aca="true">IF(OR(V705="",AG705&gt;=8),"",IF(V705&lt;TODAY(),"Vencida",IF(V705=TODAY(),"Hoy","")))</f>
        <v/>
      </c>
      <c r="X705" s="36" t="str">
        <f aca="false">IF(A705="","",IF(COUNTIF(Seguimiento!$B$2:$B$5001,A705)=0,"",_xlfn.MAXIFS(Seguimiento!$A$2:$A$5001,Seguimiento!$B$2:$B$5001,A705)))</f>
        <v/>
      </c>
      <c r="Y705" s="37" t="str">
        <f aca="true">IF(B705="","",TODAY()-B705)</f>
        <v/>
      </c>
      <c r="Z705" s="38" t="str">
        <f aca="false">IF(OR(O705="",G705=""),"",O705*IFERROR(INDEX(Listas!$B$2:$B$50,MATCH(G705,Listas!$A$2:$A$50,0)),0))</f>
        <v/>
      </c>
      <c r="AA705" s="32"/>
      <c r="AB705" s="32"/>
      <c r="AC705" s="32"/>
      <c r="AD705" s="35" t="str">
        <f aca="false">IF(OR(LEFT(H705,4)="Meta",LEFT(H705,6)="Google"),IF(AG705=3,"Lead calificado",IF(OR(AG705=4,AG705=5),"Tasación/visita",IF(OR(AG705=6,AG705=7),"Captación/oferta",IF(AG705=8,"Cierre","")))),"")</f>
        <v/>
      </c>
      <c r="AE705" s="32"/>
      <c r="AF705" s="32"/>
      <c r="AG705" s="37" t="n">
        <f aca="false">IF(R705="",0,IFERROR(MATCH(R705,Listas!$L$2:$L$50,0),0))</f>
        <v>0</v>
      </c>
    </row>
    <row r="706" customFormat="false" ht="15" hidden="false" customHeight="false" outlineLevel="0" collapsed="false">
      <c r="A706" s="30"/>
      <c r="B706" s="31"/>
      <c r="C706" s="32"/>
      <c r="D706" s="32"/>
      <c r="E706" s="33"/>
      <c r="F706" s="32"/>
      <c r="G706" s="32"/>
      <c r="H706" s="32"/>
      <c r="I706" s="32"/>
      <c r="J706" s="32"/>
      <c r="K706" s="32"/>
      <c r="L706" s="32"/>
      <c r="M706" s="30"/>
      <c r="N706" s="32"/>
      <c r="O706" s="34"/>
      <c r="P706" s="32"/>
      <c r="Q706" s="32"/>
      <c r="R706" s="32"/>
      <c r="S706" s="32"/>
      <c r="T706" s="32"/>
      <c r="U706" s="32"/>
      <c r="V706" s="31"/>
      <c r="W706" s="35" t="str">
        <f aca="true">IF(OR(V706="",AG706&gt;=8),"",IF(V706&lt;TODAY(),"Vencida",IF(V706=TODAY(),"Hoy","")))</f>
        <v/>
      </c>
      <c r="X706" s="36" t="str">
        <f aca="false">IF(A706="","",IF(COUNTIF(Seguimiento!$B$2:$B$5001,A706)=0,"",_xlfn.MAXIFS(Seguimiento!$A$2:$A$5001,Seguimiento!$B$2:$B$5001,A706)))</f>
        <v/>
      </c>
      <c r="Y706" s="37" t="str">
        <f aca="true">IF(B706="","",TODAY()-B706)</f>
        <v/>
      </c>
      <c r="Z706" s="38" t="str">
        <f aca="false">IF(OR(O706="",G706=""),"",O706*IFERROR(INDEX(Listas!$B$2:$B$50,MATCH(G706,Listas!$A$2:$A$50,0)),0))</f>
        <v/>
      </c>
      <c r="AA706" s="32"/>
      <c r="AB706" s="32"/>
      <c r="AC706" s="32"/>
      <c r="AD706" s="35" t="str">
        <f aca="false">IF(OR(LEFT(H706,4)="Meta",LEFT(H706,6)="Google"),IF(AG706=3,"Lead calificado",IF(OR(AG706=4,AG706=5),"Tasación/visita",IF(OR(AG706=6,AG706=7),"Captación/oferta",IF(AG706=8,"Cierre","")))),"")</f>
        <v/>
      </c>
      <c r="AE706" s="32"/>
      <c r="AF706" s="32"/>
      <c r="AG706" s="37" t="n">
        <f aca="false">IF(R706="",0,IFERROR(MATCH(R706,Listas!$L$2:$L$50,0),0))</f>
        <v>0</v>
      </c>
    </row>
    <row r="707" customFormat="false" ht="15" hidden="false" customHeight="false" outlineLevel="0" collapsed="false">
      <c r="A707" s="30"/>
      <c r="B707" s="31"/>
      <c r="C707" s="32"/>
      <c r="D707" s="32"/>
      <c r="E707" s="33"/>
      <c r="F707" s="32"/>
      <c r="G707" s="32"/>
      <c r="H707" s="32"/>
      <c r="I707" s="32"/>
      <c r="J707" s="32"/>
      <c r="K707" s="32"/>
      <c r="L707" s="32"/>
      <c r="M707" s="30"/>
      <c r="N707" s="32"/>
      <c r="O707" s="34"/>
      <c r="P707" s="32"/>
      <c r="Q707" s="32"/>
      <c r="R707" s="32"/>
      <c r="S707" s="32"/>
      <c r="T707" s="32"/>
      <c r="U707" s="32"/>
      <c r="V707" s="31"/>
      <c r="W707" s="35" t="str">
        <f aca="true">IF(OR(V707="",AG707&gt;=8),"",IF(V707&lt;TODAY(),"Vencida",IF(V707=TODAY(),"Hoy","")))</f>
        <v/>
      </c>
      <c r="X707" s="36" t="str">
        <f aca="false">IF(A707="","",IF(COUNTIF(Seguimiento!$B$2:$B$5001,A707)=0,"",_xlfn.MAXIFS(Seguimiento!$A$2:$A$5001,Seguimiento!$B$2:$B$5001,A707)))</f>
        <v/>
      </c>
      <c r="Y707" s="37" t="str">
        <f aca="true">IF(B707="","",TODAY()-B707)</f>
        <v/>
      </c>
      <c r="Z707" s="38" t="str">
        <f aca="false">IF(OR(O707="",G707=""),"",O707*IFERROR(INDEX(Listas!$B$2:$B$50,MATCH(G707,Listas!$A$2:$A$50,0)),0))</f>
        <v/>
      </c>
      <c r="AA707" s="32"/>
      <c r="AB707" s="32"/>
      <c r="AC707" s="32"/>
      <c r="AD707" s="35" t="str">
        <f aca="false">IF(OR(LEFT(H707,4)="Meta",LEFT(H707,6)="Google"),IF(AG707=3,"Lead calificado",IF(OR(AG707=4,AG707=5),"Tasación/visita",IF(OR(AG707=6,AG707=7),"Captación/oferta",IF(AG707=8,"Cierre","")))),"")</f>
        <v/>
      </c>
      <c r="AE707" s="32"/>
      <c r="AF707" s="32"/>
      <c r="AG707" s="37" t="n">
        <f aca="false">IF(R707="",0,IFERROR(MATCH(R707,Listas!$L$2:$L$50,0),0))</f>
        <v>0</v>
      </c>
    </row>
    <row r="708" customFormat="false" ht="15" hidden="false" customHeight="false" outlineLevel="0" collapsed="false">
      <c r="A708" s="30"/>
      <c r="B708" s="31"/>
      <c r="C708" s="32"/>
      <c r="D708" s="32"/>
      <c r="E708" s="33"/>
      <c r="F708" s="32"/>
      <c r="G708" s="32"/>
      <c r="H708" s="32"/>
      <c r="I708" s="32"/>
      <c r="J708" s="32"/>
      <c r="K708" s="32"/>
      <c r="L708" s="32"/>
      <c r="M708" s="30"/>
      <c r="N708" s="32"/>
      <c r="O708" s="34"/>
      <c r="P708" s="32"/>
      <c r="Q708" s="32"/>
      <c r="R708" s="32"/>
      <c r="S708" s="32"/>
      <c r="T708" s="32"/>
      <c r="U708" s="32"/>
      <c r="V708" s="31"/>
      <c r="W708" s="35" t="str">
        <f aca="true">IF(OR(V708="",AG708&gt;=8),"",IF(V708&lt;TODAY(),"Vencida",IF(V708=TODAY(),"Hoy","")))</f>
        <v/>
      </c>
      <c r="X708" s="36" t="str">
        <f aca="false">IF(A708="","",IF(COUNTIF(Seguimiento!$B$2:$B$5001,A708)=0,"",_xlfn.MAXIFS(Seguimiento!$A$2:$A$5001,Seguimiento!$B$2:$B$5001,A708)))</f>
        <v/>
      </c>
      <c r="Y708" s="37" t="str">
        <f aca="true">IF(B708="","",TODAY()-B708)</f>
        <v/>
      </c>
      <c r="Z708" s="38" t="str">
        <f aca="false">IF(OR(O708="",G708=""),"",O708*IFERROR(INDEX(Listas!$B$2:$B$50,MATCH(G708,Listas!$A$2:$A$50,0)),0))</f>
        <v/>
      </c>
      <c r="AA708" s="32"/>
      <c r="AB708" s="32"/>
      <c r="AC708" s="32"/>
      <c r="AD708" s="35" t="str">
        <f aca="false">IF(OR(LEFT(H708,4)="Meta",LEFT(H708,6)="Google"),IF(AG708=3,"Lead calificado",IF(OR(AG708=4,AG708=5),"Tasación/visita",IF(OR(AG708=6,AG708=7),"Captación/oferta",IF(AG708=8,"Cierre","")))),"")</f>
        <v/>
      </c>
      <c r="AE708" s="32"/>
      <c r="AF708" s="32"/>
      <c r="AG708" s="37" t="n">
        <f aca="false">IF(R708="",0,IFERROR(MATCH(R708,Listas!$L$2:$L$50,0),0))</f>
        <v>0</v>
      </c>
    </row>
    <row r="709" customFormat="false" ht="15" hidden="false" customHeight="false" outlineLevel="0" collapsed="false">
      <c r="A709" s="30"/>
      <c r="B709" s="31"/>
      <c r="C709" s="32"/>
      <c r="D709" s="32"/>
      <c r="E709" s="33"/>
      <c r="F709" s="32"/>
      <c r="G709" s="32"/>
      <c r="H709" s="32"/>
      <c r="I709" s="32"/>
      <c r="J709" s="32"/>
      <c r="K709" s="32"/>
      <c r="L709" s="32"/>
      <c r="M709" s="30"/>
      <c r="N709" s="32"/>
      <c r="O709" s="34"/>
      <c r="P709" s="32"/>
      <c r="Q709" s="32"/>
      <c r="R709" s="32"/>
      <c r="S709" s="32"/>
      <c r="T709" s="32"/>
      <c r="U709" s="32"/>
      <c r="V709" s="31"/>
      <c r="W709" s="35" t="str">
        <f aca="true">IF(OR(V709="",AG709&gt;=8),"",IF(V709&lt;TODAY(),"Vencida",IF(V709=TODAY(),"Hoy","")))</f>
        <v/>
      </c>
      <c r="X709" s="36" t="str">
        <f aca="false">IF(A709="","",IF(COUNTIF(Seguimiento!$B$2:$B$5001,A709)=0,"",_xlfn.MAXIFS(Seguimiento!$A$2:$A$5001,Seguimiento!$B$2:$B$5001,A709)))</f>
        <v/>
      </c>
      <c r="Y709" s="37" t="str">
        <f aca="true">IF(B709="","",TODAY()-B709)</f>
        <v/>
      </c>
      <c r="Z709" s="38" t="str">
        <f aca="false">IF(OR(O709="",G709=""),"",O709*IFERROR(INDEX(Listas!$B$2:$B$50,MATCH(G709,Listas!$A$2:$A$50,0)),0))</f>
        <v/>
      </c>
      <c r="AA709" s="32"/>
      <c r="AB709" s="32"/>
      <c r="AC709" s="32"/>
      <c r="AD709" s="35" t="str">
        <f aca="false">IF(OR(LEFT(H709,4)="Meta",LEFT(H709,6)="Google"),IF(AG709=3,"Lead calificado",IF(OR(AG709=4,AG709=5),"Tasación/visita",IF(OR(AG709=6,AG709=7),"Captación/oferta",IF(AG709=8,"Cierre","")))),"")</f>
        <v/>
      </c>
      <c r="AE709" s="32"/>
      <c r="AF709" s="32"/>
      <c r="AG709" s="37" t="n">
        <f aca="false">IF(R709="",0,IFERROR(MATCH(R709,Listas!$L$2:$L$50,0),0))</f>
        <v>0</v>
      </c>
    </row>
    <row r="710" customFormat="false" ht="15" hidden="false" customHeight="false" outlineLevel="0" collapsed="false">
      <c r="A710" s="30"/>
      <c r="B710" s="31"/>
      <c r="C710" s="32"/>
      <c r="D710" s="32"/>
      <c r="E710" s="33"/>
      <c r="F710" s="32"/>
      <c r="G710" s="32"/>
      <c r="H710" s="32"/>
      <c r="I710" s="32"/>
      <c r="J710" s="32"/>
      <c r="K710" s="32"/>
      <c r="L710" s="32"/>
      <c r="M710" s="30"/>
      <c r="N710" s="32"/>
      <c r="O710" s="34"/>
      <c r="P710" s="32"/>
      <c r="Q710" s="32"/>
      <c r="R710" s="32"/>
      <c r="S710" s="32"/>
      <c r="T710" s="32"/>
      <c r="U710" s="32"/>
      <c r="V710" s="31"/>
      <c r="W710" s="35" t="str">
        <f aca="true">IF(OR(V710="",AG710&gt;=8),"",IF(V710&lt;TODAY(),"Vencida",IF(V710=TODAY(),"Hoy","")))</f>
        <v/>
      </c>
      <c r="X710" s="36" t="str">
        <f aca="false">IF(A710="","",IF(COUNTIF(Seguimiento!$B$2:$B$5001,A710)=0,"",_xlfn.MAXIFS(Seguimiento!$A$2:$A$5001,Seguimiento!$B$2:$B$5001,A710)))</f>
        <v/>
      </c>
      <c r="Y710" s="37" t="str">
        <f aca="true">IF(B710="","",TODAY()-B710)</f>
        <v/>
      </c>
      <c r="Z710" s="38" t="str">
        <f aca="false">IF(OR(O710="",G710=""),"",O710*IFERROR(INDEX(Listas!$B$2:$B$50,MATCH(G710,Listas!$A$2:$A$50,0)),0))</f>
        <v/>
      </c>
      <c r="AA710" s="32"/>
      <c r="AB710" s="32"/>
      <c r="AC710" s="32"/>
      <c r="AD710" s="35" t="str">
        <f aca="false">IF(OR(LEFT(H710,4)="Meta",LEFT(H710,6)="Google"),IF(AG710=3,"Lead calificado",IF(OR(AG710=4,AG710=5),"Tasación/visita",IF(OR(AG710=6,AG710=7),"Captación/oferta",IF(AG710=8,"Cierre","")))),"")</f>
        <v/>
      </c>
      <c r="AE710" s="32"/>
      <c r="AF710" s="32"/>
      <c r="AG710" s="37" t="n">
        <f aca="false">IF(R710="",0,IFERROR(MATCH(R710,Listas!$L$2:$L$50,0),0))</f>
        <v>0</v>
      </c>
    </row>
    <row r="711" customFormat="false" ht="15" hidden="false" customHeight="false" outlineLevel="0" collapsed="false">
      <c r="A711" s="30"/>
      <c r="B711" s="31"/>
      <c r="C711" s="32"/>
      <c r="D711" s="32"/>
      <c r="E711" s="33"/>
      <c r="F711" s="32"/>
      <c r="G711" s="32"/>
      <c r="H711" s="32"/>
      <c r="I711" s="32"/>
      <c r="J711" s="32"/>
      <c r="K711" s="32"/>
      <c r="L711" s="32"/>
      <c r="M711" s="30"/>
      <c r="N711" s="32"/>
      <c r="O711" s="34"/>
      <c r="P711" s="32"/>
      <c r="Q711" s="32"/>
      <c r="R711" s="32"/>
      <c r="S711" s="32"/>
      <c r="T711" s="32"/>
      <c r="U711" s="32"/>
      <c r="V711" s="31"/>
      <c r="W711" s="35" t="str">
        <f aca="true">IF(OR(V711="",AG711&gt;=8),"",IF(V711&lt;TODAY(),"Vencida",IF(V711=TODAY(),"Hoy","")))</f>
        <v/>
      </c>
      <c r="X711" s="36" t="str">
        <f aca="false">IF(A711="","",IF(COUNTIF(Seguimiento!$B$2:$B$5001,A711)=0,"",_xlfn.MAXIFS(Seguimiento!$A$2:$A$5001,Seguimiento!$B$2:$B$5001,A711)))</f>
        <v/>
      </c>
      <c r="Y711" s="37" t="str">
        <f aca="true">IF(B711="","",TODAY()-B711)</f>
        <v/>
      </c>
      <c r="Z711" s="38" t="str">
        <f aca="false">IF(OR(O711="",G711=""),"",O711*IFERROR(INDEX(Listas!$B$2:$B$50,MATCH(G711,Listas!$A$2:$A$50,0)),0))</f>
        <v/>
      </c>
      <c r="AA711" s="32"/>
      <c r="AB711" s="32"/>
      <c r="AC711" s="32"/>
      <c r="AD711" s="35" t="str">
        <f aca="false">IF(OR(LEFT(H711,4)="Meta",LEFT(H711,6)="Google"),IF(AG711=3,"Lead calificado",IF(OR(AG711=4,AG711=5),"Tasación/visita",IF(OR(AG711=6,AG711=7),"Captación/oferta",IF(AG711=8,"Cierre","")))),"")</f>
        <v/>
      </c>
      <c r="AE711" s="32"/>
      <c r="AF711" s="32"/>
      <c r="AG711" s="37" t="n">
        <f aca="false">IF(R711="",0,IFERROR(MATCH(R711,Listas!$L$2:$L$50,0),0))</f>
        <v>0</v>
      </c>
    </row>
    <row r="712" customFormat="false" ht="15" hidden="false" customHeight="false" outlineLevel="0" collapsed="false">
      <c r="A712" s="30"/>
      <c r="B712" s="31"/>
      <c r="C712" s="32"/>
      <c r="D712" s="32"/>
      <c r="E712" s="33"/>
      <c r="F712" s="32"/>
      <c r="G712" s="32"/>
      <c r="H712" s="32"/>
      <c r="I712" s="32"/>
      <c r="J712" s="32"/>
      <c r="K712" s="32"/>
      <c r="L712" s="32"/>
      <c r="M712" s="30"/>
      <c r="N712" s="32"/>
      <c r="O712" s="34"/>
      <c r="P712" s="32"/>
      <c r="Q712" s="32"/>
      <c r="R712" s="32"/>
      <c r="S712" s="32"/>
      <c r="T712" s="32"/>
      <c r="U712" s="32"/>
      <c r="V712" s="31"/>
      <c r="W712" s="35" t="str">
        <f aca="true">IF(OR(V712="",AG712&gt;=8),"",IF(V712&lt;TODAY(),"Vencida",IF(V712=TODAY(),"Hoy","")))</f>
        <v/>
      </c>
      <c r="X712" s="36" t="str">
        <f aca="false">IF(A712="","",IF(COUNTIF(Seguimiento!$B$2:$B$5001,A712)=0,"",_xlfn.MAXIFS(Seguimiento!$A$2:$A$5001,Seguimiento!$B$2:$B$5001,A712)))</f>
        <v/>
      </c>
      <c r="Y712" s="37" t="str">
        <f aca="true">IF(B712="","",TODAY()-B712)</f>
        <v/>
      </c>
      <c r="Z712" s="38" t="str">
        <f aca="false">IF(OR(O712="",G712=""),"",O712*IFERROR(INDEX(Listas!$B$2:$B$50,MATCH(G712,Listas!$A$2:$A$50,0)),0))</f>
        <v/>
      </c>
      <c r="AA712" s="32"/>
      <c r="AB712" s="32"/>
      <c r="AC712" s="32"/>
      <c r="AD712" s="35" t="str">
        <f aca="false">IF(OR(LEFT(H712,4)="Meta",LEFT(H712,6)="Google"),IF(AG712=3,"Lead calificado",IF(OR(AG712=4,AG712=5),"Tasación/visita",IF(OR(AG712=6,AG712=7),"Captación/oferta",IF(AG712=8,"Cierre","")))),"")</f>
        <v/>
      </c>
      <c r="AE712" s="32"/>
      <c r="AF712" s="32"/>
      <c r="AG712" s="37" t="n">
        <f aca="false">IF(R712="",0,IFERROR(MATCH(R712,Listas!$L$2:$L$50,0),0))</f>
        <v>0</v>
      </c>
    </row>
    <row r="713" customFormat="false" ht="15" hidden="false" customHeight="false" outlineLevel="0" collapsed="false">
      <c r="A713" s="30"/>
      <c r="B713" s="31"/>
      <c r="C713" s="32"/>
      <c r="D713" s="32"/>
      <c r="E713" s="33"/>
      <c r="F713" s="32"/>
      <c r="G713" s="32"/>
      <c r="H713" s="32"/>
      <c r="I713" s="32"/>
      <c r="J713" s="32"/>
      <c r="K713" s="32"/>
      <c r="L713" s="32"/>
      <c r="M713" s="30"/>
      <c r="N713" s="32"/>
      <c r="O713" s="34"/>
      <c r="P713" s="32"/>
      <c r="Q713" s="32"/>
      <c r="R713" s="32"/>
      <c r="S713" s="32"/>
      <c r="T713" s="32"/>
      <c r="U713" s="32"/>
      <c r="V713" s="31"/>
      <c r="W713" s="35" t="str">
        <f aca="true">IF(OR(V713="",AG713&gt;=8),"",IF(V713&lt;TODAY(),"Vencida",IF(V713=TODAY(),"Hoy","")))</f>
        <v/>
      </c>
      <c r="X713" s="36" t="str">
        <f aca="false">IF(A713="","",IF(COUNTIF(Seguimiento!$B$2:$B$5001,A713)=0,"",_xlfn.MAXIFS(Seguimiento!$A$2:$A$5001,Seguimiento!$B$2:$B$5001,A713)))</f>
        <v/>
      </c>
      <c r="Y713" s="37" t="str">
        <f aca="true">IF(B713="","",TODAY()-B713)</f>
        <v/>
      </c>
      <c r="Z713" s="38" t="str">
        <f aca="false">IF(OR(O713="",G713=""),"",O713*IFERROR(INDEX(Listas!$B$2:$B$50,MATCH(G713,Listas!$A$2:$A$50,0)),0))</f>
        <v/>
      </c>
      <c r="AA713" s="32"/>
      <c r="AB713" s="32"/>
      <c r="AC713" s="32"/>
      <c r="AD713" s="35" t="str">
        <f aca="false">IF(OR(LEFT(H713,4)="Meta",LEFT(H713,6)="Google"),IF(AG713=3,"Lead calificado",IF(OR(AG713=4,AG713=5),"Tasación/visita",IF(OR(AG713=6,AG713=7),"Captación/oferta",IF(AG713=8,"Cierre","")))),"")</f>
        <v/>
      </c>
      <c r="AE713" s="32"/>
      <c r="AF713" s="32"/>
      <c r="AG713" s="37" t="n">
        <f aca="false">IF(R713="",0,IFERROR(MATCH(R713,Listas!$L$2:$L$50,0),0))</f>
        <v>0</v>
      </c>
    </row>
    <row r="714" customFormat="false" ht="15" hidden="false" customHeight="false" outlineLevel="0" collapsed="false">
      <c r="A714" s="30"/>
      <c r="B714" s="31"/>
      <c r="C714" s="32"/>
      <c r="D714" s="32"/>
      <c r="E714" s="33"/>
      <c r="F714" s="32"/>
      <c r="G714" s="32"/>
      <c r="H714" s="32"/>
      <c r="I714" s="32"/>
      <c r="J714" s="32"/>
      <c r="K714" s="32"/>
      <c r="L714" s="32"/>
      <c r="M714" s="30"/>
      <c r="N714" s="32"/>
      <c r="O714" s="34"/>
      <c r="P714" s="32"/>
      <c r="Q714" s="32"/>
      <c r="R714" s="32"/>
      <c r="S714" s="32"/>
      <c r="T714" s="32"/>
      <c r="U714" s="32"/>
      <c r="V714" s="31"/>
      <c r="W714" s="35" t="str">
        <f aca="true">IF(OR(V714="",AG714&gt;=8),"",IF(V714&lt;TODAY(),"Vencida",IF(V714=TODAY(),"Hoy","")))</f>
        <v/>
      </c>
      <c r="X714" s="36" t="str">
        <f aca="false">IF(A714="","",IF(COUNTIF(Seguimiento!$B$2:$B$5001,A714)=0,"",_xlfn.MAXIFS(Seguimiento!$A$2:$A$5001,Seguimiento!$B$2:$B$5001,A714)))</f>
        <v/>
      </c>
      <c r="Y714" s="37" t="str">
        <f aca="true">IF(B714="","",TODAY()-B714)</f>
        <v/>
      </c>
      <c r="Z714" s="38" t="str">
        <f aca="false">IF(OR(O714="",G714=""),"",O714*IFERROR(INDEX(Listas!$B$2:$B$50,MATCH(G714,Listas!$A$2:$A$50,0)),0))</f>
        <v/>
      </c>
      <c r="AA714" s="32"/>
      <c r="AB714" s="32"/>
      <c r="AC714" s="32"/>
      <c r="AD714" s="35" t="str">
        <f aca="false">IF(OR(LEFT(H714,4)="Meta",LEFT(H714,6)="Google"),IF(AG714=3,"Lead calificado",IF(OR(AG714=4,AG714=5),"Tasación/visita",IF(OR(AG714=6,AG714=7),"Captación/oferta",IF(AG714=8,"Cierre","")))),"")</f>
        <v/>
      </c>
      <c r="AE714" s="32"/>
      <c r="AF714" s="32"/>
      <c r="AG714" s="37" t="n">
        <f aca="false">IF(R714="",0,IFERROR(MATCH(R714,Listas!$L$2:$L$50,0),0))</f>
        <v>0</v>
      </c>
    </row>
    <row r="715" customFormat="false" ht="15" hidden="false" customHeight="false" outlineLevel="0" collapsed="false">
      <c r="A715" s="30"/>
      <c r="B715" s="31"/>
      <c r="C715" s="32"/>
      <c r="D715" s="32"/>
      <c r="E715" s="33"/>
      <c r="F715" s="32"/>
      <c r="G715" s="32"/>
      <c r="H715" s="32"/>
      <c r="I715" s="32"/>
      <c r="J715" s="32"/>
      <c r="K715" s="32"/>
      <c r="L715" s="32"/>
      <c r="M715" s="30"/>
      <c r="N715" s="32"/>
      <c r="O715" s="34"/>
      <c r="P715" s="32"/>
      <c r="Q715" s="32"/>
      <c r="R715" s="32"/>
      <c r="S715" s="32"/>
      <c r="T715" s="32"/>
      <c r="U715" s="32"/>
      <c r="V715" s="31"/>
      <c r="W715" s="35" t="str">
        <f aca="true">IF(OR(V715="",AG715&gt;=8),"",IF(V715&lt;TODAY(),"Vencida",IF(V715=TODAY(),"Hoy","")))</f>
        <v/>
      </c>
      <c r="X715" s="36" t="str">
        <f aca="false">IF(A715="","",IF(COUNTIF(Seguimiento!$B$2:$B$5001,A715)=0,"",_xlfn.MAXIFS(Seguimiento!$A$2:$A$5001,Seguimiento!$B$2:$B$5001,A715)))</f>
        <v/>
      </c>
      <c r="Y715" s="37" t="str">
        <f aca="true">IF(B715="","",TODAY()-B715)</f>
        <v/>
      </c>
      <c r="Z715" s="38" t="str">
        <f aca="false">IF(OR(O715="",G715=""),"",O715*IFERROR(INDEX(Listas!$B$2:$B$50,MATCH(G715,Listas!$A$2:$A$50,0)),0))</f>
        <v/>
      </c>
      <c r="AA715" s="32"/>
      <c r="AB715" s="32"/>
      <c r="AC715" s="32"/>
      <c r="AD715" s="35" t="str">
        <f aca="false">IF(OR(LEFT(H715,4)="Meta",LEFT(H715,6)="Google"),IF(AG715=3,"Lead calificado",IF(OR(AG715=4,AG715=5),"Tasación/visita",IF(OR(AG715=6,AG715=7),"Captación/oferta",IF(AG715=8,"Cierre","")))),"")</f>
        <v/>
      </c>
      <c r="AE715" s="32"/>
      <c r="AF715" s="32"/>
      <c r="AG715" s="37" t="n">
        <f aca="false">IF(R715="",0,IFERROR(MATCH(R715,Listas!$L$2:$L$50,0),0))</f>
        <v>0</v>
      </c>
    </row>
    <row r="716" customFormat="false" ht="15" hidden="false" customHeight="false" outlineLevel="0" collapsed="false">
      <c r="A716" s="30"/>
      <c r="B716" s="31"/>
      <c r="C716" s="32"/>
      <c r="D716" s="32"/>
      <c r="E716" s="33"/>
      <c r="F716" s="32"/>
      <c r="G716" s="32"/>
      <c r="H716" s="32"/>
      <c r="I716" s="32"/>
      <c r="J716" s="32"/>
      <c r="K716" s="32"/>
      <c r="L716" s="32"/>
      <c r="M716" s="30"/>
      <c r="N716" s="32"/>
      <c r="O716" s="34"/>
      <c r="P716" s="32"/>
      <c r="Q716" s="32"/>
      <c r="R716" s="32"/>
      <c r="S716" s="32"/>
      <c r="T716" s="32"/>
      <c r="U716" s="32"/>
      <c r="V716" s="31"/>
      <c r="W716" s="35" t="str">
        <f aca="true">IF(OR(V716="",AG716&gt;=8),"",IF(V716&lt;TODAY(),"Vencida",IF(V716=TODAY(),"Hoy","")))</f>
        <v/>
      </c>
      <c r="X716" s="36" t="str">
        <f aca="false">IF(A716="","",IF(COUNTIF(Seguimiento!$B$2:$B$5001,A716)=0,"",_xlfn.MAXIFS(Seguimiento!$A$2:$A$5001,Seguimiento!$B$2:$B$5001,A716)))</f>
        <v/>
      </c>
      <c r="Y716" s="37" t="str">
        <f aca="true">IF(B716="","",TODAY()-B716)</f>
        <v/>
      </c>
      <c r="Z716" s="38" t="str">
        <f aca="false">IF(OR(O716="",G716=""),"",O716*IFERROR(INDEX(Listas!$B$2:$B$50,MATCH(G716,Listas!$A$2:$A$50,0)),0))</f>
        <v/>
      </c>
      <c r="AA716" s="32"/>
      <c r="AB716" s="32"/>
      <c r="AC716" s="32"/>
      <c r="AD716" s="35" t="str">
        <f aca="false">IF(OR(LEFT(H716,4)="Meta",LEFT(H716,6)="Google"),IF(AG716=3,"Lead calificado",IF(OR(AG716=4,AG716=5),"Tasación/visita",IF(OR(AG716=6,AG716=7),"Captación/oferta",IF(AG716=8,"Cierre","")))),"")</f>
        <v/>
      </c>
      <c r="AE716" s="32"/>
      <c r="AF716" s="32"/>
      <c r="AG716" s="37" t="n">
        <f aca="false">IF(R716="",0,IFERROR(MATCH(R716,Listas!$L$2:$L$50,0),0))</f>
        <v>0</v>
      </c>
    </row>
    <row r="717" customFormat="false" ht="15" hidden="false" customHeight="false" outlineLevel="0" collapsed="false">
      <c r="A717" s="30"/>
      <c r="B717" s="31"/>
      <c r="C717" s="32"/>
      <c r="D717" s="32"/>
      <c r="E717" s="33"/>
      <c r="F717" s="32"/>
      <c r="G717" s="32"/>
      <c r="H717" s="32"/>
      <c r="I717" s="32"/>
      <c r="J717" s="32"/>
      <c r="K717" s="32"/>
      <c r="L717" s="32"/>
      <c r="M717" s="30"/>
      <c r="N717" s="32"/>
      <c r="O717" s="34"/>
      <c r="P717" s="32"/>
      <c r="Q717" s="32"/>
      <c r="R717" s="32"/>
      <c r="S717" s="32"/>
      <c r="T717" s="32"/>
      <c r="U717" s="32"/>
      <c r="V717" s="31"/>
      <c r="W717" s="35" t="str">
        <f aca="true">IF(OR(V717="",AG717&gt;=8),"",IF(V717&lt;TODAY(),"Vencida",IF(V717=TODAY(),"Hoy","")))</f>
        <v/>
      </c>
      <c r="X717" s="36" t="str">
        <f aca="false">IF(A717="","",IF(COUNTIF(Seguimiento!$B$2:$B$5001,A717)=0,"",_xlfn.MAXIFS(Seguimiento!$A$2:$A$5001,Seguimiento!$B$2:$B$5001,A717)))</f>
        <v/>
      </c>
      <c r="Y717" s="37" t="str">
        <f aca="true">IF(B717="","",TODAY()-B717)</f>
        <v/>
      </c>
      <c r="Z717" s="38" t="str">
        <f aca="false">IF(OR(O717="",G717=""),"",O717*IFERROR(INDEX(Listas!$B$2:$B$50,MATCH(G717,Listas!$A$2:$A$50,0)),0))</f>
        <v/>
      </c>
      <c r="AA717" s="32"/>
      <c r="AB717" s="32"/>
      <c r="AC717" s="32"/>
      <c r="AD717" s="35" t="str">
        <f aca="false">IF(OR(LEFT(H717,4)="Meta",LEFT(H717,6)="Google"),IF(AG717=3,"Lead calificado",IF(OR(AG717=4,AG717=5),"Tasación/visita",IF(OR(AG717=6,AG717=7),"Captación/oferta",IF(AG717=8,"Cierre","")))),"")</f>
        <v/>
      </c>
      <c r="AE717" s="32"/>
      <c r="AF717" s="32"/>
      <c r="AG717" s="37" t="n">
        <f aca="false">IF(R717="",0,IFERROR(MATCH(R717,Listas!$L$2:$L$50,0),0))</f>
        <v>0</v>
      </c>
    </row>
    <row r="718" customFormat="false" ht="15" hidden="false" customHeight="false" outlineLevel="0" collapsed="false">
      <c r="A718" s="30"/>
      <c r="B718" s="31"/>
      <c r="C718" s="32"/>
      <c r="D718" s="32"/>
      <c r="E718" s="33"/>
      <c r="F718" s="32"/>
      <c r="G718" s="32"/>
      <c r="H718" s="32"/>
      <c r="I718" s="32"/>
      <c r="J718" s="32"/>
      <c r="K718" s="32"/>
      <c r="L718" s="32"/>
      <c r="M718" s="30"/>
      <c r="N718" s="32"/>
      <c r="O718" s="34"/>
      <c r="P718" s="32"/>
      <c r="Q718" s="32"/>
      <c r="R718" s="32"/>
      <c r="S718" s="32"/>
      <c r="T718" s="32"/>
      <c r="U718" s="32"/>
      <c r="V718" s="31"/>
      <c r="W718" s="35" t="str">
        <f aca="true">IF(OR(V718="",AG718&gt;=8),"",IF(V718&lt;TODAY(),"Vencida",IF(V718=TODAY(),"Hoy","")))</f>
        <v/>
      </c>
      <c r="X718" s="36" t="str">
        <f aca="false">IF(A718="","",IF(COUNTIF(Seguimiento!$B$2:$B$5001,A718)=0,"",_xlfn.MAXIFS(Seguimiento!$A$2:$A$5001,Seguimiento!$B$2:$B$5001,A718)))</f>
        <v/>
      </c>
      <c r="Y718" s="37" t="str">
        <f aca="true">IF(B718="","",TODAY()-B718)</f>
        <v/>
      </c>
      <c r="Z718" s="38" t="str">
        <f aca="false">IF(OR(O718="",G718=""),"",O718*IFERROR(INDEX(Listas!$B$2:$B$50,MATCH(G718,Listas!$A$2:$A$50,0)),0))</f>
        <v/>
      </c>
      <c r="AA718" s="32"/>
      <c r="AB718" s="32"/>
      <c r="AC718" s="32"/>
      <c r="AD718" s="35" t="str">
        <f aca="false">IF(OR(LEFT(H718,4)="Meta",LEFT(H718,6)="Google"),IF(AG718=3,"Lead calificado",IF(OR(AG718=4,AG718=5),"Tasación/visita",IF(OR(AG718=6,AG718=7),"Captación/oferta",IF(AG718=8,"Cierre","")))),"")</f>
        <v/>
      </c>
      <c r="AE718" s="32"/>
      <c r="AF718" s="32"/>
      <c r="AG718" s="37" t="n">
        <f aca="false">IF(R718="",0,IFERROR(MATCH(R718,Listas!$L$2:$L$50,0),0))</f>
        <v>0</v>
      </c>
    </row>
    <row r="719" customFormat="false" ht="15" hidden="false" customHeight="false" outlineLevel="0" collapsed="false">
      <c r="A719" s="30"/>
      <c r="B719" s="31"/>
      <c r="C719" s="32"/>
      <c r="D719" s="32"/>
      <c r="E719" s="33"/>
      <c r="F719" s="32"/>
      <c r="G719" s="32"/>
      <c r="H719" s="32"/>
      <c r="I719" s="32"/>
      <c r="J719" s="32"/>
      <c r="K719" s="32"/>
      <c r="L719" s="32"/>
      <c r="M719" s="30"/>
      <c r="N719" s="32"/>
      <c r="O719" s="34"/>
      <c r="P719" s="32"/>
      <c r="Q719" s="32"/>
      <c r="R719" s="32"/>
      <c r="S719" s="32"/>
      <c r="T719" s="32"/>
      <c r="U719" s="32"/>
      <c r="V719" s="31"/>
      <c r="W719" s="35" t="str">
        <f aca="true">IF(OR(V719="",AG719&gt;=8),"",IF(V719&lt;TODAY(),"Vencida",IF(V719=TODAY(),"Hoy","")))</f>
        <v/>
      </c>
      <c r="X719" s="36" t="str">
        <f aca="false">IF(A719="","",IF(COUNTIF(Seguimiento!$B$2:$B$5001,A719)=0,"",_xlfn.MAXIFS(Seguimiento!$A$2:$A$5001,Seguimiento!$B$2:$B$5001,A719)))</f>
        <v/>
      </c>
      <c r="Y719" s="37" t="str">
        <f aca="true">IF(B719="","",TODAY()-B719)</f>
        <v/>
      </c>
      <c r="Z719" s="38" t="str">
        <f aca="false">IF(OR(O719="",G719=""),"",O719*IFERROR(INDEX(Listas!$B$2:$B$50,MATCH(G719,Listas!$A$2:$A$50,0)),0))</f>
        <v/>
      </c>
      <c r="AA719" s="32"/>
      <c r="AB719" s="32"/>
      <c r="AC719" s="32"/>
      <c r="AD719" s="35" t="str">
        <f aca="false">IF(OR(LEFT(H719,4)="Meta",LEFT(H719,6)="Google"),IF(AG719=3,"Lead calificado",IF(OR(AG719=4,AG719=5),"Tasación/visita",IF(OR(AG719=6,AG719=7),"Captación/oferta",IF(AG719=8,"Cierre","")))),"")</f>
        <v/>
      </c>
      <c r="AE719" s="32"/>
      <c r="AF719" s="32"/>
      <c r="AG719" s="37" t="n">
        <f aca="false">IF(R719="",0,IFERROR(MATCH(R719,Listas!$L$2:$L$50,0),0))</f>
        <v>0</v>
      </c>
    </row>
    <row r="720" customFormat="false" ht="15" hidden="false" customHeight="false" outlineLevel="0" collapsed="false">
      <c r="A720" s="30"/>
      <c r="B720" s="31"/>
      <c r="C720" s="32"/>
      <c r="D720" s="32"/>
      <c r="E720" s="33"/>
      <c r="F720" s="32"/>
      <c r="G720" s="32"/>
      <c r="H720" s="32"/>
      <c r="I720" s="32"/>
      <c r="J720" s="32"/>
      <c r="K720" s="32"/>
      <c r="L720" s="32"/>
      <c r="M720" s="30"/>
      <c r="N720" s="32"/>
      <c r="O720" s="34"/>
      <c r="P720" s="32"/>
      <c r="Q720" s="32"/>
      <c r="R720" s="32"/>
      <c r="S720" s="32"/>
      <c r="T720" s="32"/>
      <c r="U720" s="32"/>
      <c r="V720" s="31"/>
      <c r="W720" s="35" t="str">
        <f aca="true">IF(OR(V720="",AG720&gt;=8),"",IF(V720&lt;TODAY(),"Vencida",IF(V720=TODAY(),"Hoy","")))</f>
        <v/>
      </c>
      <c r="X720" s="36" t="str">
        <f aca="false">IF(A720="","",IF(COUNTIF(Seguimiento!$B$2:$B$5001,A720)=0,"",_xlfn.MAXIFS(Seguimiento!$A$2:$A$5001,Seguimiento!$B$2:$B$5001,A720)))</f>
        <v/>
      </c>
      <c r="Y720" s="37" t="str">
        <f aca="true">IF(B720="","",TODAY()-B720)</f>
        <v/>
      </c>
      <c r="Z720" s="38" t="str">
        <f aca="false">IF(OR(O720="",G720=""),"",O720*IFERROR(INDEX(Listas!$B$2:$B$50,MATCH(G720,Listas!$A$2:$A$50,0)),0))</f>
        <v/>
      </c>
      <c r="AA720" s="32"/>
      <c r="AB720" s="32"/>
      <c r="AC720" s="32"/>
      <c r="AD720" s="35" t="str">
        <f aca="false">IF(OR(LEFT(H720,4)="Meta",LEFT(H720,6)="Google"),IF(AG720=3,"Lead calificado",IF(OR(AG720=4,AG720=5),"Tasación/visita",IF(OR(AG720=6,AG720=7),"Captación/oferta",IF(AG720=8,"Cierre","")))),"")</f>
        <v/>
      </c>
      <c r="AE720" s="32"/>
      <c r="AF720" s="32"/>
      <c r="AG720" s="37" t="n">
        <f aca="false">IF(R720="",0,IFERROR(MATCH(R720,Listas!$L$2:$L$50,0),0))</f>
        <v>0</v>
      </c>
    </row>
    <row r="721" customFormat="false" ht="15" hidden="false" customHeight="false" outlineLevel="0" collapsed="false">
      <c r="A721" s="30"/>
      <c r="B721" s="31"/>
      <c r="C721" s="32"/>
      <c r="D721" s="32"/>
      <c r="E721" s="33"/>
      <c r="F721" s="32"/>
      <c r="G721" s="32"/>
      <c r="H721" s="32"/>
      <c r="I721" s="32"/>
      <c r="J721" s="32"/>
      <c r="K721" s="32"/>
      <c r="L721" s="32"/>
      <c r="M721" s="30"/>
      <c r="N721" s="32"/>
      <c r="O721" s="34"/>
      <c r="P721" s="32"/>
      <c r="Q721" s="32"/>
      <c r="R721" s="32"/>
      <c r="S721" s="32"/>
      <c r="T721" s="32"/>
      <c r="U721" s="32"/>
      <c r="V721" s="31"/>
      <c r="W721" s="35" t="str">
        <f aca="true">IF(OR(V721="",AG721&gt;=8),"",IF(V721&lt;TODAY(),"Vencida",IF(V721=TODAY(),"Hoy","")))</f>
        <v/>
      </c>
      <c r="X721" s="36" t="str">
        <f aca="false">IF(A721="","",IF(COUNTIF(Seguimiento!$B$2:$B$5001,A721)=0,"",_xlfn.MAXIFS(Seguimiento!$A$2:$A$5001,Seguimiento!$B$2:$B$5001,A721)))</f>
        <v/>
      </c>
      <c r="Y721" s="37" t="str">
        <f aca="true">IF(B721="","",TODAY()-B721)</f>
        <v/>
      </c>
      <c r="Z721" s="38" t="str">
        <f aca="false">IF(OR(O721="",G721=""),"",O721*IFERROR(INDEX(Listas!$B$2:$B$50,MATCH(G721,Listas!$A$2:$A$50,0)),0))</f>
        <v/>
      </c>
      <c r="AA721" s="32"/>
      <c r="AB721" s="32"/>
      <c r="AC721" s="32"/>
      <c r="AD721" s="35" t="str">
        <f aca="false">IF(OR(LEFT(H721,4)="Meta",LEFT(H721,6)="Google"),IF(AG721=3,"Lead calificado",IF(OR(AG721=4,AG721=5),"Tasación/visita",IF(OR(AG721=6,AG721=7),"Captación/oferta",IF(AG721=8,"Cierre","")))),"")</f>
        <v/>
      </c>
      <c r="AE721" s="32"/>
      <c r="AF721" s="32"/>
      <c r="AG721" s="37" t="n">
        <f aca="false">IF(R721="",0,IFERROR(MATCH(R721,Listas!$L$2:$L$50,0),0))</f>
        <v>0</v>
      </c>
    </row>
    <row r="722" customFormat="false" ht="15" hidden="false" customHeight="false" outlineLevel="0" collapsed="false">
      <c r="A722" s="30"/>
      <c r="B722" s="31"/>
      <c r="C722" s="32"/>
      <c r="D722" s="32"/>
      <c r="E722" s="33"/>
      <c r="F722" s="32"/>
      <c r="G722" s="32"/>
      <c r="H722" s="32"/>
      <c r="I722" s="32"/>
      <c r="J722" s="32"/>
      <c r="K722" s="32"/>
      <c r="L722" s="32"/>
      <c r="M722" s="30"/>
      <c r="N722" s="32"/>
      <c r="O722" s="34"/>
      <c r="P722" s="32"/>
      <c r="Q722" s="32"/>
      <c r="R722" s="32"/>
      <c r="S722" s="32"/>
      <c r="T722" s="32"/>
      <c r="U722" s="32"/>
      <c r="V722" s="31"/>
      <c r="W722" s="35" t="str">
        <f aca="true">IF(OR(V722="",AG722&gt;=8),"",IF(V722&lt;TODAY(),"Vencida",IF(V722=TODAY(),"Hoy","")))</f>
        <v/>
      </c>
      <c r="X722" s="36" t="str">
        <f aca="false">IF(A722="","",IF(COUNTIF(Seguimiento!$B$2:$B$5001,A722)=0,"",_xlfn.MAXIFS(Seguimiento!$A$2:$A$5001,Seguimiento!$B$2:$B$5001,A722)))</f>
        <v/>
      </c>
      <c r="Y722" s="37" t="str">
        <f aca="true">IF(B722="","",TODAY()-B722)</f>
        <v/>
      </c>
      <c r="Z722" s="38" t="str">
        <f aca="false">IF(OR(O722="",G722=""),"",O722*IFERROR(INDEX(Listas!$B$2:$B$50,MATCH(G722,Listas!$A$2:$A$50,0)),0))</f>
        <v/>
      </c>
      <c r="AA722" s="32"/>
      <c r="AB722" s="32"/>
      <c r="AC722" s="32"/>
      <c r="AD722" s="35" t="str">
        <f aca="false">IF(OR(LEFT(H722,4)="Meta",LEFT(H722,6)="Google"),IF(AG722=3,"Lead calificado",IF(OR(AG722=4,AG722=5),"Tasación/visita",IF(OR(AG722=6,AG722=7),"Captación/oferta",IF(AG722=8,"Cierre","")))),"")</f>
        <v/>
      </c>
      <c r="AE722" s="32"/>
      <c r="AF722" s="32"/>
      <c r="AG722" s="37" t="n">
        <f aca="false">IF(R722="",0,IFERROR(MATCH(R722,Listas!$L$2:$L$50,0),0))</f>
        <v>0</v>
      </c>
    </row>
    <row r="723" customFormat="false" ht="15" hidden="false" customHeight="false" outlineLevel="0" collapsed="false">
      <c r="A723" s="30"/>
      <c r="B723" s="31"/>
      <c r="C723" s="32"/>
      <c r="D723" s="32"/>
      <c r="E723" s="33"/>
      <c r="F723" s="32"/>
      <c r="G723" s="32"/>
      <c r="H723" s="32"/>
      <c r="I723" s="32"/>
      <c r="J723" s="32"/>
      <c r="K723" s="32"/>
      <c r="L723" s="32"/>
      <c r="M723" s="30"/>
      <c r="N723" s="32"/>
      <c r="O723" s="34"/>
      <c r="P723" s="32"/>
      <c r="Q723" s="32"/>
      <c r="R723" s="32"/>
      <c r="S723" s="32"/>
      <c r="T723" s="32"/>
      <c r="U723" s="32"/>
      <c r="V723" s="31"/>
      <c r="W723" s="35" t="str">
        <f aca="true">IF(OR(V723="",AG723&gt;=8),"",IF(V723&lt;TODAY(),"Vencida",IF(V723=TODAY(),"Hoy","")))</f>
        <v/>
      </c>
      <c r="X723" s="36" t="str">
        <f aca="false">IF(A723="","",IF(COUNTIF(Seguimiento!$B$2:$B$5001,A723)=0,"",_xlfn.MAXIFS(Seguimiento!$A$2:$A$5001,Seguimiento!$B$2:$B$5001,A723)))</f>
        <v/>
      </c>
      <c r="Y723" s="37" t="str">
        <f aca="true">IF(B723="","",TODAY()-B723)</f>
        <v/>
      </c>
      <c r="Z723" s="38" t="str">
        <f aca="false">IF(OR(O723="",G723=""),"",O723*IFERROR(INDEX(Listas!$B$2:$B$50,MATCH(G723,Listas!$A$2:$A$50,0)),0))</f>
        <v/>
      </c>
      <c r="AA723" s="32"/>
      <c r="AB723" s="32"/>
      <c r="AC723" s="32"/>
      <c r="AD723" s="35" t="str">
        <f aca="false">IF(OR(LEFT(H723,4)="Meta",LEFT(H723,6)="Google"),IF(AG723=3,"Lead calificado",IF(OR(AG723=4,AG723=5),"Tasación/visita",IF(OR(AG723=6,AG723=7),"Captación/oferta",IF(AG723=8,"Cierre","")))),"")</f>
        <v/>
      </c>
      <c r="AE723" s="32"/>
      <c r="AF723" s="32"/>
      <c r="AG723" s="37" t="n">
        <f aca="false">IF(R723="",0,IFERROR(MATCH(R723,Listas!$L$2:$L$50,0),0))</f>
        <v>0</v>
      </c>
    </row>
    <row r="724" customFormat="false" ht="15" hidden="false" customHeight="false" outlineLevel="0" collapsed="false">
      <c r="A724" s="30"/>
      <c r="B724" s="31"/>
      <c r="C724" s="32"/>
      <c r="D724" s="32"/>
      <c r="E724" s="33"/>
      <c r="F724" s="32"/>
      <c r="G724" s="32"/>
      <c r="H724" s="32"/>
      <c r="I724" s="32"/>
      <c r="J724" s="32"/>
      <c r="K724" s="32"/>
      <c r="L724" s="32"/>
      <c r="M724" s="30"/>
      <c r="N724" s="32"/>
      <c r="O724" s="34"/>
      <c r="P724" s="32"/>
      <c r="Q724" s="32"/>
      <c r="R724" s="32"/>
      <c r="S724" s="32"/>
      <c r="T724" s="32"/>
      <c r="U724" s="32"/>
      <c r="V724" s="31"/>
      <c r="W724" s="35" t="str">
        <f aca="true">IF(OR(V724="",AG724&gt;=8),"",IF(V724&lt;TODAY(),"Vencida",IF(V724=TODAY(),"Hoy","")))</f>
        <v/>
      </c>
      <c r="X724" s="36" t="str">
        <f aca="false">IF(A724="","",IF(COUNTIF(Seguimiento!$B$2:$B$5001,A724)=0,"",_xlfn.MAXIFS(Seguimiento!$A$2:$A$5001,Seguimiento!$B$2:$B$5001,A724)))</f>
        <v/>
      </c>
      <c r="Y724" s="37" t="str">
        <f aca="true">IF(B724="","",TODAY()-B724)</f>
        <v/>
      </c>
      <c r="Z724" s="38" t="str">
        <f aca="false">IF(OR(O724="",G724=""),"",O724*IFERROR(INDEX(Listas!$B$2:$B$50,MATCH(G724,Listas!$A$2:$A$50,0)),0))</f>
        <v/>
      </c>
      <c r="AA724" s="32"/>
      <c r="AB724" s="32"/>
      <c r="AC724" s="32"/>
      <c r="AD724" s="35" t="str">
        <f aca="false">IF(OR(LEFT(H724,4)="Meta",LEFT(H724,6)="Google"),IF(AG724=3,"Lead calificado",IF(OR(AG724=4,AG724=5),"Tasación/visita",IF(OR(AG724=6,AG724=7),"Captación/oferta",IF(AG724=8,"Cierre","")))),"")</f>
        <v/>
      </c>
      <c r="AE724" s="32"/>
      <c r="AF724" s="32"/>
      <c r="AG724" s="37" t="n">
        <f aca="false">IF(R724="",0,IFERROR(MATCH(R724,Listas!$L$2:$L$50,0),0))</f>
        <v>0</v>
      </c>
    </row>
    <row r="725" customFormat="false" ht="15" hidden="false" customHeight="false" outlineLevel="0" collapsed="false">
      <c r="A725" s="30"/>
      <c r="B725" s="31"/>
      <c r="C725" s="32"/>
      <c r="D725" s="32"/>
      <c r="E725" s="33"/>
      <c r="F725" s="32"/>
      <c r="G725" s="32"/>
      <c r="H725" s="32"/>
      <c r="I725" s="32"/>
      <c r="J725" s="32"/>
      <c r="K725" s="32"/>
      <c r="L725" s="32"/>
      <c r="M725" s="30"/>
      <c r="N725" s="32"/>
      <c r="O725" s="34"/>
      <c r="P725" s="32"/>
      <c r="Q725" s="32"/>
      <c r="R725" s="32"/>
      <c r="S725" s="32"/>
      <c r="T725" s="32"/>
      <c r="U725" s="32"/>
      <c r="V725" s="31"/>
      <c r="W725" s="35" t="str">
        <f aca="true">IF(OR(V725="",AG725&gt;=8),"",IF(V725&lt;TODAY(),"Vencida",IF(V725=TODAY(),"Hoy","")))</f>
        <v/>
      </c>
      <c r="X725" s="36" t="str">
        <f aca="false">IF(A725="","",IF(COUNTIF(Seguimiento!$B$2:$B$5001,A725)=0,"",_xlfn.MAXIFS(Seguimiento!$A$2:$A$5001,Seguimiento!$B$2:$B$5001,A725)))</f>
        <v/>
      </c>
      <c r="Y725" s="37" t="str">
        <f aca="true">IF(B725="","",TODAY()-B725)</f>
        <v/>
      </c>
      <c r="Z725" s="38" t="str">
        <f aca="false">IF(OR(O725="",G725=""),"",O725*IFERROR(INDEX(Listas!$B$2:$B$50,MATCH(G725,Listas!$A$2:$A$50,0)),0))</f>
        <v/>
      </c>
      <c r="AA725" s="32"/>
      <c r="AB725" s="32"/>
      <c r="AC725" s="32"/>
      <c r="AD725" s="35" t="str">
        <f aca="false">IF(OR(LEFT(H725,4)="Meta",LEFT(H725,6)="Google"),IF(AG725=3,"Lead calificado",IF(OR(AG725=4,AG725=5),"Tasación/visita",IF(OR(AG725=6,AG725=7),"Captación/oferta",IF(AG725=8,"Cierre","")))),"")</f>
        <v/>
      </c>
      <c r="AE725" s="32"/>
      <c r="AF725" s="32"/>
      <c r="AG725" s="37" t="n">
        <f aca="false">IF(R725="",0,IFERROR(MATCH(R725,Listas!$L$2:$L$50,0),0))</f>
        <v>0</v>
      </c>
    </row>
    <row r="726" customFormat="false" ht="15" hidden="false" customHeight="false" outlineLevel="0" collapsed="false">
      <c r="A726" s="30"/>
      <c r="B726" s="31"/>
      <c r="C726" s="32"/>
      <c r="D726" s="32"/>
      <c r="E726" s="33"/>
      <c r="F726" s="32"/>
      <c r="G726" s="32"/>
      <c r="H726" s="32"/>
      <c r="I726" s="32"/>
      <c r="J726" s="32"/>
      <c r="K726" s="32"/>
      <c r="L726" s="32"/>
      <c r="M726" s="30"/>
      <c r="N726" s="32"/>
      <c r="O726" s="34"/>
      <c r="P726" s="32"/>
      <c r="Q726" s="32"/>
      <c r="R726" s="32"/>
      <c r="S726" s="32"/>
      <c r="T726" s="32"/>
      <c r="U726" s="32"/>
      <c r="V726" s="31"/>
      <c r="W726" s="35" t="str">
        <f aca="true">IF(OR(V726="",AG726&gt;=8),"",IF(V726&lt;TODAY(),"Vencida",IF(V726=TODAY(),"Hoy","")))</f>
        <v/>
      </c>
      <c r="X726" s="36" t="str">
        <f aca="false">IF(A726="","",IF(COUNTIF(Seguimiento!$B$2:$B$5001,A726)=0,"",_xlfn.MAXIFS(Seguimiento!$A$2:$A$5001,Seguimiento!$B$2:$B$5001,A726)))</f>
        <v/>
      </c>
      <c r="Y726" s="37" t="str">
        <f aca="true">IF(B726="","",TODAY()-B726)</f>
        <v/>
      </c>
      <c r="Z726" s="38" t="str">
        <f aca="false">IF(OR(O726="",G726=""),"",O726*IFERROR(INDEX(Listas!$B$2:$B$50,MATCH(G726,Listas!$A$2:$A$50,0)),0))</f>
        <v/>
      </c>
      <c r="AA726" s="32"/>
      <c r="AB726" s="32"/>
      <c r="AC726" s="32"/>
      <c r="AD726" s="35" t="str">
        <f aca="false">IF(OR(LEFT(H726,4)="Meta",LEFT(H726,6)="Google"),IF(AG726=3,"Lead calificado",IF(OR(AG726=4,AG726=5),"Tasación/visita",IF(OR(AG726=6,AG726=7),"Captación/oferta",IF(AG726=8,"Cierre","")))),"")</f>
        <v/>
      </c>
      <c r="AE726" s="32"/>
      <c r="AF726" s="32"/>
      <c r="AG726" s="37" t="n">
        <f aca="false">IF(R726="",0,IFERROR(MATCH(R726,Listas!$L$2:$L$50,0),0))</f>
        <v>0</v>
      </c>
    </row>
    <row r="727" customFormat="false" ht="15" hidden="false" customHeight="false" outlineLevel="0" collapsed="false">
      <c r="A727" s="30"/>
      <c r="B727" s="31"/>
      <c r="C727" s="32"/>
      <c r="D727" s="32"/>
      <c r="E727" s="33"/>
      <c r="F727" s="32"/>
      <c r="G727" s="32"/>
      <c r="H727" s="32"/>
      <c r="I727" s="32"/>
      <c r="J727" s="32"/>
      <c r="K727" s="32"/>
      <c r="L727" s="32"/>
      <c r="M727" s="30"/>
      <c r="N727" s="32"/>
      <c r="O727" s="34"/>
      <c r="P727" s="32"/>
      <c r="Q727" s="32"/>
      <c r="R727" s="32"/>
      <c r="S727" s="32"/>
      <c r="T727" s="32"/>
      <c r="U727" s="32"/>
      <c r="V727" s="31"/>
      <c r="W727" s="35" t="str">
        <f aca="true">IF(OR(V727="",AG727&gt;=8),"",IF(V727&lt;TODAY(),"Vencida",IF(V727=TODAY(),"Hoy","")))</f>
        <v/>
      </c>
      <c r="X727" s="36" t="str">
        <f aca="false">IF(A727="","",IF(COUNTIF(Seguimiento!$B$2:$B$5001,A727)=0,"",_xlfn.MAXIFS(Seguimiento!$A$2:$A$5001,Seguimiento!$B$2:$B$5001,A727)))</f>
        <v/>
      </c>
      <c r="Y727" s="37" t="str">
        <f aca="true">IF(B727="","",TODAY()-B727)</f>
        <v/>
      </c>
      <c r="Z727" s="38" t="str">
        <f aca="false">IF(OR(O727="",G727=""),"",O727*IFERROR(INDEX(Listas!$B$2:$B$50,MATCH(G727,Listas!$A$2:$A$50,0)),0))</f>
        <v/>
      </c>
      <c r="AA727" s="32"/>
      <c r="AB727" s="32"/>
      <c r="AC727" s="32"/>
      <c r="AD727" s="35" t="str">
        <f aca="false">IF(OR(LEFT(H727,4)="Meta",LEFT(H727,6)="Google"),IF(AG727=3,"Lead calificado",IF(OR(AG727=4,AG727=5),"Tasación/visita",IF(OR(AG727=6,AG727=7),"Captación/oferta",IF(AG727=8,"Cierre","")))),"")</f>
        <v/>
      </c>
      <c r="AE727" s="32"/>
      <c r="AF727" s="32"/>
      <c r="AG727" s="37" t="n">
        <f aca="false">IF(R727="",0,IFERROR(MATCH(R727,Listas!$L$2:$L$50,0),0))</f>
        <v>0</v>
      </c>
    </row>
    <row r="728" customFormat="false" ht="15" hidden="false" customHeight="false" outlineLevel="0" collapsed="false">
      <c r="A728" s="30"/>
      <c r="B728" s="31"/>
      <c r="C728" s="32"/>
      <c r="D728" s="32"/>
      <c r="E728" s="33"/>
      <c r="F728" s="32"/>
      <c r="G728" s="32"/>
      <c r="H728" s="32"/>
      <c r="I728" s="32"/>
      <c r="J728" s="32"/>
      <c r="K728" s="32"/>
      <c r="L728" s="32"/>
      <c r="M728" s="30"/>
      <c r="N728" s="32"/>
      <c r="O728" s="34"/>
      <c r="P728" s="32"/>
      <c r="Q728" s="32"/>
      <c r="R728" s="32"/>
      <c r="S728" s="32"/>
      <c r="T728" s="32"/>
      <c r="U728" s="32"/>
      <c r="V728" s="31"/>
      <c r="W728" s="35" t="str">
        <f aca="true">IF(OR(V728="",AG728&gt;=8),"",IF(V728&lt;TODAY(),"Vencida",IF(V728=TODAY(),"Hoy","")))</f>
        <v/>
      </c>
      <c r="X728" s="36" t="str">
        <f aca="false">IF(A728="","",IF(COUNTIF(Seguimiento!$B$2:$B$5001,A728)=0,"",_xlfn.MAXIFS(Seguimiento!$A$2:$A$5001,Seguimiento!$B$2:$B$5001,A728)))</f>
        <v/>
      </c>
      <c r="Y728" s="37" t="str">
        <f aca="true">IF(B728="","",TODAY()-B728)</f>
        <v/>
      </c>
      <c r="Z728" s="38" t="str">
        <f aca="false">IF(OR(O728="",G728=""),"",O728*IFERROR(INDEX(Listas!$B$2:$B$50,MATCH(G728,Listas!$A$2:$A$50,0)),0))</f>
        <v/>
      </c>
      <c r="AA728" s="32"/>
      <c r="AB728" s="32"/>
      <c r="AC728" s="32"/>
      <c r="AD728" s="35" t="str">
        <f aca="false">IF(OR(LEFT(H728,4)="Meta",LEFT(H728,6)="Google"),IF(AG728=3,"Lead calificado",IF(OR(AG728=4,AG728=5),"Tasación/visita",IF(OR(AG728=6,AG728=7),"Captación/oferta",IF(AG728=8,"Cierre","")))),"")</f>
        <v/>
      </c>
      <c r="AE728" s="32"/>
      <c r="AF728" s="32"/>
      <c r="AG728" s="37" t="n">
        <f aca="false">IF(R728="",0,IFERROR(MATCH(R728,Listas!$L$2:$L$50,0),0))</f>
        <v>0</v>
      </c>
    </row>
    <row r="729" customFormat="false" ht="15" hidden="false" customHeight="false" outlineLevel="0" collapsed="false">
      <c r="A729" s="30"/>
      <c r="B729" s="31"/>
      <c r="C729" s="32"/>
      <c r="D729" s="32"/>
      <c r="E729" s="33"/>
      <c r="F729" s="32"/>
      <c r="G729" s="32"/>
      <c r="H729" s="32"/>
      <c r="I729" s="32"/>
      <c r="J729" s="32"/>
      <c r="K729" s="32"/>
      <c r="L729" s="32"/>
      <c r="M729" s="30"/>
      <c r="N729" s="32"/>
      <c r="O729" s="34"/>
      <c r="P729" s="32"/>
      <c r="Q729" s="32"/>
      <c r="R729" s="32"/>
      <c r="S729" s="32"/>
      <c r="T729" s="32"/>
      <c r="U729" s="32"/>
      <c r="V729" s="31"/>
      <c r="W729" s="35" t="str">
        <f aca="true">IF(OR(V729="",AG729&gt;=8),"",IF(V729&lt;TODAY(),"Vencida",IF(V729=TODAY(),"Hoy","")))</f>
        <v/>
      </c>
      <c r="X729" s="36" t="str">
        <f aca="false">IF(A729="","",IF(COUNTIF(Seguimiento!$B$2:$B$5001,A729)=0,"",_xlfn.MAXIFS(Seguimiento!$A$2:$A$5001,Seguimiento!$B$2:$B$5001,A729)))</f>
        <v/>
      </c>
      <c r="Y729" s="37" t="str">
        <f aca="true">IF(B729="","",TODAY()-B729)</f>
        <v/>
      </c>
      <c r="Z729" s="38" t="str">
        <f aca="false">IF(OR(O729="",G729=""),"",O729*IFERROR(INDEX(Listas!$B$2:$B$50,MATCH(G729,Listas!$A$2:$A$50,0)),0))</f>
        <v/>
      </c>
      <c r="AA729" s="32"/>
      <c r="AB729" s="32"/>
      <c r="AC729" s="32"/>
      <c r="AD729" s="35" t="str">
        <f aca="false">IF(OR(LEFT(H729,4)="Meta",LEFT(H729,6)="Google"),IF(AG729=3,"Lead calificado",IF(OR(AG729=4,AG729=5),"Tasación/visita",IF(OR(AG729=6,AG729=7),"Captación/oferta",IF(AG729=8,"Cierre","")))),"")</f>
        <v/>
      </c>
      <c r="AE729" s="32"/>
      <c r="AF729" s="32"/>
      <c r="AG729" s="37" t="n">
        <f aca="false">IF(R729="",0,IFERROR(MATCH(R729,Listas!$L$2:$L$50,0),0))</f>
        <v>0</v>
      </c>
    </row>
    <row r="730" customFormat="false" ht="15" hidden="false" customHeight="false" outlineLevel="0" collapsed="false">
      <c r="A730" s="30"/>
      <c r="B730" s="31"/>
      <c r="C730" s="32"/>
      <c r="D730" s="32"/>
      <c r="E730" s="33"/>
      <c r="F730" s="32"/>
      <c r="G730" s="32"/>
      <c r="H730" s="32"/>
      <c r="I730" s="32"/>
      <c r="J730" s="32"/>
      <c r="K730" s="32"/>
      <c r="L730" s="32"/>
      <c r="M730" s="30"/>
      <c r="N730" s="32"/>
      <c r="O730" s="34"/>
      <c r="P730" s="32"/>
      <c r="Q730" s="32"/>
      <c r="R730" s="32"/>
      <c r="S730" s="32"/>
      <c r="T730" s="32"/>
      <c r="U730" s="32"/>
      <c r="V730" s="31"/>
      <c r="W730" s="35" t="str">
        <f aca="true">IF(OR(V730="",AG730&gt;=8),"",IF(V730&lt;TODAY(),"Vencida",IF(V730=TODAY(),"Hoy","")))</f>
        <v/>
      </c>
      <c r="X730" s="36" t="str">
        <f aca="false">IF(A730="","",IF(COUNTIF(Seguimiento!$B$2:$B$5001,A730)=0,"",_xlfn.MAXIFS(Seguimiento!$A$2:$A$5001,Seguimiento!$B$2:$B$5001,A730)))</f>
        <v/>
      </c>
      <c r="Y730" s="37" t="str">
        <f aca="true">IF(B730="","",TODAY()-B730)</f>
        <v/>
      </c>
      <c r="Z730" s="38" t="str">
        <f aca="false">IF(OR(O730="",G730=""),"",O730*IFERROR(INDEX(Listas!$B$2:$B$50,MATCH(G730,Listas!$A$2:$A$50,0)),0))</f>
        <v/>
      </c>
      <c r="AA730" s="32"/>
      <c r="AB730" s="32"/>
      <c r="AC730" s="32"/>
      <c r="AD730" s="35" t="str">
        <f aca="false">IF(OR(LEFT(H730,4)="Meta",LEFT(H730,6)="Google"),IF(AG730=3,"Lead calificado",IF(OR(AG730=4,AG730=5),"Tasación/visita",IF(OR(AG730=6,AG730=7),"Captación/oferta",IF(AG730=8,"Cierre","")))),"")</f>
        <v/>
      </c>
      <c r="AE730" s="32"/>
      <c r="AF730" s="32"/>
      <c r="AG730" s="37" t="n">
        <f aca="false">IF(R730="",0,IFERROR(MATCH(R730,Listas!$L$2:$L$50,0),0))</f>
        <v>0</v>
      </c>
    </row>
    <row r="731" customFormat="false" ht="15" hidden="false" customHeight="false" outlineLevel="0" collapsed="false">
      <c r="A731" s="30"/>
      <c r="B731" s="31"/>
      <c r="C731" s="32"/>
      <c r="D731" s="32"/>
      <c r="E731" s="33"/>
      <c r="F731" s="32"/>
      <c r="G731" s="32"/>
      <c r="H731" s="32"/>
      <c r="I731" s="32"/>
      <c r="J731" s="32"/>
      <c r="K731" s="32"/>
      <c r="L731" s="32"/>
      <c r="M731" s="30"/>
      <c r="N731" s="32"/>
      <c r="O731" s="34"/>
      <c r="P731" s="32"/>
      <c r="Q731" s="32"/>
      <c r="R731" s="32"/>
      <c r="S731" s="32"/>
      <c r="T731" s="32"/>
      <c r="U731" s="32"/>
      <c r="V731" s="31"/>
      <c r="W731" s="35" t="str">
        <f aca="true">IF(OR(V731="",AG731&gt;=8),"",IF(V731&lt;TODAY(),"Vencida",IF(V731=TODAY(),"Hoy","")))</f>
        <v/>
      </c>
      <c r="X731" s="36" t="str">
        <f aca="false">IF(A731="","",IF(COUNTIF(Seguimiento!$B$2:$B$5001,A731)=0,"",_xlfn.MAXIFS(Seguimiento!$A$2:$A$5001,Seguimiento!$B$2:$B$5001,A731)))</f>
        <v/>
      </c>
      <c r="Y731" s="37" t="str">
        <f aca="true">IF(B731="","",TODAY()-B731)</f>
        <v/>
      </c>
      <c r="Z731" s="38" t="str">
        <f aca="false">IF(OR(O731="",G731=""),"",O731*IFERROR(INDEX(Listas!$B$2:$B$50,MATCH(G731,Listas!$A$2:$A$50,0)),0))</f>
        <v/>
      </c>
      <c r="AA731" s="32"/>
      <c r="AB731" s="32"/>
      <c r="AC731" s="32"/>
      <c r="AD731" s="35" t="str">
        <f aca="false">IF(OR(LEFT(H731,4)="Meta",LEFT(H731,6)="Google"),IF(AG731=3,"Lead calificado",IF(OR(AG731=4,AG731=5),"Tasación/visita",IF(OR(AG731=6,AG731=7),"Captación/oferta",IF(AG731=8,"Cierre","")))),"")</f>
        <v/>
      </c>
      <c r="AE731" s="32"/>
      <c r="AF731" s="32"/>
      <c r="AG731" s="37" t="n">
        <f aca="false">IF(R731="",0,IFERROR(MATCH(R731,Listas!$L$2:$L$50,0),0))</f>
        <v>0</v>
      </c>
    </row>
    <row r="732" customFormat="false" ht="15" hidden="false" customHeight="false" outlineLevel="0" collapsed="false">
      <c r="A732" s="30"/>
      <c r="B732" s="31"/>
      <c r="C732" s="32"/>
      <c r="D732" s="32"/>
      <c r="E732" s="33"/>
      <c r="F732" s="32"/>
      <c r="G732" s="32"/>
      <c r="H732" s="32"/>
      <c r="I732" s="32"/>
      <c r="J732" s="32"/>
      <c r="K732" s="32"/>
      <c r="L732" s="32"/>
      <c r="M732" s="30"/>
      <c r="N732" s="32"/>
      <c r="O732" s="34"/>
      <c r="P732" s="32"/>
      <c r="Q732" s="32"/>
      <c r="R732" s="32"/>
      <c r="S732" s="32"/>
      <c r="T732" s="32"/>
      <c r="U732" s="32"/>
      <c r="V732" s="31"/>
      <c r="W732" s="35" t="str">
        <f aca="true">IF(OR(V732="",AG732&gt;=8),"",IF(V732&lt;TODAY(),"Vencida",IF(V732=TODAY(),"Hoy","")))</f>
        <v/>
      </c>
      <c r="X732" s="36" t="str">
        <f aca="false">IF(A732="","",IF(COUNTIF(Seguimiento!$B$2:$B$5001,A732)=0,"",_xlfn.MAXIFS(Seguimiento!$A$2:$A$5001,Seguimiento!$B$2:$B$5001,A732)))</f>
        <v/>
      </c>
      <c r="Y732" s="37" t="str">
        <f aca="true">IF(B732="","",TODAY()-B732)</f>
        <v/>
      </c>
      <c r="Z732" s="38" t="str">
        <f aca="false">IF(OR(O732="",G732=""),"",O732*IFERROR(INDEX(Listas!$B$2:$B$50,MATCH(G732,Listas!$A$2:$A$50,0)),0))</f>
        <v/>
      </c>
      <c r="AA732" s="32"/>
      <c r="AB732" s="32"/>
      <c r="AC732" s="32"/>
      <c r="AD732" s="35" t="str">
        <f aca="false">IF(OR(LEFT(H732,4)="Meta",LEFT(H732,6)="Google"),IF(AG732=3,"Lead calificado",IF(OR(AG732=4,AG732=5),"Tasación/visita",IF(OR(AG732=6,AG732=7),"Captación/oferta",IF(AG732=8,"Cierre","")))),"")</f>
        <v/>
      </c>
      <c r="AE732" s="32"/>
      <c r="AF732" s="32"/>
      <c r="AG732" s="37" t="n">
        <f aca="false">IF(R732="",0,IFERROR(MATCH(R732,Listas!$L$2:$L$50,0),0))</f>
        <v>0</v>
      </c>
    </row>
    <row r="733" customFormat="false" ht="15" hidden="false" customHeight="false" outlineLevel="0" collapsed="false">
      <c r="A733" s="30"/>
      <c r="B733" s="31"/>
      <c r="C733" s="32"/>
      <c r="D733" s="32"/>
      <c r="E733" s="33"/>
      <c r="F733" s="32"/>
      <c r="G733" s="32"/>
      <c r="H733" s="32"/>
      <c r="I733" s="32"/>
      <c r="J733" s="32"/>
      <c r="K733" s="32"/>
      <c r="L733" s="32"/>
      <c r="M733" s="30"/>
      <c r="N733" s="32"/>
      <c r="O733" s="34"/>
      <c r="P733" s="32"/>
      <c r="Q733" s="32"/>
      <c r="R733" s="32"/>
      <c r="S733" s="32"/>
      <c r="T733" s="32"/>
      <c r="U733" s="32"/>
      <c r="V733" s="31"/>
      <c r="W733" s="35" t="str">
        <f aca="true">IF(OR(V733="",AG733&gt;=8),"",IF(V733&lt;TODAY(),"Vencida",IF(V733=TODAY(),"Hoy","")))</f>
        <v/>
      </c>
      <c r="X733" s="36" t="str">
        <f aca="false">IF(A733="","",IF(COUNTIF(Seguimiento!$B$2:$B$5001,A733)=0,"",_xlfn.MAXIFS(Seguimiento!$A$2:$A$5001,Seguimiento!$B$2:$B$5001,A733)))</f>
        <v/>
      </c>
      <c r="Y733" s="37" t="str">
        <f aca="true">IF(B733="","",TODAY()-B733)</f>
        <v/>
      </c>
      <c r="Z733" s="38" t="str">
        <f aca="false">IF(OR(O733="",G733=""),"",O733*IFERROR(INDEX(Listas!$B$2:$B$50,MATCH(G733,Listas!$A$2:$A$50,0)),0))</f>
        <v/>
      </c>
      <c r="AA733" s="32"/>
      <c r="AB733" s="32"/>
      <c r="AC733" s="32"/>
      <c r="AD733" s="35" t="str">
        <f aca="false">IF(OR(LEFT(H733,4)="Meta",LEFT(H733,6)="Google"),IF(AG733=3,"Lead calificado",IF(OR(AG733=4,AG733=5),"Tasación/visita",IF(OR(AG733=6,AG733=7),"Captación/oferta",IF(AG733=8,"Cierre","")))),"")</f>
        <v/>
      </c>
      <c r="AE733" s="32"/>
      <c r="AF733" s="32"/>
      <c r="AG733" s="37" t="n">
        <f aca="false">IF(R733="",0,IFERROR(MATCH(R733,Listas!$L$2:$L$50,0),0))</f>
        <v>0</v>
      </c>
    </row>
    <row r="734" customFormat="false" ht="15" hidden="false" customHeight="false" outlineLevel="0" collapsed="false">
      <c r="A734" s="30"/>
      <c r="B734" s="31"/>
      <c r="C734" s="32"/>
      <c r="D734" s="32"/>
      <c r="E734" s="33"/>
      <c r="F734" s="32"/>
      <c r="G734" s="32"/>
      <c r="H734" s="32"/>
      <c r="I734" s="32"/>
      <c r="J734" s="32"/>
      <c r="K734" s="32"/>
      <c r="L734" s="32"/>
      <c r="M734" s="30"/>
      <c r="N734" s="32"/>
      <c r="O734" s="34"/>
      <c r="P734" s="32"/>
      <c r="Q734" s="32"/>
      <c r="R734" s="32"/>
      <c r="S734" s="32"/>
      <c r="T734" s="32"/>
      <c r="U734" s="32"/>
      <c r="V734" s="31"/>
      <c r="W734" s="35" t="str">
        <f aca="true">IF(OR(V734="",AG734&gt;=8),"",IF(V734&lt;TODAY(),"Vencida",IF(V734=TODAY(),"Hoy","")))</f>
        <v/>
      </c>
      <c r="X734" s="36" t="str">
        <f aca="false">IF(A734="","",IF(COUNTIF(Seguimiento!$B$2:$B$5001,A734)=0,"",_xlfn.MAXIFS(Seguimiento!$A$2:$A$5001,Seguimiento!$B$2:$B$5001,A734)))</f>
        <v/>
      </c>
      <c r="Y734" s="37" t="str">
        <f aca="true">IF(B734="","",TODAY()-B734)</f>
        <v/>
      </c>
      <c r="Z734" s="38" t="str">
        <f aca="false">IF(OR(O734="",G734=""),"",O734*IFERROR(INDEX(Listas!$B$2:$B$50,MATCH(G734,Listas!$A$2:$A$50,0)),0))</f>
        <v/>
      </c>
      <c r="AA734" s="32"/>
      <c r="AB734" s="32"/>
      <c r="AC734" s="32"/>
      <c r="AD734" s="35" t="str">
        <f aca="false">IF(OR(LEFT(H734,4)="Meta",LEFT(H734,6)="Google"),IF(AG734=3,"Lead calificado",IF(OR(AG734=4,AG734=5),"Tasación/visita",IF(OR(AG734=6,AG734=7),"Captación/oferta",IF(AG734=8,"Cierre","")))),"")</f>
        <v/>
      </c>
      <c r="AE734" s="32"/>
      <c r="AF734" s="32"/>
      <c r="AG734" s="37" t="n">
        <f aca="false">IF(R734="",0,IFERROR(MATCH(R734,Listas!$L$2:$L$50,0),0))</f>
        <v>0</v>
      </c>
    </row>
    <row r="735" customFormat="false" ht="15" hidden="false" customHeight="false" outlineLevel="0" collapsed="false">
      <c r="A735" s="30"/>
      <c r="B735" s="31"/>
      <c r="C735" s="32"/>
      <c r="D735" s="32"/>
      <c r="E735" s="33"/>
      <c r="F735" s="32"/>
      <c r="G735" s="32"/>
      <c r="H735" s="32"/>
      <c r="I735" s="32"/>
      <c r="J735" s="32"/>
      <c r="K735" s="32"/>
      <c r="L735" s="32"/>
      <c r="M735" s="30"/>
      <c r="N735" s="32"/>
      <c r="O735" s="34"/>
      <c r="P735" s="32"/>
      <c r="Q735" s="32"/>
      <c r="R735" s="32"/>
      <c r="S735" s="32"/>
      <c r="T735" s="32"/>
      <c r="U735" s="32"/>
      <c r="V735" s="31"/>
      <c r="W735" s="35" t="str">
        <f aca="true">IF(OR(V735="",AG735&gt;=8),"",IF(V735&lt;TODAY(),"Vencida",IF(V735=TODAY(),"Hoy","")))</f>
        <v/>
      </c>
      <c r="X735" s="36" t="str">
        <f aca="false">IF(A735="","",IF(COUNTIF(Seguimiento!$B$2:$B$5001,A735)=0,"",_xlfn.MAXIFS(Seguimiento!$A$2:$A$5001,Seguimiento!$B$2:$B$5001,A735)))</f>
        <v/>
      </c>
      <c r="Y735" s="37" t="str">
        <f aca="true">IF(B735="","",TODAY()-B735)</f>
        <v/>
      </c>
      <c r="Z735" s="38" t="str">
        <f aca="false">IF(OR(O735="",G735=""),"",O735*IFERROR(INDEX(Listas!$B$2:$B$50,MATCH(G735,Listas!$A$2:$A$50,0)),0))</f>
        <v/>
      </c>
      <c r="AA735" s="32"/>
      <c r="AB735" s="32"/>
      <c r="AC735" s="32"/>
      <c r="AD735" s="35" t="str">
        <f aca="false">IF(OR(LEFT(H735,4)="Meta",LEFT(H735,6)="Google"),IF(AG735=3,"Lead calificado",IF(OR(AG735=4,AG735=5),"Tasación/visita",IF(OR(AG735=6,AG735=7),"Captación/oferta",IF(AG735=8,"Cierre","")))),"")</f>
        <v/>
      </c>
      <c r="AE735" s="32"/>
      <c r="AF735" s="32"/>
      <c r="AG735" s="37" t="n">
        <f aca="false">IF(R735="",0,IFERROR(MATCH(R735,Listas!$L$2:$L$50,0),0))</f>
        <v>0</v>
      </c>
    </row>
    <row r="736" customFormat="false" ht="15" hidden="false" customHeight="false" outlineLevel="0" collapsed="false">
      <c r="A736" s="30"/>
      <c r="B736" s="31"/>
      <c r="C736" s="32"/>
      <c r="D736" s="32"/>
      <c r="E736" s="33"/>
      <c r="F736" s="32"/>
      <c r="G736" s="32"/>
      <c r="H736" s="32"/>
      <c r="I736" s="32"/>
      <c r="J736" s="32"/>
      <c r="K736" s="32"/>
      <c r="L736" s="32"/>
      <c r="M736" s="30"/>
      <c r="N736" s="32"/>
      <c r="O736" s="34"/>
      <c r="P736" s="32"/>
      <c r="Q736" s="32"/>
      <c r="R736" s="32"/>
      <c r="S736" s="32"/>
      <c r="T736" s="32"/>
      <c r="U736" s="32"/>
      <c r="V736" s="31"/>
      <c r="W736" s="35" t="str">
        <f aca="true">IF(OR(V736="",AG736&gt;=8),"",IF(V736&lt;TODAY(),"Vencida",IF(V736=TODAY(),"Hoy","")))</f>
        <v/>
      </c>
      <c r="X736" s="36" t="str">
        <f aca="false">IF(A736="","",IF(COUNTIF(Seguimiento!$B$2:$B$5001,A736)=0,"",_xlfn.MAXIFS(Seguimiento!$A$2:$A$5001,Seguimiento!$B$2:$B$5001,A736)))</f>
        <v/>
      </c>
      <c r="Y736" s="37" t="str">
        <f aca="true">IF(B736="","",TODAY()-B736)</f>
        <v/>
      </c>
      <c r="Z736" s="38" t="str">
        <f aca="false">IF(OR(O736="",G736=""),"",O736*IFERROR(INDEX(Listas!$B$2:$B$50,MATCH(G736,Listas!$A$2:$A$50,0)),0))</f>
        <v/>
      </c>
      <c r="AA736" s="32"/>
      <c r="AB736" s="32"/>
      <c r="AC736" s="32"/>
      <c r="AD736" s="35" t="str">
        <f aca="false">IF(OR(LEFT(H736,4)="Meta",LEFT(H736,6)="Google"),IF(AG736=3,"Lead calificado",IF(OR(AG736=4,AG736=5),"Tasación/visita",IF(OR(AG736=6,AG736=7),"Captación/oferta",IF(AG736=8,"Cierre","")))),"")</f>
        <v/>
      </c>
      <c r="AE736" s="32"/>
      <c r="AF736" s="32"/>
      <c r="AG736" s="37" t="n">
        <f aca="false">IF(R736="",0,IFERROR(MATCH(R736,Listas!$L$2:$L$50,0),0))</f>
        <v>0</v>
      </c>
    </row>
    <row r="737" customFormat="false" ht="15" hidden="false" customHeight="false" outlineLevel="0" collapsed="false">
      <c r="A737" s="30"/>
      <c r="B737" s="31"/>
      <c r="C737" s="32"/>
      <c r="D737" s="32"/>
      <c r="E737" s="33"/>
      <c r="F737" s="32"/>
      <c r="G737" s="32"/>
      <c r="H737" s="32"/>
      <c r="I737" s="32"/>
      <c r="J737" s="32"/>
      <c r="K737" s="32"/>
      <c r="L737" s="32"/>
      <c r="M737" s="30"/>
      <c r="N737" s="32"/>
      <c r="O737" s="34"/>
      <c r="P737" s="32"/>
      <c r="Q737" s="32"/>
      <c r="R737" s="32"/>
      <c r="S737" s="32"/>
      <c r="T737" s="32"/>
      <c r="U737" s="32"/>
      <c r="V737" s="31"/>
      <c r="W737" s="35" t="str">
        <f aca="true">IF(OR(V737="",AG737&gt;=8),"",IF(V737&lt;TODAY(),"Vencida",IF(V737=TODAY(),"Hoy","")))</f>
        <v/>
      </c>
      <c r="X737" s="36" t="str">
        <f aca="false">IF(A737="","",IF(COUNTIF(Seguimiento!$B$2:$B$5001,A737)=0,"",_xlfn.MAXIFS(Seguimiento!$A$2:$A$5001,Seguimiento!$B$2:$B$5001,A737)))</f>
        <v/>
      </c>
      <c r="Y737" s="37" t="str">
        <f aca="true">IF(B737="","",TODAY()-B737)</f>
        <v/>
      </c>
      <c r="Z737" s="38" t="str">
        <f aca="false">IF(OR(O737="",G737=""),"",O737*IFERROR(INDEX(Listas!$B$2:$B$50,MATCH(G737,Listas!$A$2:$A$50,0)),0))</f>
        <v/>
      </c>
      <c r="AA737" s="32"/>
      <c r="AB737" s="32"/>
      <c r="AC737" s="32"/>
      <c r="AD737" s="35" t="str">
        <f aca="false">IF(OR(LEFT(H737,4)="Meta",LEFT(H737,6)="Google"),IF(AG737=3,"Lead calificado",IF(OR(AG737=4,AG737=5),"Tasación/visita",IF(OR(AG737=6,AG737=7),"Captación/oferta",IF(AG737=8,"Cierre","")))),"")</f>
        <v/>
      </c>
      <c r="AE737" s="32"/>
      <c r="AF737" s="32"/>
      <c r="AG737" s="37" t="n">
        <f aca="false">IF(R737="",0,IFERROR(MATCH(R737,Listas!$L$2:$L$50,0),0))</f>
        <v>0</v>
      </c>
    </row>
    <row r="738" customFormat="false" ht="15" hidden="false" customHeight="false" outlineLevel="0" collapsed="false">
      <c r="A738" s="30"/>
      <c r="B738" s="31"/>
      <c r="C738" s="32"/>
      <c r="D738" s="32"/>
      <c r="E738" s="33"/>
      <c r="F738" s="32"/>
      <c r="G738" s="32"/>
      <c r="H738" s="32"/>
      <c r="I738" s="32"/>
      <c r="J738" s="32"/>
      <c r="K738" s="32"/>
      <c r="L738" s="32"/>
      <c r="M738" s="30"/>
      <c r="N738" s="32"/>
      <c r="O738" s="34"/>
      <c r="P738" s="32"/>
      <c r="Q738" s="32"/>
      <c r="R738" s="32"/>
      <c r="S738" s="32"/>
      <c r="T738" s="32"/>
      <c r="U738" s="32"/>
      <c r="V738" s="31"/>
      <c r="W738" s="35" t="str">
        <f aca="true">IF(OR(V738="",AG738&gt;=8),"",IF(V738&lt;TODAY(),"Vencida",IF(V738=TODAY(),"Hoy","")))</f>
        <v/>
      </c>
      <c r="X738" s="36" t="str">
        <f aca="false">IF(A738="","",IF(COUNTIF(Seguimiento!$B$2:$B$5001,A738)=0,"",_xlfn.MAXIFS(Seguimiento!$A$2:$A$5001,Seguimiento!$B$2:$B$5001,A738)))</f>
        <v/>
      </c>
      <c r="Y738" s="37" t="str">
        <f aca="true">IF(B738="","",TODAY()-B738)</f>
        <v/>
      </c>
      <c r="Z738" s="38" t="str">
        <f aca="false">IF(OR(O738="",G738=""),"",O738*IFERROR(INDEX(Listas!$B$2:$B$50,MATCH(G738,Listas!$A$2:$A$50,0)),0))</f>
        <v/>
      </c>
      <c r="AA738" s="32"/>
      <c r="AB738" s="32"/>
      <c r="AC738" s="32"/>
      <c r="AD738" s="35" t="str">
        <f aca="false">IF(OR(LEFT(H738,4)="Meta",LEFT(H738,6)="Google"),IF(AG738=3,"Lead calificado",IF(OR(AG738=4,AG738=5),"Tasación/visita",IF(OR(AG738=6,AG738=7),"Captación/oferta",IF(AG738=8,"Cierre","")))),"")</f>
        <v/>
      </c>
      <c r="AE738" s="32"/>
      <c r="AF738" s="32"/>
      <c r="AG738" s="37" t="n">
        <f aca="false">IF(R738="",0,IFERROR(MATCH(R738,Listas!$L$2:$L$50,0),0))</f>
        <v>0</v>
      </c>
    </row>
    <row r="739" customFormat="false" ht="15" hidden="false" customHeight="false" outlineLevel="0" collapsed="false">
      <c r="A739" s="30"/>
      <c r="B739" s="31"/>
      <c r="C739" s="32"/>
      <c r="D739" s="32"/>
      <c r="E739" s="33"/>
      <c r="F739" s="32"/>
      <c r="G739" s="32"/>
      <c r="H739" s="32"/>
      <c r="I739" s="32"/>
      <c r="J739" s="32"/>
      <c r="K739" s="32"/>
      <c r="L739" s="32"/>
      <c r="M739" s="30"/>
      <c r="N739" s="32"/>
      <c r="O739" s="34"/>
      <c r="P739" s="32"/>
      <c r="Q739" s="32"/>
      <c r="R739" s="32"/>
      <c r="S739" s="32"/>
      <c r="T739" s="32"/>
      <c r="U739" s="32"/>
      <c r="V739" s="31"/>
      <c r="W739" s="35" t="str">
        <f aca="true">IF(OR(V739="",AG739&gt;=8),"",IF(V739&lt;TODAY(),"Vencida",IF(V739=TODAY(),"Hoy","")))</f>
        <v/>
      </c>
      <c r="X739" s="36" t="str">
        <f aca="false">IF(A739="","",IF(COUNTIF(Seguimiento!$B$2:$B$5001,A739)=0,"",_xlfn.MAXIFS(Seguimiento!$A$2:$A$5001,Seguimiento!$B$2:$B$5001,A739)))</f>
        <v/>
      </c>
      <c r="Y739" s="37" t="str">
        <f aca="true">IF(B739="","",TODAY()-B739)</f>
        <v/>
      </c>
      <c r="Z739" s="38" t="str">
        <f aca="false">IF(OR(O739="",G739=""),"",O739*IFERROR(INDEX(Listas!$B$2:$B$50,MATCH(G739,Listas!$A$2:$A$50,0)),0))</f>
        <v/>
      </c>
      <c r="AA739" s="32"/>
      <c r="AB739" s="32"/>
      <c r="AC739" s="32"/>
      <c r="AD739" s="35" t="str">
        <f aca="false">IF(OR(LEFT(H739,4)="Meta",LEFT(H739,6)="Google"),IF(AG739=3,"Lead calificado",IF(OR(AG739=4,AG739=5),"Tasación/visita",IF(OR(AG739=6,AG739=7),"Captación/oferta",IF(AG739=8,"Cierre","")))),"")</f>
        <v/>
      </c>
      <c r="AE739" s="32"/>
      <c r="AF739" s="32"/>
      <c r="AG739" s="37" t="n">
        <f aca="false">IF(R739="",0,IFERROR(MATCH(R739,Listas!$L$2:$L$50,0),0))</f>
        <v>0</v>
      </c>
    </row>
    <row r="740" customFormat="false" ht="15" hidden="false" customHeight="false" outlineLevel="0" collapsed="false">
      <c r="A740" s="30"/>
      <c r="B740" s="31"/>
      <c r="C740" s="32"/>
      <c r="D740" s="32"/>
      <c r="E740" s="33"/>
      <c r="F740" s="32"/>
      <c r="G740" s="32"/>
      <c r="H740" s="32"/>
      <c r="I740" s="32"/>
      <c r="J740" s="32"/>
      <c r="K740" s="32"/>
      <c r="L740" s="32"/>
      <c r="M740" s="30"/>
      <c r="N740" s="32"/>
      <c r="O740" s="34"/>
      <c r="P740" s="32"/>
      <c r="Q740" s="32"/>
      <c r="R740" s="32"/>
      <c r="S740" s="32"/>
      <c r="T740" s="32"/>
      <c r="U740" s="32"/>
      <c r="V740" s="31"/>
      <c r="W740" s="35" t="str">
        <f aca="true">IF(OR(V740="",AG740&gt;=8),"",IF(V740&lt;TODAY(),"Vencida",IF(V740=TODAY(),"Hoy","")))</f>
        <v/>
      </c>
      <c r="X740" s="36" t="str">
        <f aca="false">IF(A740="","",IF(COUNTIF(Seguimiento!$B$2:$B$5001,A740)=0,"",_xlfn.MAXIFS(Seguimiento!$A$2:$A$5001,Seguimiento!$B$2:$B$5001,A740)))</f>
        <v/>
      </c>
      <c r="Y740" s="37" t="str">
        <f aca="true">IF(B740="","",TODAY()-B740)</f>
        <v/>
      </c>
      <c r="Z740" s="38" t="str">
        <f aca="false">IF(OR(O740="",G740=""),"",O740*IFERROR(INDEX(Listas!$B$2:$B$50,MATCH(G740,Listas!$A$2:$A$50,0)),0))</f>
        <v/>
      </c>
      <c r="AA740" s="32"/>
      <c r="AB740" s="32"/>
      <c r="AC740" s="32"/>
      <c r="AD740" s="35" t="str">
        <f aca="false">IF(OR(LEFT(H740,4)="Meta",LEFT(H740,6)="Google"),IF(AG740=3,"Lead calificado",IF(OR(AG740=4,AG740=5),"Tasación/visita",IF(OR(AG740=6,AG740=7),"Captación/oferta",IF(AG740=8,"Cierre","")))),"")</f>
        <v/>
      </c>
      <c r="AE740" s="32"/>
      <c r="AF740" s="32"/>
      <c r="AG740" s="37" t="n">
        <f aca="false">IF(R740="",0,IFERROR(MATCH(R740,Listas!$L$2:$L$50,0),0))</f>
        <v>0</v>
      </c>
    </row>
    <row r="741" customFormat="false" ht="15" hidden="false" customHeight="false" outlineLevel="0" collapsed="false">
      <c r="A741" s="30"/>
      <c r="B741" s="31"/>
      <c r="C741" s="32"/>
      <c r="D741" s="32"/>
      <c r="E741" s="33"/>
      <c r="F741" s="32"/>
      <c r="G741" s="32"/>
      <c r="H741" s="32"/>
      <c r="I741" s="32"/>
      <c r="J741" s="32"/>
      <c r="K741" s="32"/>
      <c r="L741" s="32"/>
      <c r="M741" s="30"/>
      <c r="N741" s="32"/>
      <c r="O741" s="34"/>
      <c r="P741" s="32"/>
      <c r="Q741" s="32"/>
      <c r="R741" s="32"/>
      <c r="S741" s="32"/>
      <c r="T741" s="32"/>
      <c r="U741" s="32"/>
      <c r="V741" s="31"/>
      <c r="W741" s="35" t="str">
        <f aca="true">IF(OR(V741="",AG741&gt;=8),"",IF(V741&lt;TODAY(),"Vencida",IF(V741=TODAY(),"Hoy","")))</f>
        <v/>
      </c>
      <c r="X741" s="36" t="str">
        <f aca="false">IF(A741="","",IF(COUNTIF(Seguimiento!$B$2:$B$5001,A741)=0,"",_xlfn.MAXIFS(Seguimiento!$A$2:$A$5001,Seguimiento!$B$2:$B$5001,A741)))</f>
        <v/>
      </c>
      <c r="Y741" s="37" t="str">
        <f aca="true">IF(B741="","",TODAY()-B741)</f>
        <v/>
      </c>
      <c r="Z741" s="38" t="str">
        <f aca="false">IF(OR(O741="",G741=""),"",O741*IFERROR(INDEX(Listas!$B$2:$B$50,MATCH(G741,Listas!$A$2:$A$50,0)),0))</f>
        <v/>
      </c>
      <c r="AA741" s="32"/>
      <c r="AB741" s="32"/>
      <c r="AC741" s="32"/>
      <c r="AD741" s="35" t="str">
        <f aca="false">IF(OR(LEFT(H741,4)="Meta",LEFT(H741,6)="Google"),IF(AG741=3,"Lead calificado",IF(OR(AG741=4,AG741=5),"Tasación/visita",IF(OR(AG741=6,AG741=7),"Captación/oferta",IF(AG741=8,"Cierre","")))),"")</f>
        <v/>
      </c>
      <c r="AE741" s="32"/>
      <c r="AF741" s="32"/>
      <c r="AG741" s="37" t="n">
        <f aca="false">IF(R741="",0,IFERROR(MATCH(R741,Listas!$L$2:$L$50,0),0))</f>
        <v>0</v>
      </c>
    </row>
    <row r="742" customFormat="false" ht="15" hidden="false" customHeight="false" outlineLevel="0" collapsed="false">
      <c r="A742" s="30"/>
      <c r="B742" s="31"/>
      <c r="C742" s="32"/>
      <c r="D742" s="32"/>
      <c r="E742" s="33"/>
      <c r="F742" s="32"/>
      <c r="G742" s="32"/>
      <c r="H742" s="32"/>
      <c r="I742" s="32"/>
      <c r="J742" s="32"/>
      <c r="K742" s="32"/>
      <c r="L742" s="32"/>
      <c r="M742" s="30"/>
      <c r="N742" s="32"/>
      <c r="O742" s="34"/>
      <c r="P742" s="32"/>
      <c r="Q742" s="32"/>
      <c r="R742" s="32"/>
      <c r="S742" s="32"/>
      <c r="T742" s="32"/>
      <c r="U742" s="32"/>
      <c r="V742" s="31"/>
      <c r="W742" s="35" t="str">
        <f aca="true">IF(OR(V742="",AG742&gt;=8),"",IF(V742&lt;TODAY(),"Vencida",IF(V742=TODAY(),"Hoy","")))</f>
        <v/>
      </c>
      <c r="X742" s="36" t="str">
        <f aca="false">IF(A742="","",IF(COUNTIF(Seguimiento!$B$2:$B$5001,A742)=0,"",_xlfn.MAXIFS(Seguimiento!$A$2:$A$5001,Seguimiento!$B$2:$B$5001,A742)))</f>
        <v/>
      </c>
      <c r="Y742" s="37" t="str">
        <f aca="true">IF(B742="","",TODAY()-B742)</f>
        <v/>
      </c>
      <c r="Z742" s="38" t="str">
        <f aca="false">IF(OR(O742="",G742=""),"",O742*IFERROR(INDEX(Listas!$B$2:$B$50,MATCH(G742,Listas!$A$2:$A$50,0)),0))</f>
        <v/>
      </c>
      <c r="AA742" s="32"/>
      <c r="AB742" s="32"/>
      <c r="AC742" s="32"/>
      <c r="AD742" s="35" t="str">
        <f aca="false">IF(OR(LEFT(H742,4)="Meta",LEFT(H742,6)="Google"),IF(AG742=3,"Lead calificado",IF(OR(AG742=4,AG742=5),"Tasación/visita",IF(OR(AG742=6,AG742=7),"Captación/oferta",IF(AG742=8,"Cierre","")))),"")</f>
        <v/>
      </c>
      <c r="AE742" s="32"/>
      <c r="AF742" s="32"/>
      <c r="AG742" s="37" t="n">
        <f aca="false">IF(R742="",0,IFERROR(MATCH(R742,Listas!$L$2:$L$50,0),0))</f>
        <v>0</v>
      </c>
    </row>
    <row r="743" customFormat="false" ht="15" hidden="false" customHeight="false" outlineLevel="0" collapsed="false">
      <c r="A743" s="30"/>
      <c r="B743" s="31"/>
      <c r="C743" s="32"/>
      <c r="D743" s="32"/>
      <c r="E743" s="33"/>
      <c r="F743" s="32"/>
      <c r="G743" s="32"/>
      <c r="H743" s="32"/>
      <c r="I743" s="32"/>
      <c r="J743" s="32"/>
      <c r="K743" s="32"/>
      <c r="L743" s="32"/>
      <c r="M743" s="30"/>
      <c r="N743" s="32"/>
      <c r="O743" s="34"/>
      <c r="P743" s="32"/>
      <c r="Q743" s="32"/>
      <c r="R743" s="32"/>
      <c r="S743" s="32"/>
      <c r="T743" s="32"/>
      <c r="U743" s="32"/>
      <c r="V743" s="31"/>
      <c r="W743" s="35" t="str">
        <f aca="true">IF(OR(V743="",AG743&gt;=8),"",IF(V743&lt;TODAY(),"Vencida",IF(V743=TODAY(),"Hoy","")))</f>
        <v/>
      </c>
      <c r="X743" s="36" t="str">
        <f aca="false">IF(A743="","",IF(COUNTIF(Seguimiento!$B$2:$B$5001,A743)=0,"",_xlfn.MAXIFS(Seguimiento!$A$2:$A$5001,Seguimiento!$B$2:$B$5001,A743)))</f>
        <v/>
      </c>
      <c r="Y743" s="37" t="str">
        <f aca="true">IF(B743="","",TODAY()-B743)</f>
        <v/>
      </c>
      <c r="Z743" s="38" t="str">
        <f aca="false">IF(OR(O743="",G743=""),"",O743*IFERROR(INDEX(Listas!$B$2:$B$50,MATCH(G743,Listas!$A$2:$A$50,0)),0))</f>
        <v/>
      </c>
      <c r="AA743" s="32"/>
      <c r="AB743" s="32"/>
      <c r="AC743" s="32"/>
      <c r="AD743" s="35" t="str">
        <f aca="false">IF(OR(LEFT(H743,4)="Meta",LEFT(H743,6)="Google"),IF(AG743=3,"Lead calificado",IF(OR(AG743=4,AG743=5),"Tasación/visita",IF(OR(AG743=6,AG743=7),"Captación/oferta",IF(AG743=8,"Cierre","")))),"")</f>
        <v/>
      </c>
      <c r="AE743" s="32"/>
      <c r="AF743" s="32"/>
      <c r="AG743" s="37" t="n">
        <f aca="false">IF(R743="",0,IFERROR(MATCH(R743,Listas!$L$2:$L$50,0),0))</f>
        <v>0</v>
      </c>
    </row>
    <row r="744" customFormat="false" ht="15" hidden="false" customHeight="false" outlineLevel="0" collapsed="false">
      <c r="A744" s="30"/>
      <c r="B744" s="31"/>
      <c r="C744" s="32"/>
      <c r="D744" s="32"/>
      <c r="E744" s="33"/>
      <c r="F744" s="32"/>
      <c r="G744" s="32"/>
      <c r="H744" s="32"/>
      <c r="I744" s="32"/>
      <c r="J744" s="32"/>
      <c r="K744" s="32"/>
      <c r="L744" s="32"/>
      <c r="M744" s="30"/>
      <c r="N744" s="32"/>
      <c r="O744" s="34"/>
      <c r="P744" s="32"/>
      <c r="Q744" s="32"/>
      <c r="R744" s="32"/>
      <c r="S744" s="32"/>
      <c r="T744" s="32"/>
      <c r="U744" s="32"/>
      <c r="V744" s="31"/>
      <c r="W744" s="35" t="str">
        <f aca="true">IF(OR(V744="",AG744&gt;=8),"",IF(V744&lt;TODAY(),"Vencida",IF(V744=TODAY(),"Hoy","")))</f>
        <v/>
      </c>
      <c r="X744" s="36" t="str">
        <f aca="false">IF(A744="","",IF(COUNTIF(Seguimiento!$B$2:$B$5001,A744)=0,"",_xlfn.MAXIFS(Seguimiento!$A$2:$A$5001,Seguimiento!$B$2:$B$5001,A744)))</f>
        <v/>
      </c>
      <c r="Y744" s="37" t="str">
        <f aca="true">IF(B744="","",TODAY()-B744)</f>
        <v/>
      </c>
      <c r="Z744" s="38" t="str">
        <f aca="false">IF(OR(O744="",G744=""),"",O744*IFERROR(INDEX(Listas!$B$2:$B$50,MATCH(G744,Listas!$A$2:$A$50,0)),0))</f>
        <v/>
      </c>
      <c r="AA744" s="32"/>
      <c r="AB744" s="32"/>
      <c r="AC744" s="32"/>
      <c r="AD744" s="35" t="str">
        <f aca="false">IF(OR(LEFT(H744,4)="Meta",LEFT(H744,6)="Google"),IF(AG744=3,"Lead calificado",IF(OR(AG744=4,AG744=5),"Tasación/visita",IF(OR(AG744=6,AG744=7),"Captación/oferta",IF(AG744=8,"Cierre","")))),"")</f>
        <v/>
      </c>
      <c r="AE744" s="32"/>
      <c r="AF744" s="32"/>
      <c r="AG744" s="37" t="n">
        <f aca="false">IF(R744="",0,IFERROR(MATCH(R744,Listas!$L$2:$L$50,0),0))</f>
        <v>0</v>
      </c>
    </row>
    <row r="745" customFormat="false" ht="15" hidden="false" customHeight="false" outlineLevel="0" collapsed="false">
      <c r="A745" s="30"/>
      <c r="B745" s="31"/>
      <c r="C745" s="32"/>
      <c r="D745" s="32"/>
      <c r="E745" s="33"/>
      <c r="F745" s="32"/>
      <c r="G745" s="32"/>
      <c r="H745" s="32"/>
      <c r="I745" s="32"/>
      <c r="J745" s="32"/>
      <c r="K745" s="32"/>
      <c r="L745" s="32"/>
      <c r="M745" s="30"/>
      <c r="N745" s="32"/>
      <c r="O745" s="34"/>
      <c r="P745" s="32"/>
      <c r="Q745" s="32"/>
      <c r="R745" s="32"/>
      <c r="S745" s="32"/>
      <c r="T745" s="32"/>
      <c r="U745" s="32"/>
      <c r="V745" s="31"/>
      <c r="W745" s="35" t="str">
        <f aca="true">IF(OR(V745="",AG745&gt;=8),"",IF(V745&lt;TODAY(),"Vencida",IF(V745=TODAY(),"Hoy","")))</f>
        <v/>
      </c>
      <c r="X745" s="36" t="str">
        <f aca="false">IF(A745="","",IF(COUNTIF(Seguimiento!$B$2:$B$5001,A745)=0,"",_xlfn.MAXIFS(Seguimiento!$A$2:$A$5001,Seguimiento!$B$2:$B$5001,A745)))</f>
        <v/>
      </c>
      <c r="Y745" s="37" t="str">
        <f aca="true">IF(B745="","",TODAY()-B745)</f>
        <v/>
      </c>
      <c r="Z745" s="38" t="str">
        <f aca="false">IF(OR(O745="",G745=""),"",O745*IFERROR(INDEX(Listas!$B$2:$B$50,MATCH(G745,Listas!$A$2:$A$50,0)),0))</f>
        <v/>
      </c>
      <c r="AA745" s="32"/>
      <c r="AB745" s="32"/>
      <c r="AC745" s="32"/>
      <c r="AD745" s="35" t="str">
        <f aca="false">IF(OR(LEFT(H745,4)="Meta",LEFT(H745,6)="Google"),IF(AG745=3,"Lead calificado",IF(OR(AG745=4,AG745=5),"Tasación/visita",IF(OR(AG745=6,AG745=7),"Captación/oferta",IF(AG745=8,"Cierre","")))),"")</f>
        <v/>
      </c>
      <c r="AE745" s="32"/>
      <c r="AF745" s="32"/>
      <c r="AG745" s="37" t="n">
        <f aca="false">IF(R745="",0,IFERROR(MATCH(R745,Listas!$L$2:$L$50,0),0))</f>
        <v>0</v>
      </c>
    </row>
    <row r="746" customFormat="false" ht="15" hidden="false" customHeight="false" outlineLevel="0" collapsed="false">
      <c r="A746" s="30"/>
      <c r="B746" s="31"/>
      <c r="C746" s="32"/>
      <c r="D746" s="32"/>
      <c r="E746" s="33"/>
      <c r="F746" s="32"/>
      <c r="G746" s="32"/>
      <c r="H746" s="32"/>
      <c r="I746" s="32"/>
      <c r="J746" s="32"/>
      <c r="K746" s="32"/>
      <c r="L746" s="32"/>
      <c r="M746" s="30"/>
      <c r="N746" s="32"/>
      <c r="O746" s="34"/>
      <c r="P746" s="32"/>
      <c r="Q746" s="32"/>
      <c r="R746" s="32"/>
      <c r="S746" s="32"/>
      <c r="T746" s="32"/>
      <c r="U746" s="32"/>
      <c r="V746" s="31"/>
      <c r="W746" s="35" t="str">
        <f aca="true">IF(OR(V746="",AG746&gt;=8),"",IF(V746&lt;TODAY(),"Vencida",IF(V746=TODAY(),"Hoy","")))</f>
        <v/>
      </c>
      <c r="X746" s="36" t="str">
        <f aca="false">IF(A746="","",IF(COUNTIF(Seguimiento!$B$2:$B$5001,A746)=0,"",_xlfn.MAXIFS(Seguimiento!$A$2:$A$5001,Seguimiento!$B$2:$B$5001,A746)))</f>
        <v/>
      </c>
      <c r="Y746" s="37" t="str">
        <f aca="true">IF(B746="","",TODAY()-B746)</f>
        <v/>
      </c>
      <c r="Z746" s="38" t="str">
        <f aca="false">IF(OR(O746="",G746=""),"",O746*IFERROR(INDEX(Listas!$B$2:$B$50,MATCH(G746,Listas!$A$2:$A$50,0)),0))</f>
        <v/>
      </c>
      <c r="AA746" s="32"/>
      <c r="AB746" s="32"/>
      <c r="AC746" s="32"/>
      <c r="AD746" s="35" t="str">
        <f aca="false">IF(OR(LEFT(H746,4)="Meta",LEFT(H746,6)="Google"),IF(AG746=3,"Lead calificado",IF(OR(AG746=4,AG746=5),"Tasación/visita",IF(OR(AG746=6,AG746=7),"Captación/oferta",IF(AG746=8,"Cierre","")))),"")</f>
        <v/>
      </c>
      <c r="AE746" s="32"/>
      <c r="AF746" s="32"/>
      <c r="AG746" s="37" t="n">
        <f aca="false">IF(R746="",0,IFERROR(MATCH(R746,Listas!$L$2:$L$50,0),0))</f>
        <v>0</v>
      </c>
    </row>
    <row r="747" customFormat="false" ht="15" hidden="false" customHeight="false" outlineLevel="0" collapsed="false">
      <c r="A747" s="30"/>
      <c r="B747" s="31"/>
      <c r="C747" s="32"/>
      <c r="D747" s="32"/>
      <c r="E747" s="33"/>
      <c r="F747" s="32"/>
      <c r="G747" s="32"/>
      <c r="H747" s="32"/>
      <c r="I747" s="32"/>
      <c r="J747" s="32"/>
      <c r="K747" s="32"/>
      <c r="L747" s="32"/>
      <c r="M747" s="30"/>
      <c r="N747" s="32"/>
      <c r="O747" s="34"/>
      <c r="P747" s="32"/>
      <c r="Q747" s="32"/>
      <c r="R747" s="32"/>
      <c r="S747" s="32"/>
      <c r="T747" s="32"/>
      <c r="U747" s="32"/>
      <c r="V747" s="31"/>
      <c r="W747" s="35" t="str">
        <f aca="true">IF(OR(V747="",AG747&gt;=8),"",IF(V747&lt;TODAY(),"Vencida",IF(V747=TODAY(),"Hoy","")))</f>
        <v/>
      </c>
      <c r="X747" s="36" t="str">
        <f aca="false">IF(A747="","",IF(COUNTIF(Seguimiento!$B$2:$B$5001,A747)=0,"",_xlfn.MAXIFS(Seguimiento!$A$2:$A$5001,Seguimiento!$B$2:$B$5001,A747)))</f>
        <v/>
      </c>
      <c r="Y747" s="37" t="str">
        <f aca="true">IF(B747="","",TODAY()-B747)</f>
        <v/>
      </c>
      <c r="Z747" s="38" t="str">
        <f aca="false">IF(OR(O747="",G747=""),"",O747*IFERROR(INDEX(Listas!$B$2:$B$50,MATCH(G747,Listas!$A$2:$A$50,0)),0))</f>
        <v/>
      </c>
      <c r="AA747" s="32"/>
      <c r="AB747" s="32"/>
      <c r="AC747" s="32"/>
      <c r="AD747" s="35" t="str">
        <f aca="false">IF(OR(LEFT(H747,4)="Meta",LEFT(H747,6)="Google"),IF(AG747=3,"Lead calificado",IF(OR(AG747=4,AG747=5),"Tasación/visita",IF(OR(AG747=6,AG747=7),"Captación/oferta",IF(AG747=8,"Cierre","")))),"")</f>
        <v/>
      </c>
      <c r="AE747" s="32"/>
      <c r="AF747" s="32"/>
      <c r="AG747" s="37" t="n">
        <f aca="false">IF(R747="",0,IFERROR(MATCH(R747,Listas!$L$2:$L$50,0),0))</f>
        <v>0</v>
      </c>
    </row>
    <row r="748" customFormat="false" ht="15" hidden="false" customHeight="false" outlineLevel="0" collapsed="false">
      <c r="A748" s="30"/>
      <c r="B748" s="31"/>
      <c r="C748" s="32"/>
      <c r="D748" s="32"/>
      <c r="E748" s="33"/>
      <c r="F748" s="32"/>
      <c r="G748" s="32"/>
      <c r="H748" s="32"/>
      <c r="I748" s="32"/>
      <c r="J748" s="32"/>
      <c r="K748" s="32"/>
      <c r="L748" s="32"/>
      <c r="M748" s="30"/>
      <c r="N748" s="32"/>
      <c r="O748" s="34"/>
      <c r="P748" s="32"/>
      <c r="Q748" s="32"/>
      <c r="R748" s="32"/>
      <c r="S748" s="32"/>
      <c r="T748" s="32"/>
      <c r="U748" s="32"/>
      <c r="V748" s="31"/>
      <c r="W748" s="35" t="str">
        <f aca="true">IF(OR(V748="",AG748&gt;=8),"",IF(V748&lt;TODAY(),"Vencida",IF(V748=TODAY(),"Hoy","")))</f>
        <v/>
      </c>
      <c r="X748" s="36" t="str">
        <f aca="false">IF(A748="","",IF(COUNTIF(Seguimiento!$B$2:$B$5001,A748)=0,"",_xlfn.MAXIFS(Seguimiento!$A$2:$A$5001,Seguimiento!$B$2:$B$5001,A748)))</f>
        <v/>
      </c>
      <c r="Y748" s="37" t="str">
        <f aca="true">IF(B748="","",TODAY()-B748)</f>
        <v/>
      </c>
      <c r="Z748" s="38" t="str">
        <f aca="false">IF(OR(O748="",G748=""),"",O748*IFERROR(INDEX(Listas!$B$2:$B$50,MATCH(G748,Listas!$A$2:$A$50,0)),0))</f>
        <v/>
      </c>
      <c r="AA748" s="32"/>
      <c r="AB748" s="32"/>
      <c r="AC748" s="32"/>
      <c r="AD748" s="35" t="str">
        <f aca="false">IF(OR(LEFT(H748,4)="Meta",LEFT(H748,6)="Google"),IF(AG748=3,"Lead calificado",IF(OR(AG748=4,AG748=5),"Tasación/visita",IF(OR(AG748=6,AG748=7),"Captación/oferta",IF(AG748=8,"Cierre","")))),"")</f>
        <v/>
      </c>
      <c r="AE748" s="32"/>
      <c r="AF748" s="32"/>
      <c r="AG748" s="37" t="n">
        <f aca="false">IF(R748="",0,IFERROR(MATCH(R748,Listas!$L$2:$L$50,0),0))</f>
        <v>0</v>
      </c>
    </row>
    <row r="749" customFormat="false" ht="15" hidden="false" customHeight="false" outlineLevel="0" collapsed="false">
      <c r="A749" s="30"/>
      <c r="B749" s="31"/>
      <c r="C749" s="32"/>
      <c r="D749" s="32"/>
      <c r="E749" s="33"/>
      <c r="F749" s="32"/>
      <c r="G749" s="32"/>
      <c r="H749" s="32"/>
      <c r="I749" s="32"/>
      <c r="J749" s="32"/>
      <c r="K749" s="32"/>
      <c r="L749" s="32"/>
      <c r="M749" s="30"/>
      <c r="N749" s="32"/>
      <c r="O749" s="34"/>
      <c r="P749" s="32"/>
      <c r="Q749" s="32"/>
      <c r="R749" s="32"/>
      <c r="S749" s="32"/>
      <c r="T749" s="32"/>
      <c r="U749" s="32"/>
      <c r="V749" s="31"/>
      <c r="W749" s="35" t="str">
        <f aca="true">IF(OR(V749="",AG749&gt;=8),"",IF(V749&lt;TODAY(),"Vencida",IF(V749=TODAY(),"Hoy","")))</f>
        <v/>
      </c>
      <c r="X749" s="36" t="str">
        <f aca="false">IF(A749="","",IF(COUNTIF(Seguimiento!$B$2:$B$5001,A749)=0,"",_xlfn.MAXIFS(Seguimiento!$A$2:$A$5001,Seguimiento!$B$2:$B$5001,A749)))</f>
        <v/>
      </c>
      <c r="Y749" s="37" t="str">
        <f aca="true">IF(B749="","",TODAY()-B749)</f>
        <v/>
      </c>
      <c r="Z749" s="38" t="str">
        <f aca="false">IF(OR(O749="",G749=""),"",O749*IFERROR(INDEX(Listas!$B$2:$B$50,MATCH(G749,Listas!$A$2:$A$50,0)),0))</f>
        <v/>
      </c>
      <c r="AA749" s="32"/>
      <c r="AB749" s="32"/>
      <c r="AC749" s="32"/>
      <c r="AD749" s="35" t="str">
        <f aca="false">IF(OR(LEFT(H749,4)="Meta",LEFT(H749,6)="Google"),IF(AG749=3,"Lead calificado",IF(OR(AG749=4,AG749=5),"Tasación/visita",IF(OR(AG749=6,AG749=7),"Captación/oferta",IF(AG749=8,"Cierre","")))),"")</f>
        <v/>
      </c>
      <c r="AE749" s="32"/>
      <c r="AF749" s="32"/>
      <c r="AG749" s="37" t="n">
        <f aca="false">IF(R749="",0,IFERROR(MATCH(R749,Listas!$L$2:$L$50,0),0))</f>
        <v>0</v>
      </c>
    </row>
    <row r="750" customFormat="false" ht="15" hidden="false" customHeight="false" outlineLevel="0" collapsed="false">
      <c r="A750" s="30"/>
      <c r="B750" s="31"/>
      <c r="C750" s="32"/>
      <c r="D750" s="32"/>
      <c r="E750" s="33"/>
      <c r="F750" s="32"/>
      <c r="G750" s="32"/>
      <c r="H750" s="32"/>
      <c r="I750" s="32"/>
      <c r="J750" s="32"/>
      <c r="K750" s="32"/>
      <c r="L750" s="32"/>
      <c r="M750" s="30"/>
      <c r="N750" s="32"/>
      <c r="O750" s="34"/>
      <c r="P750" s="32"/>
      <c r="Q750" s="32"/>
      <c r="R750" s="32"/>
      <c r="S750" s="32"/>
      <c r="T750" s="32"/>
      <c r="U750" s="32"/>
      <c r="V750" s="31"/>
      <c r="W750" s="35" t="str">
        <f aca="true">IF(OR(V750="",AG750&gt;=8),"",IF(V750&lt;TODAY(),"Vencida",IF(V750=TODAY(),"Hoy","")))</f>
        <v/>
      </c>
      <c r="X750" s="36" t="str">
        <f aca="false">IF(A750="","",IF(COUNTIF(Seguimiento!$B$2:$B$5001,A750)=0,"",_xlfn.MAXIFS(Seguimiento!$A$2:$A$5001,Seguimiento!$B$2:$B$5001,A750)))</f>
        <v/>
      </c>
      <c r="Y750" s="37" t="str">
        <f aca="true">IF(B750="","",TODAY()-B750)</f>
        <v/>
      </c>
      <c r="Z750" s="38" t="str">
        <f aca="false">IF(OR(O750="",G750=""),"",O750*IFERROR(INDEX(Listas!$B$2:$B$50,MATCH(G750,Listas!$A$2:$A$50,0)),0))</f>
        <v/>
      </c>
      <c r="AA750" s="32"/>
      <c r="AB750" s="32"/>
      <c r="AC750" s="32"/>
      <c r="AD750" s="35" t="str">
        <f aca="false">IF(OR(LEFT(H750,4)="Meta",LEFT(H750,6)="Google"),IF(AG750=3,"Lead calificado",IF(OR(AG750=4,AG750=5),"Tasación/visita",IF(OR(AG750=6,AG750=7),"Captación/oferta",IF(AG750=8,"Cierre","")))),"")</f>
        <v/>
      </c>
      <c r="AE750" s="32"/>
      <c r="AF750" s="32"/>
      <c r="AG750" s="37" t="n">
        <f aca="false">IF(R750="",0,IFERROR(MATCH(R750,Listas!$L$2:$L$50,0),0))</f>
        <v>0</v>
      </c>
    </row>
    <row r="751" customFormat="false" ht="15" hidden="false" customHeight="false" outlineLevel="0" collapsed="false">
      <c r="A751" s="30"/>
      <c r="B751" s="31"/>
      <c r="C751" s="32"/>
      <c r="D751" s="32"/>
      <c r="E751" s="33"/>
      <c r="F751" s="32"/>
      <c r="G751" s="32"/>
      <c r="H751" s="32"/>
      <c r="I751" s="32"/>
      <c r="J751" s="32"/>
      <c r="K751" s="32"/>
      <c r="L751" s="32"/>
      <c r="M751" s="30"/>
      <c r="N751" s="32"/>
      <c r="O751" s="34"/>
      <c r="P751" s="32"/>
      <c r="Q751" s="32"/>
      <c r="R751" s="32"/>
      <c r="S751" s="32"/>
      <c r="T751" s="32"/>
      <c r="U751" s="32"/>
      <c r="V751" s="31"/>
      <c r="W751" s="35" t="str">
        <f aca="true">IF(OR(V751="",AG751&gt;=8),"",IF(V751&lt;TODAY(),"Vencida",IF(V751=TODAY(),"Hoy","")))</f>
        <v/>
      </c>
      <c r="X751" s="36" t="str">
        <f aca="false">IF(A751="","",IF(COUNTIF(Seguimiento!$B$2:$B$5001,A751)=0,"",_xlfn.MAXIFS(Seguimiento!$A$2:$A$5001,Seguimiento!$B$2:$B$5001,A751)))</f>
        <v/>
      </c>
      <c r="Y751" s="37" t="str">
        <f aca="true">IF(B751="","",TODAY()-B751)</f>
        <v/>
      </c>
      <c r="Z751" s="38" t="str">
        <f aca="false">IF(OR(O751="",G751=""),"",O751*IFERROR(INDEX(Listas!$B$2:$B$50,MATCH(G751,Listas!$A$2:$A$50,0)),0))</f>
        <v/>
      </c>
      <c r="AA751" s="32"/>
      <c r="AB751" s="32"/>
      <c r="AC751" s="32"/>
      <c r="AD751" s="35" t="str">
        <f aca="false">IF(OR(LEFT(H751,4)="Meta",LEFT(H751,6)="Google"),IF(AG751=3,"Lead calificado",IF(OR(AG751=4,AG751=5),"Tasación/visita",IF(OR(AG751=6,AG751=7),"Captación/oferta",IF(AG751=8,"Cierre","")))),"")</f>
        <v/>
      </c>
      <c r="AE751" s="32"/>
      <c r="AF751" s="32"/>
      <c r="AG751" s="37" t="n">
        <f aca="false">IF(R751="",0,IFERROR(MATCH(R751,Listas!$L$2:$L$50,0),0))</f>
        <v>0</v>
      </c>
    </row>
    <row r="752" customFormat="false" ht="15" hidden="false" customHeight="false" outlineLevel="0" collapsed="false">
      <c r="A752" s="30"/>
      <c r="B752" s="31"/>
      <c r="C752" s="32"/>
      <c r="D752" s="32"/>
      <c r="E752" s="33"/>
      <c r="F752" s="32"/>
      <c r="G752" s="32"/>
      <c r="H752" s="32"/>
      <c r="I752" s="32"/>
      <c r="J752" s="32"/>
      <c r="K752" s="32"/>
      <c r="L752" s="32"/>
      <c r="M752" s="30"/>
      <c r="N752" s="32"/>
      <c r="O752" s="34"/>
      <c r="P752" s="32"/>
      <c r="Q752" s="32"/>
      <c r="R752" s="32"/>
      <c r="S752" s="32"/>
      <c r="T752" s="32"/>
      <c r="U752" s="32"/>
      <c r="V752" s="31"/>
      <c r="W752" s="35" t="str">
        <f aca="true">IF(OR(V752="",AG752&gt;=8),"",IF(V752&lt;TODAY(),"Vencida",IF(V752=TODAY(),"Hoy","")))</f>
        <v/>
      </c>
      <c r="X752" s="36" t="str">
        <f aca="false">IF(A752="","",IF(COUNTIF(Seguimiento!$B$2:$B$5001,A752)=0,"",_xlfn.MAXIFS(Seguimiento!$A$2:$A$5001,Seguimiento!$B$2:$B$5001,A752)))</f>
        <v/>
      </c>
      <c r="Y752" s="37" t="str">
        <f aca="true">IF(B752="","",TODAY()-B752)</f>
        <v/>
      </c>
      <c r="Z752" s="38" t="str">
        <f aca="false">IF(OR(O752="",G752=""),"",O752*IFERROR(INDEX(Listas!$B$2:$B$50,MATCH(G752,Listas!$A$2:$A$50,0)),0))</f>
        <v/>
      </c>
      <c r="AA752" s="32"/>
      <c r="AB752" s="32"/>
      <c r="AC752" s="32"/>
      <c r="AD752" s="35" t="str">
        <f aca="false">IF(OR(LEFT(H752,4)="Meta",LEFT(H752,6)="Google"),IF(AG752=3,"Lead calificado",IF(OR(AG752=4,AG752=5),"Tasación/visita",IF(OR(AG752=6,AG752=7),"Captación/oferta",IF(AG752=8,"Cierre","")))),"")</f>
        <v/>
      </c>
      <c r="AE752" s="32"/>
      <c r="AF752" s="32"/>
      <c r="AG752" s="37" t="n">
        <f aca="false">IF(R752="",0,IFERROR(MATCH(R752,Listas!$L$2:$L$50,0),0))</f>
        <v>0</v>
      </c>
    </row>
    <row r="753" customFormat="false" ht="15" hidden="false" customHeight="false" outlineLevel="0" collapsed="false">
      <c r="A753" s="30"/>
      <c r="B753" s="31"/>
      <c r="C753" s="32"/>
      <c r="D753" s="32"/>
      <c r="E753" s="33"/>
      <c r="F753" s="32"/>
      <c r="G753" s="32"/>
      <c r="H753" s="32"/>
      <c r="I753" s="32"/>
      <c r="J753" s="32"/>
      <c r="K753" s="32"/>
      <c r="L753" s="32"/>
      <c r="M753" s="30"/>
      <c r="N753" s="32"/>
      <c r="O753" s="34"/>
      <c r="P753" s="32"/>
      <c r="Q753" s="32"/>
      <c r="R753" s="32"/>
      <c r="S753" s="32"/>
      <c r="T753" s="32"/>
      <c r="U753" s="32"/>
      <c r="V753" s="31"/>
      <c r="W753" s="35" t="str">
        <f aca="true">IF(OR(V753="",AG753&gt;=8),"",IF(V753&lt;TODAY(),"Vencida",IF(V753=TODAY(),"Hoy","")))</f>
        <v/>
      </c>
      <c r="X753" s="36" t="str">
        <f aca="false">IF(A753="","",IF(COUNTIF(Seguimiento!$B$2:$B$5001,A753)=0,"",_xlfn.MAXIFS(Seguimiento!$A$2:$A$5001,Seguimiento!$B$2:$B$5001,A753)))</f>
        <v/>
      </c>
      <c r="Y753" s="37" t="str">
        <f aca="true">IF(B753="","",TODAY()-B753)</f>
        <v/>
      </c>
      <c r="Z753" s="38" t="str">
        <f aca="false">IF(OR(O753="",G753=""),"",O753*IFERROR(INDEX(Listas!$B$2:$B$50,MATCH(G753,Listas!$A$2:$A$50,0)),0))</f>
        <v/>
      </c>
      <c r="AA753" s="32"/>
      <c r="AB753" s="32"/>
      <c r="AC753" s="32"/>
      <c r="AD753" s="35" t="str">
        <f aca="false">IF(OR(LEFT(H753,4)="Meta",LEFT(H753,6)="Google"),IF(AG753=3,"Lead calificado",IF(OR(AG753=4,AG753=5),"Tasación/visita",IF(OR(AG753=6,AG753=7),"Captación/oferta",IF(AG753=8,"Cierre","")))),"")</f>
        <v/>
      </c>
      <c r="AE753" s="32"/>
      <c r="AF753" s="32"/>
      <c r="AG753" s="37" t="n">
        <f aca="false">IF(R753="",0,IFERROR(MATCH(R753,Listas!$L$2:$L$50,0),0))</f>
        <v>0</v>
      </c>
    </row>
    <row r="754" customFormat="false" ht="15" hidden="false" customHeight="false" outlineLevel="0" collapsed="false">
      <c r="A754" s="30"/>
      <c r="B754" s="31"/>
      <c r="C754" s="32"/>
      <c r="D754" s="32"/>
      <c r="E754" s="33"/>
      <c r="F754" s="32"/>
      <c r="G754" s="32"/>
      <c r="H754" s="32"/>
      <c r="I754" s="32"/>
      <c r="J754" s="32"/>
      <c r="K754" s="32"/>
      <c r="L754" s="32"/>
      <c r="M754" s="30"/>
      <c r="N754" s="32"/>
      <c r="O754" s="34"/>
      <c r="P754" s="32"/>
      <c r="Q754" s="32"/>
      <c r="R754" s="32"/>
      <c r="S754" s="32"/>
      <c r="T754" s="32"/>
      <c r="U754" s="32"/>
      <c r="V754" s="31"/>
      <c r="W754" s="35" t="str">
        <f aca="true">IF(OR(V754="",AG754&gt;=8),"",IF(V754&lt;TODAY(),"Vencida",IF(V754=TODAY(),"Hoy","")))</f>
        <v/>
      </c>
      <c r="X754" s="36" t="str">
        <f aca="false">IF(A754="","",IF(COUNTIF(Seguimiento!$B$2:$B$5001,A754)=0,"",_xlfn.MAXIFS(Seguimiento!$A$2:$A$5001,Seguimiento!$B$2:$B$5001,A754)))</f>
        <v/>
      </c>
      <c r="Y754" s="37" t="str">
        <f aca="true">IF(B754="","",TODAY()-B754)</f>
        <v/>
      </c>
      <c r="Z754" s="38" t="str">
        <f aca="false">IF(OR(O754="",G754=""),"",O754*IFERROR(INDEX(Listas!$B$2:$B$50,MATCH(G754,Listas!$A$2:$A$50,0)),0))</f>
        <v/>
      </c>
      <c r="AA754" s="32"/>
      <c r="AB754" s="32"/>
      <c r="AC754" s="32"/>
      <c r="AD754" s="35" t="str">
        <f aca="false">IF(OR(LEFT(H754,4)="Meta",LEFT(H754,6)="Google"),IF(AG754=3,"Lead calificado",IF(OR(AG754=4,AG754=5),"Tasación/visita",IF(OR(AG754=6,AG754=7),"Captación/oferta",IF(AG754=8,"Cierre","")))),"")</f>
        <v/>
      </c>
      <c r="AE754" s="32"/>
      <c r="AF754" s="32"/>
      <c r="AG754" s="37" t="n">
        <f aca="false">IF(R754="",0,IFERROR(MATCH(R754,Listas!$L$2:$L$50,0),0))</f>
        <v>0</v>
      </c>
    </row>
    <row r="755" customFormat="false" ht="15" hidden="false" customHeight="false" outlineLevel="0" collapsed="false">
      <c r="A755" s="30"/>
      <c r="B755" s="31"/>
      <c r="C755" s="32"/>
      <c r="D755" s="32"/>
      <c r="E755" s="33"/>
      <c r="F755" s="32"/>
      <c r="G755" s="32"/>
      <c r="H755" s="32"/>
      <c r="I755" s="32"/>
      <c r="J755" s="32"/>
      <c r="K755" s="32"/>
      <c r="L755" s="32"/>
      <c r="M755" s="30"/>
      <c r="N755" s="32"/>
      <c r="O755" s="34"/>
      <c r="P755" s="32"/>
      <c r="Q755" s="32"/>
      <c r="R755" s="32"/>
      <c r="S755" s="32"/>
      <c r="T755" s="32"/>
      <c r="U755" s="32"/>
      <c r="V755" s="31"/>
      <c r="W755" s="35" t="str">
        <f aca="true">IF(OR(V755="",AG755&gt;=8),"",IF(V755&lt;TODAY(),"Vencida",IF(V755=TODAY(),"Hoy","")))</f>
        <v/>
      </c>
      <c r="X755" s="36" t="str">
        <f aca="false">IF(A755="","",IF(COUNTIF(Seguimiento!$B$2:$B$5001,A755)=0,"",_xlfn.MAXIFS(Seguimiento!$A$2:$A$5001,Seguimiento!$B$2:$B$5001,A755)))</f>
        <v/>
      </c>
      <c r="Y755" s="37" t="str">
        <f aca="true">IF(B755="","",TODAY()-B755)</f>
        <v/>
      </c>
      <c r="Z755" s="38" t="str">
        <f aca="false">IF(OR(O755="",G755=""),"",O755*IFERROR(INDEX(Listas!$B$2:$B$50,MATCH(G755,Listas!$A$2:$A$50,0)),0))</f>
        <v/>
      </c>
      <c r="AA755" s="32"/>
      <c r="AB755" s="32"/>
      <c r="AC755" s="32"/>
      <c r="AD755" s="35" t="str">
        <f aca="false">IF(OR(LEFT(H755,4)="Meta",LEFT(H755,6)="Google"),IF(AG755=3,"Lead calificado",IF(OR(AG755=4,AG755=5),"Tasación/visita",IF(OR(AG755=6,AG755=7),"Captación/oferta",IF(AG755=8,"Cierre","")))),"")</f>
        <v/>
      </c>
      <c r="AE755" s="32"/>
      <c r="AF755" s="32"/>
      <c r="AG755" s="37" t="n">
        <f aca="false">IF(R755="",0,IFERROR(MATCH(R755,Listas!$L$2:$L$50,0),0))</f>
        <v>0</v>
      </c>
    </row>
    <row r="756" customFormat="false" ht="15" hidden="false" customHeight="false" outlineLevel="0" collapsed="false">
      <c r="A756" s="30"/>
      <c r="B756" s="31"/>
      <c r="C756" s="32"/>
      <c r="D756" s="32"/>
      <c r="E756" s="33"/>
      <c r="F756" s="32"/>
      <c r="G756" s="32"/>
      <c r="H756" s="32"/>
      <c r="I756" s="32"/>
      <c r="J756" s="32"/>
      <c r="K756" s="32"/>
      <c r="L756" s="32"/>
      <c r="M756" s="30"/>
      <c r="N756" s="32"/>
      <c r="O756" s="34"/>
      <c r="P756" s="32"/>
      <c r="Q756" s="32"/>
      <c r="R756" s="32"/>
      <c r="S756" s="32"/>
      <c r="T756" s="32"/>
      <c r="U756" s="32"/>
      <c r="V756" s="31"/>
      <c r="W756" s="35" t="str">
        <f aca="true">IF(OR(V756="",AG756&gt;=8),"",IF(V756&lt;TODAY(),"Vencida",IF(V756=TODAY(),"Hoy","")))</f>
        <v/>
      </c>
      <c r="X756" s="36" t="str">
        <f aca="false">IF(A756="","",IF(COUNTIF(Seguimiento!$B$2:$B$5001,A756)=0,"",_xlfn.MAXIFS(Seguimiento!$A$2:$A$5001,Seguimiento!$B$2:$B$5001,A756)))</f>
        <v/>
      </c>
      <c r="Y756" s="37" t="str">
        <f aca="true">IF(B756="","",TODAY()-B756)</f>
        <v/>
      </c>
      <c r="Z756" s="38" t="str">
        <f aca="false">IF(OR(O756="",G756=""),"",O756*IFERROR(INDEX(Listas!$B$2:$B$50,MATCH(G756,Listas!$A$2:$A$50,0)),0))</f>
        <v/>
      </c>
      <c r="AA756" s="32"/>
      <c r="AB756" s="32"/>
      <c r="AC756" s="32"/>
      <c r="AD756" s="35" t="str">
        <f aca="false">IF(OR(LEFT(H756,4)="Meta",LEFT(H756,6)="Google"),IF(AG756=3,"Lead calificado",IF(OR(AG756=4,AG756=5),"Tasación/visita",IF(OR(AG756=6,AG756=7),"Captación/oferta",IF(AG756=8,"Cierre","")))),"")</f>
        <v/>
      </c>
      <c r="AE756" s="32"/>
      <c r="AF756" s="32"/>
      <c r="AG756" s="37" t="n">
        <f aca="false">IF(R756="",0,IFERROR(MATCH(R756,Listas!$L$2:$L$50,0),0))</f>
        <v>0</v>
      </c>
    </row>
    <row r="757" customFormat="false" ht="15" hidden="false" customHeight="false" outlineLevel="0" collapsed="false">
      <c r="A757" s="30"/>
      <c r="B757" s="31"/>
      <c r="C757" s="32"/>
      <c r="D757" s="32"/>
      <c r="E757" s="33"/>
      <c r="F757" s="32"/>
      <c r="G757" s="32"/>
      <c r="H757" s="32"/>
      <c r="I757" s="32"/>
      <c r="J757" s="32"/>
      <c r="K757" s="32"/>
      <c r="L757" s="32"/>
      <c r="M757" s="30"/>
      <c r="N757" s="32"/>
      <c r="O757" s="34"/>
      <c r="P757" s="32"/>
      <c r="Q757" s="32"/>
      <c r="R757" s="32"/>
      <c r="S757" s="32"/>
      <c r="T757" s="32"/>
      <c r="U757" s="32"/>
      <c r="V757" s="31"/>
      <c r="W757" s="35" t="str">
        <f aca="true">IF(OR(V757="",AG757&gt;=8),"",IF(V757&lt;TODAY(),"Vencida",IF(V757=TODAY(),"Hoy","")))</f>
        <v/>
      </c>
      <c r="X757" s="36" t="str">
        <f aca="false">IF(A757="","",IF(COUNTIF(Seguimiento!$B$2:$B$5001,A757)=0,"",_xlfn.MAXIFS(Seguimiento!$A$2:$A$5001,Seguimiento!$B$2:$B$5001,A757)))</f>
        <v/>
      </c>
      <c r="Y757" s="37" t="str">
        <f aca="true">IF(B757="","",TODAY()-B757)</f>
        <v/>
      </c>
      <c r="Z757" s="38" t="str">
        <f aca="false">IF(OR(O757="",G757=""),"",O757*IFERROR(INDEX(Listas!$B$2:$B$50,MATCH(G757,Listas!$A$2:$A$50,0)),0))</f>
        <v/>
      </c>
      <c r="AA757" s="32"/>
      <c r="AB757" s="32"/>
      <c r="AC757" s="32"/>
      <c r="AD757" s="35" t="str">
        <f aca="false">IF(OR(LEFT(H757,4)="Meta",LEFT(H757,6)="Google"),IF(AG757=3,"Lead calificado",IF(OR(AG757=4,AG757=5),"Tasación/visita",IF(OR(AG757=6,AG757=7),"Captación/oferta",IF(AG757=8,"Cierre","")))),"")</f>
        <v/>
      </c>
      <c r="AE757" s="32"/>
      <c r="AF757" s="32"/>
      <c r="AG757" s="37" t="n">
        <f aca="false">IF(R757="",0,IFERROR(MATCH(R757,Listas!$L$2:$L$50,0),0))</f>
        <v>0</v>
      </c>
    </row>
    <row r="758" customFormat="false" ht="15" hidden="false" customHeight="false" outlineLevel="0" collapsed="false">
      <c r="A758" s="30"/>
      <c r="B758" s="31"/>
      <c r="C758" s="32"/>
      <c r="D758" s="32"/>
      <c r="E758" s="33"/>
      <c r="F758" s="32"/>
      <c r="G758" s="32"/>
      <c r="H758" s="32"/>
      <c r="I758" s="32"/>
      <c r="J758" s="32"/>
      <c r="K758" s="32"/>
      <c r="L758" s="32"/>
      <c r="M758" s="30"/>
      <c r="N758" s="32"/>
      <c r="O758" s="34"/>
      <c r="P758" s="32"/>
      <c r="Q758" s="32"/>
      <c r="R758" s="32"/>
      <c r="S758" s="32"/>
      <c r="T758" s="32"/>
      <c r="U758" s="32"/>
      <c r="V758" s="31"/>
      <c r="W758" s="35" t="str">
        <f aca="true">IF(OR(V758="",AG758&gt;=8),"",IF(V758&lt;TODAY(),"Vencida",IF(V758=TODAY(),"Hoy","")))</f>
        <v/>
      </c>
      <c r="X758" s="36" t="str">
        <f aca="false">IF(A758="","",IF(COUNTIF(Seguimiento!$B$2:$B$5001,A758)=0,"",_xlfn.MAXIFS(Seguimiento!$A$2:$A$5001,Seguimiento!$B$2:$B$5001,A758)))</f>
        <v/>
      </c>
      <c r="Y758" s="37" t="str">
        <f aca="true">IF(B758="","",TODAY()-B758)</f>
        <v/>
      </c>
      <c r="Z758" s="38" t="str">
        <f aca="false">IF(OR(O758="",G758=""),"",O758*IFERROR(INDEX(Listas!$B$2:$B$50,MATCH(G758,Listas!$A$2:$A$50,0)),0))</f>
        <v/>
      </c>
      <c r="AA758" s="32"/>
      <c r="AB758" s="32"/>
      <c r="AC758" s="32"/>
      <c r="AD758" s="35" t="str">
        <f aca="false">IF(OR(LEFT(H758,4)="Meta",LEFT(H758,6)="Google"),IF(AG758=3,"Lead calificado",IF(OR(AG758=4,AG758=5),"Tasación/visita",IF(OR(AG758=6,AG758=7),"Captación/oferta",IF(AG758=8,"Cierre","")))),"")</f>
        <v/>
      </c>
      <c r="AE758" s="32"/>
      <c r="AF758" s="32"/>
      <c r="AG758" s="37" t="n">
        <f aca="false">IF(R758="",0,IFERROR(MATCH(R758,Listas!$L$2:$L$50,0),0))</f>
        <v>0</v>
      </c>
    </row>
    <row r="759" customFormat="false" ht="15" hidden="false" customHeight="false" outlineLevel="0" collapsed="false">
      <c r="A759" s="30"/>
      <c r="B759" s="31"/>
      <c r="C759" s="32"/>
      <c r="D759" s="32"/>
      <c r="E759" s="33"/>
      <c r="F759" s="32"/>
      <c r="G759" s="32"/>
      <c r="H759" s="32"/>
      <c r="I759" s="32"/>
      <c r="J759" s="32"/>
      <c r="K759" s="32"/>
      <c r="L759" s="32"/>
      <c r="M759" s="30"/>
      <c r="N759" s="32"/>
      <c r="O759" s="34"/>
      <c r="P759" s="32"/>
      <c r="Q759" s="32"/>
      <c r="R759" s="32"/>
      <c r="S759" s="32"/>
      <c r="T759" s="32"/>
      <c r="U759" s="32"/>
      <c r="V759" s="31"/>
      <c r="W759" s="35" t="str">
        <f aca="true">IF(OR(V759="",AG759&gt;=8),"",IF(V759&lt;TODAY(),"Vencida",IF(V759=TODAY(),"Hoy","")))</f>
        <v/>
      </c>
      <c r="X759" s="36" t="str">
        <f aca="false">IF(A759="","",IF(COUNTIF(Seguimiento!$B$2:$B$5001,A759)=0,"",_xlfn.MAXIFS(Seguimiento!$A$2:$A$5001,Seguimiento!$B$2:$B$5001,A759)))</f>
        <v/>
      </c>
      <c r="Y759" s="37" t="str">
        <f aca="true">IF(B759="","",TODAY()-B759)</f>
        <v/>
      </c>
      <c r="Z759" s="38" t="str">
        <f aca="false">IF(OR(O759="",G759=""),"",O759*IFERROR(INDEX(Listas!$B$2:$B$50,MATCH(G759,Listas!$A$2:$A$50,0)),0))</f>
        <v/>
      </c>
      <c r="AA759" s="32"/>
      <c r="AB759" s="32"/>
      <c r="AC759" s="32"/>
      <c r="AD759" s="35" t="str">
        <f aca="false">IF(OR(LEFT(H759,4)="Meta",LEFT(H759,6)="Google"),IF(AG759=3,"Lead calificado",IF(OR(AG759=4,AG759=5),"Tasación/visita",IF(OR(AG759=6,AG759=7),"Captación/oferta",IF(AG759=8,"Cierre","")))),"")</f>
        <v/>
      </c>
      <c r="AE759" s="32"/>
      <c r="AF759" s="32"/>
      <c r="AG759" s="37" t="n">
        <f aca="false">IF(R759="",0,IFERROR(MATCH(R759,Listas!$L$2:$L$50,0),0))</f>
        <v>0</v>
      </c>
    </row>
    <row r="760" customFormat="false" ht="15" hidden="false" customHeight="false" outlineLevel="0" collapsed="false">
      <c r="A760" s="30"/>
      <c r="B760" s="31"/>
      <c r="C760" s="32"/>
      <c r="D760" s="32"/>
      <c r="E760" s="33"/>
      <c r="F760" s="32"/>
      <c r="G760" s="32"/>
      <c r="H760" s="32"/>
      <c r="I760" s="32"/>
      <c r="J760" s="32"/>
      <c r="K760" s="32"/>
      <c r="L760" s="32"/>
      <c r="M760" s="30"/>
      <c r="N760" s="32"/>
      <c r="O760" s="34"/>
      <c r="P760" s="32"/>
      <c r="Q760" s="32"/>
      <c r="R760" s="32"/>
      <c r="S760" s="32"/>
      <c r="T760" s="32"/>
      <c r="U760" s="32"/>
      <c r="V760" s="31"/>
      <c r="W760" s="35" t="str">
        <f aca="true">IF(OR(V760="",AG760&gt;=8),"",IF(V760&lt;TODAY(),"Vencida",IF(V760=TODAY(),"Hoy","")))</f>
        <v/>
      </c>
      <c r="X760" s="36" t="str">
        <f aca="false">IF(A760="","",IF(COUNTIF(Seguimiento!$B$2:$B$5001,A760)=0,"",_xlfn.MAXIFS(Seguimiento!$A$2:$A$5001,Seguimiento!$B$2:$B$5001,A760)))</f>
        <v/>
      </c>
      <c r="Y760" s="37" t="str">
        <f aca="true">IF(B760="","",TODAY()-B760)</f>
        <v/>
      </c>
      <c r="Z760" s="38" t="str">
        <f aca="false">IF(OR(O760="",G760=""),"",O760*IFERROR(INDEX(Listas!$B$2:$B$50,MATCH(G760,Listas!$A$2:$A$50,0)),0))</f>
        <v/>
      </c>
      <c r="AA760" s="32"/>
      <c r="AB760" s="32"/>
      <c r="AC760" s="32"/>
      <c r="AD760" s="35" t="str">
        <f aca="false">IF(OR(LEFT(H760,4)="Meta",LEFT(H760,6)="Google"),IF(AG760=3,"Lead calificado",IF(OR(AG760=4,AG760=5),"Tasación/visita",IF(OR(AG760=6,AG760=7),"Captación/oferta",IF(AG760=8,"Cierre","")))),"")</f>
        <v/>
      </c>
      <c r="AE760" s="32"/>
      <c r="AF760" s="32"/>
      <c r="AG760" s="37" t="n">
        <f aca="false">IF(R760="",0,IFERROR(MATCH(R760,Listas!$L$2:$L$50,0),0))</f>
        <v>0</v>
      </c>
    </row>
    <row r="761" customFormat="false" ht="15" hidden="false" customHeight="false" outlineLevel="0" collapsed="false">
      <c r="A761" s="30"/>
      <c r="B761" s="31"/>
      <c r="C761" s="32"/>
      <c r="D761" s="32"/>
      <c r="E761" s="33"/>
      <c r="F761" s="32"/>
      <c r="G761" s="32"/>
      <c r="H761" s="32"/>
      <c r="I761" s="32"/>
      <c r="J761" s="32"/>
      <c r="K761" s="32"/>
      <c r="L761" s="32"/>
      <c r="M761" s="30"/>
      <c r="N761" s="32"/>
      <c r="O761" s="34"/>
      <c r="P761" s="32"/>
      <c r="Q761" s="32"/>
      <c r="R761" s="32"/>
      <c r="S761" s="32"/>
      <c r="T761" s="32"/>
      <c r="U761" s="32"/>
      <c r="V761" s="31"/>
      <c r="W761" s="35" t="str">
        <f aca="true">IF(OR(V761="",AG761&gt;=8),"",IF(V761&lt;TODAY(),"Vencida",IF(V761=TODAY(),"Hoy","")))</f>
        <v/>
      </c>
      <c r="X761" s="36" t="str">
        <f aca="false">IF(A761="","",IF(COUNTIF(Seguimiento!$B$2:$B$5001,A761)=0,"",_xlfn.MAXIFS(Seguimiento!$A$2:$A$5001,Seguimiento!$B$2:$B$5001,A761)))</f>
        <v/>
      </c>
      <c r="Y761" s="37" t="str">
        <f aca="true">IF(B761="","",TODAY()-B761)</f>
        <v/>
      </c>
      <c r="Z761" s="38" t="str">
        <f aca="false">IF(OR(O761="",G761=""),"",O761*IFERROR(INDEX(Listas!$B$2:$B$50,MATCH(G761,Listas!$A$2:$A$50,0)),0))</f>
        <v/>
      </c>
      <c r="AA761" s="32"/>
      <c r="AB761" s="32"/>
      <c r="AC761" s="32"/>
      <c r="AD761" s="35" t="str">
        <f aca="false">IF(OR(LEFT(H761,4)="Meta",LEFT(H761,6)="Google"),IF(AG761=3,"Lead calificado",IF(OR(AG761=4,AG761=5),"Tasación/visita",IF(OR(AG761=6,AG761=7),"Captación/oferta",IF(AG761=8,"Cierre","")))),"")</f>
        <v/>
      </c>
      <c r="AE761" s="32"/>
      <c r="AF761" s="32"/>
      <c r="AG761" s="37" t="n">
        <f aca="false">IF(R761="",0,IFERROR(MATCH(R761,Listas!$L$2:$L$50,0),0))</f>
        <v>0</v>
      </c>
    </row>
    <row r="762" customFormat="false" ht="15" hidden="false" customHeight="false" outlineLevel="0" collapsed="false">
      <c r="A762" s="30"/>
      <c r="B762" s="31"/>
      <c r="C762" s="32"/>
      <c r="D762" s="32"/>
      <c r="E762" s="33"/>
      <c r="F762" s="32"/>
      <c r="G762" s="32"/>
      <c r="H762" s="32"/>
      <c r="I762" s="32"/>
      <c r="J762" s="32"/>
      <c r="K762" s="32"/>
      <c r="L762" s="32"/>
      <c r="M762" s="30"/>
      <c r="N762" s="32"/>
      <c r="O762" s="34"/>
      <c r="P762" s="32"/>
      <c r="Q762" s="32"/>
      <c r="R762" s="32"/>
      <c r="S762" s="32"/>
      <c r="T762" s="32"/>
      <c r="U762" s="32"/>
      <c r="V762" s="31"/>
      <c r="W762" s="35" t="str">
        <f aca="true">IF(OR(V762="",AG762&gt;=8),"",IF(V762&lt;TODAY(),"Vencida",IF(V762=TODAY(),"Hoy","")))</f>
        <v/>
      </c>
      <c r="X762" s="36" t="str">
        <f aca="false">IF(A762="","",IF(COUNTIF(Seguimiento!$B$2:$B$5001,A762)=0,"",_xlfn.MAXIFS(Seguimiento!$A$2:$A$5001,Seguimiento!$B$2:$B$5001,A762)))</f>
        <v/>
      </c>
      <c r="Y762" s="37" t="str">
        <f aca="true">IF(B762="","",TODAY()-B762)</f>
        <v/>
      </c>
      <c r="Z762" s="38" t="str">
        <f aca="false">IF(OR(O762="",G762=""),"",O762*IFERROR(INDEX(Listas!$B$2:$B$50,MATCH(G762,Listas!$A$2:$A$50,0)),0))</f>
        <v/>
      </c>
      <c r="AA762" s="32"/>
      <c r="AB762" s="32"/>
      <c r="AC762" s="32"/>
      <c r="AD762" s="35" t="str">
        <f aca="false">IF(OR(LEFT(H762,4)="Meta",LEFT(H762,6)="Google"),IF(AG762=3,"Lead calificado",IF(OR(AG762=4,AG762=5),"Tasación/visita",IF(OR(AG762=6,AG762=7),"Captación/oferta",IF(AG762=8,"Cierre","")))),"")</f>
        <v/>
      </c>
      <c r="AE762" s="32"/>
      <c r="AF762" s="32"/>
      <c r="AG762" s="37" t="n">
        <f aca="false">IF(R762="",0,IFERROR(MATCH(R762,Listas!$L$2:$L$50,0),0))</f>
        <v>0</v>
      </c>
    </row>
    <row r="763" customFormat="false" ht="15" hidden="false" customHeight="false" outlineLevel="0" collapsed="false">
      <c r="A763" s="30"/>
      <c r="B763" s="31"/>
      <c r="C763" s="32"/>
      <c r="D763" s="32"/>
      <c r="E763" s="33"/>
      <c r="F763" s="32"/>
      <c r="G763" s="32"/>
      <c r="H763" s="32"/>
      <c r="I763" s="32"/>
      <c r="J763" s="32"/>
      <c r="K763" s="32"/>
      <c r="L763" s="32"/>
      <c r="M763" s="30"/>
      <c r="N763" s="32"/>
      <c r="O763" s="34"/>
      <c r="P763" s="32"/>
      <c r="Q763" s="32"/>
      <c r="R763" s="32"/>
      <c r="S763" s="32"/>
      <c r="T763" s="32"/>
      <c r="U763" s="32"/>
      <c r="V763" s="31"/>
      <c r="W763" s="35" t="str">
        <f aca="true">IF(OR(V763="",AG763&gt;=8),"",IF(V763&lt;TODAY(),"Vencida",IF(V763=TODAY(),"Hoy","")))</f>
        <v/>
      </c>
      <c r="X763" s="36" t="str">
        <f aca="false">IF(A763="","",IF(COUNTIF(Seguimiento!$B$2:$B$5001,A763)=0,"",_xlfn.MAXIFS(Seguimiento!$A$2:$A$5001,Seguimiento!$B$2:$B$5001,A763)))</f>
        <v/>
      </c>
      <c r="Y763" s="37" t="str">
        <f aca="true">IF(B763="","",TODAY()-B763)</f>
        <v/>
      </c>
      <c r="Z763" s="38" t="str">
        <f aca="false">IF(OR(O763="",G763=""),"",O763*IFERROR(INDEX(Listas!$B$2:$B$50,MATCH(G763,Listas!$A$2:$A$50,0)),0))</f>
        <v/>
      </c>
      <c r="AA763" s="32"/>
      <c r="AB763" s="32"/>
      <c r="AC763" s="32"/>
      <c r="AD763" s="35" t="str">
        <f aca="false">IF(OR(LEFT(H763,4)="Meta",LEFT(H763,6)="Google"),IF(AG763=3,"Lead calificado",IF(OR(AG763=4,AG763=5),"Tasación/visita",IF(OR(AG763=6,AG763=7),"Captación/oferta",IF(AG763=8,"Cierre","")))),"")</f>
        <v/>
      </c>
      <c r="AE763" s="32"/>
      <c r="AF763" s="32"/>
      <c r="AG763" s="37" t="n">
        <f aca="false">IF(R763="",0,IFERROR(MATCH(R763,Listas!$L$2:$L$50,0),0))</f>
        <v>0</v>
      </c>
    </row>
    <row r="764" customFormat="false" ht="15" hidden="false" customHeight="false" outlineLevel="0" collapsed="false">
      <c r="A764" s="30"/>
      <c r="B764" s="31"/>
      <c r="C764" s="32"/>
      <c r="D764" s="32"/>
      <c r="E764" s="33"/>
      <c r="F764" s="32"/>
      <c r="G764" s="32"/>
      <c r="H764" s="32"/>
      <c r="I764" s="32"/>
      <c r="J764" s="32"/>
      <c r="K764" s="32"/>
      <c r="L764" s="32"/>
      <c r="M764" s="30"/>
      <c r="N764" s="32"/>
      <c r="O764" s="34"/>
      <c r="P764" s="32"/>
      <c r="Q764" s="32"/>
      <c r="R764" s="32"/>
      <c r="S764" s="32"/>
      <c r="T764" s="32"/>
      <c r="U764" s="32"/>
      <c r="V764" s="31"/>
      <c r="W764" s="35" t="str">
        <f aca="true">IF(OR(V764="",AG764&gt;=8),"",IF(V764&lt;TODAY(),"Vencida",IF(V764=TODAY(),"Hoy","")))</f>
        <v/>
      </c>
      <c r="X764" s="36" t="str">
        <f aca="false">IF(A764="","",IF(COUNTIF(Seguimiento!$B$2:$B$5001,A764)=0,"",_xlfn.MAXIFS(Seguimiento!$A$2:$A$5001,Seguimiento!$B$2:$B$5001,A764)))</f>
        <v/>
      </c>
      <c r="Y764" s="37" t="str">
        <f aca="true">IF(B764="","",TODAY()-B764)</f>
        <v/>
      </c>
      <c r="Z764" s="38" t="str">
        <f aca="false">IF(OR(O764="",G764=""),"",O764*IFERROR(INDEX(Listas!$B$2:$B$50,MATCH(G764,Listas!$A$2:$A$50,0)),0))</f>
        <v/>
      </c>
      <c r="AA764" s="32"/>
      <c r="AB764" s="32"/>
      <c r="AC764" s="32"/>
      <c r="AD764" s="35" t="str">
        <f aca="false">IF(OR(LEFT(H764,4)="Meta",LEFT(H764,6)="Google"),IF(AG764=3,"Lead calificado",IF(OR(AG764=4,AG764=5),"Tasación/visita",IF(OR(AG764=6,AG764=7),"Captación/oferta",IF(AG764=8,"Cierre","")))),"")</f>
        <v/>
      </c>
      <c r="AE764" s="32"/>
      <c r="AF764" s="32"/>
      <c r="AG764" s="37" t="n">
        <f aca="false">IF(R764="",0,IFERROR(MATCH(R764,Listas!$L$2:$L$50,0),0))</f>
        <v>0</v>
      </c>
    </row>
    <row r="765" customFormat="false" ht="15" hidden="false" customHeight="false" outlineLevel="0" collapsed="false">
      <c r="A765" s="30"/>
      <c r="B765" s="31"/>
      <c r="C765" s="32"/>
      <c r="D765" s="32"/>
      <c r="E765" s="33"/>
      <c r="F765" s="32"/>
      <c r="G765" s="32"/>
      <c r="H765" s="32"/>
      <c r="I765" s="32"/>
      <c r="J765" s="32"/>
      <c r="K765" s="32"/>
      <c r="L765" s="32"/>
      <c r="M765" s="30"/>
      <c r="N765" s="32"/>
      <c r="O765" s="34"/>
      <c r="P765" s="32"/>
      <c r="Q765" s="32"/>
      <c r="R765" s="32"/>
      <c r="S765" s="32"/>
      <c r="T765" s="32"/>
      <c r="U765" s="32"/>
      <c r="V765" s="31"/>
      <c r="W765" s="35" t="str">
        <f aca="true">IF(OR(V765="",AG765&gt;=8),"",IF(V765&lt;TODAY(),"Vencida",IF(V765=TODAY(),"Hoy","")))</f>
        <v/>
      </c>
      <c r="X765" s="36" t="str">
        <f aca="false">IF(A765="","",IF(COUNTIF(Seguimiento!$B$2:$B$5001,A765)=0,"",_xlfn.MAXIFS(Seguimiento!$A$2:$A$5001,Seguimiento!$B$2:$B$5001,A765)))</f>
        <v/>
      </c>
      <c r="Y765" s="37" t="str">
        <f aca="true">IF(B765="","",TODAY()-B765)</f>
        <v/>
      </c>
      <c r="Z765" s="38" t="str">
        <f aca="false">IF(OR(O765="",G765=""),"",O765*IFERROR(INDEX(Listas!$B$2:$B$50,MATCH(G765,Listas!$A$2:$A$50,0)),0))</f>
        <v/>
      </c>
      <c r="AA765" s="32"/>
      <c r="AB765" s="32"/>
      <c r="AC765" s="32"/>
      <c r="AD765" s="35" t="str">
        <f aca="false">IF(OR(LEFT(H765,4)="Meta",LEFT(H765,6)="Google"),IF(AG765=3,"Lead calificado",IF(OR(AG765=4,AG765=5),"Tasación/visita",IF(OR(AG765=6,AG765=7),"Captación/oferta",IF(AG765=8,"Cierre","")))),"")</f>
        <v/>
      </c>
      <c r="AE765" s="32"/>
      <c r="AF765" s="32"/>
      <c r="AG765" s="37" t="n">
        <f aca="false">IF(R765="",0,IFERROR(MATCH(R765,Listas!$L$2:$L$50,0),0))</f>
        <v>0</v>
      </c>
    </row>
    <row r="766" customFormat="false" ht="15" hidden="false" customHeight="false" outlineLevel="0" collapsed="false">
      <c r="A766" s="30"/>
      <c r="B766" s="31"/>
      <c r="C766" s="32"/>
      <c r="D766" s="32"/>
      <c r="E766" s="33"/>
      <c r="F766" s="32"/>
      <c r="G766" s="32"/>
      <c r="H766" s="32"/>
      <c r="I766" s="32"/>
      <c r="J766" s="32"/>
      <c r="K766" s="32"/>
      <c r="L766" s="32"/>
      <c r="M766" s="30"/>
      <c r="N766" s="32"/>
      <c r="O766" s="34"/>
      <c r="P766" s="32"/>
      <c r="Q766" s="32"/>
      <c r="R766" s="32"/>
      <c r="S766" s="32"/>
      <c r="T766" s="32"/>
      <c r="U766" s="32"/>
      <c r="V766" s="31"/>
      <c r="W766" s="35" t="str">
        <f aca="true">IF(OR(V766="",AG766&gt;=8),"",IF(V766&lt;TODAY(),"Vencida",IF(V766=TODAY(),"Hoy","")))</f>
        <v/>
      </c>
      <c r="X766" s="36" t="str">
        <f aca="false">IF(A766="","",IF(COUNTIF(Seguimiento!$B$2:$B$5001,A766)=0,"",_xlfn.MAXIFS(Seguimiento!$A$2:$A$5001,Seguimiento!$B$2:$B$5001,A766)))</f>
        <v/>
      </c>
      <c r="Y766" s="37" t="str">
        <f aca="true">IF(B766="","",TODAY()-B766)</f>
        <v/>
      </c>
      <c r="Z766" s="38" t="str">
        <f aca="false">IF(OR(O766="",G766=""),"",O766*IFERROR(INDEX(Listas!$B$2:$B$50,MATCH(G766,Listas!$A$2:$A$50,0)),0))</f>
        <v/>
      </c>
      <c r="AA766" s="32"/>
      <c r="AB766" s="32"/>
      <c r="AC766" s="32"/>
      <c r="AD766" s="35" t="str">
        <f aca="false">IF(OR(LEFT(H766,4)="Meta",LEFT(H766,6)="Google"),IF(AG766=3,"Lead calificado",IF(OR(AG766=4,AG766=5),"Tasación/visita",IF(OR(AG766=6,AG766=7),"Captación/oferta",IF(AG766=8,"Cierre","")))),"")</f>
        <v/>
      </c>
      <c r="AE766" s="32"/>
      <c r="AF766" s="32"/>
      <c r="AG766" s="37" t="n">
        <f aca="false">IF(R766="",0,IFERROR(MATCH(R766,Listas!$L$2:$L$50,0),0))</f>
        <v>0</v>
      </c>
    </row>
    <row r="767" customFormat="false" ht="15" hidden="false" customHeight="false" outlineLevel="0" collapsed="false">
      <c r="A767" s="30"/>
      <c r="B767" s="31"/>
      <c r="C767" s="32"/>
      <c r="D767" s="32"/>
      <c r="E767" s="33"/>
      <c r="F767" s="32"/>
      <c r="G767" s="32"/>
      <c r="H767" s="32"/>
      <c r="I767" s="32"/>
      <c r="J767" s="32"/>
      <c r="K767" s="32"/>
      <c r="L767" s="32"/>
      <c r="M767" s="30"/>
      <c r="N767" s="32"/>
      <c r="O767" s="34"/>
      <c r="P767" s="32"/>
      <c r="Q767" s="32"/>
      <c r="R767" s="32"/>
      <c r="S767" s="32"/>
      <c r="T767" s="32"/>
      <c r="U767" s="32"/>
      <c r="V767" s="31"/>
      <c r="W767" s="35" t="str">
        <f aca="true">IF(OR(V767="",AG767&gt;=8),"",IF(V767&lt;TODAY(),"Vencida",IF(V767=TODAY(),"Hoy","")))</f>
        <v/>
      </c>
      <c r="X767" s="36" t="str">
        <f aca="false">IF(A767="","",IF(COUNTIF(Seguimiento!$B$2:$B$5001,A767)=0,"",_xlfn.MAXIFS(Seguimiento!$A$2:$A$5001,Seguimiento!$B$2:$B$5001,A767)))</f>
        <v/>
      </c>
      <c r="Y767" s="37" t="str">
        <f aca="true">IF(B767="","",TODAY()-B767)</f>
        <v/>
      </c>
      <c r="Z767" s="38" t="str">
        <f aca="false">IF(OR(O767="",G767=""),"",O767*IFERROR(INDEX(Listas!$B$2:$B$50,MATCH(G767,Listas!$A$2:$A$50,0)),0))</f>
        <v/>
      </c>
      <c r="AA767" s="32"/>
      <c r="AB767" s="32"/>
      <c r="AC767" s="32"/>
      <c r="AD767" s="35" t="str">
        <f aca="false">IF(OR(LEFT(H767,4)="Meta",LEFT(H767,6)="Google"),IF(AG767=3,"Lead calificado",IF(OR(AG767=4,AG767=5),"Tasación/visita",IF(OR(AG767=6,AG767=7),"Captación/oferta",IF(AG767=8,"Cierre","")))),"")</f>
        <v/>
      </c>
      <c r="AE767" s="32"/>
      <c r="AF767" s="32"/>
      <c r="AG767" s="37" t="n">
        <f aca="false">IF(R767="",0,IFERROR(MATCH(R767,Listas!$L$2:$L$50,0),0))</f>
        <v>0</v>
      </c>
    </row>
    <row r="768" customFormat="false" ht="15" hidden="false" customHeight="false" outlineLevel="0" collapsed="false">
      <c r="A768" s="30"/>
      <c r="B768" s="31"/>
      <c r="C768" s="32"/>
      <c r="D768" s="32"/>
      <c r="E768" s="33"/>
      <c r="F768" s="32"/>
      <c r="G768" s="32"/>
      <c r="H768" s="32"/>
      <c r="I768" s="32"/>
      <c r="J768" s="32"/>
      <c r="K768" s="32"/>
      <c r="L768" s="32"/>
      <c r="M768" s="30"/>
      <c r="N768" s="32"/>
      <c r="O768" s="34"/>
      <c r="P768" s="32"/>
      <c r="Q768" s="32"/>
      <c r="R768" s="32"/>
      <c r="S768" s="32"/>
      <c r="T768" s="32"/>
      <c r="U768" s="32"/>
      <c r="V768" s="31"/>
      <c r="W768" s="35" t="str">
        <f aca="true">IF(OR(V768="",AG768&gt;=8),"",IF(V768&lt;TODAY(),"Vencida",IF(V768=TODAY(),"Hoy","")))</f>
        <v/>
      </c>
      <c r="X768" s="36" t="str">
        <f aca="false">IF(A768="","",IF(COUNTIF(Seguimiento!$B$2:$B$5001,A768)=0,"",_xlfn.MAXIFS(Seguimiento!$A$2:$A$5001,Seguimiento!$B$2:$B$5001,A768)))</f>
        <v/>
      </c>
      <c r="Y768" s="37" t="str">
        <f aca="true">IF(B768="","",TODAY()-B768)</f>
        <v/>
      </c>
      <c r="Z768" s="38" t="str">
        <f aca="false">IF(OR(O768="",G768=""),"",O768*IFERROR(INDEX(Listas!$B$2:$B$50,MATCH(G768,Listas!$A$2:$A$50,0)),0))</f>
        <v/>
      </c>
      <c r="AA768" s="32"/>
      <c r="AB768" s="32"/>
      <c r="AC768" s="32"/>
      <c r="AD768" s="35" t="str">
        <f aca="false">IF(OR(LEFT(H768,4)="Meta",LEFT(H768,6)="Google"),IF(AG768=3,"Lead calificado",IF(OR(AG768=4,AG768=5),"Tasación/visita",IF(OR(AG768=6,AG768=7),"Captación/oferta",IF(AG768=8,"Cierre","")))),"")</f>
        <v/>
      </c>
      <c r="AE768" s="32"/>
      <c r="AF768" s="32"/>
      <c r="AG768" s="37" t="n">
        <f aca="false">IF(R768="",0,IFERROR(MATCH(R768,Listas!$L$2:$L$50,0),0))</f>
        <v>0</v>
      </c>
    </row>
    <row r="769" customFormat="false" ht="15" hidden="false" customHeight="false" outlineLevel="0" collapsed="false">
      <c r="A769" s="30"/>
      <c r="B769" s="31"/>
      <c r="C769" s="32"/>
      <c r="D769" s="32"/>
      <c r="E769" s="33"/>
      <c r="F769" s="32"/>
      <c r="G769" s="32"/>
      <c r="H769" s="32"/>
      <c r="I769" s="32"/>
      <c r="J769" s="32"/>
      <c r="K769" s="32"/>
      <c r="L769" s="32"/>
      <c r="M769" s="30"/>
      <c r="N769" s="32"/>
      <c r="O769" s="34"/>
      <c r="P769" s="32"/>
      <c r="Q769" s="32"/>
      <c r="R769" s="32"/>
      <c r="S769" s="32"/>
      <c r="T769" s="32"/>
      <c r="U769" s="32"/>
      <c r="V769" s="31"/>
      <c r="W769" s="35" t="str">
        <f aca="true">IF(OR(V769="",AG769&gt;=8),"",IF(V769&lt;TODAY(),"Vencida",IF(V769=TODAY(),"Hoy","")))</f>
        <v/>
      </c>
      <c r="X769" s="36" t="str">
        <f aca="false">IF(A769="","",IF(COUNTIF(Seguimiento!$B$2:$B$5001,A769)=0,"",_xlfn.MAXIFS(Seguimiento!$A$2:$A$5001,Seguimiento!$B$2:$B$5001,A769)))</f>
        <v/>
      </c>
      <c r="Y769" s="37" t="str">
        <f aca="true">IF(B769="","",TODAY()-B769)</f>
        <v/>
      </c>
      <c r="Z769" s="38" t="str">
        <f aca="false">IF(OR(O769="",G769=""),"",O769*IFERROR(INDEX(Listas!$B$2:$B$50,MATCH(G769,Listas!$A$2:$A$50,0)),0))</f>
        <v/>
      </c>
      <c r="AA769" s="32"/>
      <c r="AB769" s="32"/>
      <c r="AC769" s="32"/>
      <c r="AD769" s="35" t="str">
        <f aca="false">IF(OR(LEFT(H769,4)="Meta",LEFT(H769,6)="Google"),IF(AG769=3,"Lead calificado",IF(OR(AG769=4,AG769=5),"Tasación/visita",IF(OR(AG769=6,AG769=7),"Captación/oferta",IF(AG769=8,"Cierre","")))),"")</f>
        <v/>
      </c>
      <c r="AE769" s="32"/>
      <c r="AF769" s="32"/>
      <c r="AG769" s="37" t="n">
        <f aca="false">IF(R769="",0,IFERROR(MATCH(R769,Listas!$L$2:$L$50,0),0))</f>
        <v>0</v>
      </c>
    </row>
    <row r="770" customFormat="false" ht="15" hidden="false" customHeight="false" outlineLevel="0" collapsed="false">
      <c r="A770" s="30"/>
      <c r="B770" s="31"/>
      <c r="C770" s="32"/>
      <c r="D770" s="32"/>
      <c r="E770" s="33"/>
      <c r="F770" s="32"/>
      <c r="G770" s="32"/>
      <c r="H770" s="32"/>
      <c r="I770" s="32"/>
      <c r="J770" s="32"/>
      <c r="K770" s="32"/>
      <c r="L770" s="32"/>
      <c r="M770" s="30"/>
      <c r="N770" s="32"/>
      <c r="O770" s="34"/>
      <c r="P770" s="32"/>
      <c r="Q770" s="32"/>
      <c r="R770" s="32"/>
      <c r="S770" s="32"/>
      <c r="T770" s="32"/>
      <c r="U770" s="32"/>
      <c r="V770" s="31"/>
      <c r="W770" s="35" t="str">
        <f aca="true">IF(OR(V770="",AG770&gt;=8),"",IF(V770&lt;TODAY(),"Vencida",IF(V770=TODAY(),"Hoy","")))</f>
        <v/>
      </c>
      <c r="X770" s="36" t="str">
        <f aca="false">IF(A770="","",IF(COUNTIF(Seguimiento!$B$2:$B$5001,A770)=0,"",_xlfn.MAXIFS(Seguimiento!$A$2:$A$5001,Seguimiento!$B$2:$B$5001,A770)))</f>
        <v/>
      </c>
      <c r="Y770" s="37" t="str">
        <f aca="true">IF(B770="","",TODAY()-B770)</f>
        <v/>
      </c>
      <c r="Z770" s="38" t="str">
        <f aca="false">IF(OR(O770="",G770=""),"",O770*IFERROR(INDEX(Listas!$B$2:$B$50,MATCH(G770,Listas!$A$2:$A$50,0)),0))</f>
        <v/>
      </c>
      <c r="AA770" s="32"/>
      <c r="AB770" s="32"/>
      <c r="AC770" s="32"/>
      <c r="AD770" s="35" t="str">
        <f aca="false">IF(OR(LEFT(H770,4)="Meta",LEFT(H770,6)="Google"),IF(AG770=3,"Lead calificado",IF(OR(AG770=4,AG770=5),"Tasación/visita",IF(OR(AG770=6,AG770=7),"Captación/oferta",IF(AG770=8,"Cierre","")))),"")</f>
        <v/>
      </c>
      <c r="AE770" s="32"/>
      <c r="AF770" s="32"/>
      <c r="AG770" s="37" t="n">
        <f aca="false">IF(R770="",0,IFERROR(MATCH(R770,Listas!$L$2:$L$50,0),0))</f>
        <v>0</v>
      </c>
    </row>
    <row r="771" customFormat="false" ht="15" hidden="false" customHeight="false" outlineLevel="0" collapsed="false">
      <c r="A771" s="30"/>
      <c r="B771" s="31"/>
      <c r="C771" s="32"/>
      <c r="D771" s="32"/>
      <c r="E771" s="33"/>
      <c r="F771" s="32"/>
      <c r="G771" s="32"/>
      <c r="H771" s="32"/>
      <c r="I771" s="32"/>
      <c r="J771" s="32"/>
      <c r="K771" s="32"/>
      <c r="L771" s="32"/>
      <c r="M771" s="30"/>
      <c r="N771" s="32"/>
      <c r="O771" s="34"/>
      <c r="P771" s="32"/>
      <c r="Q771" s="32"/>
      <c r="R771" s="32"/>
      <c r="S771" s="32"/>
      <c r="T771" s="32"/>
      <c r="U771" s="32"/>
      <c r="V771" s="31"/>
      <c r="W771" s="35" t="str">
        <f aca="true">IF(OR(V771="",AG771&gt;=8),"",IF(V771&lt;TODAY(),"Vencida",IF(V771=TODAY(),"Hoy","")))</f>
        <v/>
      </c>
      <c r="X771" s="36" t="str">
        <f aca="false">IF(A771="","",IF(COUNTIF(Seguimiento!$B$2:$B$5001,A771)=0,"",_xlfn.MAXIFS(Seguimiento!$A$2:$A$5001,Seguimiento!$B$2:$B$5001,A771)))</f>
        <v/>
      </c>
      <c r="Y771" s="37" t="str">
        <f aca="true">IF(B771="","",TODAY()-B771)</f>
        <v/>
      </c>
      <c r="Z771" s="38" t="str">
        <f aca="false">IF(OR(O771="",G771=""),"",O771*IFERROR(INDEX(Listas!$B$2:$B$50,MATCH(G771,Listas!$A$2:$A$50,0)),0))</f>
        <v/>
      </c>
      <c r="AA771" s="32"/>
      <c r="AB771" s="32"/>
      <c r="AC771" s="32"/>
      <c r="AD771" s="35" t="str">
        <f aca="false">IF(OR(LEFT(H771,4)="Meta",LEFT(H771,6)="Google"),IF(AG771=3,"Lead calificado",IF(OR(AG771=4,AG771=5),"Tasación/visita",IF(OR(AG771=6,AG771=7),"Captación/oferta",IF(AG771=8,"Cierre","")))),"")</f>
        <v/>
      </c>
      <c r="AE771" s="32"/>
      <c r="AF771" s="32"/>
      <c r="AG771" s="37" t="n">
        <f aca="false">IF(R771="",0,IFERROR(MATCH(R771,Listas!$L$2:$L$50,0),0))</f>
        <v>0</v>
      </c>
    </row>
    <row r="772" customFormat="false" ht="15" hidden="false" customHeight="false" outlineLevel="0" collapsed="false">
      <c r="A772" s="30"/>
      <c r="B772" s="31"/>
      <c r="C772" s="32"/>
      <c r="D772" s="32"/>
      <c r="E772" s="33"/>
      <c r="F772" s="32"/>
      <c r="G772" s="32"/>
      <c r="H772" s="32"/>
      <c r="I772" s="32"/>
      <c r="J772" s="32"/>
      <c r="K772" s="32"/>
      <c r="L772" s="32"/>
      <c r="M772" s="30"/>
      <c r="N772" s="32"/>
      <c r="O772" s="34"/>
      <c r="P772" s="32"/>
      <c r="Q772" s="32"/>
      <c r="R772" s="32"/>
      <c r="S772" s="32"/>
      <c r="T772" s="32"/>
      <c r="U772" s="32"/>
      <c r="V772" s="31"/>
      <c r="W772" s="35" t="str">
        <f aca="true">IF(OR(V772="",AG772&gt;=8),"",IF(V772&lt;TODAY(),"Vencida",IF(V772=TODAY(),"Hoy","")))</f>
        <v/>
      </c>
      <c r="X772" s="36" t="str">
        <f aca="false">IF(A772="","",IF(COUNTIF(Seguimiento!$B$2:$B$5001,A772)=0,"",_xlfn.MAXIFS(Seguimiento!$A$2:$A$5001,Seguimiento!$B$2:$B$5001,A772)))</f>
        <v/>
      </c>
      <c r="Y772" s="37" t="str">
        <f aca="true">IF(B772="","",TODAY()-B772)</f>
        <v/>
      </c>
      <c r="Z772" s="38" t="str">
        <f aca="false">IF(OR(O772="",G772=""),"",O772*IFERROR(INDEX(Listas!$B$2:$B$50,MATCH(G772,Listas!$A$2:$A$50,0)),0))</f>
        <v/>
      </c>
      <c r="AA772" s="32"/>
      <c r="AB772" s="32"/>
      <c r="AC772" s="32"/>
      <c r="AD772" s="35" t="str">
        <f aca="false">IF(OR(LEFT(H772,4)="Meta",LEFT(H772,6)="Google"),IF(AG772=3,"Lead calificado",IF(OR(AG772=4,AG772=5),"Tasación/visita",IF(OR(AG772=6,AG772=7),"Captación/oferta",IF(AG772=8,"Cierre","")))),"")</f>
        <v/>
      </c>
      <c r="AE772" s="32"/>
      <c r="AF772" s="32"/>
      <c r="AG772" s="37" t="n">
        <f aca="false">IF(R772="",0,IFERROR(MATCH(R772,Listas!$L$2:$L$50,0),0))</f>
        <v>0</v>
      </c>
    </row>
    <row r="773" customFormat="false" ht="15" hidden="false" customHeight="false" outlineLevel="0" collapsed="false">
      <c r="A773" s="30"/>
      <c r="B773" s="31"/>
      <c r="C773" s="32"/>
      <c r="D773" s="32"/>
      <c r="E773" s="33"/>
      <c r="F773" s="32"/>
      <c r="G773" s="32"/>
      <c r="H773" s="32"/>
      <c r="I773" s="32"/>
      <c r="J773" s="32"/>
      <c r="K773" s="32"/>
      <c r="L773" s="32"/>
      <c r="M773" s="30"/>
      <c r="N773" s="32"/>
      <c r="O773" s="34"/>
      <c r="P773" s="32"/>
      <c r="Q773" s="32"/>
      <c r="R773" s="32"/>
      <c r="S773" s="32"/>
      <c r="T773" s="32"/>
      <c r="U773" s="32"/>
      <c r="V773" s="31"/>
      <c r="W773" s="35" t="str">
        <f aca="true">IF(OR(V773="",AG773&gt;=8),"",IF(V773&lt;TODAY(),"Vencida",IF(V773=TODAY(),"Hoy","")))</f>
        <v/>
      </c>
      <c r="X773" s="36" t="str">
        <f aca="false">IF(A773="","",IF(COUNTIF(Seguimiento!$B$2:$B$5001,A773)=0,"",_xlfn.MAXIFS(Seguimiento!$A$2:$A$5001,Seguimiento!$B$2:$B$5001,A773)))</f>
        <v/>
      </c>
      <c r="Y773" s="37" t="str">
        <f aca="true">IF(B773="","",TODAY()-B773)</f>
        <v/>
      </c>
      <c r="Z773" s="38" t="str">
        <f aca="false">IF(OR(O773="",G773=""),"",O773*IFERROR(INDEX(Listas!$B$2:$B$50,MATCH(G773,Listas!$A$2:$A$50,0)),0))</f>
        <v/>
      </c>
      <c r="AA773" s="32"/>
      <c r="AB773" s="32"/>
      <c r="AC773" s="32"/>
      <c r="AD773" s="35" t="str">
        <f aca="false">IF(OR(LEFT(H773,4)="Meta",LEFT(H773,6)="Google"),IF(AG773=3,"Lead calificado",IF(OR(AG773=4,AG773=5),"Tasación/visita",IF(OR(AG773=6,AG773=7),"Captación/oferta",IF(AG773=8,"Cierre","")))),"")</f>
        <v/>
      </c>
      <c r="AE773" s="32"/>
      <c r="AF773" s="32"/>
      <c r="AG773" s="37" t="n">
        <f aca="false">IF(R773="",0,IFERROR(MATCH(R773,Listas!$L$2:$L$50,0),0))</f>
        <v>0</v>
      </c>
    </row>
    <row r="774" customFormat="false" ht="15" hidden="false" customHeight="false" outlineLevel="0" collapsed="false">
      <c r="A774" s="30"/>
      <c r="B774" s="31"/>
      <c r="C774" s="32"/>
      <c r="D774" s="32"/>
      <c r="E774" s="33"/>
      <c r="F774" s="32"/>
      <c r="G774" s="32"/>
      <c r="H774" s="32"/>
      <c r="I774" s="32"/>
      <c r="J774" s="32"/>
      <c r="K774" s="32"/>
      <c r="L774" s="32"/>
      <c r="M774" s="30"/>
      <c r="N774" s="32"/>
      <c r="O774" s="34"/>
      <c r="P774" s="32"/>
      <c r="Q774" s="32"/>
      <c r="R774" s="32"/>
      <c r="S774" s="32"/>
      <c r="T774" s="32"/>
      <c r="U774" s="32"/>
      <c r="V774" s="31"/>
      <c r="W774" s="35" t="str">
        <f aca="true">IF(OR(V774="",AG774&gt;=8),"",IF(V774&lt;TODAY(),"Vencida",IF(V774=TODAY(),"Hoy","")))</f>
        <v/>
      </c>
      <c r="X774" s="36" t="str">
        <f aca="false">IF(A774="","",IF(COUNTIF(Seguimiento!$B$2:$B$5001,A774)=0,"",_xlfn.MAXIFS(Seguimiento!$A$2:$A$5001,Seguimiento!$B$2:$B$5001,A774)))</f>
        <v/>
      </c>
      <c r="Y774" s="37" t="str">
        <f aca="true">IF(B774="","",TODAY()-B774)</f>
        <v/>
      </c>
      <c r="Z774" s="38" t="str">
        <f aca="false">IF(OR(O774="",G774=""),"",O774*IFERROR(INDEX(Listas!$B$2:$B$50,MATCH(G774,Listas!$A$2:$A$50,0)),0))</f>
        <v/>
      </c>
      <c r="AA774" s="32"/>
      <c r="AB774" s="32"/>
      <c r="AC774" s="32"/>
      <c r="AD774" s="35" t="str">
        <f aca="false">IF(OR(LEFT(H774,4)="Meta",LEFT(H774,6)="Google"),IF(AG774=3,"Lead calificado",IF(OR(AG774=4,AG774=5),"Tasación/visita",IF(OR(AG774=6,AG774=7),"Captación/oferta",IF(AG774=8,"Cierre","")))),"")</f>
        <v/>
      </c>
      <c r="AE774" s="32"/>
      <c r="AF774" s="32"/>
      <c r="AG774" s="37" t="n">
        <f aca="false">IF(R774="",0,IFERROR(MATCH(R774,Listas!$L$2:$L$50,0),0))</f>
        <v>0</v>
      </c>
    </row>
    <row r="775" customFormat="false" ht="15" hidden="false" customHeight="false" outlineLevel="0" collapsed="false">
      <c r="A775" s="30"/>
      <c r="B775" s="31"/>
      <c r="C775" s="32"/>
      <c r="D775" s="32"/>
      <c r="E775" s="33"/>
      <c r="F775" s="32"/>
      <c r="G775" s="32"/>
      <c r="H775" s="32"/>
      <c r="I775" s="32"/>
      <c r="J775" s="32"/>
      <c r="K775" s="32"/>
      <c r="L775" s="32"/>
      <c r="M775" s="30"/>
      <c r="N775" s="32"/>
      <c r="O775" s="34"/>
      <c r="P775" s="32"/>
      <c r="Q775" s="32"/>
      <c r="R775" s="32"/>
      <c r="S775" s="32"/>
      <c r="T775" s="32"/>
      <c r="U775" s="32"/>
      <c r="V775" s="31"/>
      <c r="W775" s="35" t="str">
        <f aca="true">IF(OR(V775="",AG775&gt;=8),"",IF(V775&lt;TODAY(),"Vencida",IF(V775=TODAY(),"Hoy","")))</f>
        <v/>
      </c>
      <c r="X775" s="36" t="str">
        <f aca="false">IF(A775="","",IF(COUNTIF(Seguimiento!$B$2:$B$5001,A775)=0,"",_xlfn.MAXIFS(Seguimiento!$A$2:$A$5001,Seguimiento!$B$2:$B$5001,A775)))</f>
        <v/>
      </c>
      <c r="Y775" s="37" t="str">
        <f aca="true">IF(B775="","",TODAY()-B775)</f>
        <v/>
      </c>
      <c r="Z775" s="38" t="str">
        <f aca="false">IF(OR(O775="",G775=""),"",O775*IFERROR(INDEX(Listas!$B$2:$B$50,MATCH(G775,Listas!$A$2:$A$50,0)),0))</f>
        <v/>
      </c>
      <c r="AA775" s="32"/>
      <c r="AB775" s="32"/>
      <c r="AC775" s="32"/>
      <c r="AD775" s="35" t="str">
        <f aca="false">IF(OR(LEFT(H775,4)="Meta",LEFT(H775,6)="Google"),IF(AG775=3,"Lead calificado",IF(OR(AG775=4,AG775=5),"Tasación/visita",IF(OR(AG775=6,AG775=7),"Captación/oferta",IF(AG775=8,"Cierre","")))),"")</f>
        <v/>
      </c>
      <c r="AE775" s="32"/>
      <c r="AF775" s="32"/>
      <c r="AG775" s="37" t="n">
        <f aca="false">IF(R775="",0,IFERROR(MATCH(R775,Listas!$L$2:$L$50,0),0))</f>
        <v>0</v>
      </c>
    </row>
    <row r="776" customFormat="false" ht="15" hidden="false" customHeight="false" outlineLevel="0" collapsed="false">
      <c r="A776" s="30"/>
      <c r="B776" s="31"/>
      <c r="C776" s="32"/>
      <c r="D776" s="32"/>
      <c r="E776" s="33"/>
      <c r="F776" s="32"/>
      <c r="G776" s="32"/>
      <c r="H776" s="32"/>
      <c r="I776" s="32"/>
      <c r="J776" s="32"/>
      <c r="K776" s="32"/>
      <c r="L776" s="32"/>
      <c r="M776" s="30"/>
      <c r="N776" s="32"/>
      <c r="O776" s="34"/>
      <c r="P776" s="32"/>
      <c r="Q776" s="32"/>
      <c r="R776" s="32"/>
      <c r="S776" s="32"/>
      <c r="T776" s="32"/>
      <c r="U776" s="32"/>
      <c r="V776" s="31"/>
      <c r="W776" s="35" t="str">
        <f aca="true">IF(OR(V776="",AG776&gt;=8),"",IF(V776&lt;TODAY(),"Vencida",IF(V776=TODAY(),"Hoy","")))</f>
        <v/>
      </c>
      <c r="X776" s="36" t="str">
        <f aca="false">IF(A776="","",IF(COUNTIF(Seguimiento!$B$2:$B$5001,A776)=0,"",_xlfn.MAXIFS(Seguimiento!$A$2:$A$5001,Seguimiento!$B$2:$B$5001,A776)))</f>
        <v/>
      </c>
      <c r="Y776" s="37" t="str">
        <f aca="true">IF(B776="","",TODAY()-B776)</f>
        <v/>
      </c>
      <c r="Z776" s="38" t="str">
        <f aca="false">IF(OR(O776="",G776=""),"",O776*IFERROR(INDEX(Listas!$B$2:$B$50,MATCH(G776,Listas!$A$2:$A$50,0)),0))</f>
        <v/>
      </c>
      <c r="AA776" s="32"/>
      <c r="AB776" s="32"/>
      <c r="AC776" s="32"/>
      <c r="AD776" s="35" t="str">
        <f aca="false">IF(OR(LEFT(H776,4)="Meta",LEFT(H776,6)="Google"),IF(AG776=3,"Lead calificado",IF(OR(AG776=4,AG776=5),"Tasación/visita",IF(OR(AG776=6,AG776=7),"Captación/oferta",IF(AG776=8,"Cierre","")))),"")</f>
        <v/>
      </c>
      <c r="AE776" s="32"/>
      <c r="AF776" s="32"/>
      <c r="AG776" s="37" t="n">
        <f aca="false">IF(R776="",0,IFERROR(MATCH(R776,Listas!$L$2:$L$50,0),0))</f>
        <v>0</v>
      </c>
    </row>
    <row r="777" customFormat="false" ht="15" hidden="false" customHeight="false" outlineLevel="0" collapsed="false">
      <c r="A777" s="30"/>
      <c r="B777" s="31"/>
      <c r="C777" s="32"/>
      <c r="D777" s="32"/>
      <c r="E777" s="33"/>
      <c r="F777" s="32"/>
      <c r="G777" s="32"/>
      <c r="H777" s="32"/>
      <c r="I777" s="32"/>
      <c r="J777" s="32"/>
      <c r="K777" s="32"/>
      <c r="L777" s="32"/>
      <c r="M777" s="30"/>
      <c r="N777" s="32"/>
      <c r="O777" s="34"/>
      <c r="P777" s="32"/>
      <c r="Q777" s="32"/>
      <c r="R777" s="32"/>
      <c r="S777" s="32"/>
      <c r="T777" s="32"/>
      <c r="U777" s="32"/>
      <c r="V777" s="31"/>
      <c r="W777" s="35" t="str">
        <f aca="true">IF(OR(V777="",AG777&gt;=8),"",IF(V777&lt;TODAY(),"Vencida",IF(V777=TODAY(),"Hoy","")))</f>
        <v/>
      </c>
      <c r="X777" s="36" t="str">
        <f aca="false">IF(A777="","",IF(COUNTIF(Seguimiento!$B$2:$B$5001,A777)=0,"",_xlfn.MAXIFS(Seguimiento!$A$2:$A$5001,Seguimiento!$B$2:$B$5001,A777)))</f>
        <v/>
      </c>
      <c r="Y777" s="37" t="str">
        <f aca="true">IF(B777="","",TODAY()-B777)</f>
        <v/>
      </c>
      <c r="Z777" s="38" t="str">
        <f aca="false">IF(OR(O777="",G777=""),"",O777*IFERROR(INDEX(Listas!$B$2:$B$50,MATCH(G777,Listas!$A$2:$A$50,0)),0))</f>
        <v/>
      </c>
      <c r="AA777" s="32"/>
      <c r="AB777" s="32"/>
      <c r="AC777" s="32"/>
      <c r="AD777" s="35" t="str">
        <f aca="false">IF(OR(LEFT(H777,4)="Meta",LEFT(H777,6)="Google"),IF(AG777=3,"Lead calificado",IF(OR(AG777=4,AG777=5),"Tasación/visita",IF(OR(AG777=6,AG777=7),"Captación/oferta",IF(AG777=8,"Cierre","")))),"")</f>
        <v/>
      </c>
      <c r="AE777" s="32"/>
      <c r="AF777" s="32"/>
      <c r="AG777" s="37" t="n">
        <f aca="false">IF(R777="",0,IFERROR(MATCH(R777,Listas!$L$2:$L$50,0),0))</f>
        <v>0</v>
      </c>
    </row>
    <row r="778" customFormat="false" ht="15" hidden="false" customHeight="false" outlineLevel="0" collapsed="false">
      <c r="A778" s="30"/>
      <c r="B778" s="31"/>
      <c r="C778" s="32"/>
      <c r="D778" s="32"/>
      <c r="E778" s="33"/>
      <c r="F778" s="32"/>
      <c r="G778" s="32"/>
      <c r="H778" s="32"/>
      <c r="I778" s="32"/>
      <c r="J778" s="32"/>
      <c r="K778" s="32"/>
      <c r="L778" s="32"/>
      <c r="M778" s="30"/>
      <c r="N778" s="32"/>
      <c r="O778" s="34"/>
      <c r="P778" s="32"/>
      <c r="Q778" s="32"/>
      <c r="R778" s="32"/>
      <c r="S778" s="32"/>
      <c r="T778" s="32"/>
      <c r="U778" s="32"/>
      <c r="V778" s="31"/>
      <c r="W778" s="35" t="str">
        <f aca="true">IF(OR(V778="",AG778&gt;=8),"",IF(V778&lt;TODAY(),"Vencida",IF(V778=TODAY(),"Hoy","")))</f>
        <v/>
      </c>
      <c r="X778" s="36" t="str">
        <f aca="false">IF(A778="","",IF(COUNTIF(Seguimiento!$B$2:$B$5001,A778)=0,"",_xlfn.MAXIFS(Seguimiento!$A$2:$A$5001,Seguimiento!$B$2:$B$5001,A778)))</f>
        <v/>
      </c>
      <c r="Y778" s="37" t="str">
        <f aca="true">IF(B778="","",TODAY()-B778)</f>
        <v/>
      </c>
      <c r="Z778" s="38" t="str">
        <f aca="false">IF(OR(O778="",G778=""),"",O778*IFERROR(INDEX(Listas!$B$2:$B$50,MATCH(G778,Listas!$A$2:$A$50,0)),0))</f>
        <v/>
      </c>
      <c r="AA778" s="32"/>
      <c r="AB778" s="32"/>
      <c r="AC778" s="32"/>
      <c r="AD778" s="35" t="str">
        <f aca="false">IF(OR(LEFT(H778,4)="Meta",LEFT(H778,6)="Google"),IF(AG778=3,"Lead calificado",IF(OR(AG778=4,AG778=5),"Tasación/visita",IF(OR(AG778=6,AG778=7),"Captación/oferta",IF(AG778=8,"Cierre","")))),"")</f>
        <v/>
      </c>
      <c r="AE778" s="32"/>
      <c r="AF778" s="32"/>
      <c r="AG778" s="37" t="n">
        <f aca="false">IF(R778="",0,IFERROR(MATCH(R778,Listas!$L$2:$L$50,0),0))</f>
        <v>0</v>
      </c>
    </row>
    <row r="779" customFormat="false" ht="15" hidden="false" customHeight="false" outlineLevel="0" collapsed="false">
      <c r="A779" s="30"/>
      <c r="B779" s="31"/>
      <c r="C779" s="32"/>
      <c r="D779" s="32"/>
      <c r="E779" s="33"/>
      <c r="F779" s="32"/>
      <c r="G779" s="32"/>
      <c r="H779" s="32"/>
      <c r="I779" s="32"/>
      <c r="J779" s="32"/>
      <c r="K779" s="32"/>
      <c r="L779" s="32"/>
      <c r="M779" s="30"/>
      <c r="N779" s="32"/>
      <c r="O779" s="34"/>
      <c r="P779" s="32"/>
      <c r="Q779" s="32"/>
      <c r="R779" s="32"/>
      <c r="S779" s="32"/>
      <c r="T779" s="32"/>
      <c r="U779" s="32"/>
      <c r="V779" s="31"/>
      <c r="W779" s="35" t="str">
        <f aca="true">IF(OR(V779="",AG779&gt;=8),"",IF(V779&lt;TODAY(),"Vencida",IF(V779=TODAY(),"Hoy","")))</f>
        <v/>
      </c>
      <c r="X779" s="36" t="str">
        <f aca="false">IF(A779="","",IF(COUNTIF(Seguimiento!$B$2:$B$5001,A779)=0,"",_xlfn.MAXIFS(Seguimiento!$A$2:$A$5001,Seguimiento!$B$2:$B$5001,A779)))</f>
        <v/>
      </c>
      <c r="Y779" s="37" t="str">
        <f aca="true">IF(B779="","",TODAY()-B779)</f>
        <v/>
      </c>
      <c r="Z779" s="38" t="str">
        <f aca="false">IF(OR(O779="",G779=""),"",O779*IFERROR(INDEX(Listas!$B$2:$B$50,MATCH(G779,Listas!$A$2:$A$50,0)),0))</f>
        <v/>
      </c>
      <c r="AA779" s="32"/>
      <c r="AB779" s="32"/>
      <c r="AC779" s="32"/>
      <c r="AD779" s="35" t="str">
        <f aca="false">IF(OR(LEFT(H779,4)="Meta",LEFT(H779,6)="Google"),IF(AG779=3,"Lead calificado",IF(OR(AG779=4,AG779=5),"Tasación/visita",IF(OR(AG779=6,AG779=7),"Captación/oferta",IF(AG779=8,"Cierre","")))),"")</f>
        <v/>
      </c>
      <c r="AE779" s="32"/>
      <c r="AF779" s="32"/>
      <c r="AG779" s="37" t="n">
        <f aca="false">IF(R779="",0,IFERROR(MATCH(R779,Listas!$L$2:$L$50,0),0))</f>
        <v>0</v>
      </c>
    </row>
    <row r="780" customFormat="false" ht="15" hidden="false" customHeight="false" outlineLevel="0" collapsed="false">
      <c r="A780" s="30"/>
      <c r="B780" s="31"/>
      <c r="C780" s="32"/>
      <c r="D780" s="32"/>
      <c r="E780" s="33"/>
      <c r="F780" s="32"/>
      <c r="G780" s="32"/>
      <c r="H780" s="32"/>
      <c r="I780" s="32"/>
      <c r="J780" s="32"/>
      <c r="K780" s="32"/>
      <c r="L780" s="32"/>
      <c r="M780" s="30"/>
      <c r="N780" s="32"/>
      <c r="O780" s="34"/>
      <c r="P780" s="32"/>
      <c r="Q780" s="32"/>
      <c r="R780" s="32"/>
      <c r="S780" s="32"/>
      <c r="T780" s="32"/>
      <c r="U780" s="32"/>
      <c r="V780" s="31"/>
      <c r="W780" s="35" t="str">
        <f aca="true">IF(OR(V780="",AG780&gt;=8),"",IF(V780&lt;TODAY(),"Vencida",IF(V780=TODAY(),"Hoy","")))</f>
        <v/>
      </c>
      <c r="X780" s="36" t="str">
        <f aca="false">IF(A780="","",IF(COUNTIF(Seguimiento!$B$2:$B$5001,A780)=0,"",_xlfn.MAXIFS(Seguimiento!$A$2:$A$5001,Seguimiento!$B$2:$B$5001,A780)))</f>
        <v/>
      </c>
      <c r="Y780" s="37" t="str">
        <f aca="true">IF(B780="","",TODAY()-B780)</f>
        <v/>
      </c>
      <c r="Z780" s="38" t="str">
        <f aca="false">IF(OR(O780="",G780=""),"",O780*IFERROR(INDEX(Listas!$B$2:$B$50,MATCH(G780,Listas!$A$2:$A$50,0)),0))</f>
        <v/>
      </c>
      <c r="AA780" s="32"/>
      <c r="AB780" s="32"/>
      <c r="AC780" s="32"/>
      <c r="AD780" s="35" t="str">
        <f aca="false">IF(OR(LEFT(H780,4)="Meta",LEFT(H780,6)="Google"),IF(AG780=3,"Lead calificado",IF(OR(AG780=4,AG780=5),"Tasación/visita",IF(OR(AG780=6,AG780=7),"Captación/oferta",IF(AG780=8,"Cierre","")))),"")</f>
        <v/>
      </c>
      <c r="AE780" s="32"/>
      <c r="AF780" s="32"/>
      <c r="AG780" s="37" t="n">
        <f aca="false">IF(R780="",0,IFERROR(MATCH(R780,Listas!$L$2:$L$50,0),0))</f>
        <v>0</v>
      </c>
    </row>
    <row r="781" customFormat="false" ht="15" hidden="false" customHeight="false" outlineLevel="0" collapsed="false">
      <c r="A781" s="30"/>
      <c r="B781" s="31"/>
      <c r="C781" s="32"/>
      <c r="D781" s="32"/>
      <c r="E781" s="33"/>
      <c r="F781" s="32"/>
      <c r="G781" s="32"/>
      <c r="H781" s="32"/>
      <c r="I781" s="32"/>
      <c r="J781" s="32"/>
      <c r="K781" s="32"/>
      <c r="L781" s="32"/>
      <c r="M781" s="30"/>
      <c r="N781" s="32"/>
      <c r="O781" s="34"/>
      <c r="P781" s="32"/>
      <c r="Q781" s="32"/>
      <c r="R781" s="32"/>
      <c r="S781" s="32"/>
      <c r="T781" s="32"/>
      <c r="U781" s="32"/>
      <c r="V781" s="31"/>
      <c r="W781" s="35" t="str">
        <f aca="true">IF(OR(V781="",AG781&gt;=8),"",IF(V781&lt;TODAY(),"Vencida",IF(V781=TODAY(),"Hoy","")))</f>
        <v/>
      </c>
      <c r="X781" s="36" t="str">
        <f aca="false">IF(A781="","",IF(COUNTIF(Seguimiento!$B$2:$B$5001,A781)=0,"",_xlfn.MAXIFS(Seguimiento!$A$2:$A$5001,Seguimiento!$B$2:$B$5001,A781)))</f>
        <v/>
      </c>
      <c r="Y781" s="37" t="str">
        <f aca="true">IF(B781="","",TODAY()-B781)</f>
        <v/>
      </c>
      <c r="Z781" s="38" t="str">
        <f aca="false">IF(OR(O781="",G781=""),"",O781*IFERROR(INDEX(Listas!$B$2:$B$50,MATCH(G781,Listas!$A$2:$A$50,0)),0))</f>
        <v/>
      </c>
      <c r="AA781" s="32"/>
      <c r="AB781" s="32"/>
      <c r="AC781" s="32"/>
      <c r="AD781" s="35" t="str">
        <f aca="false">IF(OR(LEFT(H781,4)="Meta",LEFT(H781,6)="Google"),IF(AG781=3,"Lead calificado",IF(OR(AG781=4,AG781=5),"Tasación/visita",IF(OR(AG781=6,AG781=7),"Captación/oferta",IF(AG781=8,"Cierre","")))),"")</f>
        <v/>
      </c>
      <c r="AE781" s="32"/>
      <c r="AF781" s="32"/>
      <c r="AG781" s="37" t="n">
        <f aca="false">IF(R781="",0,IFERROR(MATCH(R781,Listas!$L$2:$L$50,0),0))</f>
        <v>0</v>
      </c>
    </row>
    <row r="782" customFormat="false" ht="15" hidden="false" customHeight="false" outlineLevel="0" collapsed="false">
      <c r="A782" s="30"/>
      <c r="B782" s="31"/>
      <c r="C782" s="32"/>
      <c r="D782" s="32"/>
      <c r="E782" s="33"/>
      <c r="F782" s="32"/>
      <c r="G782" s="32"/>
      <c r="H782" s="32"/>
      <c r="I782" s="32"/>
      <c r="J782" s="32"/>
      <c r="K782" s="32"/>
      <c r="L782" s="32"/>
      <c r="M782" s="30"/>
      <c r="N782" s="32"/>
      <c r="O782" s="34"/>
      <c r="P782" s="32"/>
      <c r="Q782" s="32"/>
      <c r="R782" s="32"/>
      <c r="S782" s="32"/>
      <c r="T782" s="32"/>
      <c r="U782" s="32"/>
      <c r="V782" s="31"/>
      <c r="W782" s="35" t="str">
        <f aca="true">IF(OR(V782="",AG782&gt;=8),"",IF(V782&lt;TODAY(),"Vencida",IF(V782=TODAY(),"Hoy","")))</f>
        <v/>
      </c>
      <c r="X782" s="36" t="str">
        <f aca="false">IF(A782="","",IF(COUNTIF(Seguimiento!$B$2:$B$5001,A782)=0,"",_xlfn.MAXIFS(Seguimiento!$A$2:$A$5001,Seguimiento!$B$2:$B$5001,A782)))</f>
        <v/>
      </c>
      <c r="Y782" s="37" t="str">
        <f aca="true">IF(B782="","",TODAY()-B782)</f>
        <v/>
      </c>
      <c r="Z782" s="38" t="str">
        <f aca="false">IF(OR(O782="",G782=""),"",O782*IFERROR(INDEX(Listas!$B$2:$B$50,MATCH(G782,Listas!$A$2:$A$50,0)),0))</f>
        <v/>
      </c>
      <c r="AA782" s="32"/>
      <c r="AB782" s="32"/>
      <c r="AC782" s="32"/>
      <c r="AD782" s="35" t="str">
        <f aca="false">IF(OR(LEFT(H782,4)="Meta",LEFT(H782,6)="Google"),IF(AG782=3,"Lead calificado",IF(OR(AG782=4,AG782=5),"Tasación/visita",IF(OR(AG782=6,AG782=7),"Captación/oferta",IF(AG782=8,"Cierre","")))),"")</f>
        <v/>
      </c>
      <c r="AE782" s="32"/>
      <c r="AF782" s="32"/>
      <c r="AG782" s="37" t="n">
        <f aca="false">IF(R782="",0,IFERROR(MATCH(R782,Listas!$L$2:$L$50,0),0))</f>
        <v>0</v>
      </c>
    </row>
    <row r="783" customFormat="false" ht="15" hidden="false" customHeight="false" outlineLevel="0" collapsed="false">
      <c r="A783" s="30"/>
      <c r="B783" s="31"/>
      <c r="C783" s="32"/>
      <c r="D783" s="32"/>
      <c r="E783" s="33"/>
      <c r="F783" s="32"/>
      <c r="G783" s="32"/>
      <c r="H783" s="32"/>
      <c r="I783" s="32"/>
      <c r="J783" s="32"/>
      <c r="K783" s="32"/>
      <c r="L783" s="32"/>
      <c r="M783" s="30"/>
      <c r="N783" s="32"/>
      <c r="O783" s="34"/>
      <c r="P783" s="32"/>
      <c r="Q783" s="32"/>
      <c r="R783" s="32"/>
      <c r="S783" s="32"/>
      <c r="T783" s="32"/>
      <c r="U783" s="32"/>
      <c r="V783" s="31"/>
      <c r="W783" s="35" t="str">
        <f aca="true">IF(OR(V783="",AG783&gt;=8),"",IF(V783&lt;TODAY(),"Vencida",IF(V783=TODAY(),"Hoy","")))</f>
        <v/>
      </c>
      <c r="X783" s="36" t="str">
        <f aca="false">IF(A783="","",IF(COUNTIF(Seguimiento!$B$2:$B$5001,A783)=0,"",_xlfn.MAXIFS(Seguimiento!$A$2:$A$5001,Seguimiento!$B$2:$B$5001,A783)))</f>
        <v/>
      </c>
      <c r="Y783" s="37" t="str">
        <f aca="true">IF(B783="","",TODAY()-B783)</f>
        <v/>
      </c>
      <c r="Z783" s="38" t="str">
        <f aca="false">IF(OR(O783="",G783=""),"",O783*IFERROR(INDEX(Listas!$B$2:$B$50,MATCH(G783,Listas!$A$2:$A$50,0)),0))</f>
        <v/>
      </c>
      <c r="AA783" s="32"/>
      <c r="AB783" s="32"/>
      <c r="AC783" s="32"/>
      <c r="AD783" s="35" t="str">
        <f aca="false">IF(OR(LEFT(H783,4)="Meta",LEFT(H783,6)="Google"),IF(AG783=3,"Lead calificado",IF(OR(AG783=4,AG783=5),"Tasación/visita",IF(OR(AG783=6,AG783=7),"Captación/oferta",IF(AG783=8,"Cierre","")))),"")</f>
        <v/>
      </c>
      <c r="AE783" s="32"/>
      <c r="AF783" s="32"/>
      <c r="AG783" s="37" t="n">
        <f aca="false">IF(R783="",0,IFERROR(MATCH(R783,Listas!$L$2:$L$50,0),0))</f>
        <v>0</v>
      </c>
    </row>
    <row r="784" customFormat="false" ht="15" hidden="false" customHeight="false" outlineLevel="0" collapsed="false">
      <c r="A784" s="30"/>
      <c r="B784" s="31"/>
      <c r="C784" s="32"/>
      <c r="D784" s="32"/>
      <c r="E784" s="33"/>
      <c r="F784" s="32"/>
      <c r="G784" s="32"/>
      <c r="H784" s="32"/>
      <c r="I784" s="32"/>
      <c r="J784" s="32"/>
      <c r="K784" s="32"/>
      <c r="L784" s="32"/>
      <c r="M784" s="30"/>
      <c r="N784" s="32"/>
      <c r="O784" s="34"/>
      <c r="P784" s="32"/>
      <c r="Q784" s="32"/>
      <c r="R784" s="32"/>
      <c r="S784" s="32"/>
      <c r="T784" s="32"/>
      <c r="U784" s="32"/>
      <c r="V784" s="31"/>
      <c r="W784" s="35" t="str">
        <f aca="true">IF(OR(V784="",AG784&gt;=8),"",IF(V784&lt;TODAY(),"Vencida",IF(V784=TODAY(),"Hoy","")))</f>
        <v/>
      </c>
      <c r="X784" s="36" t="str">
        <f aca="false">IF(A784="","",IF(COUNTIF(Seguimiento!$B$2:$B$5001,A784)=0,"",_xlfn.MAXIFS(Seguimiento!$A$2:$A$5001,Seguimiento!$B$2:$B$5001,A784)))</f>
        <v/>
      </c>
      <c r="Y784" s="37" t="str">
        <f aca="true">IF(B784="","",TODAY()-B784)</f>
        <v/>
      </c>
      <c r="Z784" s="38" t="str">
        <f aca="false">IF(OR(O784="",G784=""),"",O784*IFERROR(INDEX(Listas!$B$2:$B$50,MATCH(G784,Listas!$A$2:$A$50,0)),0))</f>
        <v/>
      </c>
      <c r="AA784" s="32"/>
      <c r="AB784" s="32"/>
      <c r="AC784" s="32"/>
      <c r="AD784" s="35" t="str">
        <f aca="false">IF(OR(LEFT(H784,4)="Meta",LEFT(H784,6)="Google"),IF(AG784=3,"Lead calificado",IF(OR(AG784=4,AG784=5),"Tasación/visita",IF(OR(AG784=6,AG784=7),"Captación/oferta",IF(AG784=8,"Cierre","")))),"")</f>
        <v/>
      </c>
      <c r="AE784" s="32"/>
      <c r="AF784" s="32"/>
      <c r="AG784" s="37" t="n">
        <f aca="false">IF(R784="",0,IFERROR(MATCH(R784,Listas!$L$2:$L$50,0),0))</f>
        <v>0</v>
      </c>
    </row>
    <row r="785" customFormat="false" ht="15" hidden="false" customHeight="false" outlineLevel="0" collapsed="false">
      <c r="A785" s="30"/>
      <c r="B785" s="31"/>
      <c r="C785" s="32"/>
      <c r="D785" s="32"/>
      <c r="E785" s="33"/>
      <c r="F785" s="32"/>
      <c r="G785" s="32"/>
      <c r="H785" s="32"/>
      <c r="I785" s="32"/>
      <c r="J785" s="32"/>
      <c r="K785" s="32"/>
      <c r="L785" s="32"/>
      <c r="M785" s="30"/>
      <c r="N785" s="32"/>
      <c r="O785" s="34"/>
      <c r="P785" s="32"/>
      <c r="Q785" s="32"/>
      <c r="R785" s="32"/>
      <c r="S785" s="32"/>
      <c r="T785" s="32"/>
      <c r="U785" s="32"/>
      <c r="V785" s="31"/>
      <c r="W785" s="35" t="str">
        <f aca="true">IF(OR(V785="",AG785&gt;=8),"",IF(V785&lt;TODAY(),"Vencida",IF(V785=TODAY(),"Hoy","")))</f>
        <v/>
      </c>
      <c r="X785" s="36" t="str">
        <f aca="false">IF(A785="","",IF(COUNTIF(Seguimiento!$B$2:$B$5001,A785)=0,"",_xlfn.MAXIFS(Seguimiento!$A$2:$A$5001,Seguimiento!$B$2:$B$5001,A785)))</f>
        <v/>
      </c>
      <c r="Y785" s="37" t="str">
        <f aca="true">IF(B785="","",TODAY()-B785)</f>
        <v/>
      </c>
      <c r="Z785" s="38" t="str">
        <f aca="false">IF(OR(O785="",G785=""),"",O785*IFERROR(INDEX(Listas!$B$2:$B$50,MATCH(G785,Listas!$A$2:$A$50,0)),0))</f>
        <v/>
      </c>
      <c r="AA785" s="32"/>
      <c r="AB785" s="32"/>
      <c r="AC785" s="32"/>
      <c r="AD785" s="35" t="str">
        <f aca="false">IF(OR(LEFT(H785,4)="Meta",LEFT(H785,6)="Google"),IF(AG785=3,"Lead calificado",IF(OR(AG785=4,AG785=5),"Tasación/visita",IF(OR(AG785=6,AG785=7),"Captación/oferta",IF(AG785=8,"Cierre","")))),"")</f>
        <v/>
      </c>
      <c r="AE785" s="32"/>
      <c r="AF785" s="32"/>
      <c r="AG785" s="37" t="n">
        <f aca="false">IF(R785="",0,IFERROR(MATCH(R785,Listas!$L$2:$L$50,0),0))</f>
        <v>0</v>
      </c>
    </row>
    <row r="786" customFormat="false" ht="15" hidden="false" customHeight="false" outlineLevel="0" collapsed="false">
      <c r="A786" s="30"/>
      <c r="B786" s="31"/>
      <c r="C786" s="32"/>
      <c r="D786" s="32"/>
      <c r="E786" s="33"/>
      <c r="F786" s="32"/>
      <c r="G786" s="32"/>
      <c r="H786" s="32"/>
      <c r="I786" s="32"/>
      <c r="J786" s="32"/>
      <c r="K786" s="32"/>
      <c r="L786" s="32"/>
      <c r="M786" s="30"/>
      <c r="N786" s="32"/>
      <c r="O786" s="34"/>
      <c r="P786" s="32"/>
      <c r="Q786" s="32"/>
      <c r="R786" s="32"/>
      <c r="S786" s="32"/>
      <c r="T786" s="32"/>
      <c r="U786" s="32"/>
      <c r="V786" s="31"/>
      <c r="W786" s="35" t="str">
        <f aca="true">IF(OR(V786="",AG786&gt;=8),"",IF(V786&lt;TODAY(),"Vencida",IF(V786=TODAY(),"Hoy","")))</f>
        <v/>
      </c>
      <c r="X786" s="36" t="str">
        <f aca="false">IF(A786="","",IF(COUNTIF(Seguimiento!$B$2:$B$5001,A786)=0,"",_xlfn.MAXIFS(Seguimiento!$A$2:$A$5001,Seguimiento!$B$2:$B$5001,A786)))</f>
        <v/>
      </c>
      <c r="Y786" s="37" t="str">
        <f aca="true">IF(B786="","",TODAY()-B786)</f>
        <v/>
      </c>
      <c r="Z786" s="38" t="str">
        <f aca="false">IF(OR(O786="",G786=""),"",O786*IFERROR(INDEX(Listas!$B$2:$B$50,MATCH(G786,Listas!$A$2:$A$50,0)),0))</f>
        <v/>
      </c>
      <c r="AA786" s="32"/>
      <c r="AB786" s="32"/>
      <c r="AC786" s="32"/>
      <c r="AD786" s="35" t="str">
        <f aca="false">IF(OR(LEFT(H786,4)="Meta",LEFT(H786,6)="Google"),IF(AG786=3,"Lead calificado",IF(OR(AG786=4,AG786=5),"Tasación/visita",IF(OR(AG786=6,AG786=7),"Captación/oferta",IF(AG786=8,"Cierre","")))),"")</f>
        <v/>
      </c>
      <c r="AE786" s="32"/>
      <c r="AF786" s="32"/>
      <c r="AG786" s="37" t="n">
        <f aca="false">IF(R786="",0,IFERROR(MATCH(R786,Listas!$L$2:$L$50,0),0))</f>
        <v>0</v>
      </c>
    </row>
    <row r="787" customFormat="false" ht="15" hidden="false" customHeight="false" outlineLevel="0" collapsed="false">
      <c r="A787" s="30"/>
      <c r="B787" s="31"/>
      <c r="C787" s="32"/>
      <c r="D787" s="32"/>
      <c r="E787" s="33"/>
      <c r="F787" s="32"/>
      <c r="G787" s="32"/>
      <c r="H787" s="32"/>
      <c r="I787" s="32"/>
      <c r="J787" s="32"/>
      <c r="K787" s="32"/>
      <c r="L787" s="32"/>
      <c r="M787" s="30"/>
      <c r="N787" s="32"/>
      <c r="O787" s="34"/>
      <c r="P787" s="32"/>
      <c r="Q787" s="32"/>
      <c r="R787" s="32"/>
      <c r="S787" s="32"/>
      <c r="T787" s="32"/>
      <c r="U787" s="32"/>
      <c r="V787" s="31"/>
      <c r="W787" s="35" t="str">
        <f aca="true">IF(OR(V787="",AG787&gt;=8),"",IF(V787&lt;TODAY(),"Vencida",IF(V787=TODAY(),"Hoy","")))</f>
        <v/>
      </c>
      <c r="X787" s="36" t="str">
        <f aca="false">IF(A787="","",IF(COUNTIF(Seguimiento!$B$2:$B$5001,A787)=0,"",_xlfn.MAXIFS(Seguimiento!$A$2:$A$5001,Seguimiento!$B$2:$B$5001,A787)))</f>
        <v/>
      </c>
      <c r="Y787" s="37" t="str">
        <f aca="true">IF(B787="","",TODAY()-B787)</f>
        <v/>
      </c>
      <c r="Z787" s="38" t="str">
        <f aca="false">IF(OR(O787="",G787=""),"",O787*IFERROR(INDEX(Listas!$B$2:$B$50,MATCH(G787,Listas!$A$2:$A$50,0)),0))</f>
        <v/>
      </c>
      <c r="AA787" s="32"/>
      <c r="AB787" s="32"/>
      <c r="AC787" s="32"/>
      <c r="AD787" s="35" t="str">
        <f aca="false">IF(OR(LEFT(H787,4)="Meta",LEFT(H787,6)="Google"),IF(AG787=3,"Lead calificado",IF(OR(AG787=4,AG787=5),"Tasación/visita",IF(OR(AG787=6,AG787=7),"Captación/oferta",IF(AG787=8,"Cierre","")))),"")</f>
        <v/>
      </c>
      <c r="AE787" s="32"/>
      <c r="AF787" s="32"/>
      <c r="AG787" s="37" t="n">
        <f aca="false">IF(R787="",0,IFERROR(MATCH(R787,Listas!$L$2:$L$50,0),0))</f>
        <v>0</v>
      </c>
    </row>
    <row r="788" customFormat="false" ht="15" hidden="false" customHeight="false" outlineLevel="0" collapsed="false">
      <c r="A788" s="30"/>
      <c r="B788" s="31"/>
      <c r="C788" s="32"/>
      <c r="D788" s="32"/>
      <c r="E788" s="33"/>
      <c r="F788" s="32"/>
      <c r="G788" s="32"/>
      <c r="H788" s="32"/>
      <c r="I788" s="32"/>
      <c r="J788" s="32"/>
      <c r="K788" s="32"/>
      <c r="L788" s="32"/>
      <c r="M788" s="30"/>
      <c r="N788" s="32"/>
      <c r="O788" s="34"/>
      <c r="P788" s="32"/>
      <c r="Q788" s="32"/>
      <c r="R788" s="32"/>
      <c r="S788" s="32"/>
      <c r="T788" s="32"/>
      <c r="U788" s="32"/>
      <c r="V788" s="31"/>
      <c r="W788" s="35" t="str">
        <f aca="true">IF(OR(V788="",AG788&gt;=8),"",IF(V788&lt;TODAY(),"Vencida",IF(V788=TODAY(),"Hoy","")))</f>
        <v/>
      </c>
      <c r="X788" s="36" t="str">
        <f aca="false">IF(A788="","",IF(COUNTIF(Seguimiento!$B$2:$B$5001,A788)=0,"",_xlfn.MAXIFS(Seguimiento!$A$2:$A$5001,Seguimiento!$B$2:$B$5001,A788)))</f>
        <v/>
      </c>
      <c r="Y788" s="37" t="str">
        <f aca="true">IF(B788="","",TODAY()-B788)</f>
        <v/>
      </c>
      <c r="Z788" s="38" t="str">
        <f aca="false">IF(OR(O788="",G788=""),"",O788*IFERROR(INDEX(Listas!$B$2:$B$50,MATCH(G788,Listas!$A$2:$A$50,0)),0))</f>
        <v/>
      </c>
      <c r="AA788" s="32"/>
      <c r="AB788" s="32"/>
      <c r="AC788" s="32"/>
      <c r="AD788" s="35" t="str">
        <f aca="false">IF(OR(LEFT(H788,4)="Meta",LEFT(H788,6)="Google"),IF(AG788=3,"Lead calificado",IF(OR(AG788=4,AG788=5),"Tasación/visita",IF(OR(AG788=6,AG788=7),"Captación/oferta",IF(AG788=8,"Cierre","")))),"")</f>
        <v/>
      </c>
      <c r="AE788" s="32"/>
      <c r="AF788" s="32"/>
      <c r="AG788" s="37" t="n">
        <f aca="false">IF(R788="",0,IFERROR(MATCH(R788,Listas!$L$2:$L$50,0),0))</f>
        <v>0</v>
      </c>
    </row>
    <row r="789" customFormat="false" ht="15" hidden="false" customHeight="false" outlineLevel="0" collapsed="false">
      <c r="A789" s="30"/>
      <c r="B789" s="31"/>
      <c r="C789" s="32"/>
      <c r="D789" s="32"/>
      <c r="E789" s="33"/>
      <c r="F789" s="32"/>
      <c r="G789" s="32"/>
      <c r="H789" s="32"/>
      <c r="I789" s="32"/>
      <c r="J789" s="32"/>
      <c r="K789" s="32"/>
      <c r="L789" s="32"/>
      <c r="M789" s="30"/>
      <c r="N789" s="32"/>
      <c r="O789" s="34"/>
      <c r="P789" s="32"/>
      <c r="Q789" s="32"/>
      <c r="R789" s="32"/>
      <c r="S789" s="32"/>
      <c r="T789" s="32"/>
      <c r="U789" s="32"/>
      <c r="V789" s="31"/>
      <c r="W789" s="35" t="str">
        <f aca="true">IF(OR(V789="",AG789&gt;=8),"",IF(V789&lt;TODAY(),"Vencida",IF(V789=TODAY(),"Hoy","")))</f>
        <v/>
      </c>
      <c r="X789" s="36" t="str">
        <f aca="false">IF(A789="","",IF(COUNTIF(Seguimiento!$B$2:$B$5001,A789)=0,"",_xlfn.MAXIFS(Seguimiento!$A$2:$A$5001,Seguimiento!$B$2:$B$5001,A789)))</f>
        <v/>
      </c>
      <c r="Y789" s="37" t="str">
        <f aca="true">IF(B789="","",TODAY()-B789)</f>
        <v/>
      </c>
      <c r="Z789" s="38" t="str">
        <f aca="false">IF(OR(O789="",G789=""),"",O789*IFERROR(INDEX(Listas!$B$2:$B$50,MATCH(G789,Listas!$A$2:$A$50,0)),0))</f>
        <v/>
      </c>
      <c r="AA789" s="32"/>
      <c r="AB789" s="32"/>
      <c r="AC789" s="32"/>
      <c r="AD789" s="35" t="str">
        <f aca="false">IF(OR(LEFT(H789,4)="Meta",LEFT(H789,6)="Google"),IF(AG789=3,"Lead calificado",IF(OR(AG789=4,AG789=5),"Tasación/visita",IF(OR(AG789=6,AG789=7),"Captación/oferta",IF(AG789=8,"Cierre","")))),"")</f>
        <v/>
      </c>
      <c r="AE789" s="32"/>
      <c r="AF789" s="32"/>
      <c r="AG789" s="37" t="n">
        <f aca="false">IF(R789="",0,IFERROR(MATCH(R789,Listas!$L$2:$L$50,0),0))</f>
        <v>0</v>
      </c>
    </row>
    <row r="790" customFormat="false" ht="15" hidden="false" customHeight="false" outlineLevel="0" collapsed="false">
      <c r="A790" s="30"/>
      <c r="B790" s="31"/>
      <c r="C790" s="32"/>
      <c r="D790" s="32"/>
      <c r="E790" s="33"/>
      <c r="F790" s="32"/>
      <c r="G790" s="32"/>
      <c r="H790" s="32"/>
      <c r="I790" s="32"/>
      <c r="J790" s="32"/>
      <c r="K790" s="32"/>
      <c r="L790" s="32"/>
      <c r="M790" s="30"/>
      <c r="N790" s="32"/>
      <c r="O790" s="34"/>
      <c r="P790" s="32"/>
      <c r="Q790" s="32"/>
      <c r="R790" s="32"/>
      <c r="S790" s="32"/>
      <c r="T790" s="32"/>
      <c r="U790" s="32"/>
      <c r="V790" s="31"/>
      <c r="W790" s="35" t="str">
        <f aca="true">IF(OR(V790="",AG790&gt;=8),"",IF(V790&lt;TODAY(),"Vencida",IF(V790=TODAY(),"Hoy","")))</f>
        <v/>
      </c>
      <c r="X790" s="36" t="str">
        <f aca="false">IF(A790="","",IF(COUNTIF(Seguimiento!$B$2:$B$5001,A790)=0,"",_xlfn.MAXIFS(Seguimiento!$A$2:$A$5001,Seguimiento!$B$2:$B$5001,A790)))</f>
        <v/>
      </c>
      <c r="Y790" s="37" t="str">
        <f aca="true">IF(B790="","",TODAY()-B790)</f>
        <v/>
      </c>
      <c r="Z790" s="38" t="str">
        <f aca="false">IF(OR(O790="",G790=""),"",O790*IFERROR(INDEX(Listas!$B$2:$B$50,MATCH(G790,Listas!$A$2:$A$50,0)),0))</f>
        <v/>
      </c>
      <c r="AA790" s="32"/>
      <c r="AB790" s="32"/>
      <c r="AC790" s="32"/>
      <c r="AD790" s="35" t="str">
        <f aca="false">IF(OR(LEFT(H790,4)="Meta",LEFT(H790,6)="Google"),IF(AG790=3,"Lead calificado",IF(OR(AG790=4,AG790=5),"Tasación/visita",IF(OR(AG790=6,AG790=7),"Captación/oferta",IF(AG790=8,"Cierre","")))),"")</f>
        <v/>
      </c>
      <c r="AE790" s="32"/>
      <c r="AF790" s="32"/>
      <c r="AG790" s="37" t="n">
        <f aca="false">IF(R790="",0,IFERROR(MATCH(R790,Listas!$L$2:$L$50,0),0))</f>
        <v>0</v>
      </c>
    </row>
    <row r="791" customFormat="false" ht="15" hidden="false" customHeight="false" outlineLevel="0" collapsed="false">
      <c r="A791" s="30"/>
      <c r="B791" s="31"/>
      <c r="C791" s="32"/>
      <c r="D791" s="32"/>
      <c r="E791" s="33"/>
      <c r="F791" s="32"/>
      <c r="G791" s="32"/>
      <c r="H791" s="32"/>
      <c r="I791" s="32"/>
      <c r="J791" s="32"/>
      <c r="K791" s="32"/>
      <c r="L791" s="32"/>
      <c r="M791" s="30"/>
      <c r="N791" s="32"/>
      <c r="O791" s="34"/>
      <c r="P791" s="32"/>
      <c r="Q791" s="32"/>
      <c r="R791" s="32"/>
      <c r="S791" s="32"/>
      <c r="T791" s="32"/>
      <c r="U791" s="32"/>
      <c r="V791" s="31"/>
      <c r="W791" s="35" t="str">
        <f aca="true">IF(OR(V791="",AG791&gt;=8),"",IF(V791&lt;TODAY(),"Vencida",IF(V791=TODAY(),"Hoy","")))</f>
        <v/>
      </c>
      <c r="X791" s="36" t="str">
        <f aca="false">IF(A791="","",IF(COUNTIF(Seguimiento!$B$2:$B$5001,A791)=0,"",_xlfn.MAXIFS(Seguimiento!$A$2:$A$5001,Seguimiento!$B$2:$B$5001,A791)))</f>
        <v/>
      </c>
      <c r="Y791" s="37" t="str">
        <f aca="true">IF(B791="","",TODAY()-B791)</f>
        <v/>
      </c>
      <c r="Z791" s="38" t="str">
        <f aca="false">IF(OR(O791="",G791=""),"",O791*IFERROR(INDEX(Listas!$B$2:$B$50,MATCH(G791,Listas!$A$2:$A$50,0)),0))</f>
        <v/>
      </c>
      <c r="AA791" s="32"/>
      <c r="AB791" s="32"/>
      <c r="AC791" s="32"/>
      <c r="AD791" s="35" t="str">
        <f aca="false">IF(OR(LEFT(H791,4)="Meta",LEFT(H791,6)="Google"),IF(AG791=3,"Lead calificado",IF(OR(AG791=4,AG791=5),"Tasación/visita",IF(OR(AG791=6,AG791=7),"Captación/oferta",IF(AG791=8,"Cierre","")))),"")</f>
        <v/>
      </c>
      <c r="AE791" s="32"/>
      <c r="AF791" s="32"/>
      <c r="AG791" s="37" t="n">
        <f aca="false">IF(R791="",0,IFERROR(MATCH(R791,Listas!$L$2:$L$50,0),0))</f>
        <v>0</v>
      </c>
    </row>
    <row r="792" customFormat="false" ht="15" hidden="false" customHeight="false" outlineLevel="0" collapsed="false">
      <c r="A792" s="30"/>
      <c r="B792" s="31"/>
      <c r="C792" s="32"/>
      <c r="D792" s="32"/>
      <c r="E792" s="33"/>
      <c r="F792" s="32"/>
      <c r="G792" s="32"/>
      <c r="H792" s="32"/>
      <c r="I792" s="32"/>
      <c r="J792" s="32"/>
      <c r="K792" s="32"/>
      <c r="L792" s="32"/>
      <c r="M792" s="30"/>
      <c r="N792" s="32"/>
      <c r="O792" s="34"/>
      <c r="P792" s="32"/>
      <c r="Q792" s="32"/>
      <c r="R792" s="32"/>
      <c r="S792" s="32"/>
      <c r="T792" s="32"/>
      <c r="U792" s="32"/>
      <c r="V792" s="31"/>
      <c r="W792" s="35" t="str">
        <f aca="true">IF(OR(V792="",AG792&gt;=8),"",IF(V792&lt;TODAY(),"Vencida",IF(V792=TODAY(),"Hoy","")))</f>
        <v/>
      </c>
      <c r="X792" s="36" t="str">
        <f aca="false">IF(A792="","",IF(COUNTIF(Seguimiento!$B$2:$B$5001,A792)=0,"",_xlfn.MAXIFS(Seguimiento!$A$2:$A$5001,Seguimiento!$B$2:$B$5001,A792)))</f>
        <v/>
      </c>
      <c r="Y792" s="37" t="str">
        <f aca="true">IF(B792="","",TODAY()-B792)</f>
        <v/>
      </c>
      <c r="Z792" s="38" t="str">
        <f aca="false">IF(OR(O792="",G792=""),"",O792*IFERROR(INDEX(Listas!$B$2:$B$50,MATCH(G792,Listas!$A$2:$A$50,0)),0))</f>
        <v/>
      </c>
      <c r="AA792" s="32"/>
      <c r="AB792" s="32"/>
      <c r="AC792" s="32"/>
      <c r="AD792" s="35" t="str">
        <f aca="false">IF(OR(LEFT(H792,4)="Meta",LEFT(H792,6)="Google"),IF(AG792=3,"Lead calificado",IF(OR(AG792=4,AG792=5),"Tasación/visita",IF(OR(AG792=6,AG792=7),"Captación/oferta",IF(AG792=8,"Cierre","")))),"")</f>
        <v/>
      </c>
      <c r="AE792" s="32"/>
      <c r="AF792" s="32"/>
      <c r="AG792" s="37" t="n">
        <f aca="false">IF(R792="",0,IFERROR(MATCH(R792,Listas!$L$2:$L$50,0),0))</f>
        <v>0</v>
      </c>
    </row>
    <row r="793" customFormat="false" ht="15" hidden="false" customHeight="false" outlineLevel="0" collapsed="false">
      <c r="A793" s="30"/>
      <c r="B793" s="31"/>
      <c r="C793" s="32"/>
      <c r="D793" s="32"/>
      <c r="E793" s="33"/>
      <c r="F793" s="32"/>
      <c r="G793" s="32"/>
      <c r="H793" s="32"/>
      <c r="I793" s="32"/>
      <c r="J793" s="32"/>
      <c r="K793" s="32"/>
      <c r="L793" s="32"/>
      <c r="M793" s="30"/>
      <c r="N793" s="32"/>
      <c r="O793" s="34"/>
      <c r="P793" s="32"/>
      <c r="Q793" s="32"/>
      <c r="R793" s="32"/>
      <c r="S793" s="32"/>
      <c r="T793" s="32"/>
      <c r="U793" s="32"/>
      <c r="V793" s="31"/>
      <c r="W793" s="35" t="str">
        <f aca="true">IF(OR(V793="",AG793&gt;=8),"",IF(V793&lt;TODAY(),"Vencida",IF(V793=TODAY(),"Hoy","")))</f>
        <v/>
      </c>
      <c r="X793" s="36" t="str">
        <f aca="false">IF(A793="","",IF(COUNTIF(Seguimiento!$B$2:$B$5001,A793)=0,"",_xlfn.MAXIFS(Seguimiento!$A$2:$A$5001,Seguimiento!$B$2:$B$5001,A793)))</f>
        <v/>
      </c>
      <c r="Y793" s="37" t="str">
        <f aca="true">IF(B793="","",TODAY()-B793)</f>
        <v/>
      </c>
      <c r="Z793" s="38" t="str">
        <f aca="false">IF(OR(O793="",G793=""),"",O793*IFERROR(INDEX(Listas!$B$2:$B$50,MATCH(G793,Listas!$A$2:$A$50,0)),0))</f>
        <v/>
      </c>
      <c r="AA793" s="32"/>
      <c r="AB793" s="32"/>
      <c r="AC793" s="32"/>
      <c r="AD793" s="35" t="str">
        <f aca="false">IF(OR(LEFT(H793,4)="Meta",LEFT(H793,6)="Google"),IF(AG793=3,"Lead calificado",IF(OR(AG793=4,AG793=5),"Tasación/visita",IF(OR(AG793=6,AG793=7),"Captación/oferta",IF(AG793=8,"Cierre","")))),"")</f>
        <v/>
      </c>
      <c r="AE793" s="32"/>
      <c r="AF793" s="32"/>
      <c r="AG793" s="37" t="n">
        <f aca="false">IF(R793="",0,IFERROR(MATCH(R793,Listas!$L$2:$L$50,0),0))</f>
        <v>0</v>
      </c>
    </row>
    <row r="794" customFormat="false" ht="15" hidden="false" customHeight="false" outlineLevel="0" collapsed="false">
      <c r="A794" s="30"/>
      <c r="B794" s="31"/>
      <c r="C794" s="32"/>
      <c r="D794" s="32"/>
      <c r="E794" s="33"/>
      <c r="F794" s="32"/>
      <c r="G794" s="32"/>
      <c r="H794" s="32"/>
      <c r="I794" s="32"/>
      <c r="J794" s="32"/>
      <c r="K794" s="32"/>
      <c r="L794" s="32"/>
      <c r="M794" s="30"/>
      <c r="N794" s="32"/>
      <c r="O794" s="34"/>
      <c r="P794" s="32"/>
      <c r="Q794" s="32"/>
      <c r="R794" s="32"/>
      <c r="S794" s="32"/>
      <c r="T794" s="32"/>
      <c r="U794" s="32"/>
      <c r="V794" s="31"/>
      <c r="W794" s="35" t="str">
        <f aca="true">IF(OR(V794="",AG794&gt;=8),"",IF(V794&lt;TODAY(),"Vencida",IF(V794=TODAY(),"Hoy","")))</f>
        <v/>
      </c>
      <c r="X794" s="36" t="str">
        <f aca="false">IF(A794="","",IF(COUNTIF(Seguimiento!$B$2:$B$5001,A794)=0,"",_xlfn.MAXIFS(Seguimiento!$A$2:$A$5001,Seguimiento!$B$2:$B$5001,A794)))</f>
        <v/>
      </c>
      <c r="Y794" s="37" t="str">
        <f aca="true">IF(B794="","",TODAY()-B794)</f>
        <v/>
      </c>
      <c r="Z794" s="38" t="str">
        <f aca="false">IF(OR(O794="",G794=""),"",O794*IFERROR(INDEX(Listas!$B$2:$B$50,MATCH(G794,Listas!$A$2:$A$50,0)),0))</f>
        <v/>
      </c>
      <c r="AA794" s="32"/>
      <c r="AB794" s="32"/>
      <c r="AC794" s="32"/>
      <c r="AD794" s="35" t="str">
        <f aca="false">IF(OR(LEFT(H794,4)="Meta",LEFT(H794,6)="Google"),IF(AG794=3,"Lead calificado",IF(OR(AG794=4,AG794=5),"Tasación/visita",IF(OR(AG794=6,AG794=7),"Captación/oferta",IF(AG794=8,"Cierre","")))),"")</f>
        <v/>
      </c>
      <c r="AE794" s="32"/>
      <c r="AF794" s="32"/>
      <c r="AG794" s="37" t="n">
        <f aca="false">IF(R794="",0,IFERROR(MATCH(R794,Listas!$L$2:$L$50,0),0))</f>
        <v>0</v>
      </c>
    </row>
    <row r="795" customFormat="false" ht="15" hidden="false" customHeight="false" outlineLevel="0" collapsed="false">
      <c r="A795" s="30"/>
      <c r="B795" s="31"/>
      <c r="C795" s="32"/>
      <c r="D795" s="32"/>
      <c r="E795" s="33"/>
      <c r="F795" s="32"/>
      <c r="G795" s="32"/>
      <c r="H795" s="32"/>
      <c r="I795" s="32"/>
      <c r="J795" s="32"/>
      <c r="K795" s="32"/>
      <c r="L795" s="32"/>
      <c r="M795" s="30"/>
      <c r="N795" s="32"/>
      <c r="O795" s="34"/>
      <c r="P795" s="32"/>
      <c r="Q795" s="32"/>
      <c r="R795" s="32"/>
      <c r="S795" s="32"/>
      <c r="T795" s="32"/>
      <c r="U795" s="32"/>
      <c r="V795" s="31"/>
      <c r="W795" s="35" t="str">
        <f aca="true">IF(OR(V795="",AG795&gt;=8),"",IF(V795&lt;TODAY(),"Vencida",IF(V795=TODAY(),"Hoy","")))</f>
        <v/>
      </c>
      <c r="X795" s="36" t="str">
        <f aca="false">IF(A795="","",IF(COUNTIF(Seguimiento!$B$2:$B$5001,A795)=0,"",_xlfn.MAXIFS(Seguimiento!$A$2:$A$5001,Seguimiento!$B$2:$B$5001,A795)))</f>
        <v/>
      </c>
      <c r="Y795" s="37" t="str">
        <f aca="true">IF(B795="","",TODAY()-B795)</f>
        <v/>
      </c>
      <c r="Z795" s="38" t="str">
        <f aca="false">IF(OR(O795="",G795=""),"",O795*IFERROR(INDEX(Listas!$B$2:$B$50,MATCH(G795,Listas!$A$2:$A$50,0)),0))</f>
        <v/>
      </c>
      <c r="AA795" s="32"/>
      <c r="AB795" s="32"/>
      <c r="AC795" s="32"/>
      <c r="AD795" s="35" t="str">
        <f aca="false">IF(OR(LEFT(H795,4)="Meta",LEFT(H795,6)="Google"),IF(AG795=3,"Lead calificado",IF(OR(AG795=4,AG795=5),"Tasación/visita",IF(OR(AG795=6,AG795=7),"Captación/oferta",IF(AG795=8,"Cierre","")))),"")</f>
        <v/>
      </c>
      <c r="AE795" s="32"/>
      <c r="AF795" s="32"/>
      <c r="AG795" s="37" t="n">
        <f aca="false">IF(R795="",0,IFERROR(MATCH(R795,Listas!$L$2:$L$50,0),0))</f>
        <v>0</v>
      </c>
    </row>
    <row r="796" customFormat="false" ht="15" hidden="false" customHeight="false" outlineLevel="0" collapsed="false">
      <c r="A796" s="30"/>
      <c r="B796" s="31"/>
      <c r="C796" s="32"/>
      <c r="D796" s="32"/>
      <c r="E796" s="33"/>
      <c r="F796" s="32"/>
      <c r="G796" s="32"/>
      <c r="H796" s="32"/>
      <c r="I796" s="32"/>
      <c r="J796" s="32"/>
      <c r="K796" s="32"/>
      <c r="L796" s="32"/>
      <c r="M796" s="30"/>
      <c r="N796" s="32"/>
      <c r="O796" s="34"/>
      <c r="P796" s="32"/>
      <c r="Q796" s="32"/>
      <c r="R796" s="32"/>
      <c r="S796" s="32"/>
      <c r="T796" s="32"/>
      <c r="U796" s="32"/>
      <c r="V796" s="31"/>
      <c r="W796" s="35" t="str">
        <f aca="true">IF(OR(V796="",AG796&gt;=8),"",IF(V796&lt;TODAY(),"Vencida",IF(V796=TODAY(),"Hoy","")))</f>
        <v/>
      </c>
      <c r="X796" s="36" t="str">
        <f aca="false">IF(A796="","",IF(COUNTIF(Seguimiento!$B$2:$B$5001,A796)=0,"",_xlfn.MAXIFS(Seguimiento!$A$2:$A$5001,Seguimiento!$B$2:$B$5001,A796)))</f>
        <v/>
      </c>
      <c r="Y796" s="37" t="str">
        <f aca="true">IF(B796="","",TODAY()-B796)</f>
        <v/>
      </c>
      <c r="Z796" s="38" t="str">
        <f aca="false">IF(OR(O796="",G796=""),"",O796*IFERROR(INDEX(Listas!$B$2:$B$50,MATCH(G796,Listas!$A$2:$A$50,0)),0))</f>
        <v/>
      </c>
      <c r="AA796" s="32"/>
      <c r="AB796" s="32"/>
      <c r="AC796" s="32"/>
      <c r="AD796" s="35" t="str">
        <f aca="false">IF(OR(LEFT(H796,4)="Meta",LEFT(H796,6)="Google"),IF(AG796=3,"Lead calificado",IF(OR(AG796=4,AG796=5),"Tasación/visita",IF(OR(AG796=6,AG796=7),"Captación/oferta",IF(AG796=8,"Cierre","")))),"")</f>
        <v/>
      </c>
      <c r="AE796" s="32"/>
      <c r="AF796" s="32"/>
      <c r="AG796" s="37" t="n">
        <f aca="false">IF(R796="",0,IFERROR(MATCH(R796,Listas!$L$2:$L$50,0),0))</f>
        <v>0</v>
      </c>
    </row>
    <row r="797" customFormat="false" ht="15" hidden="false" customHeight="false" outlineLevel="0" collapsed="false">
      <c r="A797" s="30"/>
      <c r="B797" s="31"/>
      <c r="C797" s="32"/>
      <c r="D797" s="32"/>
      <c r="E797" s="33"/>
      <c r="F797" s="32"/>
      <c r="G797" s="32"/>
      <c r="H797" s="32"/>
      <c r="I797" s="32"/>
      <c r="J797" s="32"/>
      <c r="K797" s="32"/>
      <c r="L797" s="32"/>
      <c r="M797" s="30"/>
      <c r="N797" s="32"/>
      <c r="O797" s="34"/>
      <c r="P797" s="32"/>
      <c r="Q797" s="32"/>
      <c r="R797" s="32"/>
      <c r="S797" s="32"/>
      <c r="T797" s="32"/>
      <c r="U797" s="32"/>
      <c r="V797" s="31"/>
      <c r="W797" s="35" t="str">
        <f aca="true">IF(OR(V797="",AG797&gt;=8),"",IF(V797&lt;TODAY(),"Vencida",IF(V797=TODAY(),"Hoy","")))</f>
        <v/>
      </c>
      <c r="X797" s="36" t="str">
        <f aca="false">IF(A797="","",IF(COUNTIF(Seguimiento!$B$2:$B$5001,A797)=0,"",_xlfn.MAXIFS(Seguimiento!$A$2:$A$5001,Seguimiento!$B$2:$B$5001,A797)))</f>
        <v/>
      </c>
      <c r="Y797" s="37" t="str">
        <f aca="true">IF(B797="","",TODAY()-B797)</f>
        <v/>
      </c>
      <c r="Z797" s="38" t="str">
        <f aca="false">IF(OR(O797="",G797=""),"",O797*IFERROR(INDEX(Listas!$B$2:$B$50,MATCH(G797,Listas!$A$2:$A$50,0)),0))</f>
        <v/>
      </c>
      <c r="AA797" s="32"/>
      <c r="AB797" s="32"/>
      <c r="AC797" s="32"/>
      <c r="AD797" s="35" t="str">
        <f aca="false">IF(OR(LEFT(H797,4)="Meta",LEFT(H797,6)="Google"),IF(AG797=3,"Lead calificado",IF(OR(AG797=4,AG797=5),"Tasación/visita",IF(OR(AG797=6,AG797=7),"Captación/oferta",IF(AG797=8,"Cierre","")))),"")</f>
        <v/>
      </c>
      <c r="AE797" s="32"/>
      <c r="AF797" s="32"/>
      <c r="AG797" s="37" t="n">
        <f aca="false">IF(R797="",0,IFERROR(MATCH(R797,Listas!$L$2:$L$50,0),0))</f>
        <v>0</v>
      </c>
    </row>
    <row r="798" customFormat="false" ht="15" hidden="false" customHeight="false" outlineLevel="0" collapsed="false">
      <c r="A798" s="30"/>
      <c r="B798" s="31"/>
      <c r="C798" s="32"/>
      <c r="D798" s="32"/>
      <c r="E798" s="33"/>
      <c r="F798" s="32"/>
      <c r="G798" s="32"/>
      <c r="H798" s="32"/>
      <c r="I798" s="32"/>
      <c r="J798" s="32"/>
      <c r="K798" s="32"/>
      <c r="L798" s="32"/>
      <c r="M798" s="30"/>
      <c r="N798" s="32"/>
      <c r="O798" s="34"/>
      <c r="P798" s="32"/>
      <c r="Q798" s="32"/>
      <c r="R798" s="32"/>
      <c r="S798" s="32"/>
      <c r="T798" s="32"/>
      <c r="U798" s="32"/>
      <c r="V798" s="31"/>
      <c r="W798" s="35" t="str">
        <f aca="true">IF(OR(V798="",AG798&gt;=8),"",IF(V798&lt;TODAY(),"Vencida",IF(V798=TODAY(),"Hoy","")))</f>
        <v/>
      </c>
      <c r="X798" s="36" t="str">
        <f aca="false">IF(A798="","",IF(COUNTIF(Seguimiento!$B$2:$B$5001,A798)=0,"",_xlfn.MAXIFS(Seguimiento!$A$2:$A$5001,Seguimiento!$B$2:$B$5001,A798)))</f>
        <v/>
      </c>
      <c r="Y798" s="37" t="str">
        <f aca="true">IF(B798="","",TODAY()-B798)</f>
        <v/>
      </c>
      <c r="Z798" s="38" t="str">
        <f aca="false">IF(OR(O798="",G798=""),"",O798*IFERROR(INDEX(Listas!$B$2:$B$50,MATCH(G798,Listas!$A$2:$A$50,0)),0))</f>
        <v/>
      </c>
      <c r="AA798" s="32"/>
      <c r="AB798" s="32"/>
      <c r="AC798" s="32"/>
      <c r="AD798" s="35" t="str">
        <f aca="false">IF(OR(LEFT(H798,4)="Meta",LEFT(H798,6)="Google"),IF(AG798=3,"Lead calificado",IF(OR(AG798=4,AG798=5),"Tasación/visita",IF(OR(AG798=6,AG798=7),"Captación/oferta",IF(AG798=8,"Cierre","")))),"")</f>
        <v/>
      </c>
      <c r="AE798" s="32"/>
      <c r="AF798" s="32"/>
      <c r="AG798" s="37" t="n">
        <f aca="false">IF(R798="",0,IFERROR(MATCH(R798,Listas!$L$2:$L$50,0),0))</f>
        <v>0</v>
      </c>
    </row>
    <row r="799" customFormat="false" ht="15" hidden="false" customHeight="false" outlineLevel="0" collapsed="false">
      <c r="A799" s="30"/>
      <c r="B799" s="31"/>
      <c r="C799" s="32"/>
      <c r="D799" s="32"/>
      <c r="E799" s="33"/>
      <c r="F799" s="32"/>
      <c r="G799" s="32"/>
      <c r="H799" s="32"/>
      <c r="I799" s="32"/>
      <c r="J799" s="32"/>
      <c r="K799" s="32"/>
      <c r="L799" s="32"/>
      <c r="M799" s="30"/>
      <c r="N799" s="32"/>
      <c r="O799" s="34"/>
      <c r="P799" s="32"/>
      <c r="Q799" s="32"/>
      <c r="R799" s="32"/>
      <c r="S799" s="32"/>
      <c r="T799" s="32"/>
      <c r="U799" s="32"/>
      <c r="V799" s="31"/>
      <c r="W799" s="35" t="str">
        <f aca="true">IF(OR(V799="",AG799&gt;=8),"",IF(V799&lt;TODAY(),"Vencida",IF(V799=TODAY(),"Hoy","")))</f>
        <v/>
      </c>
      <c r="X799" s="36" t="str">
        <f aca="false">IF(A799="","",IF(COUNTIF(Seguimiento!$B$2:$B$5001,A799)=0,"",_xlfn.MAXIFS(Seguimiento!$A$2:$A$5001,Seguimiento!$B$2:$B$5001,A799)))</f>
        <v/>
      </c>
      <c r="Y799" s="37" t="str">
        <f aca="true">IF(B799="","",TODAY()-B799)</f>
        <v/>
      </c>
      <c r="Z799" s="38" t="str">
        <f aca="false">IF(OR(O799="",G799=""),"",O799*IFERROR(INDEX(Listas!$B$2:$B$50,MATCH(G799,Listas!$A$2:$A$50,0)),0))</f>
        <v/>
      </c>
      <c r="AA799" s="32"/>
      <c r="AB799" s="32"/>
      <c r="AC799" s="32"/>
      <c r="AD799" s="35" t="str">
        <f aca="false">IF(OR(LEFT(H799,4)="Meta",LEFT(H799,6)="Google"),IF(AG799=3,"Lead calificado",IF(OR(AG799=4,AG799=5),"Tasación/visita",IF(OR(AG799=6,AG799=7),"Captación/oferta",IF(AG799=8,"Cierre","")))),"")</f>
        <v/>
      </c>
      <c r="AE799" s="32"/>
      <c r="AF799" s="32"/>
      <c r="AG799" s="37" t="n">
        <f aca="false">IF(R799="",0,IFERROR(MATCH(R799,Listas!$L$2:$L$50,0),0))</f>
        <v>0</v>
      </c>
    </row>
    <row r="800" customFormat="false" ht="15" hidden="false" customHeight="false" outlineLevel="0" collapsed="false">
      <c r="A800" s="30"/>
      <c r="B800" s="31"/>
      <c r="C800" s="32"/>
      <c r="D800" s="32"/>
      <c r="E800" s="33"/>
      <c r="F800" s="32"/>
      <c r="G800" s="32"/>
      <c r="H800" s="32"/>
      <c r="I800" s="32"/>
      <c r="J800" s="32"/>
      <c r="K800" s="32"/>
      <c r="L800" s="32"/>
      <c r="M800" s="30"/>
      <c r="N800" s="32"/>
      <c r="O800" s="34"/>
      <c r="P800" s="32"/>
      <c r="Q800" s="32"/>
      <c r="R800" s="32"/>
      <c r="S800" s="32"/>
      <c r="T800" s="32"/>
      <c r="U800" s="32"/>
      <c r="V800" s="31"/>
      <c r="W800" s="35" t="str">
        <f aca="true">IF(OR(V800="",AG800&gt;=8),"",IF(V800&lt;TODAY(),"Vencida",IF(V800=TODAY(),"Hoy","")))</f>
        <v/>
      </c>
      <c r="X800" s="36" t="str">
        <f aca="false">IF(A800="","",IF(COUNTIF(Seguimiento!$B$2:$B$5001,A800)=0,"",_xlfn.MAXIFS(Seguimiento!$A$2:$A$5001,Seguimiento!$B$2:$B$5001,A800)))</f>
        <v/>
      </c>
      <c r="Y800" s="37" t="str">
        <f aca="true">IF(B800="","",TODAY()-B800)</f>
        <v/>
      </c>
      <c r="Z800" s="38" t="str">
        <f aca="false">IF(OR(O800="",G800=""),"",O800*IFERROR(INDEX(Listas!$B$2:$B$50,MATCH(G800,Listas!$A$2:$A$50,0)),0))</f>
        <v/>
      </c>
      <c r="AA800" s="32"/>
      <c r="AB800" s="32"/>
      <c r="AC800" s="32"/>
      <c r="AD800" s="35" t="str">
        <f aca="false">IF(OR(LEFT(H800,4)="Meta",LEFT(H800,6)="Google"),IF(AG800=3,"Lead calificado",IF(OR(AG800=4,AG800=5),"Tasación/visita",IF(OR(AG800=6,AG800=7),"Captación/oferta",IF(AG800=8,"Cierre","")))),"")</f>
        <v/>
      </c>
      <c r="AE800" s="32"/>
      <c r="AF800" s="32"/>
      <c r="AG800" s="37" t="n">
        <f aca="false">IF(R800="",0,IFERROR(MATCH(R800,Listas!$L$2:$L$50,0),0))</f>
        <v>0</v>
      </c>
    </row>
    <row r="801" customFormat="false" ht="15" hidden="false" customHeight="false" outlineLevel="0" collapsed="false">
      <c r="A801" s="30"/>
      <c r="B801" s="31"/>
      <c r="C801" s="32"/>
      <c r="D801" s="32"/>
      <c r="E801" s="33"/>
      <c r="F801" s="32"/>
      <c r="G801" s="32"/>
      <c r="H801" s="32"/>
      <c r="I801" s="32"/>
      <c r="J801" s="32"/>
      <c r="K801" s="32"/>
      <c r="L801" s="32"/>
      <c r="M801" s="30"/>
      <c r="N801" s="32"/>
      <c r="O801" s="34"/>
      <c r="P801" s="32"/>
      <c r="Q801" s="32"/>
      <c r="R801" s="32"/>
      <c r="S801" s="32"/>
      <c r="T801" s="32"/>
      <c r="U801" s="32"/>
      <c r="V801" s="31"/>
      <c r="W801" s="35" t="str">
        <f aca="true">IF(OR(V801="",AG801&gt;=8),"",IF(V801&lt;TODAY(),"Vencida",IF(V801=TODAY(),"Hoy","")))</f>
        <v/>
      </c>
      <c r="X801" s="36" t="str">
        <f aca="false">IF(A801="","",IF(COUNTIF(Seguimiento!$B$2:$B$5001,A801)=0,"",_xlfn.MAXIFS(Seguimiento!$A$2:$A$5001,Seguimiento!$B$2:$B$5001,A801)))</f>
        <v/>
      </c>
      <c r="Y801" s="37" t="str">
        <f aca="true">IF(B801="","",TODAY()-B801)</f>
        <v/>
      </c>
      <c r="Z801" s="38" t="str">
        <f aca="false">IF(OR(O801="",G801=""),"",O801*IFERROR(INDEX(Listas!$B$2:$B$50,MATCH(G801,Listas!$A$2:$A$50,0)),0))</f>
        <v/>
      </c>
      <c r="AA801" s="32"/>
      <c r="AB801" s="32"/>
      <c r="AC801" s="32"/>
      <c r="AD801" s="35" t="str">
        <f aca="false">IF(OR(LEFT(H801,4)="Meta",LEFT(H801,6)="Google"),IF(AG801=3,"Lead calificado",IF(OR(AG801=4,AG801=5),"Tasación/visita",IF(OR(AG801=6,AG801=7),"Captación/oferta",IF(AG801=8,"Cierre","")))),"")</f>
        <v/>
      </c>
      <c r="AE801" s="32"/>
      <c r="AF801" s="32"/>
      <c r="AG801" s="37" t="n">
        <f aca="false">IF(R801="",0,IFERROR(MATCH(R801,Listas!$L$2:$L$50,0),0))</f>
        <v>0</v>
      </c>
    </row>
    <row r="802" customFormat="false" ht="15" hidden="false" customHeight="false" outlineLevel="0" collapsed="false">
      <c r="A802" s="30"/>
      <c r="B802" s="31"/>
      <c r="C802" s="32"/>
      <c r="D802" s="32"/>
      <c r="E802" s="33"/>
      <c r="F802" s="32"/>
      <c r="G802" s="32"/>
      <c r="H802" s="32"/>
      <c r="I802" s="32"/>
      <c r="J802" s="32"/>
      <c r="K802" s="32"/>
      <c r="L802" s="32"/>
      <c r="M802" s="30"/>
      <c r="N802" s="32"/>
      <c r="O802" s="34"/>
      <c r="P802" s="32"/>
      <c r="Q802" s="32"/>
      <c r="R802" s="32"/>
      <c r="S802" s="32"/>
      <c r="T802" s="32"/>
      <c r="U802" s="32"/>
      <c r="V802" s="31"/>
      <c r="W802" s="35" t="str">
        <f aca="true">IF(OR(V802="",AG802&gt;=8),"",IF(V802&lt;TODAY(),"Vencida",IF(V802=TODAY(),"Hoy","")))</f>
        <v/>
      </c>
      <c r="X802" s="36" t="str">
        <f aca="false">IF(A802="","",IF(COUNTIF(Seguimiento!$B$2:$B$5001,A802)=0,"",_xlfn.MAXIFS(Seguimiento!$A$2:$A$5001,Seguimiento!$B$2:$B$5001,A802)))</f>
        <v/>
      </c>
      <c r="Y802" s="37" t="str">
        <f aca="true">IF(B802="","",TODAY()-B802)</f>
        <v/>
      </c>
      <c r="Z802" s="38" t="str">
        <f aca="false">IF(OR(O802="",G802=""),"",O802*IFERROR(INDEX(Listas!$B$2:$B$50,MATCH(G802,Listas!$A$2:$A$50,0)),0))</f>
        <v/>
      </c>
      <c r="AA802" s="32"/>
      <c r="AB802" s="32"/>
      <c r="AC802" s="32"/>
      <c r="AD802" s="35" t="str">
        <f aca="false">IF(OR(LEFT(H802,4)="Meta",LEFT(H802,6)="Google"),IF(AG802=3,"Lead calificado",IF(OR(AG802=4,AG802=5),"Tasación/visita",IF(OR(AG802=6,AG802=7),"Captación/oferta",IF(AG802=8,"Cierre","")))),"")</f>
        <v/>
      </c>
      <c r="AE802" s="32"/>
      <c r="AF802" s="32"/>
      <c r="AG802" s="37" t="n">
        <f aca="false">IF(R802="",0,IFERROR(MATCH(R802,Listas!$L$2:$L$50,0),0))</f>
        <v>0</v>
      </c>
    </row>
    <row r="803" customFormat="false" ht="15" hidden="false" customHeight="false" outlineLevel="0" collapsed="false">
      <c r="A803" s="30"/>
      <c r="B803" s="31"/>
      <c r="C803" s="32"/>
      <c r="D803" s="32"/>
      <c r="E803" s="33"/>
      <c r="F803" s="32"/>
      <c r="G803" s="32"/>
      <c r="H803" s="32"/>
      <c r="I803" s="32"/>
      <c r="J803" s="32"/>
      <c r="K803" s="32"/>
      <c r="L803" s="32"/>
      <c r="M803" s="30"/>
      <c r="N803" s="32"/>
      <c r="O803" s="34"/>
      <c r="P803" s="32"/>
      <c r="Q803" s="32"/>
      <c r="R803" s="32"/>
      <c r="S803" s="32"/>
      <c r="T803" s="32"/>
      <c r="U803" s="32"/>
      <c r="V803" s="31"/>
      <c r="W803" s="35" t="str">
        <f aca="true">IF(OR(V803="",AG803&gt;=8),"",IF(V803&lt;TODAY(),"Vencida",IF(V803=TODAY(),"Hoy","")))</f>
        <v/>
      </c>
      <c r="X803" s="36" t="str">
        <f aca="false">IF(A803="","",IF(COUNTIF(Seguimiento!$B$2:$B$5001,A803)=0,"",_xlfn.MAXIFS(Seguimiento!$A$2:$A$5001,Seguimiento!$B$2:$B$5001,A803)))</f>
        <v/>
      </c>
      <c r="Y803" s="37" t="str">
        <f aca="true">IF(B803="","",TODAY()-B803)</f>
        <v/>
      </c>
      <c r="Z803" s="38" t="str">
        <f aca="false">IF(OR(O803="",G803=""),"",O803*IFERROR(INDEX(Listas!$B$2:$B$50,MATCH(G803,Listas!$A$2:$A$50,0)),0))</f>
        <v/>
      </c>
      <c r="AA803" s="32"/>
      <c r="AB803" s="32"/>
      <c r="AC803" s="32"/>
      <c r="AD803" s="35" t="str">
        <f aca="false">IF(OR(LEFT(H803,4)="Meta",LEFT(H803,6)="Google"),IF(AG803=3,"Lead calificado",IF(OR(AG803=4,AG803=5),"Tasación/visita",IF(OR(AG803=6,AG803=7),"Captación/oferta",IF(AG803=8,"Cierre","")))),"")</f>
        <v/>
      </c>
      <c r="AE803" s="32"/>
      <c r="AF803" s="32"/>
      <c r="AG803" s="37" t="n">
        <f aca="false">IF(R803="",0,IFERROR(MATCH(R803,Listas!$L$2:$L$50,0),0))</f>
        <v>0</v>
      </c>
    </row>
    <row r="804" customFormat="false" ht="15" hidden="false" customHeight="false" outlineLevel="0" collapsed="false">
      <c r="A804" s="30"/>
      <c r="B804" s="31"/>
      <c r="C804" s="32"/>
      <c r="D804" s="32"/>
      <c r="E804" s="33"/>
      <c r="F804" s="32"/>
      <c r="G804" s="32"/>
      <c r="H804" s="32"/>
      <c r="I804" s="32"/>
      <c r="J804" s="32"/>
      <c r="K804" s="32"/>
      <c r="L804" s="32"/>
      <c r="M804" s="30"/>
      <c r="N804" s="32"/>
      <c r="O804" s="34"/>
      <c r="P804" s="32"/>
      <c r="Q804" s="32"/>
      <c r="R804" s="32"/>
      <c r="S804" s="32"/>
      <c r="T804" s="32"/>
      <c r="U804" s="32"/>
      <c r="V804" s="31"/>
      <c r="W804" s="35" t="str">
        <f aca="true">IF(OR(V804="",AG804&gt;=8),"",IF(V804&lt;TODAY(),"Vencida",IF(V804=TODAY(),"Hoy","")))</f>
        <v/>
      </c>
      <c r="X804" s="36" t="str">
        <f aca="false">IF(A804="","",IF(COUNTIF(Seguimiento!$B$2:$B$5001,A804)=0,"",_xlfn.MAXIFS(Seguimiento!$A$2:$A$5001,Seguimiento!$B$2:$B$5001,A804)))</f>
        <v/>
      </c>
      <c r="Y804" s="37" t="str">
        <f aca="true">IF(B804="","",TODAY()-B804)</f>
        <v/>
      </c>
      <c r="Z804" s="38" t="str">
        <f aca="false">IF(OR(O804="",G804=""),"",O804*IFERROR(INDEX(Listas!$B$2:$B$50,MATCH(G804,Listas!$A$2:$A$50,0)),0))</f>
        <v/>
      </c>
      <c r="AA804" s="32"/>
      <c r="AB804" s="32"/>
      <c r="AC804" s="32"/>
      <c r="AD804" s="35" t="str">
        <f aca="false">IF(OR(LEFT(H804,4)="Meta",LEFT(H804,6)="Google"),IF(AG804=3,"Lead calificado",IF(OR(AG804=4,AG804=5),"Tasación/visita",IF(OR(AG804=6,AG804=7),"Captación/oferta",IF(AG804=8,"Cierre","")))),"")</f>
        <v/>
      </c>
      <c r="AE804" s="32"/>
      <c r="AF804" s="32"/>
      <c r="AG804" s="37" t="n">
        <f aca="false">IF(R804="",0,IFERROR(MATCH(R804,Listas!$L$2:$L$50,0),0))</f>
        <v>0</v>
      </c>
    </row>
    <row r="805" customFormat="false" ht="15" hidden="false" customHeight="false" outlineLevel="0" collapsed="false">
      <c r="A805" s="30"/>
      <c r="B805" s="31"/>
      <c r="C805" s="32"/>
      <c r="D805" s="32"/>
      <c r="E805" s="33"/>
      <c r="F805" s="32"/>
      <c r="G805" s="32"/>
      <c r="H805" s="32"/>
      <c r="I805" s="32"/>
      <c r="J805" s="32"/>
      <c r="K805" s="32"/>
      <c r="L805" s="32"/>
      <c r="M805" s="30"/>
      <c r="N805" s="32"/>
      <c r="O805" s="34"/>
      <c r="P805" s="32"/>
      <c r="Q805" s="32"/>
      <c r="R805" s="32"/>
      <c r="S805" s="32"/>
      <c r="T805" s="32"/>
      <c r="U805" s="32"/>
      <c r="V805" s="31"/>
      <c r="W805" s="35" t="str">
        <f aca="true">IF(OR(V805="",AG805&gt;=8),"",IF(V805&lt;TODAY(),"Vencida",IF(V805=TODAY(),"Hoy","")))</f>
        <v/>
      </c>
      <c r="X805" s="36" t="str">
        <f aca="false">IF(A805="","",IF(COUNTIF(Seguimiento!$B$2:$B$5001,A805)=0,"",_xlfn.MAXIFS(Seguimiento!$A$2:$A$5001,Seguimiento!$B$2:$B$5001,A805)))</f>
        <v/>
      </c>
      <c r="Y805" s="37" t="str">
        <f aca="true">IF(B805="","",TODAY()-B805)</f>
        <v/>
      </c>
      <c r="Z805" s="38" t="str">
        <f aca="false">IF(OR(O805="",G805=""),"",O805*IFERROR(INDEX(Listas!$B$2:$B$50,MATCH(G805,Listas!$A$2:$A$50,0)),0))</f>
        <v/>
      </c>
      <c r="AA805" s="32"/>
      <c r="AB805" s="32"/>
      <c r="AC805" s="32"/>
      <c r="AD805" s="35" t="str">
        <f aca="false">IF(OR(LEFT(H805,4)="Meta",LEFT(H805,6)="Google"),IF(AG805=3,"Lead calificado",IF(OR(AG805=4,AG805=5),"Tasación/visita",IF(OR(AG805=6,AG805=7),"Captación/oferta",IF(AG805=8,"Cierre","")))),"")</f>
        <v/>
      </c>
      <c r="AE805" s="32"/>
      <c r="AF805" s="32"/>
      <c r="AG805" s="37" t="n">
        <f aca="false">IF(R805="",0,IFERROR(MATCH(R805,Listas!$L$2:$L$50,0),0))</f>
        <v>0</v>
      </c>
    </row>
    <row r="806" customFormat="false" ht="15" hidden="false" customHeight="false" outlineLevel="0" collapsed="false">
      <c r="A806" s="30"/>
      <c r="B806" s="31"/>
      <c r="C806" s="32"/>
      <c r="D806" s="32"/>
      <c r="E806" s="33"/>
      <c r="F806" s="32"/>
      <c r="G806" s="32"/>
      <c r="H806" s="32"/>
      <c r="I806" s="32"/>
      <c r="J806" s="32"/>
      <c r="K806" s="32"/>
      <c r="L806" s="32"/>
      <c r="M806" s="30"/>
      <c r="N806" s="32"/>
      <c r="O806" s="34"/>
      <c r="P806" s="32"/>
      <c r="Q806" s="32"/>
      <c r="R806" s="32"/>
      <c r="S806" s="32"/>
      <c r="T806" s="32"/>
      <c r="U806" s="32"/>
      <c r="V806" s="31"/>
      <c r="W806" s="35" t="str">
        <f aca="true">IF(OR(V806="",AG806&gt;=8),"",IF(V806&lt;TODAY(),"Vencida",IF(V806=TODAY(),"Hoy","")))</f>
        <v/>
      </c>
      <c r="X806" s="36" t="str">
        <f aca="false">IF(A806="","",IF(COUNTIF(Seguimiento!$B$2:$B$5001,A806)=0,"",_xlfn.MAXIFS(Seguimiento!$A$2:$A$5001,Seguimiento!$B$2:$B$5001,A806)))</f>
        <v/>
      </c>
      <c r="Y806" s="37" t="str">
        <f aca="true">IF(B806="","",TODAY()-B806)</f>
        <v/>
      </c>
      <c r="Z806" s="38" t="str">
        <f aca="false">IF(OR(O806="",G806=""),"",O806*IFERROR(INDEX(Listas!$B$2:$B$50,MATCH(G806,Listas!$A$2:$A$50,0)),0))</f>
        <v/>
      </c>
      <c r="AA806" s="32"/>
      <c r="AB806" s="32"/>
      <c r="AC806" s="32"/>
      <c r="AD806" s="35" t="str">
        <f aca="false">IF(OR(LEFT(H806,4)="Meta",LEFT(H806,6)="Google"),IF(AG806=3,"Lead calificado",IF(OR(AG806=4,AG806=5),"Tasación/visita",IF(OR(AG806=6,AG806=7),"Captación/oferta",IF(AG806=8,"Cierre","")))),"")</f>
        <v/>
      </c>
      <c r="AE806" s="32"/>
      <c r="AF806" s="32"/>
      <c r="AG806" s="37" t="n">
        <f aca="false">IF(R806="",0,IFERROR(MATCH(R806,Listas!$L$2:$L$50,0),0))</f>
        <v>0</v>
      </c>
    </row>
    <row r="807" customFormat="false" ht="15" hidden="false" customHeight="false" outlineLevel="0" collapsed="false">
      <c r="A807" s="30"/>
      <c r="B807" s="31"/>
      <c r="C807" s="32"/>
      <c r="D807" s="32"/>
      <c r="E807" s="33"/>
      <c r="F807" s="32"/>
      <c r="G807" s="32"/>
      <c r="H807" s="32"/>
      <c r="I807" s="32"/>
      <c r="J807" s="32"/>
      <c r="K807" s="32"/>
      <c r="L807" s="32"/>
      <c r="M807" s="30"/>
      <c r="N807" s="32"/>
      <c r="O807" s="34"/>
      <c r="P807" s="32"/>
      <c r="Q807" s="32"/>
      <c r="R807" s="32"/>
      <c r="S807" s="32"/>
      <c r="T807" s="32"/>
      <c r="U807" s="32"/>
      <c r="V807" s="31"/>
      <c r="W807" s="35" t="str">
        <f aca="true">IF(OR(V807="",AG807&gt;=8),"",IF(V807&lt;TODAY(),"Vencida",IF(V807=TODAY(),"Hoy","")))</f>
        <v/>
      </c>
      <c r="X807" s="36" t="str">
        <f aca="false">IF(A807="","",IF(COUNTIF(Seguimiento!$B$2:$B$5001,A807)=0,"",_xlfn.MAXIFS(Seguimiento!$A$2:$A$5001,Seguimiento!$B$2:$B$5001,A807)))</f>
        <v/>
      </c>
      <c r="Y807" s="37" t="str">
        <f aca="true">IF(B807="","",TODAY()-B807)</f>
        <v/>
      </c>
      <c r="Z807" s="38" t="str">
        <f aca="false">IF(OR(O807="",G807=""),"",O807*IFERROR(INDEX(Listas!$B$2:$B$50,MATCH(G807,Listas!$A$2:$A$50,0)),0))</f>
        <v/>
      </c>
      <c r="AA807" s="32"/>
      <c r="AB807" s="32"/>
      <c r="AC807" s="32"/>
      <c r="AD807" s="35" t="str">
        <f aca="false">IF(OR(LEFT(H807,4)="Meta",LEFT(H807,6)="Google"),IF(AG807=3,"Lead calificado",IF(OR(AG807=4,AG807=5),"Tasación/visita",IF(OR(AG807=6,AG807=7),"Captación/oferta",IF(AG807=8,"Cierre","")))),"")</f>
        <v/>
      </c>
      <c r="AE807" s="32"/>
      <c r="AF807" s="32"/>
      <c r="AG807" s="37" t="n">
        <f aca="false">IF(R807="",0,IFERROR(MATCH(R807,Listas!$L$2:$L$50,0),0))</f>
        <v>0</v>
      </c>
    </row>
    <row r="808" customFormat="false" ht="15" hidden="false" customHeight="false" outlineLevel="0" collapsed="false">
      <c r="A808" s="30"/>
      <c r="B808" s="31"/>
      <c r="C808" s="32"/>
      <c r="D808" s="32"/>
      <c r="E808" s="33"/>
      <c r="F808" s="32"/>
      <c r="G808" s="32"/>
      <c r="H808" s="32"/>
      <c r="I808" s="32"/>
      <c r="J808" s="32"/>
      <c r="K808" s="32"/>
      <c r="L808" s="32"/>
      <c r="M808" s="30"/>
      <c r="N808" s="32"/>
      <c r="O808" s="34"/>
      <c r="P808" s="32"/>
      <c r="Q808" s="32"/>
      <c r="R808" s="32"/>
      <c r="S808" s="32"/>
      <c r="T808" s="32"/>
      <c r="U808" s="32"/>
      <c r="V808" s="31"/>
      <c r="W808" s="35" t="str">
        <f aca="true">IF(OR(V808="",AG808&gt;=8),"",IF(V808&lt;TODAY(),"Vencida",IF(V808=TODAY(),"Hoy","")))</f>
        <v/>
      </c>
      <c r="X808" s="36" t="str">
        <f aca="false">IF(A808="","",IF(COUNTIF(Seguimiento!$B$2:$B$5001,A808)=0,"",_xlfn.MAXIFS(Seguimiento!$A$2:$A$5001,Seguimiento!$B$2:$B$5001,A808)))</f>
        <v/>
      </c>
      <c r="Y808" s="37" t="str">
        <f aca="true">IF(B808="","",TODAY()-B808)</f>
        <v/>
      </c>
      <c r="Z808" s="38" t="str">
        <f aca="false">IF(OR(O808="",G808=""),"",O808*IFERROR(INDEX(Listas!$B$2:$B$50,MATCH(G808,Listas!$A$2:$A$50,0)),0))</f>
        <v/>
      </c>
      <c r="AA808" s="32"/>
      <c r="AB808" s="32"/>
      <c r="AC808" s="32"/>
      <c r="AD808" s="35" t="str">
        <f aca="false">IF(OR(LEFT(H808,4)="Meta",LEFT(H808,6)="Google"),IF(AG808=3,"Lead calificado",IF(OR(AG808=4,AG808=5),"Tasación/visita",IF(OR(AG808=6,AG808=7),"Captación/oferta",IF(AG808=8,"Cierre","")))),"")</f>
        <v/>
      </c>
      <c r="AE808" s="32"/>
      <c r="AF808" s="32"/>
      <c r="AG808" s="37" t="n">
        <f aca="false">IF(R808="",0,IFERROR(MATCH(R808,Listas!$L$2:$L$50,0),0))</f>
        <v>0</v>
      </c>
    </row>
    <row r="809" customFormat="false" ht="15" hidden="false" customHeight="false" outlineLevel="0" collapsed="false">
      <c r="A809" s="30"/>
      <c r="B809" s="31"/>
      <c r="C809" s="32"/>
      <c r="D809" s="32"/>
      <c r="E809" s="33"/>
      <c r="F809" s="32"/>
      <c r="G809" s="32"/>
      <c r="H809" s="32"/>
      <c r="I809" s="32"/>
      <c r="J809" s="32"/>
      <c r="K809" s="32"/>
      <c r="L809" s="32"/>
      <c r="M809" s="30"/>
      <c r="N809" s="32"/>
      <c r="O809" s="34"/>
      <c r="P809" s="32"/>
      <c r="Q809" s="32"/>
      <c r="R809" s="32"/>
      <c r="S809" s="32"/>
      <c r="T809" s="32"/>
      <c r="U809" s="32"/>
      <c r="V809" s="31"/>
      <c r="W809" s="35" t="str">
        <f aca="true">IF(OR(V809="",AG809&gt;=8),"",IF(V809&lt;TODAY(),"Vencida",IF(V809=TODAY(),"Hoy","")))</f>
        <v/>
      </c>
      <c r="X809" s="36" t="str">
        <f aca="false">IF(A809="","",IF(COUNTIF(Seguimiento!$B$2:$B$5001,A809)=0,"",_xlfn.MAXIFS(Seguimiento!$A$2:$A$5001,Seguimiento!$B$2:$B$5001,A809)))</f>
        <v/>
      </c>
      <c r="Y809" s="37" t="str">
        <f aca="true">IF(B809="","",TODAY()-B809)</f>
        <v/>
      </c>
      <c r="Z809" s="38" t="str">
        <f aca="false">IF(OR(O809="",G809=""),"",O809*IFERROR(INDEX(Listas!$B$2:$B$50,MATCH(G809,Listas!$A$2:$A$50,0)),0))</f>
        <v/>
      </c>
      <c r="AA809" s="32"/>
      <c r="AB809" s="32"/>
      <c r="AC809" s="32"/>
      <c r="AD809" s="35" t="str">
        <f aca="false">IF(OR(LEFT(H809,4)="Meta",LEFT(H809,6)="Google"),IF(AG809=3,"Lead calificado",IF(OR(AG809=4,AG809=5),"Tasación/visita",IF(OR(AG809=6,AG809=7),"Captación/oferta",IF(AG809=8,"Cierre","")))),"")</f>
        <v/>
      </c>
      <c r="AE809" s="32"/>
      <c r="AF809" s="32"/>
      <c r="AG809" s="37" t="n">
        <f aca="false">IF(R809="",0,IFERROR(MATCH(R809,Listas!$L$2:$L$50,0),0))</f>
        <v>0</v>
      </c>
    </row>
    <row r="810" customFormat="false" ht="15" hidden="false" customHeight="false" outlineLevel="0" collapsed="false">
      <c r="A810" s="30"/>
      <c r="B810" s="31"/>
      <c r="C810" s="32"/>
      <c r="D810" s="32"/>
      <c r="E810" s="33"/>
      <c r="F810" s="32"/>
      <c r="G810" s="32"/>
      <c r="H810" s="32"/>
      <c r="I810" s="32"/>
      <c r="J810" s="32"/>
      <c r="K810" s="32"/>
      <c r="L810" s="32"/>
      <c r="M810" s="30"/>
      <c r="N810" s="32"/>
      <c r="O810" s="34"/>
      <c r="P810" s="32"/>
      <c r="Q810" s="32"/>
      <c r="R810" s="32"/>
      <c r="S810" s="32"/>
      <c r="T810" s="32"/>
      <c r="U810" s="32"/>
      <c r="V810" s="31"/>
      <c r="W810" s="35" t="str">
        <f aca="true">IF(OR(V810="",AG810&gt;=8),"",IF(V810&lt;TODAY(),"Vencida",IF(V810=TODAY(),"Hoy","")))</f>
        <v/>
      </c>
      <c r="X810" s="36" t="str">
        <f aca="false">IF(A810="","",IF(COUNTIF(Seguimiento!$B$2:$B$5001,A810)=0,"",_xlfn.MAXIFS(Seguimiento!$A$2:$A$5001,Seguimiento!$B$2:$B$5001,A810)))</f>
        <v/>
      </c>
      <c r="Y810" s="37" t="str">
        <f aca="true">IF(B810="","",TODAY()-B810)</f>
        <v/>
      </c>
      <c r="Z810" s="38" t="str">
        <f aca="false">IF(OR(O810="",G810=""),"",O810*IFERROR(INDEX(Listas!$B$2:$B$50,MATCH(G810,Listas!$A$2:$A$50,0)),0))</f>
        <v/>
      </c>
      <c r="AA810" s="32"/>
      <c r="AB810" s="32"/>
      <c r="AC810" s="32"/>
      <c r="AD810" s="35" t="str">
        <f aca="false">IF(OR(LEFT(H810,4)="Meta",LEFT(H810,6)="Google"),IF(AG810=3,"Lead calificado",IF(OR(AG810=4,AG810=5),"Tasación/visita",IF(OR(AG810=6,AG810=7),"Captación/oferta",IF(AG810=8,"Cierre","")))),"")</f>
        <v/>
      </c>
      <c r="AE810" s="32"/>
      <c r="AF810" s="32"/>
      <c r="AG810" s="37" t="n">
        <f aca="false">IF(R810="",0,IFERROR(MATCH(R810,Listas!$L$2:$L$50,0),0))</f>
        <v>0</v>
      </c>
    </row>
    <row r="811" customFormat="false" ht="15" hidden="false" customHeight="false" outlineLevel="0" collapsed="false">
      <c r="A811" s="30"/>
      <c r="B811" s="31"/>
      <c r="C811" s="32"/>
      <c r="D811" s="32"/>
      <c r="E811" s="33"/>
      <c r="F811" s="32"/>
      <c r="G811" s="32"/>
      <c r="H811" s="32"/>
      <c r="I811" s="32"/>
      <c r="J811" s="32"/>
      <c r="K811" s="32"/>
      <c r="L811" s="32"/>
      <c r="M811" s="30"/>
      <c r="N811" s="32"/>
      <c r="O811" s="34"/>
      <c r="P811" s="32"/>
      <c r="Q811" s="32"/>
      <c r="R811" s="32"/>
      <c r="S811" s="32"/>
      <c r="T811" s="32"/>
      <c r="U811" s="32"/>
      <c r="V811" s="31"/>
      <c r="W811" s="35" t="str">
        <f aca="true">IF(OR(V811="",AG811&gt;=8),"",IF(V811&lt;TODAY(),"Vencida",IF(V811=TODAY(),"Hoy","")))</f>
        <v/>
      </c>
      <c r="X811" s="36" t="str">
        <f aca="false">IF(A811="","",IF(COUNTIF(Seguimiento!$B$2:$B$5001,A811)=0,"",_xlfn.MAXIFS(Seguimiento!$A$2:$A$5001,Seguimiento!$B$2:$B$5001,A811)))</f>
        <v/>
      </c>
      <c r="Y811" s="37" t="str">
        <f aca="true">IF(B811="","",TODAY()-B811)</f>
        <v/>
      </c>
      <c r="Z811" s="38" t="str">
        <f aca="false">IF(OR(O811="",G811=""),"",O811*IFERROR(INDEX(Listas!$B$2:$B$50,MATCH(G811,Listas!$A$2:$A$50,0)),0))</f>
        <v/>
      </c>
      <c r="AA811" s="32"/>
      <c r="AB811" s="32"/>
      <c r="AC811" s="32"/>
      <c r="AD811" s="35" t="str">
        <f aca="false">IF(OR(LEFT(H811,4)="Meta",LEFT(H811,6)="Google"),IF(AG811=3,"Lead calificado",IF(OR(AG811=4,AG811=5),"Tasación/visita",IF(OR(AG811=6,AG811=7),"Captación/oferta",IF(AG811=8,"Cierre","")))),"")</f>
        <v/>
      </c>
      <c r="AE811" s="32"/>
      <c r="AF811" s="32"/>
      <c r="AG811" s="37" t="n">
        <f aca="false">IF(R811="",0,IFERROR(MATCH(R811,Listas!$L$2:$L$50,0),0))</f>
        <v>0</v>
      </c>
    </row>
    <row r="812" customFormat="false" ht="15" hidden="false" customHeight="false" outlineLevel="0" collapsed="false">
      <c r="A812" s="30"/>
      <c r="B812" s="31"/>
      <c r="C812" s="32"/>
      <c r="D812" s="32"/>
      <c r="E812" s="33"/>
      <c r="F812" s="32"/>
      <c r="G812" s="32"/>
      <c r="H812" s="32"/>
      <c r="I812" s="32"/>
      <c r="J812" s="32"/>
      <c r="K812" s="32"/>
      <c r="L812" s="32"/>
      <c r="M812" s="30"/>
      <c r="N812" s="32"/>
      <c r="O812" s="34"/>
      <c r="P812" s="32"/>
      <c r="Q812" s="32"/>
      <c r="R812" s="32"/>
      <c r="S812" s="32"/>
      <c r="T812" s="32"/>
      <c r="U812" s="32"/>
      <c r="V812" s="31"/>
      <c r="W812" s="35" t="str">
        <f aca="true">IF(OR(V812="",AG812&gt;=8),"",IF(V812&lt;TODAY(),"Vencida",IF(V812=TODAY(),"Hoy","")))</f>
        <v/>
      </c>
      <c r="X812" s="36" t="str">
        <f aca="false">IF(A812="","",IF(COUNTIF(Seguimiento!$B$2:$B$5001,A812)=0,"",_xlfn.MAXIFS(Seguimiento!$A$2:$A$5001,Seguimiento!$B$2:$B$5001,A812)))</f>
        <v/>
      </c>
      <c r="Y812" s="37" t="str">
        <f aca="true">IF(B812="","",TODAY()-B812)</f>
        <v/>
      </c>
      <c r="Z812" s="38" t="str">
        <f aca="false">IF(OR(O812="",G812=""),"",O812*IFERROR(INDEX(Listas!$B$2:$B$50,MATCH(G812,Listas!$A$2:$A$50,0)),0))</f>
        <v/>
      </c>
      <c r="AA812" s="32"/>
      <c r="AB812" s="32"/>
      <c r="AC812" s="32"/>
      <c r="AD812" s="35" t="str">
        <f aca="false">IF(OR(LEFT(H812,4)="Meta",LEFT(H812,6)="Google"),IF(AG812=3,"Lead calificado",IF(OR(AG812=4,AG812=5),"Tasación/visita",IF(OR(AG812=6,AG812=7),"Captación/oferta",IF(AG812=8,"Cierre","")))),"")</f>
        <v/>
      </c>
      <c r="AE812" s="32"/>
      <c r="AF812" s="32"/>
      <c r="AG812" s="37" t="n">
        <f aca="false">IF(R812="",0,IFERROR(MATCH(R812,Listas!$L$2:$L$50,0),0))</f>
        <v>0</v>
      </c>
    </row>
    <row r="813" customFormat="false" ht="15" hidden="false" customHeight="false" outlineLevel="0" collapsed="false">
      <c r="A813" s="30"/>
      <c r="B813" s="31"/>
      <c r="C813" s="32"/>
      <c r="D813" s="32"/>
      <c r="E813" s="33"/>
      <c r="F813" s="32"/>
      <c r="G813" s="32"/>
      <c r="H813" s="32"/>
      <c r="I813" s="32"/>
      <c r="J813" s="32"/>
      <c r="K813" s="32"/>
      <c r="L813" s="32"/>
      <c r="M813" s="30"/>
      <c r="N813" s="32"/>
      <c r="O813" s="34"/>
      <c r="P813" s="32"/>
      <c r="Q813" s="32"/>
      <c r="R813" s="32"/>
      <c r="S813" s="32"/>
      <c r="T813" s="32"/>
      <c r="U813" s="32"/>
      <c r="V813" s="31"/>
      <c r="W813" s="35" t="str">
        <f aca="true">IF(OR(V813="",AG813&gt;=8),"",IF(V813&lt;TODAY(),"Vencida",IF(V813=TODAY(),"Hoy","")))</f>
        <v/>
      </c>
      <c r="X813" s="36" t="str">
        <f aca="false">IF(A813="","",IF(COUNTIF(Seguimiento!$B$2:$B$5001,A813)=0,"",_xlfn.MAXIFS(Seguimiento!$A$2:$A$5001,Seguimiento!$B$2:$B$5001,A813)))</f>
        <v/>
      </c>
      <c r="Y813" s="37" t="str">
        <f aca="true">IF(B813="","",TODAY()-B813)</f>
        <v/>
      </c>
      <c r="Z813" s="38" t="str">
        <f aca="false">IF(OR(O813="",G813=""),"",O813*IFERROR(INDEX(Listas!$B$2:$B$50,MATCH(G813,Listas!$A$2:$A$50,0)),0))</f>
        <v/>
      </c>
      <c r="AA813" s="32"/>
      <c r="AB813" s="32"/>
      <c r="AC813" s="32"/>
      <c r="AD813" s="35" t="str">
        <f aca="false">IF(OR(LEFT(H813,4)="Meta",LEFT(H813,6)="Google"),IF(AG813=3,"Lead calificado",IF(OR(AG813=4,AG813=5),"Tasación/visita",IF(OR(AG813=6,AG813=7),"Captación/oferta",IF(AG813=8,"Cierre","")))),"")</f>
        <v/>
      </c>
      <c r="AE813" s="32"/>
      <c r="AF813" s="32"/>
      <c r="AG813" s="37" t="n">
        <f aca="false">IF(R813="",0,IFERROR(MATCH(R813,Listas!$L$2:$L$50,0),0))</f>
        <v>0</v>
      </c>
    </row>
    <row r="814" customFormat="false" ht="15" hidden="false" customHeight="false" outlineLevel="0" collapsed="false">
      <c r="A814" s="30"/>
      <c r="B814" s="31"/>
      <c r="C814" s="32"/>
      <c r="D814" s="32"/>
      <c r="E814" s="33"/>
      <c r="F814" s="32"/>
      <c r="G814" s="32"/>
      <c r="H814" s="32"/>
      <c r="I814" s="32"/>
      <c r="J814" s="32"/>
      <c r="K814" s="32"/>
      <c r="L814" s="32"/>
      <c r="M814" s="30"/>
      <c r="N814" s="32"/>
      <c r="O814" s="34"/>
      <c r="P814" s="32"/>
      <c r="Q814" s="32"/>
      <c r="R814" s="32"/>
      <c r="S814" s="32"/>
      <c r="T814" s="32"/>
      <c r="U814" s="32"/>
      <c r="V814" s="31"/>
      <c r="W814" s="35" t="str">
        <f aca="true">IF(OR(V814="",AG814&gt;=8),"",IF(V814&lt;TODAY(),"Vencida",IF(V814=TODAY(),"Hoy","")))</f>
        <v/>
      </c>
      <c r="X814" s="36" t="str">
        <f aca="false">IF(A814="","",IF(COUNTIF(Seguimiento!$B$2:$B$5001,A814)=0,"",_xlfn.MAXIFS(Seguimiento!$A$2:$A$5001,Seguimiento!$B$2:$B$5001,A814)))</f>
        <v/>
      </c>
      <c r="Y814" s="37" t="str">
        <f aca="true">IF(B814="","",TODAY()-B814)</f>
        <v/>
      </c>
      <c r="Z814" s="38" t="str">
        <f aca="false">IF(OR(O814="",G814=""),"",O814*IFERROR(INDEX(Listas!$B$2:$B$50,MATCH(G814,Listas!$A$2:$A$50,0)),0))</f>
        <v/>
      </c>
      <c r="AA814" s="32"/>
      <c r="AB814" s="32"/>
      <c r="AC814" s="32"/>
      <c r="AD814" s="35" t="str">
        <f aca="false">IF(OR(LEFT(H814,4)="Meta",LEFT(H814,6)="Google"),IF(AG814=3,"Lead calificado",IF(OR(AG814=4,AG814=5),"Tasación/visita",IF(OR(AG814=6,AG814=7),"Captación/oferta",IF(AG814=8,"Cierre","")))),"")</f>
        <v/>
      </c>
      <c r="AE814" s="32"/>
      <c r="AF814" s="32"/>
      <c r="AG814" s="37" t="n">
        <f aca="false">IF(R814="",0,IFERROR(MATCH(R814,Listas!$L$2:$L$50,0),0))</f>
        <v>0</v>
      </c>
    </row>
    <row r="815" customFormat="false" ht="15" hidden="false" customHeight="false" outlineLevel="0" collapsed="false">
      <c r="A815" s="30"/>
      <c r="B815" s="31"/>
      <c r="C815" s="32"/>
      <c r="D815" s="32"/>
      <c r="E815" s="33"/>
      <c r="F815" s="32"/>
      <c r="G815" s="32"/>
      <c r="H815" s="32"/>
      <c r="I815" s="32"/>
      <c r="J815" s="32"/>
      <c r="K815" s="32"/>
      <c r="L815" s="32"/>
      <c r="M815" s="30"/>
      <c r="N815" s="32"/>
      <c r="O815" s="34"/>
      <c r="P815" s="32"/>
      <c r="Q815" s="32"/>
      <c r="R815" s="32"/>
      <c r="S815" s="32"/>
      <c r="T815" s="32"/>
      <c r="U815" s="32"/>
      <c r="V815" s="31"/>
      <c r="W815" s="35" t="str">
        <f aca="true">IF(OR(V815="",AG815&gt;=8),"",IF(V815&lt;TODAY(),"Vencida",IF(V815=TODAY(),"Hoy","")))</f>
        <v/>
      </c>
      <c r="X815" s="36" t="str">
        <f aca="false">IF(A815="","",IF(COUNTIF(Seguimiento!$B$2:$B$5001,A815)=0,"",_xlfn.MAXIFS(Seguimiento!$A$2:$A$5001,Seguimiento!$B$2:$B$5001,A815)))</f>
        <v/>
      </c>
      <c r="Y815" s="37" t="str">
        <f aca="true">IF(B815="","",TODAY()-B815)</f>
        <v/>
      </c>
      <c r="Z815" s="38" t="str">
        <f aca="false">IF(OR(O815="",G815=""),"",O815*IFERROR(INDEX(Listas!$B$2:$B$50,MATCH(G815,Listas!$A$2:$A$50,0)),0))</f>
        <v/>
      </c>
      <c r="AA815" s="32"/>
      <c r="AB815" s="32"/>
      <c r="AC815" s="32"/>
      <c r="AD815" s="35" t="str">
        <f aca="false">IF(OR(LEFT(H815,4)="Meta",LEFT(H815,6)="Google"),IF(AG815=3,"Lead calificado",IF(OR(AG815=4,AG815=5),"Tasación/visita",IF(OR(AG815=6,AG815=7),"Captación/oferta",IF(AG815=8,"Cierre","")))),"")</f>
        <v/>
      </c>
      <c r="AE815" s="32"/>
      <c r="AF815" s="32"/>
      <c r="AG815" s="37" t="n">
        <f aca="false">IF(R815="",0,IFERROR(MATCH(R815,Listas!$L$2:$L$50,0),0))</f>
        <v>0</v>
      </c>
    </row>
    <row r="816" customFormat="false" ht="15" hidden="false" customHeight="false" outlineLevel="0" collapsed="false">
      <c r="A816" s="30"/>
      <c r="B816" s="31"/>
      <c r="C816" s="32"/>
      <c r="D816" s="32"/>
      <c r="E816" s="33"/>
      <c r="F816" s="32"/>
      <c r="G816" s="32"/>
      <c r="H816" s="32"/>
      <c r="I816" s="32"/>
      <c r="J816" s="32"/>
      <c r="K816" s="32"/>
      <c r="L816" s="32"/>
      <c r="M816" s="30"/>
      <c r="N816" s="32"/>
      <c r="O816" s="34"/>
      <c r="P816" s="32"/>
      <c r="Q816" s="32"/>
      <c r="R816" s="32"/>
      <c r="S816" s="32"/>
      <c r="T816" s="32"/>
      <c r="U816" s="32"/>
      <c r="V816" s="31"/>
      <c r="W816" s="35" t="str">
        <f aca="true">IF(OR(V816="",AG816&gt;=8),"",IF(V816&lt;TODAY(),"Vencida",IF(V816=TODAY(),"Hoy","")))</f>
        <v/>
      </c>
      <c r="X816" s="36" t="str">
        <f aca="false">IF(A816="","",IF(COUNTIF(Seguimiento!$B$2:$B$5001,A816)=0,"",_xlfn.MAXIFS(Seguimiento!$A$2:$A$5001,Seguimiento!$B$2:$B$5001,A816)))</f>
        <v/>
      </c>
      <c r="Y816" s="37" t="str">
        <f aca="true">IF(B816="","",TODAY()-B816)</f>
        <v/>
      </c>
      <c r="Z816" s="38" t="str">
        <f aca="false">IF(OR(O816="",G816=""),"",O816*IFERROR(INDEX(Listas!$B$2:$B$50,MATCH(G816,Listas!$A$2:$A$50,0)),0))</f>
        <v/>
      </c>
      <c r="AA816" s="32"/>
      <c r="AB816" s="32"/>
      <c r="AC816" s="32"/>
      <c r="AD816" s="35" t="str">
        <f aca="false">IF(OR(LEFT(H816,4)="Meta",LEFT(H816,6)="Google"),IF(AG816=3,"Lead calificado",IF(OR(AG816=4,AG816=5),"Tasación/visita",IF(OR(AG816=6,AG816=7),"Captación/oferta",IF(AG816=8,"Cierre","")))),"")</f>
        <v/>
      </c>
      <c r="AE816" s="32"/>
      <c r="AF816" s="32"/>
      <c r="AG816" s="37" t="n">
        <f aca="false">IF(R816="",0,IFERROR(MATCH(R816,Listas!$L$2:$L$50,0),0))</f>
        <v>0</v>
      </c>
    </row>
    <row r="817" customFormat="false" ht="15" hidden="false" customHeight="false" outlineLevel="0" collapsed="false">
      <c r="A817" s="30"/>
      <c r="B817" s="31"/>
      <c r="C817" s="32"/>
      <c r="D817" s="32"/>
      <c r="E817" s="33"/>
      <c r="F817" s="32"/>
      <c r="G817" s="32"/>
      <c r="H817" s="32"/>
      <c r="I817" s="32"/>
      <c r="J817" s="32"/>
      <c r="K817" s="32"/>
      <c r="L817" s="32"/>
      <c r="M817" s="30"/>
      <c r="N817" s="32"/>
      <c r="O817" s="34"/>
      <c r="P817" s="32"/>
      <c r="Q817" s="32"/>
      <c r="R817" s="32"/>
      <c r="S817" s="32"/>
      <c r="T817" s="32"/>
      <c r="U817" s="32"/>
      <c r="V817" s="31"/>
      <c r="W817" s="35" t="str">
        <f aca="true">IF(OR(V817="",AG817&gt;=8),"",IF(V817&lt;TODAY(),"Vencida",IF(V817=TODAY(),"Hoy","")))</f>
        <v/>
      </c>
      <c r="X817" s="36" t="str">
        <f aca="false">IF(A817="","",IF(COUNTIF(Seguimiento!$B$2:$B$5001,A817)=0,"",_xlfn.MAXIFS(Seguimiento!$A$2:$A$5001,Seguimiento!$B$2:$B$5001,A817)))</f>
        <v/>
      </c>
      <c r="Y817" s="37" t="str">
        <f aca="true">IF(B817="","",TODAY()-B817)</f>
        <v/>
      </c>
      <c r="Z817" s="38" t="str">
        <f aca="false">IF(OR(O817="",G817=""),"",O817*IFERROR(INDEX(Listas!$B$2:$B$50,MATCH(G817,Listas!$A$2:$A$50,0)),0))</f>
        <v/>
      </c>
      <c r="AA817" s="32"/>
      <c r="AB817" s="32"/>
      <c r="AC817" s="32"/>
      <c r="AD817" s="35" t="str">
        <f aca="false">IF(OR(LEFT(H817,4)="Meta",LEFT(H817,6)="Google"),IF(AG817=3,"Lead calificado",IF(OR(AG817=4,AG817=5),"Tasación/visita",IF(OR(AG817=6,AG817=7),"Captación/oferta",IF(AG817=8,"Cierre","")))),"")</f>
        <v/>
      </c>
      <c r="AE817" s="32"/>
      <c r="AF817" s="32"/>
      <c r="AG817" s="37" t="n">
        <f aca="false">IF(R817="",0,IFERROR(MATCH(R817,Listas!$L$2:$L$50,0),0))</f>
        <v>0</v>
      </c>
    </row>
    <row r="818" customFormat="false" ht="15" hidden="false" customHeight="false" outlineLevel="0" collapsed="false">
      <c r="A818" s="30"/>
      <c r="B818" s="31"/>
      <c r="C818" s="32"/>
      <c r="D818" s="32"/>
      <c r="E818" s="33"/>
      <c r="F818" s="32"/>
      <c r="G818" s="32"/>
      <c r="H818" s="32"/>
      <c r="I818" s="32"/>
      <c r="J818" s="32"/>
      <c r="K818" s="32"/>
      <c r="L818" s="32"/>
      <c r="M818" s="30"/>
      <c r="N818" s="32"/>
      <c r="O818" s="34"/>
      <c r="P818" s="32"/>
      <c r="Q818" s="32"/>
      <c r="R818" s="32"/>
      <c r="S818" s="32"/>
      <c r="T818" s="32"/>
      <c r="U818" s="32"/>
      <c r="V818" s="31"/>
      <c r="W818" s="35" t="str">
        <f aca="true">IF(OR(V818="",AG818&gt;=8),"",IF(V818&lt;TODAY(),"Vencida",IF(V818=TODAY(),"Hoy","")))</f>
        <v/>
      </c>
      <c r="X818" s="36" t="str">
        <f aca="false">IF(A818="","",IF(COUNTIF(Seguimiento!$B$2:$B$5001,A818)=0,"",_xlfn.MAXIFS(Seguimiento!$A$2:$A$5001,Seguimiento!$B$2:$B$5001,A818)))</f>
        <v/>
      </c>
      <c r="Y818" s="37" t="str">
        <f aca="true">IF(B818="","",TODAY()-B818)</f>
        <v/>
      </c>
      <c r="Z818" s="38" t="str">
        <f aca="false">IF(OR(O818="",G818=""),"",O818*IFERROR(INDEX(Listas!$B$2:$B$50,MATCH(G818,Listas!$A$2:$A$50,0)),0))</f>
        <v/>
      </c>
      <c r="AA818" s="32"/>
      <c r="AB818" s="32"/>
      <c r="AC818" s="32"/>
      <c r="AD818" s="35" t="str">
        <f aca="false">IF(OR(LEFT(H818,4)="Meta",LEFT(H818,6)="Google"),IF(AG818=3,"Lead calificado",IF(OR(AG818=4,AG818=5),"Tasación/visita",IF(OR(AG818=6,AG818=7),"Captación/oferta",IF(AG818=8,"Cierre","")))),"")</f>
        <v/>
      </c>
      <c r="AE818" s="32"/>
      <c r="AF818" s="32"/>
      <c r="AG818" s="37" t="n">
        <f aca="false">IF(R818="",0,IFERROR(MATCH(R818,Listas!$L$2:$L$50,0),0))</f>
        <v>0</v>
      </c>
    </row>
    <row r="819" customFormat="false" ht="15" hidden="false" customHeight="false" outlineLevel="0" collapsed="false">
      <c r="A819" s="30"/>
      <c r="B819" s="31"/>
      <c r="C819" s="32"/>
      <c r="D819" s="32"/>
      <c r="E819" s="33"/>
      <c r="F819" s="32"/>
      <c r="G819" s="32"/>
      <c r="H819" s="32"/>
      <c r="I819" s="32"/>
      <c r="J819" s="32"/>
      <c r="K819" s="32"/>
      <c r="L819" s="32"/>
      <c r="M819" s="30"/>
      <c r="N819" s="32"/>
      <c r="O819" s="34"/>
      <c r="P819" s="32"/>
      <c r="Q819" s="32"/>
      <c r="R819" s="32"/>
      <c r="S819" s="32"/>
      <c r="T819" s="32"/>
      <c r="U819" s="32"/>
      <c r="V819" s="31"/>
      <c r="W819" s="35" t="str">
        <f aca="true">IF(OR(V819="",AG819&gt;=8),"",IF(V819&lt;TODAY(),"Vencida",IF(V819=TODAY(),"Hoy","")))</f>
        <v/>
      </c>
      <c r="X819" s="36" t="str">
        <f aca="false">IF(A819="","",IF(COUNTIF(Seguimiento!$B$2:$B$5001,A819)=0,"",_xlfn.MAXIFS(Seguimiento!$A$2:$A$5001,Seguimiento!$B$2:$B$5001,A819)))</f>
        <v/>
      </c>
      <c r="Y819" s="37" t="str">
        <f aca="true">IF(B819="","",TODAY()-B819)</f>
        <v/>
      </c>
      <c r="Z819" s="38" t="str">
        <f aca="false">IF(OR(O819="",G819=""),"",O819*IFERROR(INDEX(Listas!$B$2:$B$50,MATCH(G819,Listas!$A$2:$A$50,0)),0))</f>
        <v/>
      </c>
      <c r="AA819" s="32"/>
      <c r="AB819" s="32"/>
      <c r="AC819" s="32"/>
      <c r="AD819" s="35" t="str">
        <f aca="false">IF(OR(LEFT(H819,4)="Meta",LEFT(H819,6)="Google"),IF(AG819=3,"Lead calificado",IF(OR(AG819=4,AG819=5),"Tasación/visita",IF(OR(AG819=6,AG819=7),"Captación/oferta",IF(AG819=8,"Cierre","")))),"")</f>
        <v/>
      </c>
      <c r="AE819" s="32"/>
      <c r="AF819" s="32"/>
      <c r="AG819" s="37" t="n">
        <f aca="false">IF(R819="",0,IFERROR(MATCH(R819,Listas!$L$2:$L$50,0),0))</f>
        <v>0</v>
      </c>
    </row>
    <row r="820" customFormat="false" ht="15" hidden="false" customHeight="false" outlineLevel="0" collapsed="false">
      <c r="A820" s="30"/>
      <c r="B820" s="31"/>
      <c r="C820" s="32"/>
      <c r="D820" s="32"/>
      <c r="E820" s="33"/>
      <c r="F820" s="32"/>
      <c r="G820" s="32"/>
      <c r="H820" s="32"/>
      <c r="I820" s="32"/>
      <c r="J820" s="32"/>
      <c r="K820" s="32"/>
      <c r="L820" s="32"/>
      <c r="M820" s="30"/>
      <c r="N820" s="32"/>
      <c r="O820" s="34"/>
      <c r="P820" s="32"/>
      <c r="Q820" s="32"/>
      <c r="R820" s="32"/>
      <c r="S820" s="32"/>
      <c r="T820" s="32"/>
      <c r="U820" s="32"/>
      <c r="V820" s="31"/>
      <c r="W820" s="35" t="str">
        <f aca="true">IF(OR(V820="",AG820&gt;=8),"",IF(V820&lt;TODAY(),"Vencida",IF(V820=TODAY(),"Hoy","")))</f>
        <v/>
      </c>
      <c r="X820" s="36" t="str">
        <f aca="false">IF(A820="","",IF(COUNTIF(Seguimiento!$B$2:$B$5001,A820)=0,"",_xlfn.MAXIFS(Seguimiento!$A$2:$A$5001,Seguimiento!$B$2:$B$5001,A820)))</f>
        <v/>
      </c>
      <c r="Y820" s="37" t="str">
        <f aca="true">IF(B820="","",TODAY()-B820)</f>
        <v/>
      </c>
      <c r="Z820" s="38" t="str">
        <f aca="false">IF(OR(O820="",G820=""),"",O820*IFERROR(INDEX(Listas!$B$2:$B$50,MATCH(G820,Listas!$A$2:$A$50,0)),0))</f>
        <v/>
      </c>
      <c r="AA820" s="32"/>
      <c r="AB820" s="32"/>
      <c r="AC820" s="32"/>
      <c r="AD820" s="35" t="str">
        <f aca="false">IF(OR(LEFT(H820,4)="Meta",LEFT(H820,6)="Google"),IF(AG820=3,"Lead calificado",IF(OR(AG820=4,AG820=5),"Tasación/visita",IF(OR(AG820=6,AG820=7),"Captación/oferta",IF(AG820=8,"Cierre","")))),"")</f>
        <v/>
      </c>
      <c r="AE820" s="32"/>
      <c r="AF820" s="32"/>
      <c r="AG820" s="37" t="n">
        <f aca="false">IF(R820="",0,IFERROR(MATCH(R820,Listas!$L$2:$L$50,0),0))</f>
        <v>0</v>
      </c>
    </row>
    <row r="821" customFormat="false" ht="15" hidden="false" customHeight="false" outlineLevel="0" collapsed="false">
      <c r="A821" s="30"/>
      <c r="B821" s="31"/>
      <c r="C821" s="32"/>
      <c r="D821" s="32"/>
      <c r="E821" s="33"/>
      <c r="F821" s="32"/>
      <c r="G821" s="32"/>
      <c r="H821" s="32"/>
      <c r="I821" s="32"/>
      <c r="J821" s="32"/>
      <c r="K821" s="32"/>
      <c r="L821" s="32"/>
      <c r="M821" s="30"/>
      <c r="N821" s="32"/>
      <c r="O821" s="34"/>
      <c r="P821" s="32"/>
      <c r="Q821" s="32"/>
      <c r="R821" s="32"/>
      <c r="S821" s="32"/>
      <c r="T821" s="32"/>
      <c r="U821" s="32"/>
      <c r="V821" s="31"/>
      <c r="W821" s="35" t="str">
        <f aca="true">IF(OR(V821="",AG821&gt;=8),"",IF(V821&lt;TODAY(),"Vencida",IF(V821=TODAY(),"Hoy","")))</f>
        <v/>
      </c>
      <c r="X821" s="36" t="str">
        <f aca="false">IF(A821="","",IF(COUNTIF(Seguimiento!$B$2:$B$5001,A821)=0,"",_xlfn.MAXIFS(Seguimiento!$A$2:$A$5001,Seguimiento!$B$2:$B$5001,A821)))</f>
        <v/>
      </c>
      <c r="Y821" s="37" t="str">
        <f aca="true">IF(B821="","",TODAY()-B821)</f>
        <v/>
      </c>
      <c r="Z821" s="38" t="str">
        <f aca="false">IF(OR(O821="",G821=""),"",O821*IFERROR(INDEX(Listas!$B$2:$B$50,MATCH(G821,Listas!$A$2:$A$50,0)),0))</f>
        <v/>
      </c>
      <c r="AA821" s="32"/>
      <c r="AB821" s="32"/>
      <c r="AC821" s="32"/>
      <c r="AD821" s="35" t="str">
        <f aca="false">IF(OR(LEFT(H821,4)="Meta",LEFT(H821,6)="Google"),IF(AG821=3,"Lead calificado",IF(OR(AG821=4,AG821=5),"Tasación/visita",IF(OR(AG821=6,AG821=7),"Captación/oferta",IF(AG821=8,"Cierre","")))),"")</f>
        <v/>
      </c>
      <c r="AE821" s="32"/>
      <c r="AF821" s="32"/>
      <c r="AG821" s="37" t="n">
        <f aca="false">IF(R821="",0,IFERROR(MATCH(R821,Listas!$L$2:$L$50,0),0))</f>
        <v>0</v>
      </c>
    </row>
    <row r="822" customFormat="false" ht="15" hidden="false" customHeight="false" outlineLevel="0" collapsed="false">
      <c r="A822" s="30"/>
      <c r="B822" s="31"/>
      <c r="C822" s="32"/>
      <c r="D822" s="32"/>
      <c r="E822" s="33"/>
      <c r="F822" s="32"/>
      <c r="G822" s="32"/>
      <c r="H822" s="32"/>
      <c r="I822" s="32"/>
      <c r="J822" s="32"/>
      <c r="K822" s="32"/>
      <c r="L822" s="32"/>
      <c r="M822" s="30"/>
      <c r="N822" s="32"/>
      <c r="O822" s="34"/>
      <c r="P822" s="32"/>
      <c r="Q822" s="32"/>
      <c r="R822" s="32"/>
      <c r="S822" s="32"/>
      <c r="T822" s="32"/>
      <c r="U822" s="32"/>
      <c r="V822" s="31"/>
      <c r="W822" s="35" t="str">
        <f aca="true">IF(OR(V822="",AG822&gt;=8),"",IF(V822&lt;TODAY(),"Vencida",IF(V822=TODAY(),"Hoy","")))</f>
        <v/>
      </c>
      <c r="X822" s="36" t="str">
        <f aca="false">IF(A822="","",IF(COUNTIF(Seguimiento!$B$2:$B$5001,A822)=0,"",_xlfn.MAXIFS(Seguimiento!$A$2:$A$5001,Seguimiento!$B$2:$B$5001,A822)))</f>
        <v/>
      </c>
      <c r="Y822" s="37" t="str">
        <f aca="true">IF(B822="","",TODAY()-B822)</f>
        <v/>
      </c>
      <c r="Z822" s="38" t="str">
        <f aca="false">IF(OR(O822="",G822=""),"",O822*IFERROR(INDEX(Listas!$B$2:$B$50,MATCH(G822,Listas!$A$2:$A$50,0)),0))</f>
        <v/>
      </c>
      <c r="AA822" s="32"/>
      <c r="AB822" s="32"/>
      <c r="AC822" s="32"/>
      <c r="AD822" s="35" t="str">
        <f aca="false">IF(OR(LEFT(H822,4)="Meta",LEFT(H822,6)="Google"),IF(AG822=3,"Lead calificado",IF(OR(AG822=4,AG822=5),"Tasación/visita",IF(OR(AG822=6,AG822=7),"Captación/oferta",IF(AG822=8,"Cierre","")))),"")</f>
        <v/>
      </c>
      <c r="AE822" s="32"/>
      <c r="AF822" s="32"/>
      <c r="AG822" s="37" t="n">
        <f aca="false">IF(R822="",0,IFERROR(MATCH(R822,Listas!$L$2:$L$50,0),0))</f>
        <v>0</v>
      </c>
    </row>
    <row r="823" customFormat="false" ht="15" hidden="false" customHeight="false" outlineLevel="0" collapsed="false">
      <c r="A823" s="30"/>
      <c r="B823" s="31"/>
      <c r="C823" s="32"/>
      <c r="D823" s="32"/>
      <c r="E823" s="33"/>
      <c r="F823" s="32"/>
      <c r="G823" s="32"/>
      <c r="H823" s="32"/>
      <c r="I823" s="32"/>
      <c r="J823" s="32"/>
      <c r="K823" s="32"/>
      <c r="L823" s="32"/>
      <c r="M823" s="30"/>
      <c r="N823" s="32"/>
      <c r="O823" s="34"/>
      <c r="P823" s="32"/>
      <c r="Q823" s="32"/>
      <c r="R823" s="32"/>
      <c r="S823" s="32"/>
      <c r="T823" s="32"/>
      <c r="U823" s="32"/>
      <c r="V823" s="31"/>
      <c r="W823" s="35" t="str">
        <f aca="true">IF(OR(V823="",AG823&gt;=8),"",IF(V823&lt;TODAY(),"Vencida",IF(V823=TODAY(),"Hoy","")))</f>
        <v/>
      </c>
      <c r="X823" s="36" t="str">
        <f aca="false">IF(A823="","",IF(COUNTIF(Seguimiento!$B$2:$B$5001,A823)=0,"",_xlfn.MAXIFS(Seguimiento!$A$2:$A$5001,Seguimiento!$B$2:$B$5001,A823)))</f>
        <v/>
      </c>
      <c r="Y823" s="37" t="str">
        <f aca="true">IF(B823="","",TODAY()-B823)</f>
        <v/>
      </c>
      <c r="Z823" s="38" t="str">
        <f aca="false">IF(OR(O823="",G823=""),"",O823*IFERROR(INDEX(Listas!$B$2:$B$50,MATCH(G823,Listas!$A$2:$A$50,0)),0))</f>
        <v/>
      </c>
      <c r="AA823" s="32"/>
      <c r="AB823" s="32"/>
      <c r="AC823" s="32"/>
      <c r="AD823" s="35" t="str">
        <f aca="false">IF(OR(LEFT(H823,4)="Meta",LEFT(H823,6)="Google"),IF(AG823=3,"Lead calificado",IF(OR(AG823=4,AG823=5),"Tasación/visita",IF(OR(AG823=6,AG823=7),"Captación/oferta",IF(AG823=8,"Cierre","")))),"")</f>
        <v/>
      </c>
      <c r="AE823" s="32"/>
      <c r="AF823" s="32"/>
      <c r="AG823" s="37" t="n">
        <f aca="false">IF(R823="",0,IFERROR(MATCH(R823,Listas!$L$2:$L$50,0),0))</f>
        <v>0</v>
      </c>
    </row>
    <row r="824" customFormat="false" ht="15" hidden="false" customHeight="false" outlineLevel="0" collapsed="false">
      <c r="A824" s="30"/>
      <c r="B824" s="31"/>
      <c r="C824" s="32"/>
      <c r="D824" s="32"/>
      <c r="E824" s="33"/>
      <c r="F824" s="32"/>
      <c r="G824" s="32"/>
      <c r="H824" s="32"/>
      <c r="I824" s="32"/>
      <c r="J824" s="32"/>
      <c r="K824" s="32"/>
      <c r="L824" s="32"/>
      <c r="M824" s="30"/>
      <c r="N824" s="32"/>
      <c r="O824" s="34"/>
      <c r="P824" s="32"/>
      <c r="Q824" s="32"/>
      <c r="R824" s="32"/>
      <c r="S824" s="32"/>
      <c r="T824" s="32"/>
      <c r="U824" s="32"/>
      <c r="V824" s="31"/>
      <c r="W824" s="35" t="str">
        <f aca="true">IF(OR(V824="",AG824&gt;=8),"",IF(V824&lt;TODAY(),"Vencida",IF(V824=TODAY(),"Hoy","")))</f>
        <v/>
      </c>
      <c r="X824" s="36" t="str">
        <f aca="false">IF(A824="","",IF(COUNTIF(Seguimiento!$B$2:$B$5001,A824)=0,"",_xlfn.MAXIFS(Seguimiento!$A$2:$A$5001,Seguimiento!$B$2:$B$5001,A824)))</f>
        <v/>
      </c>
      <c r="Y824" s="37" t="str">
        <f aca="true">IF(B824="","",TODAY()-B824)</f>
        <v/>
      </c>
      <c r="Z824" s="38" t="str">
        <f aca="false">IF(OR(O824="",G824=""),"",O824*IFERROR(INDEX(Listas!$B$2:$B$50,MATCH(G824,Listas!$A$2:$A$50,0)),0))</f>
        <v/>
      </c>
      <c r="AA824" s="32"/>
      <c r="AB824" s="32"/>
      <c r="AC824" s="32"/>
      <c r="AD824" s="35" t="str">
        <f aca="false">IF(OR(LEFT(H824,4)="Meta",LEFT(H824,6)="Google"),IF(AG824=3,"Lead calificado",IF(OR(AG824=4,AG824=5),"Tasación/visita",IF(OR(AG824=6,AG824=7),"Captación/oferta",IF(AG824=8,"Cierre","")))),"")</f>
        <v/>
      </c>
      <c r="AE824" s="32"/>
      <c r="AF824" s="32"/>
      <c r="AG824" s="37" t="n">
        <f aca="false">IF(R824="",0,IFERROR(MATCH(R824,Listas!$L$2:$L$50,0),0))</f>
        <v>0</v>
      </c>
    </row>
    <row r="825" customFormat="false" ht="15" hidden="false" customHeight="false" outlineLevel="0" collapsed="false">
      <c r="A825" s="30"/>
      <c r="B825" s="31"/>
      <c r="C825" s="32"/>
      <c r="D825" s="32"/>
      <c r="E825" s="33"/>
      <c r="F825" s="32"/>
      <c r="G825" s="32"/>
      <c r="H825" s="32"/>
      <c r="I825" s="32"/>
      <c r="J825" s="32"/>
      <c r="K825" s="32"/>
      <c r="L825" s="32"/>
      <c r="M825" s="30"/>
      <c r="N825" s="32"/>
      <c r="O825" s="34"/>
      <c r="P825" s="32"/>
      <c r="Q825" s="32"/>
      <c r="R825" s="32"/>
      <c r="S825" s="32"/>
      <c r="T825" s="32"/>
      <c r="U825" s="32"/>
      <c r="V825" s="31"/>
      <c r="W825" s="35" t="str">
        <f aca="true">IF(OR(V825="",AG825&gt;=8),"",IF(V825&lt;TODAY(),"Vencida",IF(V825=TODAY(),"Hoy","")))</f>
        <v/>
      </c>
      <c r="X825" s="36" t="str">
        <f aca="false">IF(A825="","",IF(COUNTIF(Seguimiento!$B$2:$B$5001,A825)=0,"",_xlfn.MAXIFS(Seguimiento!$A$2:$A$5001,Seguimiento!$B$2:$B$5001,A825)))</f>
        <v/>
      </c>
      <c r="Y825" s="37" t="str">
        <f aca="true">IF(B825="","",TODAY()-B825)</f>
        <v/>
      </c>
      <c r="Z825" s="38" t="str">
        <f aca="false">IF(OR(O825="",G825=""),"",O825*IFERROR(INDEX(Listas!$B$2:$B$50,MATCH(G825,Listas!$A$2:$A$50,0)),0))</f>
        <v/>
      </c>
      <c r="AA825" s="32"/>
      <c r="AB825" s="32"/>
      <c r="AC825" s="32"/>
      <c r="AD825" s="35" t="str">
        <f aca="false">IF(OR(LEFT(H825,4)="Meta",LEFT(H825,6)="Google"),IF(AG825=3,"Lead calificado",IF(OR(AG825=4,AG825=5),"Tasación/visita",IF(OR(AG825=6,AG825=7),"Captación/oferta",IF(AG825=8,"Cierre","")))),"")</f>
        <v/>
      </c>
      <c r="AE825" s="32"/>
      <c r="AF825" s="32"/>
      <c r="AG825" s="37" t="n">
        <f aca="false">IF(R825="",0,IFERROR(MATCH(R825,Listas!$L$2:$L$50,0),0))</f>
        <v>0</v>
      </c>
    </row>
    <row r="826" customFormat="false" ht="15" hidden="false" customHeight="false" outlineLevel="0" collapsed="false">
      <c r="A826" s="30"/>
      <c r="B826" s="31"/>
      <c r="C826" s="32"/>
      <c r="D826" s="32"/>
      <c r="E826" s="33"/>
      <c r="F826" s="32"/>
      <c r="G826" s="32"/>
      <c r="H826" s="32"/>
      <c r="I826" s="32"/>
      <c r="J826" s="32"/>
      <c r="K826" s="32"/>
      <c r="L826" s="32"/>
      <c r="M826" s="30"/>
      <c r="N826" s="32"/>
      <c r="O826" s="34"/>
      <c r="P826" s="32"/>
      <c r="Q826" s="32"/>
      <c r="R826" s="32"/>
      <c r="S826" s="32"/>
      <c r="T826" s="32"/>
      <c r="U826" s="32"/>
      <c r="V826" s="31"/>
      <c r="W826" s="35" t="str">
        <f aca="true">IF(OR(V826="",AG826&gt;=8),"",IF(V826&lt;TODAY(),"Vencida",IF(V826=TODAY(),"Hoy","")))</f>
        <v/>
      </c>
      <c r="X826" s="36" t="str">
        <f aca="false">IF(A826="","",IF(COUNTIF(Seguimiento!$B$2:$B$5001,A826)=0,"",_xlfn.MAXIFS(Seguimiento!$A$2:$A$5001,Seguimiento!$B$2:$B$5001,A826)))</f>
        <v/>
      </c>
      <c r="Y826" s="37" t="str">
        <f aca="true">IF(B826="","",TODAY()-B826)</f>
        <v/>
      </c>
      <c r="Z826" s="38" t="str">
        <f aca="false">IF(OR(O826="",G826=""),"",O826*IFERROR(INDEX(Listas!$B$2:$B$50,MATCH(G826,Listas!$A$2:$A$50,0)),0))</f>
        <v/>
      </c>
      <c r="AA826" s="32"/>
      <c r="AB826" s="32"/>
      <c r="AC826" s="32"/>
      <c r="AD826" s="35" t="str">
        <f aca="false">IF(OR(LEFT(H826,4)="Meta",LEFT(H826,6)="Google"),IF(AG826=3,"Lead calificado",IF(OR(AG826=4,AG826=5),"Tasación/visita",IF(OR(AG826=6,AG826=7),"Captación/oferta",IF(AG826=8,"Cierre","")))),"")</f>
        <v/>
      </c>
      <c r="AE826" s="32"/>
      <c r="AF826" s="32"/>
      <c r="AG826" s="37" t="n">
        <f aca="false">IF(R826="",0,IFERROR(MATCH(R826,Listas!$L$2:$L$50,0),0))</f>
        <v>0</v>
      </c>
    </row>
    <row r="827" customFormat="false" ht="15" hidden="false" customHeight="false" outlineLevel="0" collapsed="false">
      <c r="A827" s="30"/>
      <c r="B827" s="31"/>
      <c r="C827" s="32"/>
      <c r="D827" s="32"/>
      <c r="E827" s="33"/>
      <c r="F827" s="32"/>
      <c r="G827" s="32"/>
      <c r="H827" s="32"/>
      <c r="I827" s="32"/>
      <c r="J827" s="32"/>
      <c r="K827" s="32"/>
      <c r="L827" s="32"/>
      <c r="M827" s="30"/>
      <c r="N827" s="32"/>
      <c r="O827" s="34"/>
      <c r="P827" s="32"/>
      <c r="Q827" s="32"/>
      <c r="R827" s="32"/>
      <c r="S827" s="32"/>
      <c r="T827" s="32"/>
      <c r="U827" s="32"/>
      <c r="V827" s="31"/>
      <c r="W827" s="35" t="str">
        <f aca="true">IF(OR(V827="",AG827&gt;=8),"",IF(V827&lt;TODAY(),"Vencida",IF(V827=TODAY(),"Hoy","")))</f>
        <v/>
      </c>
      <c r="X827" s="36" t="str">
        <f aca="false">IF(A827="","",IF(COUNTIF(Seguimiento!$B$2:$B$5001,A827)=0,"",_xlfn.MAXIFS(Seguimiento!$A$2:$A$5001,Seguimiento!$B$2:$B$5001,A827)))</f>
        <v/>
      </c>
      <c r="Y827" s="37" t="str">
        <f aca="true">IF(B827="","",TODAY()-B827)</f>
        <v/>
      </c>
      <c r="Z827" s="38" t="str">
        <f aca="false">IF(OR(O827="",G827=""),"",O827*IFERROR(INDEX(Listas!$B$2:$B$50,MATCH(G827,Listas!$A$2:$A$50,0)),0))</f>
        <v/>
      </c>
      <c r="AA827" s="32"/>
      <c r="AB827" s="32"/>
      <c r="AC827" s="32"/>
      <c r="AD827" s="35" t="str">
        <f aca="false">IF(OR(LEFT(H827,4)="Meta",LEFT(H827,6)="Google"),IF(AG827=3,"Lead calificado",IF(OR(AG827=4,AG827=5),"Tasación/visita",IF(OR(AG827=6,AG827=7),"Captación/oferta",IF(AG827=8,"Cierre","")))),"")</f>
        <v/>
      </c>
      <c r="AE827" s="32"/>
      <c r="AF827" s="32"/>
      <c r="AG827" s="37" t="n">
        <f aca="false">IF(R827="",0,IFERROR(MATCH(R827,Listas!$L$2:$L$50,0),0))</f>
        <v>0</v>
      </c>
    </row>
    <row r="828" customFormat="false" ht="15" hidden="false" customHeight="false" outlineLevel="0" collapsed="false">
      <c r="A828" s="30"/>
      <c r="B828" s="31"/>
      <c r="C828" s="32"/>
      <c r="D828" s="32"/>
      <c r="E828" s="33"/>
      <c r="F828" s="32"/>
      <c r="G828" s="32"/>
      <c r="H828" s="32"/>
      <c r="I828" s="32"/>
      <c r="J828" s="32"/>
      <c r="K828" s="32"/>
      <c r="L828" s="32"/>
      <c r="M828" s="30"/>
      <c r="N828" s="32"/>
      <c r="O828" s="34"/>
      <c r="P828" s="32"/>
      <c r="Q828" s="32"/>
      <c r="R828" s="32"/>
      <c r="S828" s="32"/>
      <c r="T828" s="32"/>
      <c r="U828" s="32"/>
      <c r="V828" s="31"/>
      <c r="W828" s="35" t="str">
        <f aca="true">IF(OR(V828="",AG828&gt;=8),"",IF(V828&lt;TODAY(),"Vencida",IF(V828=TODAY(),"Hoy","")))</f>
        <v/>
      </c>
      <c r="X828" s="36" t="str">
        <f aca="false">IF(A828="","",IF(COUNTIF(Seguimiento!$B$2:$B$5001,A828)=0,"",_xlfn.MAXIFS(Seguimiento!$A$2:$A$5001,Seguimiento!$B$2:$B$5001,A828)))</f>
        <v/>
      </c>
      <c r="Y828" s="37" t="str">
        <f aca="true">IF(B828="","",TODAY()-B828)</f>
        <v/>
      </c>
      <c r="Z828" s="38" t="str">
        <f aca="false">IF(OR(O828="",G828=""),"",O828*IFERROR(INDEX(Listas!$B$2:$B$50,MATCH(G828,Listas!$A$2:$A$50,0)),0))</f>
        <v/>
      </c>
      <c r="AA828" s="32"/>
      <c r="AB828" s="32"/>
      <c r="AC828" s="32"/>
      <c r="AD828" s="35" t="str">
        <f aca="false">IF(OR(LEFT(H828,4)="Meta",LEFT(H828,6)="Google"),IF(AG828=3,"Lead calificado",IF(OR(AG828=4,AG828=5),"Tasación/visita",IF(OR(AG828=6,AG828=7),"Captación/oferta",IF(AG828=8,"Cierre","")))),"")</f>
        <v/>
      </c>
      <c r="AE828" s="32"/>
      <c r="AF828" s="32"/>
      <c r="AG828" s="37" t="n">
        <f aca="false">IF(R828="",0,IFERROR(MATCH(R828,Listas!$L$2:$L$50,0),0))</f>
        <v>0</v>
      </c>
    </row>
    <row r="829" customFormat="false" ht="15" hidden="false" customHeight="false" outlineLevel="0" collapsed="false">
      <c r="A829" s="30"/>
      <c r="B829" s="31"/>
      <c r="C829" s="32"/>
      <c r="D829" s="32"/>
      <c r="E829" s="33"/>
      <c r="F829" s="32"/>
      <c r="G829" s="32"/>
      <c r="H829" s="32"/>
      <c r="I829" s="32"/>
      <c r="J829" s="32"/>
      <c r="K829" s="32"/>
      <c r="L829" s="32"/>
      <c r="M829" s="30"/>
      <c r="N829" s="32"/>
      <c r="O829" s="34"/>
      <c r="P829" s="32"/>
      <c r="Q829" s="32"/>
      <c r="R829" s="32"/>
      <c r="S829" s="32"/>
      <c r="T829" s="32"/>
      <c r="U829" s="32"/>
      <c r="V829" s="31"/>
      <c r="W829" s="35" t="str">
        <f aca="true">IF(OR(V829="",AG829&gt;=8),"",IF(V829&lt;TODAY(),"Vencida",IF(V829=TODAY(),"Hoy","")))</f>
        <v/>
      </c>
      <c r="X829" s="36" t="str">
        <f aca="false">IF(A829="","",IF(COUNTIF(Seguimiento!$B$2:$B$5001,A829)=0,"",_xlfn.MAXIFS(Seguimiento!$A$2:$A$5001,Seguimiento!$B$2:$B$5001,A829)))</f>
        <v/>
      </c>
      <c r="Y829" s="37" t="str">
        <f aca="true">IF(B829="","",TODAY()-B829)</f>
        <v/>
      </c>
      <c r="Z829" s="38" t="str">
        <f aca="false">IF(OR(O829="",G829=""),"",O829*IFERROR(INDEX(Listas!$B$2:$B$50,MATCH(G829,Listas!$A$2:$A$50,0)),0))</f>
        <v/>
      </c>
      <c r="AA829" s="32"/>
      <c r="AB829" s="32"/>
      <c r="AC829" s="32"/>
      <c r="AD829" s="35" t="str">
        <f aca="false">IF(OR(LEFT(H829,4)="Meta",LEFT(H829,6)="Google"),IF(AG829=3,"Lead calificado",IF(OR(AG829=4,AG829=5),"Tasación/visita",IF(OR(AG829=6,AG829=7),"Captación/oferta",IF(AG829=8,"Cierre","")))),"")</f>
        <v/>
      </c>
      <c r="AE829" s="32"/>
      <c r="AF829" s="32"/>
      <c r="AG829" s="37" t="n">
        <f aca="false">IF(R829="",0,IFERROR(MATCH(R829,Listas!$L$2:$L$50,0),0))</f>
        <v>0</v>
      </c>
    </row>
    <row r="830" customFormat="false" ht="15" hidden="false" customHeight="false" outlineLevel="0" collapsed="false">
      <c r="A830" s="30"/>
      <c r="B830" s="31"/>
      <c r="C830" s="32"/>
      <c r="D830" s="32"/>
      <c r="E830" s="33"/>
      <c r="F830" s="32"/>
      <c r="G830" s="32"/>
      <c r="H830" s="32"/>
      <c r="I830" s="32"/>
      <c r="J830" s="32"/>
      <c r="K830" s="32"/>
      <c r="L830" s="32"/>
      <c r="M830" s="30"/>
      <c r="N830" s="32"/>
      <c r="O830" s="34"/>
      <c r="P830" s="32"/>
      <c r="Q830" s="32"/>
      <c r="R830" s="32"/>
      <c r="S830" s="32"/>
      <c r="T830" s="32"/>
      <c r="U830" s="32"/>
      <c r="V830" s="31"/>
      <c r="W830" s="35" t="str">
        <f aca="true">IF(OR(V830="",AG830&gt;=8),"",IF(V830&lt;TODAY(),"Vencida",IF(V830=TODAY(),"Hoy","")))</f>
        <v/>
      </c>
      <c r="X830" s="36" t="str">
        <f aca="false">IF(A830="","",IF(COUNTIF(Seguimiento!$B$2:$B$5001,A830)=0,"",_xlfn.MAXIFS(Seguimiento!$A$2:$A$5001,Seguimiento!$B$2:$B$5001,A830)))</f>
        <v/>
      </c>
      <c r="Y830" s="37" t="str">
        <f aca="true">IF(B830="","",TODAY()-B830)</f>
        <v/>
      </c>
      <c r="Z830" s="38" t="str">
        <f aca="false">IF(OR(O830="",G830=""),"",O830*IFERROR(INDEX(Listas!$B$2:$B$50,MATCH(G830,Listas!$A$2:$A$50,0)),0))</f>
        <v/>
      </c>
      <c r="AA830" s="32"/>
      <c r="AB830" s="32"/>
      <c r="AC830" s="32"/>
      <c r="AD830" s="35" t="str">
        <f aca="false">IF(OR(LEFT(H830,4)="Meta",LEFT(H830,6)="Google"),IF(AG830=3,"Lead calificado",IF(OR(AG830=4,AG830=5),"Tasación/visita",IF(OR(AG830=6,AG830=7),"Captación/oferta",IF(AG830=8,"Cierre","")))),"")</f>
        <v/>
      </c>
      <c r="AE830" s="32"/>
      <c r="AF830" s="32"/>
      <c r="AG830" s="37" t="n">
        <f aca="false">IF(R830="",0,IFERROR(MATCH(R830,Listas!$L$2:$L$50,0),0))</f>
        <v>0</v>
      </c>
    </row>
    <row r="831" customFormat="false" ht="15" hidden="false" customHeight="false" outlineLevel="0" collapsed="false">
      <c r="A831" s="30"/>
      <c r="B831" s="31"/>
      <c r="C831" s="32"/>
      <c r="D831" s="32"/>
      <c r="E831" s="33"/>
      <c r="F831" s="32"/>
      <c r="G831" s="32"/>
      <c r="H831" s="32"/>
      <c r="I831" s="32"/>
      <c r="J831" s="32"/>
      <c r="K831" s="32"/>
      <c r="L831" s="32"/>
      <c r="M831" s="30"/>
      <c r="N831" s="32"/>
      <c r="O831" s="34"/>
      <c r="P831" s="32"/>
      <c r="Q831" s="32"/>
      <c r="R831" s="32"/>
      <c r="S831" s="32"/>
      <c r="T831" s="32"/>
      <c r="U831" s="32"/>
      <c r="V831" s="31"/>
      <c r="W831" s="35" t="str">
        <f aca="true">IF(OR(V831="",AG831&gt;=8),"",IF(V831&lt;TODAY(),"Vencida",IF(V831=TODAY(),"Hoy","")))</f>
        <v/>
      </c>
      <c r="X831" s="36" t="str">
        <f aca="false">IF(A831="","",IF(COUNTIF(Seguimiento!$B$2:$B$5001,A831)=0,"",_xlfn.MAXIFS(Seguimiento!$A$2:$A$5001,Seguimiento!$B$2:$B$5001,A831)))</f>
        <v/>
      </c>
      <c r="Y831" s="37" t="str">
        <f aca="true">IF(B831="","",TODAY()-B831)</f>
        <v/>
      </c>
      <c r="Z831" s="38" t="str">
        <f aca="false">IF(OR(O831="",G831=""),"",O831*IFERROR(INDEX(Listas!$B$2:$B$50,MATCH(G831,Listas!$A$2:$A$50,0)),0))</f>
        <v/>
      </c>
      <c r="AA831" s="32"/>
      <c r="AB831" s="32"/>
      <c r="AC831" s="32"/>
      <c r="AD831" s="35" t="str">
        <f aca="false">IF(OR(LEFT(H831,4)="Meta",LEFT(H831,6)="Google"),IF(AG831=3,"Lead calificado",IF(OR(AG831=4,AG831=5),"Tasación/visita",IF(OR(AG831=6,AG831=7),"Captación/oferta",IF(AG831=8,"Cierre","")))),"")</f>
        <v/>
      </c>
      <c r="AE831" s="32"/>
      <c r="AF831" s="32"/>
      <c r="AG831" s="37" t="n">
        <f aca="false">IF(R831="",0,IFERROR(MATCH(R831,Listas!$L$2:$L$50,0),0))</f>
        <v>0</v>
      </c>
    </row>
    <row r="832" customFormat="false" ht="15" hidden="false" customHeight="false" outlineLevel="0" collapsed="false">
      <c r="A832" s="30"/>
      <c r="B832" s="31"/>
      <c r="C832" s="32"/>
      <c r="D832" s="32"/>
      <c r="E832" s="33"/>
      <c r="F832" s="32"/>
      <c r="G832" s="32"/>
      <c r="H832" s="32"/>
      <c r="I832" s="32"/>
      <c r="J832" s="32"/>
      <c r="K832" s="32"/>
      <c r="L832" s="32"/>
      <c r="M832" s="30"/>
      <c r="N832" s="32"/>
      <c r="O832" s="34"/>
      <c r="P832" s="32"/>
      <c r="Q832" s="32"/>
      <c r="R832" s="32"/>
      <c r="S832" s="32"/>
      <c r="T832" s="32"/>
      <c r="U832" s="32"/>
      <c r="V832" s="31"/>
      <c r="W832" s="35" t="str">
        <f aca="true">IF(OR(V832="",AG832&gt;=8),"",IF(V832&lt;TODAY(),"Vencida",IF(V832=TODAY(),"Hoy","")))</f>
        <v/>
      </c>
      <c r="X832" s="36" t="str">
        <f aca="false">IF(A832="","",IF(COUNTIF(Seguimiento!$B$2:$B$5001,A832)=0,"",_xlfn.MAXIFS(Seguimiento!$A$2:$A$5001,Seguimiento!$B$2:$B$5001,A832)))</f>
        <v/>
      </c>
      <c r="Y832" s="37" t="str">
        <f aca="true">IF(B832="","",TODAY()-B832)</f>
        <v/>
      </c>
      <c r="Z832" s="38" t="str">
        <f aca="false">IF(OR(O832="",G832=""),"",O832*IFERROR(INDEX(Listas!$B$2:$B$50,MATCH(G832,Listas!$A$2:$A$50,0)),0))</f>
        <v/>
      </c>
      <c r="AA832" s="32"/>
      <c r="AB832" s="32"/>
      <c r="AC832" s="32"/>
      <c r="AD832" s="35" t="str">
        <f aca="false">IF(OR(LEFT(H832,4)="Meta",LEFT(H832,6)="Google"),IF(AG832=3,"Lead calificado",IF(OR(AG832=4,AG832=5),"Tasación/visita",IF(OR(AG832=6,AG832=7),"Captación/oferta",IF(AG832=8,"Cierre","")))),"")</f>
        <v/>
      </c>
      <c r="AE832" s="32"/>
      <c r="AF832" s="32"/>
      <c r="AG832" s="37" t="n">
        <f aca="false">IF(R832="",0,IFERROR(MATCH(R832,Listas!$L$2:$L$50,0),0))</f>
        <v>0</v>
      </c>
    </row>
    <row r="833" customFormat="false" ht="15" hidden="false" customHeight="false" outlineLevel="0" collapsed="false">
      <c r="A833" s="30"/>
      <c r="B833" s="31"/>
      <c r="C833" s="32"/>
      <c r="D833" s="32"/>
      <c r="E833" s="33"/>
      <c r="F833" s="32"/>
      <c r="G833" s="32"/>
      <c r="H833" s="32"/>
      <c r="I833" s="32"/>
      <c r="J833" s="32"/>
      <c r="K833" s="32"/>
      <c r="L833" s="32"/>
      <c r="M833" s="30"/>
      <c r="N833" s="32"/>
      <c r="O833" s="34"/>
      <c r="P833" s="32"/>
      <c r="Q833" s="32"/>
      <c r="R833" s="32"/>
      <c r="S833" s="32"/>
      <c r="T833" s="32"/>
      <c r="U833" s="32"/>
      <c r="V833" s="31"/>
      <c r="W833" s="35" t="str">
        <f aca="true">IF(OR(V833="",AG833&gt;=8),"",IF(V833&lt;TODAY(),"Vencida",IF(V833=TODAY(),"Hoy","")))</f>
        <v/>
      </c>
      <c r="X833" s="36" t="str">
        <f aca="false">IF(A833="","",IF(COUNTIF(Seguimiento!$B$2:$B$5001,A833)=0,"",_xlfn.MAXIFS(Seguimiento!$A$2:$A$5001,Seguimiento!$B$2:$B$5001,A833)))</f>
        <v/>
      </c>
      <c r="Y833" s="37" t="str">
        <f aca="true">IF(B833="","",TODAY()-B833)</f>
        <v/>
      </c>
      <c r="Z833" s="38" t="str">
        <f aca="false">IF(OR(O833="",G833=""),"",O833*IFERROR(INDEX(Listas!$B$2:$B$50,MATCH(G833,Listas!$A$2:$A$50,0)),0))</f>
        <v/>
      </c>
      <c r="AA833" s="32"/>
      <c r="AB833" s="32"/>
      <c r="AC833" s="32"/>
      <c r="AD833" s="35" t="str">
        <f aca="false">IF(OR(LEFT(H833,4)="Meta",LEFT(H833,6)="Google"),IF(AG833=3,"Lead calificado",IF(OR(AG833=4,AG833=5),"Tasación/visita",IF(OR(AG833=6,AG833=7),"Captación/oferta",IF(AG833=8,"Cierre","")))),"")</f>
        <v/>
      </c>
      <c r="AE833" s="32"/>
      <c r="AF833" s="32"/>
      <c r="AG833" s="37" t="n">
        <f aca="false">IF(R833="",0,IFERROR(MATCH(R833,Listas!$L$2:$L$50,0),0))</f>
        <v>0</v>
      </c>
    </row>
    <row r="834" customFormat="false" ht="15" hidden="false" customHeight="false" outlineLevel="0" collapsed="false">
      <c r="A834" s="30"/>
      <c r="B834" s="31"/>
      <c r="C834" s="32"/>
      <c r="D834" s="32"/>
      <c r="E834" s="33"/>
      <c r="F834" s="32"/>
      <c r="G834" s="32"/>
      <c r="H834" s="32"/>
      <c r="I834" s="32"/>
      <c r="J834" s="32"/>
      <c r="K834" s="32"/>
      <c r="L834" s="32"/>
      <c r="M834" s="30"/>
      <c r="N834" s="32"/>
      <c r="O834" s="34"/>
      <c r="P834" s="32"/>
      <c r="Q834" s="32"/>
      <c r="R834" s="32"/>
      <c r="S834" s="32"/>
      <c r="T834" s="32"/>
      <c r="U834" s="32"/>
      <c r="V834" s="31"/>
      <c r="W834" s="35" t="str">
        <f aca="true">IF(OR(V834="",AG834&gt;=8),"",IF(V834&lt;TODAY(),"Vencida",IF(V834=TODAY(),"Hoy","")))</f>
        <v/>
      </c>
      <c r="X834" s="36" t="str">
        <f aca="false">IF(A834="","",IF(COUNTIF(Seguimiento!$B$2:$B$5001,A834)=0,"",_xlfn.MAXIFS(Seguimiento!$A$2:$A$5001,Seguimiento!$B$2:$B$5001,A834)))</f>
        <v/>
      </c>
      <c r="Y834" s="37" t="str">
        <f aca="true">IF(B834="","",TODAY()-B834)</f>
        <v/>
      </c>
      <c r="Z834" s="38" t="str">
        <f aca="false">IF(OR(O834="",G834=""),"",O834*IFERROR(INDEX(Listas!$B$2:$B$50,MATCH(G834,Listas!$A$2:$A$50,0)),0))</f>
        <v/>
      </c>
      <c r="AA834" s="32"/>
      <c r="AB834" s="32"/>
      <c r="AC834" s="32"/>
      <c r="AD834" s="35" t="str">
        <f aca="false">IF(OR(LEFT(H834,4)="Meta",LEFT(H834,6)="Google"),IF(AG834=3,"Lead calificado",IF(OR(AG834=4,AG834=5),"Tasación/visita",IF(OR(AG834=6,AG834=7),"Captación/oferta",IF(AG834=8,"Cierre","")))),"")</f>
        <v/>
      </c>
      <c r="AE834" s="32"/>
      <c r="AF834" s="32"/>
      <c r="AG834" s="37" t="n">
        <f aca="false">IF(R834="",0,IFERROR(MATCH(R834,Listas!$L$2:$L$50,0),0))</f>
        <v>0</v>
      </c>
    </row>
    <row r="835" customFormat="false" ht="15" hidden="false" customHeight="false" outlineLevel="0" collapsed="false">
      <c r="A835" s="30"/>
      <c r="B835" s="31"/>
      <c r="C835" s="32"/>
      <c r="D835" s="32"/>
      <c r="E835" s="33"/>
      <c r="F835" s="32"/>
      <c r="G835" s="32"/>
      <c r="H835" s="32"/>
      <c r="I835" s="32"/>
      <c r="J835" s="32"/>
      <c r="K835" s="32"/>
      <c r="L835" s="32"/>
      <c r="M835" s="30"/>
      <c r="N835" s="32"/>
      <c r="O835" s="34"/>
      <c r="P835" s="32"/>
      <c r="Q835" s="32"/>
      <c r="R835" s="32"/>
      <c r="S835" s="32"/>
      <c r="T835" s="32"/>
      <c r="U835" s="32"/>
      <c r="V835" s="31"/>
      <c r="W835" s="35" t="str">
        <f aca="true">IF(OR(V835="",AG835&gt;=8),"",IF(V835&lt;TODAY(),"Vencida",IF(V835=TODAY(),"Hoy","")))</f>
        <v/>
      </c>
      <c r="X835" s="36" t="str">
        <f aca="false">IF(A835="","",IF(COUNTIF(Seguimiento!$B$2:$B$5001,A835)=0,"",_xlfn.MAXIFS(Seguimiento!$A$2:$A$5001,Seguimiento!$B$2:$B$5001,A835)))</f>
        <v/>
      </c>
      <c r="Y835" s="37" t="str">
        <f aca="true">IF(B835="","",TODAY()-B835)</f>
        <v/>
      </c>
      <c r="Z835" s="38" t="str">
        <f aca="false">IF(OR(O835="",G835=""),"",O835*IFERROR(INDEX(Listas!$B$2:$B$50,MATCH(G835,Listas!$A$2:$A$50,0)),0))</f>
        <v/>
      </c>
      <c r="AA835" s="32"/>
      <c r="AB835" s="32"/>
      <c r="AC835" s="32"/>
      <c r="AD835" s="35" t="str">
        <f aca="false">IF(OR(LEFT(H835,4)="Meta",LEFT(H835,6)="Google"),IF(AG835=3,"Lead calificado",IF(OR(AG835=4,AG835=5),"Tasación/visita",IF(OR(AG835=6,AG835=7),"Captación/oferta",IF(AG835=8,"Cierre","")))),"")</f>
        <v/>
      </c>
      <c r="AE835" s="32"/>
      <c r="AF835" s="32"/>
      <c r="AG835" s="37" t="n">
        <f aca="false">IF(R835="",0,IFERROR(MATCH(R835,Listas!$L$2:$L$50,0),0))</f>
        <v>0</v>
      </c>
    </row>
    <row r="836" customFormat="false" ht="15" hidden="false" customHeight="false" outlineLevel="0" collapsed="false">
      <c r="A836" s="30"/>
      <c r="B836" s="31"/>
      <c r="C836" s="32"/>
      <c r="D836" s="32"/>
      <c r="E836" s="33"/>
      <c r="F836" s="32"/>
      <c r="G836" s="32"/>
      <c r="H836" s="32"/>
      <c r="I836" s="32"/>
      <c r="J836" s="32"/>
      <c r="K836" s="32"/>
      <c r="L836" s="32"/>
      <c r="M836" s="30"/>
      <c r="N836" s="32"/>
      <c r="O836" s="34"/>
      <c r="P836" s="32"/>
      <c r="Q836" s="32"/>
      <c r="R836" s="32"/>
      <c r="S836" s="32"/>
      <c r="T836" s="32"/>
      <c r="U836" s="32"/>
      <c r="V836" s="31"/>
      <c r="W836" s="35" t="str">
        <f aca="true">IF(OR(V836="",AG836&gt;=8),"",IF(V836&lt;TODAY(),"Vencida",IF(V836=TODAY(),"Hoy","")))</f>
        <v/>
      </c>
      <c r="X836" s="36" t="str">
        <f aca="false">IF(A836="","",IF(COUNTIF(Seguimiento!$B$2:$B$5001,A836)=0,"",_xlfn.MAXIFS(Seguimiento!$A$2:$A$5001,Seguimiento!$B$2:$B$5001,A836)))</f>
        <v/>
      </c>
      <c r="Y836" s="37" t="str">
        <f aca="true">IF(B836="","",TODAY()-B836)</f>
        <v/>
      </c>
      <c r="Z836" s="38" t="str">
        <f aca="false">IF(OR(O836="",G836=""),"",O836*IFERROR(INDEX(Listas!$B$2:$B$50,MATCH(G836,Listas!$A$2:$A$50,0)),0))</f>
        <v/>
      </c>
      <c r="AA836" s="32"/>
      <c r="AB836" s="32"/>
      <c r="AC836" s="32"/>
      <c r="AD836" s="35" t="str">
        <f aca="false">IF(OR(LEFT(H836,4)="Meta",LEFT(H836,6)="Google"),IF(AG836=3,"Lead calificado",IF(OR(AG836=4,AG836=5),"Tasación/visita",IF(OR(AG836=6,AG836=7),"Captación/oferta",IF(AG836=8,"Cierre","")))),"")</f>
        <v/>
      </c>
      <c r="AE836" s="32"/>
      <c r="AF836" s="32"/>
      <c r="AG836" s="37" t="n">
        <f aca="false">IF(R836="",0,IFERROR(MATCH(R836,Listas!$L$2:$L$50,0),0))</f>
        <v>0</v>
      </c>
    </row>
    <row r="837" customFormat="false" ht="15" hidden="false" customHeight="false" outlineLevel="0" collapsed="false">
      <c r="A837" s="30"/>
      <c r="B837" s="31"/>
      <c r="C837" s="32"/>
      <c r="D837" s="32"/>
      <c r="E837" s="33"/>
      <c r="F837" s="32"/>
      <c r="G837" s="32"/>
      <c r="H837" s="32"/>
      <c r="I837" s="32"/>
      <c r="J837" s="32"/>
      <c r="K837" s="32"/>
      <c r="L837" s="32"/>
      <c r="M837" s="30"/>
      <c r="N837" s="32"/>
      <c r="O837" s="34"/>
      <c r="P837" s="32"/>
      <c r="Q837" s="32"/>
      <c r="R837" s="32"/>
      <c r="S837" s="32"/>
      <c r="T837" s="32"/>
      <c r="U837" s="32"/>
      <c r="V837" s="31"/>
      <c r="W837" s="35" t="str">
        <f aca="true">IF(OR(V837="",AG837&gt;=8),"",IF(V837&lt;TODAY(),"Vencida",IF(V837=TODAY(),"Hoy","")))</f>
        <v/>
      </c>
      <c r="X837" s="36" t="str">
        <f aca="false">IF(A837="","",IF(COUNTIF(Seguimiento!$B$2:$B$5001,A837)=0,"",_xlfn.MAXIFS(Seguimiento!$A$2:$A$5001,Seguimiento!$B$2:$B$5001,A837)))</f>
        <v/>
      </c>
      <c r="Y837" s="37" t="str">
        <f aca="true">IF(B837="","",TODAY()-B837)</f>
        <v/>
      </c>
      <c r="Z837" s="38" t="str">
        <f aca="false">IF(OR(O837="",G837=""),"",O837*IFERROR(INDEX(Listas!$B$2:$B$50,MATCH(G837,Listas!$A$2:$A$50,0)),0))</f>
        <v/>
      </c>
      <c r="AA837" s="32"/>
      <c r="AB837" s="32"/>
      <c r="AC837" s="32"/>
      <c r="AD837" s="35" t="str">
        <f aca="false">IF(OR(LEFT(H837,4)="Meta",LEFT(H837,6)="Google"),IF(AG837=3,"Lead calificado",IF(OR(AG837=4,AG837=5),"Tasación/visita",IF(OR(AG837=6,AG837=7),"Captación/oferta",IF(AG837=8,"Cierre","")))),"")</f>
        <v/>
      </c>
      <c r="AE837" s="32"/>
      <c r="AF837" s="32"/>
      <c r="AG837" s="37" t="n">
        <f aca="false">IF(R837="",0,IFERROR(MATCH(R837,Listas!$L$2:$L$50,0),0))</f>
        <v>0</v>
      </c>
    </row>
    <row r="838" customFormat="false" ht="15" hidden="false" customHeight="false" outlineLevel="0" collapsed="false">
      <c r="A838" s="30"/>
      <c r="B838" s="31"/>
      <c r="C838" s="32"/>
      <c r="D838" s="32"/>
      <c r="E838" s="33"/>
      <c r="F838" s="32"/>
      <c r="G838" s="32"/>
      <c r="H838" s="32"/>
      <c r="I838" s="32"/>
      <c r="J838" s="32"/>
      <c r="K838" s="32"/>
      <c r="L838" s="32"/>
      <c r="M838" s="30"/>
      <c r="N838" s="32"/>
      <c r="O838" s="34"/>
      <c r="P838" s="32"/>
      <c r="Q838" s="32"/>
      <c r="R838" s="32"/>
      <c r="S838" s="32"/>
      <c r="T838" s="32"/>
      <c r="U838" s="32"/>
      <c r="V838" s="31"/>
      <c r="W838" s="35" t="str">
        <f aca="true">IF(OR(V838="",AG838&gt;=8),"",IF(V838&lt;TODAY(),"Vencida",IF(V838=TODAY(),"Hoy","")))</f>
        <v/>
      </c>
      <c r="X838" s="36" t="str">
        <f aca="false">IF(A838="","",IF(COUNTIF(Seguimiento!$B$2:$B$5001,A838)=0,"",_xlfn.MAXIFS(Seguimiento!$A$2:$A$5001,Seguimiento!$B$2:$B$5001,A838)))</f>
        <v/>
      </c>
      <c r="Y838" s="37" t="str">
        <f aca="true">IF(B838="","",TODAY()-B838)</f>
        <v/>
      </c>
      <c r="Z838" s="38" t="str">
        <f aca="false">IF(OR(O838="",G838=""),"",O838*IFERROR(INDEX(Listas!$B$2:$B$50,MATCH(G838,Listas!$A$2:$A$50,0)),0))</f>
        <v/>
      </c>
      <c r="AA838" s="32"/>
      <c r="AB838" s="32"/>
      <c r="AC838" s="32"/>
      <c r="AD838" s="35" t="str">
        <f aca="false">IF(OR(LEFT(H838,4)="Meta",LEFT(H838,6)="Google"),IF(AG838=3,"Lead calificado",IF(OR(AG838=4,AG838=5),"Tasación/visita",IF(OR(AG838=6,AG838=7),"Captación/oferta",IF(AG838=8,"Cierre","")))),"")</f>
        <v/>
      </c>
      <c r="AE838" s="32"/>
      <c r="AF838" s="32"/>
      <c r="AG838" s="37" t="n">
        <f aca="false">IF(R838="",0,IFERROR(MATCH(R838,Listas!$L$2:$L$50,0),0))</f>
        <v>0</v>
      </c>
    </row>
    <row r="839" customFormat="false" ht="15" hidden="false" customHeight="false" outlineLevel="0" collapsed="false">
      <c r="A839" s="30"/>
      <c r="B839" s="31"/>
      <c r="C839" s="32"/>
      <c r="D839" s="32"/>
      <c r="E839" s="33"/>
      <c r="F839" s="32"/>
      <c r="G839" s="32"/>
      <c r="H839" s="32"/>
      <c r="I839" s="32"/>
      <c r="J839" s="32"/>
      <c r="K839" s="32"/>
      <c r="L839" s="32"/>
      <c r="M839" s="30"/>
      <c r="N839" s="32"/>
      <c r="O839" s="34"/>
      <c r="P839" s="32"/>
      <c r="Q839" s="32"/>
      <c r="R839" s="32"/>
      <c r="S839" s="32"/>
      <c r="T839" s="32"/>
      <c r="U839" s="32"/>
      <c r="V839" s="31"/>
      <c r="W839" s="35" t="str">
        <f aca="true">IF(OR(V839="",AG839&gt;=8),"",IF(V839&lt;TODAY(),"Vencida",IF(V839=TODAY(),"Hoy","")))</f>
        <v/>
      </c>
      <c r="X839" s="36" t="str">
        <f aca="false">IF(A839="","",IF(COUNTIF(Seguimiento!$B$2:$B$5001,A839)=0,"",_xlfn.MAXIFS(Seguimiento!$A$2:$A$5001,Seguimiento!$B$2:$B$5001,A839)))</f>
        <v/>
      </c>
      <c r="Y839" s="37" t="str">
        <f aca="true">IF(B839="","",TODAY()-B839)</f>
        <v/>
      </c>
      <c r="Z839" s="38" t="str">
        <f aca="false">IF(OR(O839="",G839=""),"",O839*IFERROR(INDEX(Listas!$B$2:$B$50,MATCH(G839,Listas!$A$2:$A$50,0)),0))</f>
        <v/>
      </c>
      <c r="AA839" s="32"/>
      <c r="AB839" s="32"/>
      <c r="AC839" s="32"/>
      <c r="AD839" s="35" t="str">
        <f aca="false">IF(OR(LEFT(H839,4)="Meta",LEFT(H839,6)="Google"),IF(AG839=3,"Lead calificado",IF(OR(AG839=4,AG839=5),"Tasación/visita",IF(OR(AG839=6,AG839=7),"Captación/oferta",IF(AG839=8,"Cierre","")))),"")</f>
        <v/>
      </c>
      <c r="AE839" s="32"/>
      <c r="AF839" s="32"/>
      <c r="AG839" s="37" t="n">
        <f aca="false">IF(R839="",0,IFERROR(MATCH(R839,Listas!$L$2:$L$50,0),0))</f>
        <v>0</v>
      </c>
    </row>
    <row r="840" customFormat="false" ht="15" hidden="false" customHeight="false" outlineLevel="0" collapsed="false">
      <c r="A840" s="30"/>
      <c r="B840" s="31"/>
      <c r="C840" s="32"/>
      <c r="D840" s="32"/>
      <c r="E840" s="33"/>
      <c r="F840" s="32"/>
      <c r="G840" s="32"/>
      <c r="H840" s="32"/>
      <c r="I840" s="32"/>
      <c r="J840" s="32"/>
      <c r="K840" s="32"/>
      <c r="L840" s="32"/>
      <c r="M840" s="30"/>
      <c r="N840" s="32"/>
      <c r="O840" s="34"/>
      <c r="P840" s="32"/>
      <c r="Q840" s="32"/>
      <c r="R840" s="32"/>
      <c r="S840" s="32"/>
      <c r="T840" s="32"/>
      <c r="U840" s="32"/>
      <c r="V840" s="31"/>
      <c r="W840" s="35" t="str">
        <f aca="true">IF(OR(V840="",AG840&gt;=8),"",IF(V840&lt;TODAY(),"Vencida",IF(V840=TODAY(),"Hoy","")))</f>
        <v/>
      </c>
      <c r="X840" s="36" t="str">
        <f aca="false">IF(A840="","",IF(COUNTIF(Seguimiento!$B$2:$B$5001,A840)=0,"",_xlfn.MAXIFS(Seguimiento!$A$2:$A$5001,Seguimiento!$B$2:$B$5001,A840)))</f>
        <v/>
      </c>
      <c r="Y840" s="37" t="str">
        <f aca="true">IF(B840="","",TODAY()-B840)</f>
        <v/>
      </c>
      <c r="Z840" s="38" t="str">
        <f aca="false">IF(OR(O840="",G840=""),"",O840*IFERROR(INDEX(Listas!$B$2:$B$50,MATCH(G840,Listas!$A$2:$A$50,0)),0))</f>
        <v/>
      </c>
      <c r="AA840" s="32"/>
      <c r="AB840" s="32"/>
      <c r="AC840" s="32"/>
      <c r="AD840" s="35" t="str">
        <f aca="false">IF(OR(LEFT(H840,4)="Meta",LEFT(H840,6)="Google"),IF(AG840=3,"Lead calificado",IF(OR(AG840=4,AG840=5),"Tasación/visita",IF(OR(AG840=6,AG840=7),"Captación/oferta",IF(AG840=8,"Cierre","")))),"")</f>
        <v/>
      </c>
      <c r="AE840" s="32"/>
      <c r="AF840" s="32"/>
      <c r="AG840" s="37" t="n">
        <f aca="false">IF(R840="",0,IFERROR(MATCH(R840,Listas!$L$2:$L$50,0),0))</f>
        <v>0</v>
      </c>
    </row>
    <row r="841" customFormat="false" ht="15" hidden="false" customHeight="false" outlineLevel="0" collapsed="false">
      <c r="A841" s="30"/>
      <c r="B841" s="31"/>
      <c r="C841" s="32"/>
      <c r="D841" s="32"/>
      <c r="E841" s="33"/>
      <c r="F841" s="32"/>
      <c r="G841" s="32"/>
      <c r="H841" s="32"/>
      <c r="I841" s="32"/>
      <c r="J841" s="32"/>
      <c r="K841" s="32"/>
      <c r="L841" s="32"/>
      <c r="M841" s="30"/>
      <c r="N841" s="32"/>
      <c r="O841" s="34"/>
      <c r="P841" s="32"/>
      <c r="Q841" s="32"/>
      <c r="R841" s="32"/>
      <c r="S841" s="32"/>
      <c r="T841" s="32"/>
      <c r="U841" s="32"/>
      <c r="V841" s="31"/>
      <c r="W841" s="35" t="str">
        <f aca="true">IF(OR(V841="",AG841&gt;=8),"",IF(V841&lt;TODAY(),"Vencida",IF(V841=TODAY(),"Hoy","")))</f>
        <v/>
      </c>
      <c r="X841" s="36" t="str">
        <f aca="false">IF(A841="","",IF(COUNTIF(Seguimiento!$B$2:$B$5001,A841)=0,"",_xlfn.MAXIFS(Seguimiento!$A$2:$A$5001,Seguimiento!$B$2:$B$5001,A841)))</f>
        <v/>
      </c>
      <c r="Y841" s="37" t="str">
        <f aca="true">IF(B841="","",TODAY()-B841)</f>
        <v/>
      </c>
      <c r="Z841" s="38" t="str">
        <f aca="false">IF(OR(O841="",G841=""),"",O841*IFERROR(INDEX(Listas!$B$2:$B$50,MATCH(G841,Listas!$A$2:$A$50,0)),0))</f>
        <v/>
      </c>
      <c r="AA841" s="32"/>
      <c r="AB841" s="32"/>
      <c r="AC841" s="32"/>
      <c r="AD841" s="35" t="str">
        <f aca="false">IF(OR(LEFT(H841,4)="Meta",LEFT(H841,6)="Google"),IF(AG841=3,"Lead calificado",IF(OR(AG841=4,AG841=5),"Tasación/visita",IF(OR(AG841=6,AG841=7),"Captación/oferta",IF(AG841=8,"Cierre","")))),"")</f>
        <v/>
      </c>
      <c r="AE841" s="32"/>
      <c r="AF841" s="32"/>
      <c r="AG841" s="37" t="n">
        <f aca="false">IF(R841="",0,IFERROR(MATCH(R841,Listas!$L$2:$L$50,0),0))</f>
        <v>0</v>
      </c>
    </row>
    <row r="842" customFormat="false" ht="15" hidden="false" customHeight="false" outlineLevel="0" collapsed="false">
      <c r="A842" s="30"/>
      <c r="B842" s="31"/>
      <c r="C842" s="32"/>
      <c r="D842" s="32"/>
      <c r="E842" s="33"/>
      <c r="F842" s="32"/>
      <c r="G842" s="32"/>
      <c r="H842" s="32"/>
      <c r="I842" s="32"/>
      <c r="J842" s="32"/>
      <c r="K842" s="32"/>
      <c r="L842" s="32"/>
      <c r="M842" s="30"/>
      <c r="N842" s="32"/>
      <c r="O842" s="34"/>
      <c r="P842" s="32"/>
      <c r="Q842" s="32"/>
      <c r="R842" s="32"/>
      <c r="S842" s="32"/>
      <c r="T842" s="32"/>
      <c r="U842" s="32"/>
      <c r="V842" s="31"/>
      <c r="W842" s="35" t="str">
        <f aca="true">IF(OR(V842="",AG842&gt;=8),"",IF(V842&lt;TODAY(),"Vencida",IF(V842=TODAY(),"Hoy","")))</f>
        <v/>
      </c>
      <c r="X842" s="36" t="str">
        <f aca="false">IF(A842="","",IF(COUNTIF(Seguimiento!$B$2:$B$5001,A842)=0,"",_xlfn.MAXIFS(Seguimiento!$A$2:$A$5001,Seguimiento!$B$2:$B$5001,A842)))</f>
        <v/>
      </c>
      <c r="Y842" s="37" t="str">
        <f aca="true">IF(B842="","",TODAY()-B842)</f>
        <v/>
      </c>
      <c r="Z842" s="38" t="str">
        <f aca="false">IF(OR(O842="",G842=""),"",O842*IFERROR(INDEX(Listas!$B$2:$B$50,MATCH(G842,Listas!$A$2:$A$50,0)),0))</f>
        <v/>
      </c>
      <c r="AA842" s="32"/>
      <c r="AB842" s="32"/>
      <c r="AC842" s="32"/>
      <c r="AD842" s="35" t="str">
        <f aca="false">IF(OR(LEFT(H842,4)="Meta",LEFT(H842,6)="Google"),IF(AG842=3,"Lead calificado",IF(OR(AG842=4,AG842=5),"Tasación/visita",IF(OR(AG842=6,AG842=7),"Captación/oferta",IF(AG842=8,"Cierre","")))),"")</f>
        <v/>
      </c>
      <c r="AE842" s="32"/>
      <c r="AF842" s="32"/>
      <c r="AG842" s="37" t="n">
        <f aca="false">IF(R842="",0,IFERROR(MATCH(R842,Listas!$L$2:$L$50,0),0))</f>
        <v>0</v>
      </c>
    </row>
    <row r="843" customFormat="false" ht="15" hidden="false" customHeight="false" outlineLevel="0" collapsed="false">
      <c r="A843" s="30"/>
      <c r="B843" s="31"/>
      <c r="C843" s="32"/>
      <c r="D843" s="32"/>
      <c r="E843" s="33"/>
      <c r="F843" s="32"/>
      <c r="G843" s="32"/>
      <c r="H843" s="32"/>
      <c r="I843" s="32"/>
      <c r="J843" s="32"/>
      <c r="K843" s="32"/>
      <c r="L843" s="32"/>
      <c r="M843" s="30"/>
      <c r="N843" s="32"/>
      <c r="O843" s="34"/>
      <c r="P843" s="32"/>
      <c r="Q843" s="32"/>
      <c r="R843" s="32"/>
      <c r="S843" s="32"/>
      <c r="T843" s="32"/>
      <c r="U843" s="32"/>
      <c r="V843" s="31"/>
      <c r="W843" s="35" t="str">
        <f aca="true">IF(OR(V843="",AG843&gt;=8),"",IF(V843&lt;TODAY(),"Vencida",IF(V843=TODAY(),"Hoy","")))</f>
        <v/>
      </c>
      <c r="X843" s="36" t="str">
        <f aca="false">IF(A843="","",IF(COUNTIF(Seguimiento!$B$2:$B$5001,A843)=0,"",_xlfn.MAXIFS(Seguimiento!$A$2:$A$5001,Seguimiento!$B$2:$B$5001,A843)))</f>
        <v/>
      </c>
      <c r="Y843" s="37" t="str">
        <f aca="true">IF(B843="","",TODAY()-B843)</f>
        <v/>
      </c>
      <c r="Z843" s="38" t="str">
        <f aca="false">IF(OR(O843="",G843=""),"",O843*IFERROR(INDEX(Listas!$B$2:$B$50,MATCH(G843,Listas!$A$2:$A$50,0)),0))</f>
        <v/>
      </c>
      <c r="AA843" s="32"/>
      <c r="AB843" s="32"/>
      <c r="AC843" s="32"/>
      <c r="AD843" s="35" t="str">
        <f aca="false">IF(OR(LEFT(H843,4)="Meta",LEFT(H843,6)="Google"),IF(AG843=3,"Lead calificado",IF(OR(AG843=4,AG843=5),"Tasación/visita",IF(OR(AG843=6,AG843=7),"Captación/oferta",IF(AG843=8,"Cierre","")))),"")</f>
        <v/>
      </c>
      <c r="AE843" s="32"/>
      <c r="AF843" s="32"/>
      <c r="AG843" s="37" t="n">
        <f aca="false">IF(R843="",0,IFERROR(MATCH(R843,Listas!$L$2:$L$50,0),0))</f>
        <v>0</v>
      </c>
    </row>
    <row r="844" customFormat="false" ht="15" hidden="false" customHeight="false" outlineLevel="0" collapsed="false">
      <c r="A844" s="30"/>
      <c r="B844" s="31"/>
      <c r="C844" s="32"/>
      <c r="D844" s="32"/>
      <c r="E844" s="33"/>
      <c r="F844" s="32"/>
      <c r="G844" s="32"/>
      <c r="H844" s="32"/>
      <c r="I844" s="32"/>
      <c r="J844" s="32"/>
      <c r="K844" s="32"/>
      <c r="L844" s="32"/>
      <c r="M844" s="30"/>
      <c r="N844" s="32"/>
      <c r="O844" s="34"/>
      <c r="P844" s="32"/>
      <c r="Q844" s="32"/>
      <c r="R844" s="32"/>
      <c r="S844" s="32"/>
      <c r="T844" s="32"/>
      <c r="U844" s="32"/>
      <c r="V844" s="31"/>
      <c r="W844" s="35" t="str">
        <f aca="true">IF(OR(V844="",AG844&gt;=8),"",IF(V844&lt;TODAY(),"Vencida",IF(V844=TODAY(),"Hoy","")))</f>
        <v/>
      </c>
      <c r="X844" s="36" t="str">
        <f aca="false">IF(A844="","",IF(COUNTIF(Seguimiento!$B$2:$B$5001,A844)=0,"",_xlfn.MAXIFS(Seguimiento!$A$2:$A$5001,Seguimiento!$B$2:$B$5001,A844)))</f>
        <v/>
      </c>
      <c r="Y844" s="37" t="str">
        <f aca="true">IF(B844="","",TODAY()-B844)</f>
        <v/>
      </c>
      <c r="Z844" s="38" t="str">
        <f aca="false">IF(OR(O844="",G844=""),"",O844*IFERROR(INDEX(Listas!$B$2:$B$50,MATCH(G844,Listas!$A$2:$A$50,0)),0))</f>
        <v/>
      </c>
      <c r="AA844" s="32"/>
      <c r="AB844" s="32"/>
      <c r="AC844" s="32"/>
      <c r="AD844" s="35" t="str">
        <f aca="false">IF(OR(LEFT(H844,4)="Meta",LEFT(H844,6)="Google"),IF(AG844=3,"Lead calificado",IF(OR(AG844=4,AG844=5),"Tasación/visita",IF(OR(AG844=6,AG844=7),"Captación/oferta",IF(AG844=8,"Cierre","")))),"")</f>
        <v/>
      </c>
      <c r="AE844" s="32"/>
      <c r="AF844" s="32"/>
      <c r="AG844" s="37" t="n">
        <f aca="false">IF(R844="",0,IFERROR(MATCH(R844,Listas!$L$2:$L$50,0),0))</f>
        <v>0</v>
      </c>
    </row>
    <row r="845" customFormat="false" ht="15" hidden="false" customHeight="false" outlineLevel="0" collapsed="false">
      <c r="A845" s="30"/>
      <c r="B845" s="31"/>
      <c r="C845" s="32"/>
      <c r="D845" s="32"/>
      <c r="E845" s="33"/>
      <c r="F845" s="32"/>
      <c r="G845" s="32"/>
      <c r="H845" s="32"/>
      <c r="I845" s="32"/>
      <c r="J845" s="32"/>
      <c r="K845" s="32"/>
      <c r="L845" s="32"/>
      <c r="M845" s="30"/>
      <c r="N845" s="32"/>
      <c r="O845" s="34"/>
      <c r="P845" s="32"/>
      <c r="Q845" s="32"/>
      <c r="R845" s="32"/>
      <c r="S845" s="32"/>
      <c r="T845" s="32"/>
      <c r="U845" s="32"/>
      <c r="V845" s="31"/>
      <c r="W845" s="35" t="str">
        <f aca="true">IF(OR(V845="",AG845&gt;=8),"",IF(V845&lt;TODAY(),"Vencida",IF(V845=TODAY(),"Hoy","")))</f>
        <v/>
      </c>
      <c r="X845" s="36" t="str">
        <f aca="false">IF(A845="","",IF(COUNTIF(Seguimiento!$B$2:$B$5001,A845)=0,"",_xlfn.MAXIFS(Seguimiento!$A$2:$A$5001,Seguimiento!$B$2:$B$5001,A845)))</f>
        <v/>
      </c>
      <c r="Y845" s="37" t="str">
        <f aca="true">IF(B845="","",TODAY()-B845)</f>
        <v/>
      </c>
      <c r="Z845" s="38" t="str">
        <f aca="false">IF(OR(O845="",G845=""),"",O845*IFERROR(INDEX(Listas!$B$2:$B$50,MATCH(G845,Listas!$A$2:$A$50,0)),0))</f>
        <v/>
      </c>
      <c r="AA845" s="32"/>
      <c r="AB845" s="32"/>
      <c r="AC845" s="32"/>
      <c r="AD845" s="35" t="str">
        <f aca="false">IF(OR(LEFT(H845,4)="Meta",LEFT(H845,6)="Google"),IF(AG845=3,"Lead calificado",IF(OR(AG845=4,AG845=5),"Tasación/visita",IF(OR(AG845=6,AG845=7),"Captación/oferta",IF(AG845=8,"Cierre","")))),"")</f>
        <v/>
      </c>
      <c r="AE845" s="32"/>
      <c r="AF845" s="32"/>
      <c r="AG845" s="37" t="n">
        <f aca="false">IF(R845="",0,IFERROR(MATCH(R845,Listas!$L$2:$L$50,0),0))</f>
        <v>0</v>
      </c>
    </row>
    <row r="846" customFormat="false" ht="15" hidden="false" customHeight="false" outlineLevel="0" collapsed="false">
      <c r="A846" s="30"/>
      <c r="B846" s="31"/>
      <c r="C846" s="32"/>
      <c r="D846" s="32"/>
      <c r="E846" s="33"/>
      <c r="F846" s="32"/>
      <c r="G846" s="32"/>
      <c r="H846" s="32"/>
      <c r="I846" s="32"/>
      <c r="J846" s="32"/>
      <c r="K846" s="32"/>
      <c r="L846" s="32"/>
      <c r="M846" s="30"/>
      <c r="N846" s="32"/>
      <c r="O846" s="34"/>
      <c r="P846" s="32"/>
      <c r="Q846" s="32"/>
      <c r="R846" s="32"/>
      <c r="S846" s="32"/>
      <c r="T846" s="32"/>
      <c r="U846" s="32"/>
      <c r="V846" s="31"/>
      <c r="W846" s="35" t="str">
        <f aca="true">IF(OR(V846="",AG846&gt;=8),"",IF(V846&lt;TODAY(),"Vencida",IF(V846=TODAY(),"Hoy","")))</f>
        <v/>
      </c>
      <c r="X846" s="36" t="str">
        <f aca="false">IF(A846="","",IF(COUNTIF(Seguimiento!$B$2:$B$5001,A846)=0,"",_xlfn.MAXIFS(Seguimiento!$A$2:$A$5001,Seguimiento!$B$2:$B$5001,A846)))</f>
        <v/>
      </c>
      <c r="Y846" s="37" t="str">
        <f aca="true">IF(B846="","",TODAY()-B846)</f>
        <v/>
      </c>
      <c r="Z846" s="38" t="str">
        <f aca="false">IF(OR(O846="",G846=""),"",O846*IFERROR(INDEX(Listas!$B$2:$B$50,MATCH(G846,Listas!$A$2:$A$50,0)),0))</f>
        <v/>
      </c>
      <c r="AA846" s="32"/>
      <c r="AB846" s="32"/>
      <c r="AC846" s="32"/>
      <c r="AD846" s="35" t="str">
        <f aca="false">IF(OR(LEFT(H846,4)="Meta",LEFT(H846,6)="Google"),IF(AG846=3,"Lead calificado",IF(OR(AG846=4,AG846=5),"Tasación/visita",IF(OR(AG846=6,AG846=7),"Captación/oferta",IF(AG846=8,"Cierre","")))),"")</f>
        <v/>
      </c>
      <c r="AE846" s="32"/>
      <c r="AF846" s="32"/>
      <c r="AG846" s="37" t="n">
        <f aca="false">IF(R846="",0,IFERROR(MATCH(R846,Listas!$L$2:$L$50,0),0))</f>
        <v>0</v>
      </c>
    </row>
    <row r="847" customFormat="false" ht="15" hidden="false" customHeight="false" outlineLevel="0" collapsed="false">
      <c r="A847" s="30"/>
      <c r="B847" s="31"/>
      <c r="C847" s="32"/>
      <c r="D847" s="32"/>
      <c r="E847" s="33"/>
      <c r="F847" s="32"/>
      <c r="G847" s="32"/>
      <c r="H847" s="32"/>
      <c r="I847" s="32"/>
      <c r="J847" s="32"/>
      <c r="K847" s="32"/>
      <c r="L847" s="32"/>
      <c r="M847" s="30"/>
      <c r="N847" s="32"/>
      <c r="O847" s="34"/>
      <c r="P847" s="32"/>
      <c r="Q847" s="32"/>
      <c r="R847" s="32"/>
      <c r="S847" s="32"/>
      <c r="T847" s="32"/>
      <c r="U847" s="32"/>
      <c r="V847" s="31"/>
      <c r="W847" s="35" t="str">
        <f aca="true">IF(OR(V847="",AG847&gt;=8),"",IF(V847&lt;TODAY(),"Vencida",IF(V847=TODAY(),"Hoy","")))</f>
        <v/>
      </c>
      <c r="X847" s="36" t="str">
        <f aca="false">IF(A847="","",IF(COUNTIF(Seguimiento!$B$2:$B$5001,A847)=0,"",_xlfn.MAXIFS(Seguimiento!$A$2:$A$5001,Seguimiento!$B$2:$B$5001,A847)))</f>
        <v/>
      </c>
      <c r="Y847" s="37" t="str">
        <f aca="true">IF(B847="","",TODAY()-B847)</f>
        <v/>
      </c>
      <c r="Z847" s="38" t="str">
        <f aca="false">IF(OR(O847="",G847=""),"",O847*IFERROR(INDEX(Listas!$B$2:$B$50,MATCH(G847,Listas!$A$2:$A$50,0)),0))</f>
        <v/>
      </c>
      <c r="AA847" s="32"/>
      <c r="AB847" s="32"/>
      <c r="AC847" s="32"/>
      <c r="AD847" s="35" t="str">
        <f aca="false">IF(OR(LEFT(H847,4)="Meta",LEFT(H847,6)="Google"),IF(AG847=3,"Lead calificado",IF(OR(AG847=4,AG847=5),"Tasación/visita",IF(OR(AG847=6,AG847=7),"Captación/oferta",IF(AG847=8,"Cierre","")))),"")</f>
        <v/>
      </c>
      <c r="AE847" s="32"/>
      <c r="AF847" s="32"/>
      <c r="AG847" s="37" t="n">
        <f aca="false">IF(R847="",0,IFERROR(MATCH(R847,Listas!$L$2:$L$50,0),0))</f>
        <v>0</v>
      </c>
    </row>
    <row r="848" customFormat="false" ht="15" hidden="false" customHeight="false" outlineLevel="0" collapsed="false">
      <c r="A848" s="30"/>
      <c r="B848" s="31"/>
      <c r="C848" s="32"/>
      <c r="D848" s="32"/>
      <c r="E848" s="33"/>
      <c r="F848" s="32"/>
      <c r="G848" s="32"/>
      <c r="H848" s="32"/>
      <c r="I848" s="32"/>
      <c r="J848" s="32"/>
      <c r="K848" s="32"/>
      <c r="L848" s="32"/>
      <c r="M848" s="30"/>
      <c r="N848" s="32"/>
      <c r="O848" s="34"/>
      <c r="P848" s="32"/>
      <c r="Q848" s="32"/>
      <c r="R848" s="32"/>
      <c r="S848" s="32"/>
      <c r="T848" s="32"/>
      <c r="U848" s="32"/>
      <c r="V848" s="31"/>
      <c r="W848" s="35" t="str">
        <f aca="true">IF(OR(V848="",AG848&gt;=8),"",IF(V848&lt;TODAY(),"Vencida",IF(V848=TODAY(),"Hoy","")))</f>
        <v/>
      </c>
      <c r="X848" s="36" t="str">
        <f aca="false">IF(A848="","",IF(COUNTIF(Seguimiento!$B$2:$B$5001,A848)=0,"",_xlfn.MAXIFS(Seguimiento!$A$2:$A$5001,Seguimiento!$B$2:$B$5001,A848)))</f>
        <v/>
      </c>
      <c r="Y848" s="37" t="str">
        <f aca="true">IF(B848="","",TODAY()-B848)</f>
        <v/>
      </c>
      <c r="Z848" s="38" t="str">
        <f aca="false">IF(OR(O848="",G848=""),"",O848*IFERROR(INDEX(Listas!$B$2:$B$50,MATCH(G848,Listas!$A$2:$A$50,0)),0))</f>
        <v/>
      </c>
      <c r="AA848" s="32"/>
      <c r="AB848" s="32"/>
      <c r="AC848" s="32"/>
      <c r="AD848" s="35" t="str">
        <f aca="false">IF(OR(LEFT(H848,4)="Meta",LEFT(H848,6)="Google"),IF(AG848=3,"Lead calificado",IF(OR(AG848=4,AG848=5),"Tasación/visita",IF(OR(AG848=6,AG848=7),"Captación/oferta",IF(AG848=8,"Cierre","")))),"")</f>
        <v/>
      </c>
      <c r="AE848" s="32"/>
      <c r="AF848" s="32"/>
      <c r="AG848" s="37" t="n">
        <f aca="false">IF(R848="",0,IFERROR(MATCH(R848,Listas!$L$2:$L$50,0),0))</f>
        <v>0</v>
      </c>
    </row>
    <row r="849" customFormat="false" ht="15" hidden="false" customHeight="false" outlineLevel="0" collapsed="false">
      <c r="A849" s="30"/>
      <c r="B849" s="31"/>
      <c r="C849" s="32"/>
      <c r="D849" s="32"/>
      <c r="E849" s="33"/>
      <c r="F849" s="32"/>
      <c r="G849" s="32"/>
      <c r="H849" s="32"/>
      <c r="I849" s="32"/>
      <c r="J849" s="32"/>
      <c r="K849" s="32"/>
      <c r="L849" s="32"/>
      <c r="M849" s="30"/>
      <c r="N849" s="32"/>
      <c r="O849" s="34"/>
      <c r="P849" s="32"/>
      <c r="Q849" s="32"/>
      <c r="R849" s="32"/>
      <c r="S849" s="32"/>
      <c r="T849" s="32"/>
      <c r="U849" s="32"/>
      <c r="V849" s="31"/>
      <c r="W849" s="35" t="str">
        <f aca="true">IF(OR(V849="",AG849&gt;=8),"",IF(V849&lt;TODAY(),"Vencida",IF(V849=TODAY(),"Hoy","")))</f>
        <v/>
      </c>
      <c r="X849" s="36" t="str">
        <f aca="false">IF(A849="","",IF(COUNTIF(Seguimiento!$B$2:$B$5001,A849)=0,"",_xlfn.MAXIFS(Seguimiento!$A$2:$A$5001,Seguimiento!$B$2:$B$5001,A849)))</f>
        <v/>
      </c>
      <c r="Y849" s="37" t="str">
        <f aca="true">IF(B849="","",TODAY()-B849)</f>
        <v/>
      </c>
      <c r="Z849" s="38" t="str">
        <f aca="false">IF(OR(O849="",G849=""),"",O849*IFERROR(INDEX(Listas!$B$2:$B$50,MATCH(G849,Listas!$A$2:$A$50,0)),0))</f>
        <v/>
      </c>
      <c r="AA849" s="32"/>
      <c r="AB849" s="32"/>
      <c r="AC849" s="32"/>
      <c r="AD849" s="35" t="str">
        <f aca="false">IF(OR(LEFT(H849,4)="Meta",LEFT(H849,6)="Google"),IF(AG849=3,"Lead calificado",IF(OR(AG849=4,AG849=5),"Tasación/visita",IF(OR(AG849=6,AG849=7),"Captación/oferta",IF(AG849=8,"Cierre","")))),"")</f>
        <v/>
      </c>
      <c r="AE849" s="32"/>
      <c r="AF849" s="32"/>
      <c r="AG849" s="37" t="n">
        <f aca="false">IF(R849="",0,IFERROR(MATCH(R849,Listas!$L$2:$L$50,0),0))</f>
        <v>0</v>
      </c>
    </row>
    <row r="850" customFormat="false" ht="15" hidden="false" customHeight="false" outlineLevel="0" collapsed="false">
      <c r="A850" s="30"/>
      <c r="B850" s="31"/>
      <c r="C850" s="32"/>
      <c r="D850" s="32"/>
      <c r="E850" s="33"/>
      <c r="F850" s="32"/>
      <c r="G850" s="32"/>
      <c r="H850" s="32"/>
      <c r="I850" s="32"/>
      <c r="J850" s="32"/>
      <c r="K850" s="32"/>
      <c r="L850" s="32"/>
      <c r="M850" s="30"/>
      <c r="N850" s="32"/>
      <c r="O850" s="34"/>
      <c r="P850" s="32"/>
      <c r="Q850" s="32"/>
      <c r="R850" s="32"/>
      <c r="S850" s="32"/>
      <c r="T850" s="32"/>
      <c r="U850" s="32"/>
      <c r="V850" s="31"/>
      <c r="W850" s="35" t="str">
        <f aca="true">IF(OR(V850="",AG850&gt;=8),"",IF(V850&lt;TODAY(),"Vencida",IF(V850=TODAY(),"Hoy","")))</f>
        <v/>
      </c>
      <c r="X850" s="36" t="str">
        <f aca="false">IF(A850="","",IF(COUNTIF(Seguimiento!$B$2:$B$5001,A850)=0,"",_xlfn.MAXIFS(Seguimiento!$A$2:$A$5001,Seguimiento!$B$2:$B$5001,A850)))</f>
        <v/>
      </c>
      <c r="Y850" s="37" t="str">
        <f aca="true">IF(B850="","",TODAY()-B850)</f>
        <v/>
      </c>
      <c r="Z850" s="38" t="str">
        <f aca="false">IF(OR(O850="",G850=""),"",O850*IFERROR(INDEX(Listas!$B$2:$B$50,MATCH(G850,Listas!$A$2:$A$50,0)),0))</f>
        <v/>
      </c>
      <c r="AA850" s="32"/>
      <c r="AB850" s="32"/>
      <c r="AC850" s="32"/>
      <c r="AD850" s="35" t="str">
        <f aca="false">IF(OR(LEFT(H850,4)="Meta",LEFT(H850,6)="Google"),IF(AG850=3,"Lead calificado",IF(OR(AG850=4,AG850=5),"Tasación/visita",IF(OR(AG850=6,AG850=7),"Captación/oferta",IF(AG850=8,"Cierre","")))),"")</f>
        <v/>
      </c>
      <c r="AE850" s="32"/>
      <c r="AF850" s="32"/>
      <c r="AG850" s="37" t="n">
        <f aca="false">IF(R850="",0,IFERROR(MATCH(R850,Listas!$L$2:$L$50,0),0))</f>
        <v>0</v>
      </c>
    </row>
    <row r="851" customFormat="false" ht="15" hidden="false" customHeight="false" outlineLevel="0" collapsed="false">
      <c r="A851" s="30"/>
      <c r="B851" s="31"/>
      <c r="C851" s="32"/>
      <c r="D851" s="32"/>
      <c r="E851" s="33"/>
      <c r="F851" s="32"/>
      <c r="G851" s="32"/>
      <c r="H851" s="32"/>
      <c r="I851" s="32"/>
      <c r="J851" s="32"/>
      <c r="K851" s="32"/>
      <c r="L851" s="32"/>
      <c r="M851" s="30"/>
      <c r="N851" s="32"/>
      <c r="O851" s="34"/>
      <c r="P851" s="32"/>
      <c r="Q851" s="32"/>
      <c r="R851" s="32"/>
      <c r="S851" s="32"/>
      <c r="T851" s="32"/>
      <c r="U851" s="32"/>
      <c r="V851" s="31"/>
      <c r="W851" s="35" t="str">
        <f aca="true">IF(OR(V851="",AG851&gt;=8),"",IF(V851&lt;TODAY(),"Vencida",IF(V851=TODAY(),"Hoy","")))</f>
        <v/>
      </c>
      <c r="X851" s="36" t="str">
        <f aca="false">IF(A851="","",IF(COUNTIF(Seguimiento!$B$2:$B$5001,A851)=0,"",_xlfn.MAXIFS(Seguimiento!$A$2:$A$5001,Seguimiento!$B$2:$B$5001,A851)))</f>
        <v/>
      </c>
      <c r="Y851" s="37" t="str">
        <f aca="true">IF(B851="","",TODAY()-B851)</f>
        <v/>
      </c>
      <c r="Z851" s="38" t="str">
        <f aca="false">IF(OR(O851="",G851=""),"",O851*IFERROR(INDEX(Listas!$B$2:$B$50,MATCH(G851,Listas!$A$2:$A$50,0)),0))</f>
        <v/>
      </c>
      <c r="AA851" s="32"/>
      <c r="AB851" s="32"/>
      <c r="AC851" s="32"/>
      <c r="AD851" s="35" t="str">
        <f aca="false">IF(OR(LEFT(H851,4)="Meta",LEFT(H851,6)="Google"),IF(AG851=3,"Lead calificado",IF(OR(AG851=4,AG851=5),"Tasación/visita",IF(OR(AG851=6,AG851=7),"Captación/oferta",IF(AG851=8,"Cierre","")))),"")</f>
        <v/>
      </c>
      <c r="AE851" s="32"/>
      <c r="AF851" s="32"/>
      <c r="AG851" s="37" t="n">
        <f aca="false">IF(R851="",0,IFERROR(MATCH(R851,Listas!$L$2:$L$50,0),0))</f>
        <v>0</v>
      </c>
    </row>
    <row r="852" customFormat="false" ht="15" hidden="false" customHeight="false" outlineLevel="0" collapsed="false">
      <c r="A852" s="30"/>
      <c r="B852" s="31"/>
      <c r="C852" s="32"/>
      <c r="D852" s="32"/>
      <c r="E852" s="33"/>
      <c r="F852" s="32"/>
      <c r="G852" s="32"/>
      <c r="H852" s="32"/>
      <c r="I852" s="32"/>
      <c r="J852" s="32"/>
      <c r="K852" s="32"/>
      <c r="L852" s="32"/>
      <c r="M852" s="30"/>
      <c r="N852" s="32"/>
      <c r="O852" s="34"/>
      <c r="P852" s="32"/>
      <c r="Q852" s="32"/>
      <c r="R852" s="32"/>
      <c r="S852" s="32"/>
      <c r="T852" s="32"/>
      <c r="U852" s="32"/>
      <c r="V852" s="31"/>
      <c r="W852" s="35" t="str">
        <f aca="true">IF(OR(V852="",AG852&gt;=8),"",IF(V852&lt;TODAY(),"Vencida",IF(V852=TODAY(),"Hoy","")))</f>
        <v/>
      </c>
      <c r="X852" s="36" t="str">
        <f aca="false">IF(A852="","",IF(COUNTIF(Seguimiento!$B$2:$B$5001,A852)=0,"",_xlfn.MAXIFS(Seguimiento!$A$2:$A$5001,Seguimiento!$B$2:$B$5001,A852)))</f>
        <v/>
      </c>
      <c r="Y852" s="37" t="str">
        <f aca="true">IF(B852="","",TODAY()-B852)</f>
        <v/>
      </c>
      <c r="Z852" s="38" t="str">
        <f aca="false">IF(OR(O852="",G852=""),"",O852*IFERROR(INDEX(Listas!$B$2:$B$50,MATCH(G852,Listas!$A$2:$A$50,0)),0))</f>
        <v/>
      </c>
      <c r="AA852" s="32"/>
      <c r="AB852" s="32"/>
      <c r="AC852" s="32"/>
      <c r="AD852" s="35" t="str">
        <f aca="false">IF(OR(LEFT(H852,4)="Meta",LEFT(H852,6)="Google"),IF(AG852=3,"Lead calificado",IF(OR(AG852=4,AG852=5),"Tasación/visita",IF(OR(AG852=6,AG852=7),"Captación/oferta",IF(AG852=8,"Cierre","")))),"")</f>
        <v/>
      </c>
      <c r="AE852" s="32"/>
      <c r="AF852" s="32"/>
      <c r="AG852" s="37" t="n">
        <f aca="false">IF(R852="",0,IFERROR(MATCH(R852,Listas!$L$2:$L$50,0),0))</f>
        <v>0</v>
      </c>
    </row>
    <row r="853" customFormat="false" ht="15" hidden="false" customHeight="false" outlineLevel="0" collapsed="false">
      <c r="A853" s="30"/>
      <c r="B853" s="31"/>
      <c r="C853" s="32"/>
      <c r="D853" s="32"/>
      <c r="E853" s="33"/>
      <c r="F853" s="32"/>
      <c r="G853" s="32"/>
      <c r="H853" s="32"/>
      <c r="I853" s="32"/>
      <c r="J853" s="32"/>
      <c r="K853" s="32"/>
      <c r="L853" s="32"/>
      <c r="M853" s="30"/>
      <c r="N853" s="32"/>
      <c r="O853" s="34"/>
      <c r="P853" s="32"/>
      <c r="Q853" s="32"/>
      <c r="R853" s="32"/>
      <c r="S853" s="32"/>
      <c r="T853" s="32"/>
      <c r="U853" s="32"/>
      <c r="V853" s="31"/>
      <c r="W853" s="35" t="str">
        <f aca="true">IF(OR(V853="",AG853&gt;=8),"",IF(V853&lt;TODAY(),"Vencida",IF(V853=TODAY(),"Hoy","")))</f>
        <v/>
      </c>
      <c r="X853" s="36" t="str">
        <f aca="false">IF(A853="","",IF(COUNTIF(Seguimiento!$B$2:$B$5001,A853)=0,"",_xlfn.MAXIFS(Seguimiento!$A$2:$A$5001,Seguimiento!$B$2:$B$5001,A853)))</f>
        <v/>
      </c>
      <c r="Y853" s="37" t="str">
        <f aca="true">IF(B853="","",TODAY()-B853)</f>
        <v/>
      </c>
      <c r="Z853" s="38" t="str">
        <f aca="false">IF(OR(O853="",G853=""),"",O853*IFERROR(INDEX(Listas!$B$2:$B$50,MATCH(G853,Listas!$A$2:$A$50,0)),0))</f>
        <v/>
      </c>
      <c r="AA853" s="32"/>
      <c r="AB853" s="32"/>
      <c r="AC853" s="32"/>
      <c r="AD853" s="35" t="str">
        <f aca="false">IF(OR(LEFT(H853,4)="Meta",LEFT(H853,6)="Google"),IF(AG853=3,"Lead calificado",IF(OR(AG853=4,AG853=5),"Tasación/visita",IF(OR(AG853=6,AG853=7),"Captación/oferta",IF(AG853=8,"Cierre","")))),"")</f>
        <v/>
      </c>
      <c r="AE853" s="32"/>
      <c r="AF853" s="32"/>
      <c r="AG853" s="37" t="n">
        <f aca="false">IF(R853="",0,IFERROR(MATCH(R853,Listas!$L$2:$L$50,0),0))</f>
        <v>0</v>
      </c>
    </row>
    <row r="854" customFormat="false" ht="15" hidden="false" customHeight="false" outlineLevel="0" collapsed="false">
      <c r="A854" s="30"/>
      <c r="B854" s="31"/>
      <c r="C854" s="32"/>
      <c r="D854" s="32"/>
      <c r="E854" s="33"/>
      <c r="F854" s="32"/>
      <c r="G854" s="32"/>
      <c r="H854" s="32"/>
      <c r="I854" s="32"/>
      <c r="J854" s="32"/>
      <c r="K854" s="32"/>
      <c r="L854" s="32"/>
      <c r="M854" s="30"/>
      <c r="N854" s="32"/>
      <c r="O854" s="34"/>
      <c r="P854" s="32"/>
      <c r="Q854" s="32"/>
      <c r="R854" s="32"/>
      <c r="S854" s="32"/>
      <c r="T854" s="32"/>
      <c r="U854" s="32"/>
      <c r="V854" s="31"/>
      <c r="W854" s="35" t="str">
        <f aca="true">IF(OR(V854="",AG854&gt;=8),"",IF(V854&lt;TODAY(),"Vencida",IF(V854=TODAY(),"Hoy","")))</f>
        <v/>
      </c>
      <c r="X854" s="36" t="str">
        <f aca="false">IF(A854="","",IF(COUNTIF(Seguimiento!$B$2:$B$5001,A854)=0,"",_xlfn.MAXIFS(Seguimiento!$A$2:$A$5001,Seguimiento!$B$2:$B$5001,A854)))</f>
        <v/>
      </c>
      <c r="Y854" s="37" t="str">
        <f aca="true">IF(B854="","",TODAY()-B854)</f>
        <v/>
      </c>
      <c r="Z854" s="38" t="str">
        <f aca="false">IF(OR(O854="",G854=""),"",O854*IFERROR(INDEX(Listas!$B$2:$B$50,MATCH(G854,Listas!$A$2:$A$50,0)),0))</f>
        <v/>
      </c>
      <c r="AA854" s="32"/>
      <c r="AB854" s="32"/>
      <c r="AC854" s="32"/>
      <c r="AD854" s="35" t="str">
        <f aca="false">IF(OR(LEFT(H854,4)="Meta",LEFT(H854,6)="Google"),IF(AG854=3,"Lead calificado",IF(OR(AG854=4,AG854=5),"Tasación/visita",IF(OR(AG854=6,AG854=7),"Captación/oferta",IF(AG854=8,"Cierre","")))),"")</f>
        <v/>
      </c>
      <c r="AE854" s="32"/>
      <c r="AF854" s="32"/>
      <c r="AG854" s="37" t="n">
        <f aca="false">IF(R854="",0,IFERROR(MATCH(R854,Listas!$L$2:$L$50,0),0))</f>
        <v>0</v>
      </c>
    </row>
    <row r="855" customFormat="false" ht="15" hidden="false" customHeight="false" outlineLevel="0" collapsed="false">
      <c r="A855" s="30"/>
      <c r="B855" s="31"/>
      <c r="C855" s="32"/>
      <c r="D855" s="32"/>
      <c r="E855" s="33"/>
      <c r="F855" s="32"/>
      <c r="G855" s="32"/>
      <c r="H855" s="32"/>
      <c r="I855" s="32"/>
      <c r="J855" s="32"/>
      <c r="K855" s="32"/>
      <c r="L855" s="32"/>
      <c r="M855" s="30"/>
      <c r="N855" s="32"/>
      <c r="O855" s="34"/>
      <c r="P855" s="32"/>
      <c r="Q855" s="32"/>
      <c r="R855" s="32"/>
      <c r="S855" s="32"/>
      <c r="T855" s="32"/>
      <c r="U855" s="32"/>
      <c r="V855" s="31"/>
      <c r="W855" s="35" t="str">
        <f aca="true">IF(OR(V855="",AG855&gt;=8),"",IF(V855&lt;TODAY(),"Vencida",IF(V855=TODAY(),"Hoy","")))</f>
        <v/>
      </c>
      <c r="X855" s="36" t="str">
        <f aca="false">IF(A855="","",IF(COUNTIF(Seguimiento!$B$2:$B$5001,A855)=0,"",_xlfn.MAXIFS(Seguimiento!$A$2:$A$5001,Seguimiento!$B$2:$B$5001,A855)))</f>
        <v/>
      </c>
      <c r="Y855" s="37" t="str">
        <f aca="true">IF(B855="","",TODAY()-B855)</f>
        <v/>
      </c>
      <c r="Z855" s="38" t="str">
        <f aca="false">IF(OR(O855="",G855=""),"",O855*IFERROR(INDEX(Listas!$B$2:$B$50,MATCH(G855,Listas!$A$2:$A$50,0)),0))</f>
        <v/>
      </c>
      <c r="AA855" s="32"/>
      <c r="AB855" s="32"/>
      <c r="AC855" s="32"/>
      <c r="AD855" s="35" t="str">
        <f aca="false">IF(OR(LEFT(H855,4)="Meta",LEFT(H855,6)="Google"),IF(AG855=3,"Lead calificado",IF(OR(AG855=4,AG855=5),"Tasación/visita",IF(OR(AG855=6,AG855=7),"Captación/oferta",IF(AG855=8,"Cierre","")))),"")</f>
        <v/>
      </c>
      <c r="AE855" s="32"/>
      <c r="AF855" s="32"/>
      <c r="AG855" s="37" t="n">
        <f aca="false">IF(R855="",0,IFERROR(MATCH(R855,Listas!$L$2:$L$50,0),0))</f>
        <v>0</v>
      </c>
    </row>
    <row r="856" customFormat="false" ht="15" hidden="false" customHeight="false" outlineLevel="0" collapsed="false">
      <c r="A856" s="30"/>
      <c r="B856" s="31"/>
      <c r="C856" s="32"/>
      <c r="D856" s="32"/>
      <c r="E856" s="33"/>
      <c r="F856" s="32"/>
      <c r="G856" s="32"/>
      <c r="H856" s="32"/>
      <c r="I856" s="32"/>
      <c r="J856" s="32"/>
      <c r="K856" s="32"/>
      <c r="L856" s="32"/>
      <c r="M856" s="30"/>
      <c r="N856" s="32"/>
      <c r="O856" s="34"/>
      <c r="P856" s="32"/>
      <c r="Q856" s="32"/>
      <c r="R856" s="32"/>
      <c r="S856" s="32"/>
      <c r="T856" s="32"/>
      <c r="U856" s="32"/>
      <c r="V856" s="31"/>
      <c r="W856" s="35" t="str">
        <f aca="true">IF(OR(V856="",AG856&gt;=8),"",IF(V856&lt;TODAY(),"Vencida",IF(V856=TODAY(),"Hoy","")))</f>
        <v/>
      </c>
      <c r="X856" s="36" t="str">
        <f aca="false">IF(A856="","",IF(COUNTIF(Seguimiento!$B$2:$B$5001,A856)=0,"",_xlfn.MAXIFS(Seguimiento!$A$2:$A$5001,Seguimiento!$B$2:$B$5001,A856)))</f>
        <v/>
      </c>
      <c r="Y856" s="37" t="str">
        <f aca="true">IF(B856="","",TODAY()-B856)</f>
        <v/>
      </c>
      <c r="Z856" s="38" t="str">
        <f aca="false">IF(OR(O856="",G856=""),"",O856*IFERROR(INDEX(Listas!$B$2:$B$50,MATCH(G856,Listas!$A$2:$A$50,0)),0))</f>
        <v/>
      </c>
      <c r="AA856" s="32"/>
      <c r="AB856" s="32"/>
      <c r="AC856" s="32"/>
      <c r="AD856" s="35" t="str">
        <f aca="false">IF(OR(LEFT(H856,4)="Meta",LEFT(H856,6)="Google"),IF(AG856=3,"Lead calificado",IF(OR(AG856=4,AG856=5),"Tasación/visita",IF(OR(AG856=6,AG856=7),"Captación/oferta",IF(AG856=8,"Cierre","")))),"")</f>
        <v/>
      </c>
      <c r="AE856" s="32"/>
      <c r="AF856" s="32"/>
      <c r="AG856" s="37" t="n">
        <f aca="false">IF(R856="",0,IFERROR(MATCH(R856,Listas!$L$2:$L$50,0),0))</f>
        <v>0</v>
      </c>
    </row>
    <row r="857" customFormat="false" ht="15" hidden="false" customHeight="false" outlineLevel="0" collapsed="false">
      <c r="A857" s="30"/>
      <c r="B857" s="31"/>
      <c r="C857" s="32"/>
      <c r="D857" s="32"/>
      <c r="E857" s="33"/>
      <c r="F857" s="32"/>
      <c r="G857" s="32"/>
      <c r="H857" s="32"/>
      <c r="I857" s="32"/>
      <c r="J857" s="32"/>
      <c r="K857" s="32"/>
      <c r="L857" s="32"/>
      <c r="M857" s="30"/>
      <c r="N857" s="32"/>
      <c r="O857" s="34"/>
      <c r="P857" s="32"/>
      <c r="Q857" s="32"/>
      <c r="R857" s="32"/>
      <c r="S857" s="32"/>
      <c r="T857" s="32"/>
      <c r="U857" s="32"/>
      <c r="V857" s="31"/>
      <c r="W857" s="35" t="str">
        <f aca="true">IF(OR(V857="",AG857&gt;=8),"",IF(V857&lt;TODAY(),"Vencida",IF(V857=TODAY(),"Hoy","")))</f>
        <v/>
      </c>
      <c r="X857" s="36" t="str">
        <f aca="false">IF(A857="","",IF(COUNTIF(Seguimiento!$B$2:$B$5001,A857)=0,"",_xlfn.MAXIFS(Seguimiento!$A$2:$A$5001,Seguimiento!$B$2:$B$5001,A857)))</f>
        <v/>
      </c>
      <c r="Y857" s="37" t="str">
        <f aca="true">IF(B857="","",TODAY()-B857)</f>
        <v/>
      </c>
      <c r="Z857" s="38" t="str">
        <f aca="false">IF(OR(O857="",G857=""),"",O857*IFERROR(INDEX(Listas!$B$2:$B$50,MATCH(G857,Listas!$A$2:$A$50,0)),0))</f>
        <v/>
      </c>
      <c r="AA857" s="32"/>
      <c r="AB857" s="32"/>
      <c r="AC857" s="32"/>
      <c r="AD857" s="35" t="str">
        <f aca="false">IF(OR(LEFT(H857,4)="Meta",LEFT(H857,6)="Google"),IF(AG857=3,"Lead calificado",IF(OR(AG857=4,AG857=5),"Tasación/visita",IF(OR(AG857=6,AG857=7),"Captación/oferta",IF(AG857=8,"Cierre","")))),"")</f>
        <v/>
      </c>
      <c r="AE857" s="32"/>
      <c r="AF857" s="32"/>
      <c r="AG857" s="37" t="n">
        <f aca="false">IF(R857="",0,IFERROR(MATCH(R857,Listas!$L$2:$L$50,0),0))</f>
        <v>0</v>
      </c>
    </row>
    <row r="858" customFormat="false" ht="15" hidden="false" customHeight="false" outlineLevel="0" collapsed="false">
      <c r="A858" s="30"/>
      <c r="B858" s="31"/>
      <c r="C858" s="32"/>
      <c r="D858" s="32"/>
      <c r="E858" s="33"/>
      <c r="F858" s="32"/>
      <c r="G858" s="32"/>
      <c r="H858" s="32"/>
      <c r="I858" s="32"/>
      <c r="J858" s="32"/>
      <c r="K858" s="32"/>
      <c r="L858" s="32"/>
      <c r="M858" s="30"/>
      <c r="N858" s="32"/>
      <c r="O858" s="34"/>
      <c r="P858" s="32"/>
      <c r="Q858" s="32"/>
      <c r="R858" s="32"/>
      <c r="S858" s="32"/>
      <c r="T858" s="32"/>
      <c r="U858" s="32"/>
      <c r="V858" s="31"/>
      <c r="W858" s="35" t="str">
        <f aca="true">IF(OR(V858="",AG858&gt;=8),"",IF(V858&lt;TODAY(),"Vencida",IF(V858=TODAY(),"Hoy","")))</f>
        <v/>
      </c>
      <c r="X858" s="36" t="str">
        <f aca="false">IF(A858="","",IF(COUNTIF(Seguimiento!$B$2:$B$5001,A858)=0,"",_xlfn.MAXIFS(Seguimiento!$A$2:$A$5001,Seguimiento!$B$2:$B$5001,A858)))</f>
        <v/>
      </c>
      <c r="Y858" s="37" t="str">
        <f aca="true">IF(B858="","",TODAY()-B858)</f>
        <v/>
      </c>
      <c r="Z858" s="38" t="str">
        <f aca="false">IF(OR(O858="",G858=""),"",O858*IFERROR(INDEX(Listas!$B$2:$B$50,MATCH(G858,Listas!$A$2:$A$50,0)),0))</f>
        <v/>
      </c>
      <c r="AA858" s="32"/>
      <c r="AB858" s="32"/>
      <c r="AC858" s="32"/>
      <c r="AD858" s="35" t="str">
        <f aca="false">IF(OR(LEFT(H858,4)="Meta",LEFT(H858,6)="Google"),IF(AG858=3,"Lead calificado",IF(OR(AG858=4,AG858=5),"Tasación/visita",IF(OR(AG858=6,AG858=7),"Captación/oferta",IF(AG858=8,"Cierre","")))),"")</f>
        <v/>
      </c>
      <c r="AE858" s="32"/>
      <c r="AF858" s="32"/>
      <c r="AG858" s="37" t="n">
        <f aca="false">IF(R858="",0,IFERROR(MATCH(R858,Listas!$L$2:$L$50,0),0))</f>
        <v>0</v>
      </c>
    </row>
    <row r="859" customFormat="false" ht="15" hidden="false" customHeight="false" outlineLevel="0" collapsed="false">
      <c r="A859" s="30"/>
      <c r="B859" s="31"/>
      <c r="C859" s="32"/>
      <c r="D859" s="32"/>
      <c r="E859" s="33"/>
      <c r="F859" s="32"/>
      <c r="G859" s="32"/>
      <c r="H859" s="32"/>
      <c r="I859" s="32"/>
      <c r="J859" s="32"/>
      <c r="K859" s="32"/>
      <c r="L859" s="32"/>
      <c r="M859" s="30"/>
      <c r="N859" s="32"/>
      <c r="O859" s="34"/>
      <c r="P859" s="32"/>
      <c r="Q859" s="32"/>
      <c r="R859" s="32"/>
      <c r="S859" s="32"/>
      <c r="T859" s="32"/>
      <c r="U859" s="32"/>
      <c r="V859" s="31"/>
      <c r="W859" s="35" t="str">
        <f aca="true">IF(OR(V859="",AG859&gt;=8),"",IF(V859&lt;TODAY(),"Vencida",IF(V859=TODAY(),"Hoy","")))</f>
        <v/>
      </c>
      <c r="X859" s="36" t="str">
        <f aca="false">IF(A859="","",IF(COUNTIF(Seguimiento!$B$2:$B$5001,A859)=0,"",_xlfn.MAXIFS(Seguimiento!$A$2:$A$5001,Seguimiento!$B$2:$B$5001,A859)))</f>
        <v/>
      </c>
      <c r="Y859" s="37" t="str">
        <f aca="true">IF(B859="","",TODAY()-B859)</f>
        <v/>
      </c>
      <c r="Z859" s="38" t="str">
        <f aca="false">IF(OR(O859="",G859=""),"",O859*IFERROR(INDEX(Listas!$B$2:$B$50,MATCH(G859,Listas!$A$2:$A$50,0)),0))</f>
        <v/>
      </c>
      <c r="AA859" s="32"/>
      <c r="AB859" s="32"/>
      <c r="AC859" s="32"/>
      <c r="AD859" s="35" t="str">
        <f aca="false">IF(OR(LEFT(H859,4)="Meta",LEFT(H859,6)="Google"),IF(AG859=3,"Lead calificado",IF(OR(AG859=4,AG859=5),"Tasación/visita",IF(OR(AG859=6,AG859=7),"Captación/oferta",IF(AG859=8,"Cierre","")))),"")</f>
        <v/>
      </c>
      <c r="AE859" s="32"/>
      <c r="AF859" s="32"/>
      <c r="AG859" s="37" t="n">
        <f aca="false">IF(R859="",0,IFERROR(MATCH(R859,Listas!$L$2:$L$50,0),0))</f>
        <v>0</v>
      </c>
    </row>
    <row r="860" customFormat="false" ht="15" hidden="false" customHeight="false" outlineLevel="0" collapsed="false">
      <c r="A860" s="30"/>
      <c r="B860" s="31"/>
      <c r="C860" s="32"/>
      <c r="D860" s="32"/>
      <c r="E860" s="33"/>
      <c r="F860" s="32"/>
      <c r="G860" s="32"/>
      <c r="H860" s="32"/>
      <c r="I860" s="32"/>
      <c r="J860" s="32"/>
      <c r="K860" s="32"/>
      <c r="L860" s="32"/>
      <c r="M860" s="30"/>
      <c r="N860" s="32"/>
      <c r="O860" s="34"/>
      <c r="P860" s="32"/>
      <c r="Q860" s="32"/>
      <c r="R860" s="32"/>
      <c r="S860" s="32"/>
      <c r="T860" s="32"/>
      <c r="U860" s="32"/>
      <c r="V860" s="31"/>
      <c r="W860" s="35" t="str">
        <f aca="true">IF(OR(V860="",AG860&gt;=8),"",IF(V860&lt;TODAY(),"Vencida",IF(V860=TODAY(),"Hoy","")))</f>
        <v/>
      </c>
      <c r="X860" s="36" t="str">
        <f aca="false">IF(A860="","",IF(COUNTIF(Seguimiento!$B$2:$B$5001,A860)=0,"",_xlfn.MAXIFS(Seguimiento!$A$2:$A$5001,Seguimiento!$B$2:$B$5001,A860)))</f>
        <v/>
      </c>
      <c r="Y860" s="37" t="str">
        <f aca="true">IF(B860="","",TODAY()-B860)</f>
        <v/>
      </c>
      <c r="Z860" s="38" t="str">
        <f aca="false">IF(OR(O860="",G860=""),"",O860*IFERROR(INDEX(Listas!$B$2:$B$50,MATCH(G860,Listas!$A$2:$A$50,0)),0))</f>
        <v/>
      </c>
      <c r="AA860" s="32"/>
      <c r="AB860" s="32"/>
      <c r="AC860" s="32"/>
      <c r="AD860" s="35" t="str">
        <f aca="false">IF(OR(LEFT(H860,4)="Meta",LEFT(H860,6)="Google"),IF(AG860=3,"Lead calificado",IF(OR(AG860=4,AG860=5),"Tasación/visita",IF(OR(AG860=6,AG860=7),"Captación/oferta",IF(AG860=8,"Cierre","")))),"")</f>
        <v/>
      </c>
      <c r="AE860" s="32"/>
      <c r="AF860" s="32"/>
      <c r="AG860" s="37" t="n">
        <f aca="false">IF(R860="",0,IFERROR(MATCH(R860,Listas!$L$2:$L$50,0),0))</f>
        <v>0</v>
      </c>
    </row>
    <row r="861" customFormat="false" ht="15" hidden="false" customHeight="false" outlineLevel="0" collapsed="false">
      <c r="A861" s="30"/>
      <c r="B861" s="31"/>
      <c r="C861" s="32"/>
      <c r="D861" s="32"/>
      <c r="E861" s="33"/>
      <c r="F861" s="32"/>
      <c r="G861" s="32"/>
      <c r="H861" s="32"/>
      <c r="I861" s="32"/>
      <c r="J861" s="32"/>
      <c r="K861" s="32"/>
      <c r="L861" s="32"/>
      <c r="M861" s="30"/>
      <c r="N861" s="32"/>
      <c r="O861" s="34"/>
      <c r="P861" s="32"/>
      <c r="Q861" s="32"/>
      <c r="R861" s="32"/>
      <c r="S861" s="32"/>
      <c r="T861" s="32"/>
      <c r="U861" s="32"/>
      <c r="V861" s="31"/>
      <c r="W861" s="35" t="str">
        <f aca="true">IF(OR(V861="",AG861&gt;=8),"",IF(V861&lt;TODAY(),"Vencida",IF(V861=TODAY(),"Hoy","")))</f>
        <v/>
      </c>
      <c r="X861" s="36" t="str">
        <f aca="false">IF(A861="","",IF(COUNTIF(Seguimiento!$B$2:$B$5001,A861)=0,"",_xlfn.MAXIFS(Seguimiento!$A$2:$A$5001,Seguimiento!$B$2:$B$5001,A861)))</f>
        <v/>
      </c>
      <c r="Y861" s="37" t="str">
        <f aca="true">IF(B861="","",TODAY()-B861)</f>
        <v/>
      </c>
      <c r="Z861" s="38" t="str">
        <f aca="false">IF(OR(O861="",G861=""),"",O861*IFERROR(INDEX(Listas!$B$2:$B$50,MATCH(G861,Listas!$A$2:$A$50,0)),0))</f>
        <v/>
      </c>
      <c r="AA861" s="32"/>
      <c r="AB861" s="32"/>
      <c r="AC861" s="32"/>
      <c r="AD861" s="35" t="str">
        <f aca="false">IF(OR(LEFT(H861,4)="Meta",LEFT(H861,6)="Google"),IF(AG861=3,"Lead calificado",IF(OR(AG861=4,AG861=5),"Tasación/visita",IF(OR(AG861=6,AG861=7),"Captación/oferta",IF(AG861=8,"Cierre","")))),"")</f>
        <v/>
      </c>
      <c r="AE861" s="32"/>
      <c r="AF861" s="32"/>
      <c r="AG861" s="37" t="n">
        <f aca="false">IF(R861="",0,IFERROR(MATCH(R861,Listas!$L$2:$L$50,0),0))</f>
        <v>0</v>
      </c>
    </row>
    <row r="862" customFormat="false" ht="15" hidden="false" customHeight="false" outlineLevel="0" collapsed="false">
      <c r="A862" s="30"/>
      <c r="B862" s="31"/>
      <c r="C862" s="32"/>
      <c r="D862" s="32"/>
      <c r="E862" s="33"/>
      <c r="F862" s="32"/>
      <c r="G862" s="32"/>
      <c r="H862" s="32"/>
      <c r="I862" s="32"/>
      <c r="J862" s="32"/>
      <c r="K862" s="32"/>
      <c r="L862" s="32"/>
      <c r="M862" s="30"/>
      <c r="N862" s="32"/>
      <c r="O862" s="34"/>
      <c r="P862" s="32"/>
      <c r="Q862" s="32"/>
      <c r="R862" s="32"/>
      <c r="S862" s="32"/>
      <c r="T862" s="32"/>
      <c r="U862" s="32"/>
      <c r="V862" s="31"/>
      <c r="W862" s="35" t="str">
        <f aca="true">IF(OR(V862="",AG862&gt;=8),"",IF(V862&lt;TODAY(),"Vencida",IF(V862=TODAY(),"Hoy","")))</f>
        <v/>
      </c>
      <c r="X862" s="36" t="str">
        <f aca="false">IF(A862="","",IF(COUNTIF(Seguimiento!$B$2:$B$5001,A862)=0,"",_xlfn.MAXIFS(Seguimiento!$A$2:$A$5001,Seguimiento!$B$2:$B$5001,A862)))</f>
        <v/>
      </c>
      <c r="Y862" s="37" t="str">
        <f aca="true">IF(B862="","",TODAY()-B862)</f>
        <v/>
      </c>
      <c r="Z862" s="38" t="str">
        <f aca="false">IF(OR(O862="",G862=""),"",O862*IFERROR(INDEX(Listas!$B$2:$B$50,MATCH(G862,Listas!$A$2:$A$50,0)),0))</f>
        <v/>
      </c>
      <c r="AA862" s="32"/>
      <c r="AB862" s="32"/>
      <c r="AC862" s="32"/>
      <c r="AD862" s="35" t="str">
        <f aca="false">IF(OR(LEFT(H862,4)="Meta",LEFT(H862,6)="Google"),IF(AG862=3,"Lead calificado",IF(OR(AG862=4,AG862=5),"Tasación/visita",IF(OR(AG862=6,AG862=7),"Captación/oferta",IF(AG862=8,"Cierre","")))),"")</f>
        <v/>
      </c>
      <c r="AE862" s="32"/>
      <c r="AF862" s="32"/>
      <c r="AG862" s="37" t="n">
        <f aca="false">IF(R862="",0,IFERROR(MATCH(R862,Listas!$L$2:$L$50,0),0))</f>
        <v>0</v>
      </c>
    </row>
    <row r="863" customFormat="false" ht="15" hidden="false" customHeight="false" outlineLevel="0" collapsed="false">
      <c r="A863" s="30"/>
      <c r="B863" s="31"/>
      <c r="C863" s="32"/>
      <c r="D863" s="32"/>
      <c r="E863" s="33"/>
      <c r="F863" s="32"/>
      <c r="G863" s="32"/>
      <c r="H863" s="32"/>
      <c r="I863" s="32"/>
      <c r="J863" s="32"/>
      <c r="K863" s="32"/>
      <c r="L863" s="32"/>
      <c r="M863" s="30"/>
      <c r="N863" s="32"/>
      <c r="O863" s="34"/>
      <c r="P863" s="32"/>
      <c r="Q863" s="32"/>
      <c r="R863" s="32"/>
      <c r="S863" s="32"/>
      <c r="T863" s="32"/>
      <c r="U863" s="32"/>
      <c r="V863" s="31"/>
      <c r="W863" s="35" t="str">
        <f aca="true">IF(OR(V863="",AG863&gt;=8),"",IF(V863&lt;TODAY(),"Vencida",IF(V863=TODAY(),"Hoy","")))</f>
        <v/>
      </c>
      <c r="X863" s="36" t="str">
        <f aca="false">IF(A863="","",IF(COUNTIF(Seguimiento!$B$2:$B$5001,A863)=0,"",_xlfn.MAXIFS(Seguimiento!$A$2:$A$5001,Seguimiento!$B$2:$B$5001,A863)))</f>
        <v/>
      </c>
      <c r="Y863" s="37" t="str">
        <f aca="true">IF(B863="","",TODAY()-B863)</f>
        <v/>
      </c>
      <c r="Z863" s="38" t="str">
        <f aca="false">IF(OR(O863="",G863=""),"",O863*IFERROR(INDEX(Listas!$B$2:$B$50,MATCH(G863,Listas!$A$2:$A$50,0)),0))</f>
        <v/>
      </c>
      <c r="AA863" s="32"/>
      <c r="AB863" s="32"/>
      <c r="AC863" s="32"/>
      <c r="AD863" s="35" t="str">
        <f aca="false">IF(OR(LEFT(H863,4)="Meta",LEFT(H863,6)="Google"),IF(AG863=3,"Lead calificado",IF(OR(AG863=4,AG863=5),"Tasación/visita",IF(OR(AG863=6,AG863=7),"Captación/oferta",IF(AG863=8,"Cierre","")))),"")</f>
        <v/>
      </c>
      <c r="AE863" s="32"/>
      <c r="AF863" s="32"/>
      <c r="AG863" s="37" t="n">
        <f aca="false">IF(R863="",0,IFERROR(MATCH(R863,Listas!$L$2:$L$50,0),0))</f>
        <v>0</v>
      </c>
    </row>
    <row r="864" customFormat="false" ht="15" hidden="false" customHeight="false" outlineLevel="0" collapsed="false">
      <c r="A864" s="30"/>
      <c r="B864" s="31"/>
      <c r="C864" s="32"/>
      <c r="D864" s="32"/>
      <c r="E864" s="33"/>
      <c r="F864" s="32"/>
      <c r="G864" s="32"/>
      <c r="H864" s="32"/>
      <c r="I864" s="32"/>
      <c r="J864" s="32"/>
      <c r="K864" s="32"/>
      <c r="L864" s="32"/>
      <c r="M864" s="30"/>
      <c r="N864" s="32"/>
      <c r="O864" s="34"/>
      <c r="P864" s="32"/>
      <c r="Q864" s="32"/>
      <c r="R864" s="32"/>
      <c r="S864" s="32"/>
      <c r="T864" s="32"/>
      <c r="U864" s="32"/>
      <c r="V864" s="31"/>
      <c r="W864" s="35" t="str">
        <f aca="true">IF(OR(V864="",AG864&gt;=8),"",IF(V864&lt;TODAY(),"Vencida",IF(V864=TODAY(),"Hoy","")))</f>
        <v/>
      </c>
      <c r="X864" s="36" t="str">
        <f aca="false">IF(A864="","",IF(COUNTIF(Seguimiento!$B$2:$B$5001,A864)=0,"",_xlfn.MAXIFS(Seguimiento!$A$2:$A$5001,Seguimiento!$B$2:$B$5001,A864)))</f>
        <v/>
      </c>
      <c r="Y864" s="37" t="str">
        <f aca="true">IF(B864="","",TODAY()-B864)</f>
        <v/>
      </c>
      <c r="Z864" s="38" t="str">
        <f aca="false">IF(OR(O864="",G864=""),"",O864*IFERROR(INDEX(Listas!$B$2:$B$50,MATCH(G864,Listas!$A$2:$A$50,0)),0))</f>
        <v/>
      </c>
      <c r="AA864" s="32"/>
      <c r="AB864" s="32"/>
      <c r="AC864" s="32"/>
      <c r="AD864" s="35" t="str">
        <f aca="false">IF(OR(LEFT(H864,4)="Meta",LEFT(H864,6)="Google"),IF(AG864=3,"Lead calificado",IF(OR(AG864=4,AG864=5),"Tasación/visita",IF(OR(AG864=6,AG864=7),"Captación/oferta",IF(AG864=8,"Cierre","")))),"")</f>
        <v/>
      </c>
      <c r="AE864" s="32"/>
      <c r="AF864" s="32"/>
      <c r="AG864" s="37" t="n">
        <f aca="false">IF(R864="",0,IFERROR(MATCH(R864,Listas!$L$2:$L$50,0),0))</f>
        <v>0</v>
      </c>
    </row>
    <row r="865" customFormat="false" ht="15" hidden="false" customHeight="false" outlineLevel="0" collapsed="false">
      <c r="A865" s="30"/>
      <c r="B865" s="31"/>
      <c r="C865" s="32"/>
      <c r="D865" s="32"/>
      <c r="E865" s="33"/>
      <c r="F865" s="32"/>
      <c r="G865" s="32"/>
      <c r="H865" s="32"/>
      <c r="I865" s="32"/>
      <c r="J865" s="32"/>
      <c r="K865" s="32"/>
      <c r="L865" s="32"/>
      <c r="M865" s="30"/>
      <c r="N865" s="32"/>
      <c r="O865" s="34"/>
      <c r="P865" s="32"/>
      <c r="Q865" s="32"/>
      <c r="R865" s="32"/>
      <c r="S865" s="32"/>
      <c r="T865" s="32"/>
      <c r="U865" s="32"/>
      <c r="V865" s="31"/>
      <c r="W865" s="35" t="str">
        <f aca="true">IF(OR(V865="",AG865&gt;=8),"",IF(V865&lt;TODAY(),"Vencida",IF(V865=TODAY(),"Hoy","")))</f>
        <v/>
      </c>
      <c r="X865" s="36" t="str">
        <f aca="false">IF(A865="","",IF(COUNTIF(Seguimiento!$B$2:$B$5001,A865)=0,"",_xlfn.MAXIFS(Seguimiento!$A$2:$A$5001,Seguimiento!$B$2:$B$5001,A865)))</f>
        <v/>
      </c>
      <c r="Y865" s="37" t="str">
        <f aca="true">IF(B865="","",TODAY()-B865)</f>
        <v/>
      </c>
      <c r="Z865" s="38" t="str">
        <f aca="false">IF(OR(O865="",G865=""),"",O865*IFERROR(INDEX(Listas!$B$2:$B$50,MATCH(G865,Listas!$A$2:$A$50,0)),0))</f>
        <v/>
      </c>
      <c r="AA865" s="32"/>
      <c r="AB865" s="32"/>
      <c r="AC865" s="32"/>
      <c r="AD865" s="35" t="str">
        <f aca="false">IF(OR(LEFT(H865,4)="Meta",LEFT(H865,6)="Google"),IF(AG865=3,"Lead calificado",IF(OR(AG865=4,AG865=5),"Tasación/visita",IF(OR(AG865=6,AG865=7),"Captación/oferta",IF(AG865=8,"Cierre","")))),"")</f>
        <v/>
      </c>
      <c r="AE865" s="32"/>
      <c r="AF865" s="32"/>
      <c r="AG865" s="37" t="n">
        <f aca="false">IF(R865="",0,IFERROR(MATCH(R865,Listas!$L$2:$L$50,0),0))</f>
        <v>0</v>
      </c>
    </row>
    <row r="866" customFormat="false" ht="15" hidden="false" customHeight="false" outlineLevel="0" collapsed="false">
      <c r="A866" s="30"/>
      <c r="B866" s="31"/>
      <c r="C866" s="32"/>
      <c r="D866" s="32"/>
      <c r="E866" s="33"/>
      <c r="F866" s="32"/>
      <c r="G866" s="32"/>
      <c r="H866" s="32"/>
      <c r="I866" s="32"/>
      <c r="J866" s="32"/>
      <c r="K866" s="32"/>
      <c r="L866" s="32"/>
      <c r="M866" s="30"/>
      <c r="N866" s="32"/>
      <c r="O866" s="34"/>
      <c r="P866" s="32"/>
      <c r="Q866" s="32"/>
      <c r="R866" s="32"/>
      <c r="S866" s="32"/>
      <c r="T866" s="32"/>
      <c r="U866" s="32"/>
      <c r="V866" s="31"/>
      <c r="W866" s="35" t="str">
        <f aca="true">IF(OR(V866="",AG866&gt;=8),"",IF(V866&lt;TODAY(),"Vencida",IF(V866=TODAY(),"Hoy","")))</f>
        <v/>
      </c>
      <c r="X866" s="36" t="str">
        <f aca="false">IF(A866="","",IF(COUNTIF(Seguimiento!$B$2:$B$5001,A866)=0,"",_xlfn.MAXIFS(Seguimiento!$A$2:$A$5001,Seguimiento!$B$2:$B$5001,A866)))</f>
        <v/>
      </c>
      <c r="Y866" s="37" t="str">
        <f aca="true">IF(B866="","",TODAY()-B866)</f>
        <v/>
      </c>
      <c r="Z866" s="38" t="str">
        <f aca="false">IF(OR(O866="",G866=""),"",O866*IFERROR(INDEX(Listas!$B$2:$B$50,MATCH(G866,Listas!$A$2:$A$50,0)),0))</f>
        <v/>
      </c>
      <c r="AA866" s="32"/>
      <c r="AB866" s="32"/>
      <c r="AC866" s="32"/>
      <c r="AD866" s="35" t="str">
        <f aca="false">IF(OR(LEFT(H866,4)="Meta",LEFT(H866,6)="Google"),IF(AG866=3,"Lead calificado",IF(OR(AG866=4,AG866=5),"Tasación/visita",IF(OR(AG866=6,AG866=7),"Captación/oferta",IF(AG866=8,"Cierre","")))),"")</f>
        <v/>
      </c>
      <c r="AE866" s="32"/>
      <c r="AF866" s="32"/>
      <c r="AG866" s="37" t="n">
        <f aca="false">IF(R866="",0,IFERROR(MATCH(R866,Listas!$L$2:$L$50,0),0))</f>
        <v>0</v>
      </c>
    </row>
    <row r="867" customFormat="false" ht="15" hidden="false" customHeight="false" outlineLevel="0" collapsed="false">
      <c r="A867" s="30"/>
      <c r="B867" s="31"/>
      <c r="C867" s="32"/>
      <c r="D867" s="32"/>
      <c r="E867" s="33"/>
      <c r="F867" s="32"/>
      <c r="G867" s="32"/>
      <c r="H867" s="32"/>
      <c r="I867" s="32"/>
      <c r="J867" s="32"/>
      <c r="K867" s="32"/>
      <c r="L867" s="32"/>
      <c r="M867" s="30"/>
      <c r="N867" s="32"/>
      <c r="O867" s="34"/>
      <c r="P867" s="32"/>
      <c r="Q867" s="32"/>
      <c r="R867" s="32"/>
      <c r="S867" s="32"/>
      <c r="T867" s="32"/>
      <c r="U867" s="32"/>
      <c r="V867" s="31"/>
      <c r="W867" s="35" t="str">
        <f aca="true">IF(OR(V867="",AG867&gt;=8),"",IF(V867&lt;TODAY(),"Vencida",IF(V867=TODAY(),"Hoy","")))</f>
        <v/>
      </c>
      <c r="X867" s="36" t="str">
        <f aca="false">IF(A867="","",IF(COUNTIF(Seguimiento!$B$2:$B$5001,A867)=0,"",_xlfn.MAXIFS(Seguimiento!$A$2:$A$5001,Seguimiento!$B$2:$B$5001,A867)))</f>
        <v/>
      </c>
      <c r="Y867" s="37" t="str">
        <f aca="true">IF(B867="","",TODAY()-B867)</f>
        <v/>
      </c>
      <c r="Z867" s="38" t="str">
        <f aca="false">IF(OR(O867="",G867=""),"",O867*IFERROR(INDEX(Listas!$B$2:$B$50,MATCH(G867,Listas!$A$2:$A$50,0)),0))</f>
        <v/>
      </c>
      <c r="AA867" s="32"/>
      <c r="AB867" s="32"/>
      <c r="AC867" s="32"/>
      <c r="AD867" s="35" t="str">
        <f aca="false">IF(OR(LEFT(H867,4)="Meta",LEFT(H867,6)="Google"),IF(AG867=3,"Lead calificado",IF(OR(AG867=4,AG867=5),"Tasación/visita",IF(OR(AG867=6,AG867=7),"Captación/oferta",IF(AG867=8,"Cierre","")))),"")</f>
        <v/>
      </c>
      <c r="AE867" s="32"/>
      <c r="AF867" s="32"/>
      <c r="AG867" s="37" t="n">
        <f aca="false">IF(R867="",0,IFERROR(MATCH(R867,Listas!$L$2:$L$50,0),0))</f>
        <v>0</v>
      </c>
    </row>
    <row r="868" customFormat="false" ht="15" hidden="false" customHeight="false" outlineLevel="0" collapsed="false">
      <c r="A868" s="30"/>
      <c r="B868" s="31"/>
      <c r="C868" s="32"/>
      <c r="D868" s="32"/>
      <c r="E868" s="33"/>
      <c r="F868" s="32"/>
      <c r="G868" s="32"/>
      <c r="H868" s="32"/>
      <c r="I868" s="32"/>
      <c r="J868" s="32"/>
      <c r="K868" s="32"/>
      <c r="L868" s="32"/>
      <c r="M868" s="30"/>
      <c r="N868" s="32"/>
      <c r="O868" s="34"/>
      <c r="P868" s="32"/>
      <c r="Q868" s="32"/>
      <c r="R868" s="32"/>
      <c r="S868" s="32"/>
      <c r="T868" s="32"/>
      <c r="U868" s="32"/>
      <c r="V868" s="31"/>
      <c r="W868" s="35" t="str">
        <f aca="true">IF(OR(V868="",AG868&gt;=8),"",IF(V868&lt;TODAY(),"Vencida",IF(V868=TODAY(),"Hoy","")))</f>
        <v/>
      </c>
      <c r="X868" s="36" t="str">
        <f aca="false">IF(A868="","",IF(COUNTIF(Seguimiento!$B$2:$B$5001,A868)=0,"",_xlfn.MAXIFS(Seguimiento!$A$2:$A$5001,Seguimiento!$B$2:$B$5001,A868)))</f>
        <v/>
      </c>
      <c r="Y868" s="37" t="str">
        <f aca="true">IF(B868="","",TODAY()-B868)</f>
        <v/>
      </c>
      <c r="Z868" s="38" t="str">
        <f aca="false">IF(OR(O868="",G868=""),"",O868*IFERROR(INDEX(Listas!$B$2:$B$50,MATCH(G868,Listas!$A$2:$A$50,0)),0))</f>
        <v/>
      </c>
      <c r="AA868" s="32"/>
      <c r="AB868" s="32"/>
      <c r="AC868" s="32"/>
      <c r="AD868" s="35" t="str">
        <f aca="false">IF(OR(LEFT(H868,4)="Meta",LEFT(H868,6)="Google"),IF(AG868=3,"Lead calificado",IF(OR(AG868=4,AG868=5),"Tasación/visita",IF(OR(AG868=6,AG868=7),"Captación/oferta",IF(AG868=8,"Cierre","")))),"")</f>
        <v/>
      </c>
      <c r="AE868" s="32"/>
      <c r="AF868" s="32"/>
      <c r="AG868" s="37" t="n">
        <f aca="false">IF(R868="",0,IFERROR(MATCH(R868,Listas!$L$2:$L$50,0),0))</f>
        <v>0</v>
      </c>
    </row>
    <row r="869" customFormat="false" ht="15" hidden="false" customHeight="false" outlineLevel="0" collapsed="false">
      <c r="A869" s="30"/>
      <c r="B869" s="31"/>
      <c r="C869" s="32"/>
      <c r="D869" s="32"/>
      <c r="E869" s="33"/>
      <c r="F869" s="32"/>
      <c r="G869" s="32"/>
      <c r="H869" s="32"/>
      <c r="I869" s="32"/>
      <c r="J869" s="32"/>
      <c r="K869" s="32"/>
      <c r="L869" s="32"/>
      <c r="M869" s="30"/>
      <c r="N869" s="32"/>
      <c r="O869" s="34"/>
      <c r="P869" s="32"/>
      <c r="Q869" s="32"/>
      <c r="R869" s="32"/>
      <c r="S869" s="32"/>
      <c r="T869" s="32"/>
      <c r="U869" s="32"/>
      <c r="V869" s="31"/>
      <c r="W869" s="35" t="str">
        <f aca="true">IF(OR(V869="",AG869&gt;=8),"",IF(V869&lt;TODAY(),"Vencida",IF(V869=TODAY(),"Hoy","")))</f>
        <v/>
      </c>
      <c r="X869" s="36" t="str">
        <f aca="false">IF(A869="","",IF(COUNTIF(Seguimiento!$B$2:$B$5001,A869)=0,"",_xlfn.MAXIFS(Seguimiento!$A$2:$A$5001,Seguimiento!$B$2:$B$5001,A869)))</f>
        <v/>
      </c>
      <c r="Y869" s="37" t="str">
        <f aca="true">IF(B869="","",TODAY()-B869)</f>
        <v/>
      </c>
      <c r="Z869" s="38" t="str">
        <f aca="false">IF(OR(O869="",G869=""),"",O869*IFERROR(INDEX(Listas!$B$2:$B$50,MATCH(G869,Listas!$A$2:$A$50,0)),0))</f>
        <v/>
      </c>
      <c r="AA869" s="32"/>
      <c r="AB869" s="32"/>
      <c r="AC869" s="32"/>
      <c r="AD869" s="35" t="str">
        <f aca="false">IF(OR(LEFT(H869,4)="Meta",LEFT(H869,6)="Google"),IF(AG869=3,"Lead calificado",IF(OR(AG869=4,AG869=5),"Tasación/visita",IF(OR(AG869=6,AG869=7),"Captación/oferta",IF(AG869=8,"Cierre","")))),"")</f>
        <v/>
      </c>
      <c r="AE869" s="32"/>
      <c r="AF869" s="32"/>
      <c r="AG869" s="37" t="n">
        <f aca="false">IF(R869="",0,IFERROR(MATCH(R869,Listas!$L$2:$L$50,0),0))</f>
        <v>0</v>
      </c>
    </row>
    <row r="870" customFormat="false" ht="15" hidden="false" customHeight="false" outlineLevel="0" collapsed="false">
      <c r="A870" s="30"/>
      <c r="B870" s="31"/>
      <c r="C870" s="32"/>
      <c r="D870" s="32"/>
      <c r="E870" s="33"/>
      <c r="F870" s="32"/>
      <c r="G870" s="32"/>
      <c r="H870" s="32"/>
      <c r="I870" s="32"/>
      <c r="J870" s="32"/>
      <c r="K870" s="32"/>
      <c r="L870" s="32"/>
      <c r="M870" s="30"/>
      <c r="N870" s="32"/>
      <c r="O870" s="34"/>
      <c r="P870" s="32"/>
      <c r="Q870" s="32"/>
      <c r="R870" s="32"/>
      <c r="S870" s="32"/>
      <c r="T870" s="32"/>
      <c r="U870" s="32"/>
      <c r="V870" s="31"/>
      <c r="W870" s="35" t="str">
        <f aca="true">IF(OR(V870="",AG870&gt;=8),"",IF(V870&lt;TODAY(),"Vencida",IF(V870=TODAY(),"Hoy","")))</f>
        <v/>
      </c>
      <c r="X870" s="36" t="str">
        <f aca="false">IF(A870="","",IF(COUNTIF(Seguimiento!$B$2:$B$5001,A870)=0,"",_xlfn.MAXIFS(Seguimiento!$A$2:$A$5001,Seguimiento!$B$2:$B$5001,A870)))</f>
        <v/>
      </c>
      <c r="Y870" s="37" t="str">
        <f aca="true">IF(B870="","",TODAY()-B870)</f>
        <v/>
      </c>
      <c r="Z870" s="38" t="str">
        <f aca="false">IF(OR(O870="",G870=""),"",O870*IFERROR(INDEX(Listas!$B$2:$B$50,MATCH(G870,Listas!$A$2:$A$50,0)),0))</f>
        <v/>
      </c>
      <c r="AA870" s="32"/>
      <c r="AB870" s="32"/>
      <c r="AC870" s="32"/>
      <c r="AD870" s="35" t="str">
        <f aca="false">IF(OR(LEFT(H870,4)="Meta",LEFT(H870,6)="Google"),IF(AG870=3,"Lead calificado",IF(OR(AG870=4,AG870=5),"Tasación/visita",IF(OR(AG870=6,AG870=7),"Captación/oferta",IF(AG870=8,"Cierre","")))),"")</f>
        <v/>
      </c>
      <c r="AE870" s="32"/>
      <c r="AF870" s="32"/>
      <c r="AG870" s="37" t="n">
        <f aca="false">IF(R870="",0,IFERROR(MATCH(R870,Listas!$L$2:$L$50,0),0))</f>
        <v>0</v>
      </c>
    </row>
    <row r="871" customFormat="false" ht="15" hidden="false" customHeight="false" outlineLevel="0" collapsed="false">
      <c r="A871" s="30"/>
      <c r="B871" s="31"/>
      <c r="C871" s="32"/>
      <c r="D871" s="32"/>
      <c r="E871" s="33"/>
      <c r="F871" s="32"/>
      <c r="G871" s="32"/>
      <c r="H871" s="32"/>
      <c r="I871" s="32"/>
      <c r="J871" s="32"/>
      <c r="K871" s="32"/>
      <c r="L871" s="32"/>
      <c r="M871" s="30"/>
      <c r="N871" s="32"/>
      <c r="O871" s="34"/>
      <c r="P871" s="32"/>
      <c r="Q871" s="32"/>
      <c r="R871" s="32"/>
      <c r="S871" s="32"/>
      <c r="T871" s="32"/>
      <c r="U871" s="32"/>
      <c r="V871" s="31"/>
      <c r="W871" s="35" t="str">
        <f aca="true">IF(OR(V871="",AG871&gt;=8),"",IF(V871&lt;TODAY(),"Vencida",IF(V871=TODAY(),"Hoy","")))</f>
        <v/>
      </c>
      <c r="X871" s="36" t="str">
        <f aca="false">IF(A871="","",IF(COUNTIF(Seguimiento!$B$2:$B$5001,A871)=0,"",_xlfn.MAXIFS(Seguimiento!$A$2:$A$5001,Seguimiento!$B$2:$B$5001,A871)))</f>
        <v/>
      </c>
      <c r="Y871" s="37" t="str">
        <f aca="true">IF(B871="","",TODAY()-B871)</f>
        <v/>
      </c>
      <c r="Z871" s="38" t="str">
        <f aca="false">IF(OR(O871="",G871=""),"",O871*IFERROR(INDEX(Listas!$B$2:$B$50,MATCH(G871,Listas!$A$2:$A$50,0)),0))</f>
        <v/>
      </c>
      <c r="AA871" s="32"/>
      <c r="AB871" s="32"/>
      <c r="AC871" s="32"/>
      <c r="AD871" s="35" t="str">
        <f aca="false">IF(OR(LEFT(H871,4)="Meta",LEFT(H871,6)="Google"),IF(AG871=3,"Lead calificado",IF(OR(AG871=4,AG871=5),"Tasación/visita",IF(OR(AG871=6,AG871=7),"Captación/oferta",IF(AG871=8,"Cierre","")))),"")</f>
        <v/>
      </c>
      <c r="AE871" s="32"/>
      <c r="AF871" s="32"/>
      <c r="AG871" s="37" t="n">
        <f aca="false">IF(R871="",0,IFERROR(MATCH(R871,Listas!$L$2:$L$50,0),0))</f>
        <v>0</v>
      </c>
    </row>
    <row r="872" customFormat="false" ht="15" hidden="false" customHeight="false" outlineLevel="0" collapsed="false">
      <c r="A872" s="30"/>
      <c r="B872" s="31"/>
      <c r="C872" s="32"/>
      <c r="D872" s="32"/>
      <c r="E872" s="33"/>
      <c r="F872" s="32"/>
      <c r="G872" s="32"/>
      <c r="H872" s="32"/>
      <c r="I872" s="32"/>
      <c r="J872" s="32"/>
      <c r="K872" s="32"/>
      <c r="L872" s="32"/>
      <c r="M872" s="30"/>
      <c r="N872" s="32"/>
      <c r="O872" s="34"/>
      <c r="P872" s="32"/>
      <c r="Q872" s="32"/>
      <c r="R872" s="32"/>
      <c r="S872" s="32"/>
      <c r="T872" s="32"/>
      <c r="U872" s="32"/>
      <c r="V872" s="31"/>
      <c r="W872" s="35" t="str">
        <f aca="true">IF(OR(V872="",AG872&gt;=8),"",IF(V872&lt;TODAY(),"Vencida",IF(V872=TODAY(),"Hoy","")))</f>
        <v/>
      </c>
      <c r="X872" s="36" t="str">
        <f aca="false">IF(A872="","",IF(COUNTIF(Seguimiento!$B$2:$B$5001,A872)=0,"",_xlfn.MAXIFS(Seguimiento!$A$2:$A$5001,Seguimiento!$B$2:$B$5001,A872)))</f>
        <v/>
      </c>
      <c r="Y872" s="37" t="str">
        <f aca="true">IF(B872="","",TODAY()-B872)</f>
        <v/>
      </c>
      <c r="Z872" s="38" t="str">
        <f aca="false">IF(OR(O872="",G872=""),"",O872*IFERROR(INDEX(Listas!$B$2:$B$50,MATCH(G872,Listas!$A$2:$A$50,0)),0))</f>
        <v/>
      </c>
      <c r="AA872" s="32"/>
      <c r="AB872" s="32"/>
      <c r="AC872" s="32"/>
      <c r="AD872" s="35" t="str">
        <f aca="false">IF(OR(LEFT(H872,4)="Meta",LEFT(H872,6)="Google"),IF(AG872=3,"Lead calificado",IF(OR(AG872=4,AG872=5),"Tasación/visita",IF(OR(AG872=6,AG872=7),"Captación/oferta",IF(AG872=8,"Cierre","")))),"")</f>
        <v/>
      </c>
      <c r="AE872" s="32"/>
      <c r="AF872" s="32"/>
      <c r="AG872" s="37" t="n">
        <f aca="false">IF(R872="",0,IFERROR(MATCH(R872,Listas!$L$2:$L$50,0),0))</f>
        <v>0</v>
      </c>
    </row>
    <row r="873" customFormat="false" ht="15" hidden="false" customHeight="false" outlineLevel="0" collapsed="false">
      <c r="A873" s="30"/>
      <c r="B873" s="31"/>
      <c r="C873" s="32"/>
      <c r="D873" s="32"/>
      <c r="E873" s="33"/>
      <c r="F873" s="32"/>
      <c r="G873" s="32"/>
      <c r="H873" s="32"/>
      <c r="I873" s="32"/>
      <c r="J873" s="32"/>
      <c r="K873" s="32"/>
      <c r="L873" s="32"/>
      <c r="M873" s="30"/>
      <c r="N873" s="32"/>
      <c r="O873" s="34"/>
      <c r="P873" s="32"/>
      <c r="Q873" s="32"/>
      <c r="R873" s="32"/>
      <c r="S873" s="32"/>
      <c r="T873" s="32"/>
      <c r="U873" s="32"/>
      <c r="V873" s="31"/>
      <c r="W873" s="35" t="str">
        <f aca="true">IF(OR(V873="",AG873&gt;=8),"",IF(V873&lt;TODAY(),"Vencida",IF(V873=TODAY(),"Hoy","")))</f>
        <v/>
      </c>
      <c r="X873" s="36" t="str">
        <f aca="false">IF(A873="","",IF(COUNTIF(Seguimiento!$B$2:$B$5001,A873)=0,"",_xlfn.MAXIFS(Seguimiento!$A$2:$A$5001,Seguimiento!$B$2:$B$5001,A873)))</f>
        <v/>
      </c>
      <c r="Y873" s="37" t="str">
        <f aca="true">IF(B873="","",TODAY()-B873)</f>
        <v/>
      </c>
      <c r="Z873" s="38" t="str">
        <f aca="false">IF(OR(O873="",G873=""),"",O873*IFERROR(INDEX(Listas!$B$2:$B$50,MATCH(G873,Listas!$A$2:$A$50,0)),0))</f>
        <v/>
      </c>
      <c r="AA873" s="32"/>
      <c r="AB873" s="32"/>
      <c r="AC873" s="32"/>
      <c r="AD873" s="35" t="str">
        <f aca="false">IF(OR(LEFT(H873,4)="Meta",LEFT(H873,6)="Google"),IF(AG873=3,"Lead calificado",IF(OR(AG873=4,AG873=5),"Tasación/visita",IF(OR(AG873=6,AG873=7),"Captación/oferta",IF(AG873=8,"Cierre","")))),"")</f>
        <v/>
      </c>
      <c r="AE873" s="32"/>
      <c r="AF873" s="32"/>
      <c r="AG873" s="37" t="n">
        <f aca="false">IF(R873="",0,IFERROR(MATCH(R873,Listas!$L$2:$L$50,0),0))</f>
        <v>0</v>
      </c>
    </row>
    <row r="874" customFormat="false" ht="15" hidden="false" customHeight="false" outlineLevel="0" collapsed="false">
      <c r="A874" s="30"/>
      <c r="B874" s="31"/>
      <c r="C874" s="32"/>
      <c r="D874" s="32"/>
      <c r="E874" s="33"/>
      <c r="F874" s="32"/>
      <c r="G874" s="32"/>
      <c r="H874" s="32"/>
      <c r="I874" s="32"/>
      <c r="J874" s="32"/>
      <c r="K874" s="32"/>
      <c r="L874" s="32"/>
      <c r="M874" s="30"/>
      <c r="N874" s="32"/>
      <c r="O874" s="34"/>
      <c r="P874" s="32"/>
      <c r="Q874" s="32"/>
      <c r="R874" s="32"/>
      <c r="S874" s="32"/>
      <c r="T874" s="32"/>
      <c r="U874" s="32"/>
      <c r="V874" s="31"/>
      <c r="W874" s="35" t="str">
        <f aca="true">IF(OR(V874="",AG874&gt;=8),"",IF(V874&lt;TODAY(),"Vencida",IF(V874=TODAY(),"Hoy","")))</f>
        <v/>
      </c>
      <c r="X874" s="36" t="str">
        <f aca="false">IF(A874="","",IF(COUNTIF(Seguimiento!$B$2:$B$5001,A874)=0,"",_xlfn.MAXIFS(Seguimiento!$A$2:$A$5001,Seguimiento!$B$2:$B$5001,A874)))</f>
        <v/>
      </c>
      <c r="Y874" s="37" t="str">
        <f aca="true">IF(B874="","",TODAY()-B874)</f>
        <v/>
      </c>
      <c r="Z874" s="38" t="str">
        <f aca="false">IF(OR(O874="",G874=""),"",O874*IFERROR(INDEX(Listas!$B$2:$B$50,MATCH(G874,Listas!$A$2:$A$50,0)),0))</f>
        <v/>
      </c>
      <c r="AA874" s="32"/>
      <c r="AB874" s="32"/>
      <c r="AC874" s="32"/>
      <c r="AD874" s="35" t="str">
        <f aca="false">IF(OR(LEFT(H874,4)="Meta",LEFT(H874,6)="Google"),IF(AG874=3,"Lead calificado",IF(OR(AG874=4,AG874=5),"Tasación/visita",IF(OR(AG874=6,AG874=7),"Captación/oferta",IF(AG874=8,"Cierre","")))),"")</f>
        <v/>
      </c>
      <c r="AE874" s="32"/>
      <c r="AF874" s="32"/>
      <c r="AG874" s="37" t="n">
        <f aca="false">IF(R874="",0,IFERROR(MATCH(R874,Listas!$L$2:$L$50,0),0))</f>
        <v>0</v>
      </c>
    </row>
    <row r="875" customFormat="false" ht="15" hidden="false" customHeight="false" outlineLevel="0" collapsed="false">
      <c r="A875" s="30"/>
      <c r="B875" s="31"/>
      <c r="C875" s="32"/>
      <c r="D875" s="32"/>
      <c r="E875" s="33"/>
      <c r="F875" s="32"/>
      <c r="G875" s="32"/>
      <c r="H875" s="32"/>
      <c r="I875" s="32"/>
      <c r="J875" s="32"/>
      <c r="K875" s="32"/>
      <c r="L875" s="32"/>
      <c r="M875" s="30"/>
      <c r="N875" s="32"/>
      <c r="O875" s="34"/>
      <c r="P875" s="32"/>
      <c r="Q875" s="32"/>
      <c r="R875" s="32"/>
      <c r="S875" s="32"/>
      <c r="T875" s="32"/>
      <c r="U875" s="32"/>
      <c r="V875" s="31"/>
      <c r="W875" s="35" t="str">
        <f aca="true">IF(OR(V875="",AG875&gt;=8),"",IF(V875&lt;TODAY(),"Vencida",IF(V875=TODAY(),"Hoy","")))</f>
        <v/>
      </c>
      <c r="X875" s="36" t="str">
        <f aca="false">IF(A875="","",IF(COUNTIF(Seguimiento!$B$2:$B$5001,A875)=0,"",_xlfn.MAXIFS(Seguimiento!$A$2:$A$5001,Seguimiento!$B$2:$B$5001,A875)))</f>
        <v/>
      </c>
      <c r="Y875" s="37" t="str">
        <f aca="true">IF(B875="","",TODAY()-B875)</f>
        <v/>
      </c>
      <c r="Z875" s="38" t="str">
        <f aca="false">IF(OR(O875="",G875=""),"",O875*IFERROR(INDEX(Listas!$B$2:$B$50,MATCH(G875,Listas!$A$2:$A$50,0)),0))</f>
        <v/>
      </c>
      <c r="AA875" s="32"/>
      <c r="AB875" s="32"/>
      <c r="AC875" s="32"/>
      <c r="AD875" s="35" t="str">
        <f aca="false">IF(OR(LEFT(H875,4)="Meta",LEFT(H875,6)="Google"),IF(AG875=3,"Lead calificado",IF(OR(AG875=4,AG875=5),"Tasación/visita",IF(OR(AG875=6,AG875=7),"Captación/oferta",IF(AG875=8,"Cierre","")))),"")</f>
        <v/>
      </c>
      <c r="AE875" s="32"/>
      <c r="AF875" s="32"/>
      <c r="AG875" s="37" t="n">
        <f aca="false">IF(R875="",0,IFERROR(MATCH(R875,Listas!$L$2:$L$50,0),0))</f>
        <v>0</v>
      </c>
    </row>
    <row r="876" customFormat="false" ht="15" hidden="false" customHeight="false" outlineLevel="0" collapsed="false">
      <c r="A876" s="30"/>
      <c r="B876" s="31"/>
      <c r="C876" s="32"/>
      <c r="D876" s="32"/>
      <c r="E876" s="33"/>
      <c r="F876" s="32"/>
      <c r="G876" s="32"/>
      <c r="H876" s="32"/>
      <c r="I876" s="32"/>
      <c r="J876" s="32"/>
      <c r="K876" s="32"/>
      <c r="L876" s="32"/>
      <c r="M876" s="30"/>
      <c r="N876" s="32"/>
      <c r="O876" s="34"/>
      <c r="P876" s="32"/>
      <c r="Q876" s="32"/>
      <c r="R876" s="32"/>
      <c r="S876" s="32"/>
      <c r="T876" s="32"/>
      <c r="U876" s="32"/>
      <c r="V876" s="31"/>
      <c r="W876" s="35" t="str">
        <f aca="true">IF(OR(V876="",AG876&gt;=8),"",IF(V876&lt;TODAY(),"Vencida",IF(V876=TODAY(),"Hoy","")))</f>
        <v/>
      </c>
      <c r="X876" s="36" t="str">
        <f aca="false">IF(A876="","",IF(COUNTIF(Seguimiento!$B$2:$B$5001,A876)=0,"",_xlfn.MAXIFS(Seguimiento!$A$2:$A$5001,Seguimiento!$B$2:$B$5001,A876)))</f>
        <v/>
      </c>
      <c r="Y876" s="37" t="str">
        <f aca="true">IF(B876="","",TODAY()-B876)</f>
        <v/>
      </c>
      <c r="Z876" s="38" t="str">
        <f aca="false">IF(OR(O876="",G876=""),"",O876*IFERROR(INDEX(Listas!$B$2:$B$50,MATCH(G876,Listas!$A$2:$A$50,0)),0))</f>
        <v/>
      </c>
      <c r="AA876" s="32"/>
      <c r="AB876" s="32"/>
      <c r="AC876" s="32"/>
      <c r="AD876" s="35" t="str">
        <f aca="false">IF(OR(LEFT(H876,4)="Meta",LEFT(H876,6)="Google"),IF(AG876=3,"Lead calificado",IF(OR(AG876=4,AG876=5),"Tasación/visita",IF(OR(AG876=6,AG876=7),"Captación/oferta",IF(AG876=8,"Cierre","")))),"")</f>
        <v/>
      </c>
      <c r="AE876" s="32"/>
      <c r="AF876" s="32"/>
      <c r="AG876" s="37" t="n">
        <f aca="false">IF(R876="",0,IFERROR(MATCH(R876,Listas!$L$2:$L$50,0),0))</f>
        <v>0</v>
      </c>
    </row>
    <row r="877" customFormat="false" ht="15" hidden="false" customHeight="false" outlineLevel="0" collapsed="false">
      <c r="A877" s="30"/>
      <c r="B877" s="31"/>
      <c r="C877" s="32"/>
      <c r="D877" s="32"/>
      <c r="E877" s="33"/>
      <c r="F877" s="32"/>
      <c r="G877" s="32"/>
      <c r="H877" s="32"/>
      <c r="I877" s="32"/>
      <c r="J877" s="32"/>
      <c r="K877" s="32"/>
      <c r="L877" s="32"/>
      <c r="M877" s="30"/>
      <c r="N877" s="32"/>
      <c r="O877" s="34"/>
      <c r="P877" s="32"/>
      <c r="Q877" s="32"/>
      <c r="R877" s="32"/>
      <c r="S877" s="32"/>
      <c r="T877" s="32"/>
      <c r="U877" s="32"/>
      <c r="V877" s="31"/>
      <c r="W877" s="35" t="str">
        <f aca="true">IF(OR(V877="",AG877&gt;=8),"",IF(V877&lt;TODAY(),"Vencida",IF(V877=TODAY(),"Hoy","")))</f>
        <v/>
      </c>
      <c r="X877" s="36" t="str">
        <f aca="false">IF(A877="","",IF(COUNTIF(Seguimiento!$B$2:$B$5001,A877)=0,"",_xlfn.MAXIFS(Seguimiento!$A$2:$A$5001,Seguimiento!$B$2:$B$5001,A877)))</f>
        <v/>
      </c>
      <c r="Y877" s="37" t="str">
        <f aca="true">IF(B877="","",TODAY()-B877)</f>
        <v/>
      </c>
      <c r="Z877" s="38" t="str">
        <f aca="false">IF(OR(O877="",G877=""),"",O877*IFERROR(INDEX(Listas!$B$2:$B$50,MATCH(G877,Listas!$A$2:$A$50,0)),0))</f>
        <v/>
      </c>
      <c r="AA877" s="32"/>
      <c r="AB877" s="32"/>
      <c r="AC877" s="32"/>
      <c r="AD877" s="35" t="str">
        <f aca="false">IF(OR(LEFT(H877,4)="Meta",LEFT(H877,6)="Google"),IF(AG877=3,"Lead calificado",IF(OR(AG877=4,AG877=5),"Tasación/visita",IF(OR(AG877=6,AG877=7),"Captación/oferta",IF(AG877=8,"Cierre","")))),"")</f>
        <v/>
      </c>
      <c r="AE877" s="32"/>
      <c r="AF877" s="32"/>
      <c r="AG877" s="37" t="n">
        <f aca="false">IF(R877="",0,IFERROR(MATCH(R877,Listas!$L$2:$L$50,0),0))</f>
        <v>0</v>
      </c>
    </row>
    <row r="878" customFormat="false" ht="15" hidden="false" customHeight="false" outlineLevel="0" collapsed="false">
      <c r="A878" s="30"/>
      <c r="B878" s="31"/>
      <c r="C878" s="32"/>
      <c r="D878" s="32"/>
      <c r="E878" s="33"/>
      <c r="F878" s="32"/>
      <c r="G878" s="32"/>
      <c r="H878" s="32"/>
      <c r="I878" s="32"/>
      <c r="J878" s="32"/>
      <c r="K878" s="32"/>
      <c r="L878" s="32"/>
      <c r="M878" s="30"/>
      <c r="N878" s="32"/>
      <c r="O878" s="34"/>
      <c r="P878" s="32"/>
      <c r="Q878" s="32"/>
      <c r="R878" s="32"/>
      <c r="S878" s="32"/>
      <c r="T878" s="32"/>
      <c r="U878" s="32"/>
      <c r="V878" s="31"/>
      <c r="W878" s="35" t="str">
        <f aca="true">IF(OR(V878="",AG878&gt;=8),"",IF(V878&lt;TODAY(),"Vencida",IF(V878=TODAY(),"Hoy","")))</f>
        <v/>
      </c>
      <c r="X878" s="36" t="str">
        <f aca="false">IF(A878="","",IF(COUNTIF(Seguimiento!$B$2:$B$5001,A878)=0,"",_xlfn.MAXIFS(Seguimiento!$A$2:$A$5001,Seguimiento!$B$2:$B$5001,A878)))</f>
        <v/>
      </c>
      <c r="Y878" s="37" t="str">
        <f aca="true">IF(B878="","",TODAY()-B878)</f>
        <v/>
      </c>
      <c r="Z878" s="38" t="str">
        <f aca="false">IF(OR(O878="",G878=""),"",O878*IFERROR(INDEX(Listas!$B$2:$B$50,MATCH(G878,Listas!$A$2:$A$50,0)),0))</f>
        <v/>
      </c>
      <c r="AA878" s="32"/>
      <c r="AB878" s="32"/>
      <c r="AC878" s="32"/>
      <c r="AD878" s="35" t="str">
        <f aca="false">IF(OR(LEFT(H878,4)="Meta",LEFT(H878,6)="Google"),IF(AG878=3,"Lead calificado",IF(OR(AG878=4,AG878=5),"Tasación/visita",IF(OR(AG878=6,AG878=7),"Captación/oferta",IF(AG878=8,"Cierre","")))),"")</f>
        <v/>
      </c>
      <c r="AE878" s="32"/>
      <c r="AF878" s="32"/>
      <c r="AG878" s="37" t="n">
        <f aca="false">IF(R878="",0,IFERROR(MATCH(R878,Listas!$L$2:$L$50,0),0))</f>
        <v>0</v>
      </c>
    </row>
    <row r="879" customFormat="false" ht="15" hidden="false" customHeight="false" outlineLevel="0" collapsed="false">
      <c r="A879" s="30"/>
      <c r="B879" s="31"/>
      <c r="C879" s="32"/>
      <c r="D879" s="32"/>
      <c r="E879" s="33"/>
      <c r="F879" s="32"/>
      <c r="G879" s="32"/>
      <c r="H879" s="32"/>
      <c r="I879" s="32"/>
      <c r="J879" s="32"/>
      <c r="K879" s="32"/>
      <c r="L879" s="32"/>
      <c r="M879" s="30"/>
      <c r="N879" s="32"/>
      <c r="O879" s="34"/>
      <c r="P879" s="32"/>
      <c r="Q879" s="32"/>
      <c r="R879" s="32"/>
      <c r="S879" s="32"/>
      <c r="T879" s="32"/>
      <c r="U879" s="32"/>
      <c r="V879" s="31"/>
      <c r="W879" s="35" t="str">
        <f aca="true">IF(OR(V879="",AG879&gt;=8),"",IF(V879&lt;TODAY(),"Vencida",IF(V879=TODAY(),"Hoy","")))</f>
        <v/>
      </c>
      <c r="X879" s="36" t="str">
        <f aca="false">IF(A879="","",IF(COUNTIF(Seguimiento!$B$2:$B$5001,A879)=0,"",_xlfn.MAXIFS(Seguimiento!$A$2:$A$5001,Seguimiento!$B$2:$B$5001,A879)))</f>
        <v/>
      </c>
      <c r="Y879" s="37" t="str">
        <f aca="true">IF(B879="","",TODAY()-B879)</f>
        <v/>
      </c>
      <c r="Z879" s="38" t="str">
        <f aca="false">IF(OR(O879="",G879=""),"",O879*IFERROR(INDEX(Listas!$B$2:$B$50,MATCH(G879,Listas!$A$2:$A$50,0)),0))</f>
        <v/>
      </c>
      <c r="AA879" s="32"/>
      <c r="AB879" s="32"/>
      <c r="AC879" s="32"/>
      <c r="AD879" s="35" t="str">
        <f aca="false">IF(OR(LEFT(H879,4)="Meta",LEFT(H879,6)="Google"),IF(AG879=3,"Lead calificado",IF(OR(AG879=4,AG879=5),"Tasación/visita",IF(OR(AG879=6,AG879=7),"Captación/oferta",IF(AG879=8,"Cierre","")))),"")</f>
        <v/>
      </c>
      <c r="AE879" s="32"/>
      <c r="AF879" s="32"/>
      <c r="AG879" s="37" t="n">
        <f aca="false">IF(R879="",0,IFERROR(MATCH(R879,Listas!$L$2:$L$50,0),0))</f>
        <v>0</v>
      </c>
    </row>
    <row r="880" customFormat="false" ht="15" hidden="false" customHeight="false" outlineLevel="0" collapsed="false">
      <c r="A880" s="30"/>
      <c r="B880" s="31"/>
      <c r="C880" s="32"/>
      <c r="D880" s="32"/>
      <c r="E880" s="33"/>
      <c r="F880" s="32"/>
      <c r="G880" s="32"/>
      <c r="H880" s="32"/>
      <c r="I880" s="32"/>
      <c r="J880" s="32"/>
      <c r="K880" s="32"/>
      <c r="L880" s="32"/>
      <c r="M880" s="30"/>
      <c r="N880" s="32"/>
      <c r="O880" s="34"/>
      <c r="P880" s="32"/>
      <c r="Q880" s="32"/>
      <c r="R880" s="32"/>
      <c r="S880" s="32"/>
      <c r="T880" s="32"/>
      <c r="U880" s="32"/>
      <c r="V880" s="31"/>
      <c r="W880" s="35" t="str">
        <f aca="true">IF(OR(V880="",AG880&gt;=8),"",IF(V880&lt;TODAY(),"Vencida",IF(V880=TODAY(),"Hoy","")))</f>
        <v/>
      </c>
      <c r="X880" s="36" t="str">
        <f aca="false">IF(A880="","",IF(COUNTIF(Seguimiento!$B$2:$B$5001,A880)=0,"",_xlfn.MAXIFS(Seguimiento!$A$2:$A$5001,Seguimiento!$B$2:$B$5001,A880)))</f>
        <v/>
      </c>
      <c r="Y880" s="37" t="str">
        <f aca="true">IF(B880="","",TODAY()-B880)</f>
        <v/>
      </c>
      <c r="Z880" s="38" t="str">
        <f aca="false">IF(OR(O880="",G880=""),"",O880*IFERROR(INDEX(Listas!$B$2:$B$50,MATCH(G880,Listas!$A$2:$A$50,0)),0))</f>
        <v/>
      </c>
      <c r="AA880" s="32"/>
      <c r="AB880" s="32"/>
      <c r="AC880" s="32"/>
      <c r="AD880" s="35" t="str">
        <f aca="false">IF(OR(LEFT(H880,4)="Meta",LEFT(H880,6)="Google"),IF(AG880=3,"Lead calificado",IF(OR(AG880=4,AG880=5),"Tasación/visita",IF(OR(AG880=6,AG880=7),"Captación/oferta",IF(AG880=8,"Cierre","")))),"")</f>
        <v/>
      </c>
      <c r="AE880" s="32"/>
      <c r="AF880" s="32"/>
      <c r="AG880" s="37" t="n">
        <f aca="false">IF(R880="",0,IFERROR(MATCH(R880,Listas!$L$2:$L$50,0),0))</f>
        <v>0</v>
      </c>
    </row>
    <row r="881" customFormat="false" ht="15" hidden="false" customHeight="false" outlineLevel="0" collapsed="false">
      <c r="A881" s="30"/>
      <c r="B881" s="31"/>
      <c r="C881" s="32"/>
      <c r="D881" s="32"/>
      <c r="E881" s="33"/>
      <c r="F881" s="32"/>
      <c r="G881" s="32"/>
      <c r="H881" s="32"/>
      <c r="I881" s="32"/>
      <c r="J881" s="32"/>
      <c r="K881" s="32"/>
      <c r="L881" s="32"/>
      <c r="M881" s="30"/>
      <c r="N881" s="32"/>
      <c r="O881" s="34"/>
      <c r="P881" s="32"/>
      <c r="Q881" s="32"/>
      <c r="R881" s="32"/>
      <c r="S881" s="32"/>
      <c r="T881" s="32"/>
      <c r="U881" s="32"/>
      <c r="V881" s="31"/>
      <c r="W881" s="35" t="str">
        <f aca="true">IF(OR(V881="",AG881&gt;=8),"",IF(V881&lt;TODAY(),"Vencida",IF(V881=TODAY(),"Hoy","")))</f>
        <v/>
      </c>
      <c r="X881" s="36" t="str">
        <f aca="false">IF(A881="","",IF(COUNTIF(Seguimiento!$B$2:$B$5001,A881)=0,"",_xlfn.MAXIFS(Seguimiento!$A$2:$A$5001,Seguimiento!$B$2:$B$5001,A881)))</f>
        <v/>
      </c>
      <c r="Y881" s="37" t="str">
        <f aca="true">IF(B881="","",TODAY()-B881)</f>
        <v/>
      </c>
      <c r="Z881" s="38" t="str">
        <f aca="false">IF(OR(O881="",G881=""),"",O881*IFERROR(INDEX(Listas!$B$2:$B$50,MATCH(G881,Listas!$A$2:$A$50,0)),0))</f>
        <v/>
      </c>
      <c r="AA881" s="32"/>
      <c r="AB881" s="32"/>
      <c r="AC881" s="32"/>
      <c r="AD881" s="35" t="str">
        <f aca="false">IF(OR(LEFT(H881,4)="Meta",LEFT(H881,6)="Google"),IF(AG881=3,"Lead calificado",IF(OR(AG881=4,AG881=5),"Tasación/visita",IF(OR(AG881=6,AG881=7),"Captación/oferta",IF(AG881=8,"Cierre","")))),"")</f>
        <v/>
      </c>
      <c r="AE881" s="32"/>
      <c r="AF881" s="32"/>
      <c r="AG881" s="37" t="n">
        <f aca="false">IF(R881="",0,IFERROR(MATCH(R881,Listas!$L$2:$L$50,0),0))</f>
        <v>0</v>
      </c>
    </row>
    <row r="882" customFormat="false" ht="15" hidden="false" customHeight="false" outlineLevel="0" collapsed="false">
      <c r="A882" s="30"/>
      <c r="B882" s="31"/>
      <c r="C882" s="32"/>
      <c r="D882" s="32"/>
      <c r="E882" s="33"/>
      <c r="F882" s="32"/>
      <c r="G882" s="32"/>
      <c r="H882" s="32"/>
      <c r="I882" s="32"/>
      <c r="J882" s="32"/>
      <c r="K882" s="32"/>
      <c r="L882" s="32"/>
      <c r="M882" s="30"/>
      <c r="N882" s="32"/>
      <c r="O882" s="34"/>
      <c r="P882" s="32"/>
      <c r="Q882" s="32"/>
      <c r="R882" s="32"/>
      <c r="S882" s="32"/>
      <c r="T882" s="32"/>
      <c r="U882" s="32"/>
      <c r="V882" s="31"/>
      <c r="W882" s="35" t="str">
        <f aca="true">IF(OR(V882="",AG882&gt;=8),"",IF(V882&lt;TODAY(),"Vencida",IF(V882=TODAY(),"Hoy","")))</f>
        <v/>
      </c>
      <c r="X882" s="36" t="str">
        <f aca="false">IF(A882="","",IF(COUNTIF(Seguimiento!$B$2:$B$5001,A882)=0,"",_xlfn.MAXIFS(Seguimiento!$A$2:$A$5001,Seguimiento!$B$2:$B$5001,A882)))</f>
        <v/>
      </c>
      <c r="Y882" s="37" t="str">
        <f aca="true">IF(B882="","",TODAY()-B882)</f>
        <v/>
      </c>
      <c r="Z882" s="38" t="str">
        <f aca="false">IF(OR(O882="",G882=""),"",O882*IFERROR(INDEX(Listas!$B$2:$B$50,MATCH(G882,Listas!$A$2:$A$50,0)),0))</f>
        <v/>
      </c>
      <c r="AA882" s="32"/>
      <c r="AB882" s="32"/>
      <c r="AC882" s="32"/>
      <c r="AD882" s="35" t="str">
        <f aca="false">IF(OR(LEFT(H882,4)="Meta",LEFT(H882,6)="Google"),IF(AG882=3,"Lead calificado",IF(OR(AG882=4,AG882=5),"Tasación/visita",IF(OR(AG882=6,AG882=7),"Captación/oferta",IF(AG882=8,"Cierre","")))),"")</f>
        <v/>
      </c>
      <c r="AE882" s="32"/>
      <c r="AF882" s="32"/>
      <c r="AG882" s="37" t="n">
        <f aca="false">IF(R882="",0,IFERROR(MATCH(R882,Listas!$L$2:$L$50,0),0))</f>
        <v>0</v>
      </c>
    </row>
    <row r="883" customFormat="false" ht="15" hidden="false" customHeight="false" outlineLevel="0" collapsed="false">
      <c r="A883" s="30"/>
      <c r="B883" s="31"/>
      <c r="C883" s="32"/>
      <c r="D883" s="32"/>
      <c r="E883" s="33"/>
      <c r="F883" s="32"/>
      <c r="G883" s="32"/>
      <c r="H883" s="32"/>
      <c r="I883" s="32"/>
      <c r="J883" s="32"/>
      <c r="K883" s="32"/>
      <c r="L883" s="32"/>
      <c r="M883" s="30"/>
      <c r="N883" s="32"/>
      <c r="O883" s="34"/>
      <c r="P883" s="32"/>
      <c r="Q883" s="32"/>
      <c r="R883" s="32"/>
      <c r="S883" s="32"/>
      <c r="T883" s="32"/>
      <c r="U883" s="32"/>
      <c r="V883" s="31"/>
      <c r="W883" s="35" t="str">
        <f aca="true">IF(OR(V883="",AG883&gt;=8),"",IF(V883&lt;TODAY(),"Vencida",IF(V883=TODAY(),"Hoy","")))</f>
        <v/>
      </c>
      <c r="X883" s="36" t="str">
        <f aca="false">IF(A883="","",IF(COUNTIF(Seguimiento!$B$2:$B$5001,A883)=0,"",_xlfn.MAXIFS(Seguimiento!$A$2:$A$5001,Seguimiento!$B$2:$B$5001,A883)))</f>
        <v/>
      </c>
      <c r="Y883" s="37" t="str">
        <f aca="true">IF(B883="","",TODAY()-B883)</f>
        <v/>
      </c>
      <c r="Z883" s="38" t="str">
        <f aca="false">IF(OR(O883="",G883=""),"",O883*IFERROR(INDEX(Listas!$B$2:$B$50,MATCH(G883,Listas!$A$2:$A$50,0)),0))</f>
        <v/>
      </c>
      <c r="AA883" s="32"/>
      <c r="AB883" s="32"/>
      <c r="AC883" s="32"/>
      <c r="AD883" s="35" t="str">
        <f aca="false">IF(OR(LEFT(H883,4)="Meta",LEFT(H883,6)="Google"),IF(AG883=3,"Lead calificado",IF(OR(AG883=4,AG883=5),"Tasación/visita",IF(OR(AG883=6,AG883=7),"Captación/oferta",IF(AG883=8,"Cierre","")))),"")</f>
        <v/>
      </c>
      <c r="AE883" s="32"/>
      <c r="AF883" s="32"/>
      <c r="AG883" s="37" t="n">
        <f aca="false">IF(R883="",0,IFERROR(MATCH(R883,Listas!$L$2:$L$50,0),0))</f>
        <v>0</v>
      </c>
    </row>
    <row r="884" customFormat="false" ht="15" hidden="false" customHeight="false" outlineLevel="0" collapsed="false">
      <c r="A884" s="30"/>
      <c r="B884" s="31"/>
      <c r="C884" s="32"/>
      <c r="D884" s="32"/>
      <c r="E884" s="33"/>
      <c r="F884" s="32"/>
      <c r="G884" s="32"/>
      <c r="H884" s="32"/>
      <c r="I884" s="32"/>
      <c r="J884" s="32"/>
      <c r="K884" s="32"/>
      <c r="L884" s="32"/>
      <c r="M884" s="30"/>
      <c r="N884" s="32"/>
      <c r="O884" s="34"/>
      <c r="P884" s="32"/>
      <c r="Q884" s="32"/>
      <c r="R884" s="32"/>
      <c r="S884" s="32"/>
      <c r="T884" s="32"/>
      <c r="U884" s="32"/>
      <c r="V884" s="31"/>
      <c r="W884" s="35" t="str">
        <f aca="true">IF(OR(V884="",AG884&gt;=8),"",IF(V884&lt;TODAY(),"Vencida",IF(V884=TODAY(),"Hoy","")))</f>
        <v/>
      </c>
      <c r="X884" s="36" t="str">
        <f aca="false">IF(A884="","",IF(COUNTIF(Seguimiento!$B$2:$B$5001,A884)=0,"",_xlfn.MAXIFS(Seguimiento!$A$2:$A$5001,Seguimiento!$B$2:$B$5001,A884)))</f>
        <v/>
      </c>
      <c r="Y884" s="37" t="str">
        <f aca="true">IF(B884="","",TODAY()-B884)</f>
        <v/>
      </c>
      <c r="Z884" s="38" t="str">
        <f aca="false">IF(OR(O884="",G884=""),"",O884*IFERROR(INDEX(Listas!$B$2:$B$50,MATCH(G884,Listas!$A$2:$A$50,0)),0))</f>
        <v/>
      </c>
      <c r="AA884" s="32"/>
      <c r="AB884" s="32"/>
      <c r="AC884" s="32"/>
      <c r="AD884" s="35" t="str">
        <f aca="false">IF(OR(LEFT(H884,4)="Meta",LEFT(H884,6)="Google"),IF(AG884=3,"Lead calificado",IF(OR(AG884=4,AG884=5),"Tasación/visita",IF(OR(AG884=6,AG884=7),"Captación/oferta",IF(AG884=8,"Cierre","")))),"")</f>
        <v/>
      </c>
      <c r="AE884" s="32"/>
      <c r="AF884" s="32"/>
      <c r="AG884" s="37" t="n">
        <f aca="false">IF(R884="",0,IFERROR(MATCH(R884,Listas!$L$2:$L$50,0),0))</f>
        <v>0</v>
      </c>
    </row>
    <row r="885" customFormat="false" ht="15" hidden="false" customHeight="false" outlineLevel="0" collapsed="false">
      <c r="A885" s="30"/>
      <c r="B885" s="31"/>
      <c r="C885" s="32"/>
      <c r="D885" s="32"/>
      <c r="E885" s="33"/>
      <c r="F885" s="32"/>
      <c r="G885" s="32"/>
      <c r="H885" s="32"/>
      <c r="I885" s="32"/>
      <c r="J885" s="32"/>
      <c r="K885" s="32"/>
      <c r="L885" s="32"/>
      <c r="M885" s="30"/>
      <c r="N885" s="32"/>
      <c r="O885" s="34"/>
      <c r="P885" s="32"/>
      <c r="Q885" s="32"/>
      <c r="R885" s="32"/>
      <c r="S885" s="32"/>
      <c r="T885" s="32"/>
      <c r="U885" s="32"/>
      <c r="V885" s="31"/>
      <c r="W885" s="35" t="str">
        <f aca="true">IF(OR(V885="",AG885&gt;=8),"",IF(V885&lt;TODAY(),"Vencida",IF(V885=TODAY(),"Hoy","")))</f>
        <v/>
      </c>
      <c r="X885" s="36" t="str">
        <f aca="false">IF(A885="","",IF(COUNTIF(Seguimiento!$B$2:$B$5001,A885)=0,"",_xlfn.MAXIFS(Seguimiento!$A$2:$A$5001,Seguimiento!$B$2:$B$5001,A885)))</f>
        <v/>
      </c>
      <c r="Y885" s="37" t="str">
        <f aca="true">IF(B885="","",TODAY()-B885)</f>
        <v/>
      </c>
      <c r="Z885" s="38" t="str">
        <f aca="false">IF(OR(O885="",G885=""),"",O885*IFERROR(INDEX(Listas!$B$2:$B$50,MATCH(G885,Listas!$A$2:$A$50,0)),0))</f>
        <v/>
      </c>
      <c r="AA885" s="32"/>
      <c r="AB885" s="32"/>
      <c r="AC885" s="32"/>
      <c r="AD885" s="35" t="str">
        <f aca="false">IF(OR(LEFT(H885,4)="Meta",LEFT(H885,6)="Google"),IF(AG885=3,"Lead calificado",IF(OR(AG885=4,AG885=5),"Tasación/visita",IF(OR(AG885=6,AG885=7),"Captación/oferta",IF(AG885=8,"Cierre","")))),"")</f>
        <v/>
      </c>
      <c r="AE885" s="32"/>
      <c r="AF885" s="32"/>
      <c r="AG885" s="37" t="n">
        <f aca="false">IF(R885="",0,IFERROR(MATCH(R885,Listas!$L$2:$L$50,0),0))</f>
        <v>0</v>
      </c>
    </row>
    <row r="886" customFormat="false" ht="15" hidden="false" customHeight="false" outlineLevel="0" collapsed="false">
      <c r="A886" s="30"/>
      <c r="B886" s="31"/>
      <c r="C886" s="32"/>
      <c r="D886" s="32"/>
      <c r="E886" s="33"/>
      <c r="F886" s="32"/>
      <c r="G886" s="32"/>
      <c r="H886" s="32"/>
      <c r="I886" s="32"/>
      <c r="J886" s="32"/>
      <c r="K886" s="32"/>
      <c r="L886" s="32"/>
      <c r="M886" s="30"/>
      <c r="N886" s="32"/>
      <c r="O886" s="34"/>
      <c r="P886" s="32"/>
      <c r="Q886" s="32"/>
      <c r="R886" s="32"/>
      <c r="S886" s="32"/>
      <c r="T886" s="32"/>
      <c r="U886" s="32"/>
      <c r="V886" s="31"/>
      <c r="W886" s="35" t="str">
        <f aca="true">IF(OR(V886="",AG886&gt;=8),"",IF(V886&lt;TODAY(),"Vencida",IF(V886=TODAY(),"Hoy","")))</f>
        <v/>
      </c>
      <c r="X886" s="36" t="str">
        <f aca="false">IF(A886="","",IF(COUNTIF(Seguimiento!$B$2:$B$5001,A886)=0,"",_xlfn.MAXIFS(Seguimiento!$A$2:$A$5001,Seguimiento!$B$2:$B$5001,A886)))</f>
        <v/>
      </c>
      <c r="Y886" s="37" t="str">
        <f aca="true">IF(B886="","",TODAY()-B886)</f>
        <v/>
      </c>
      <c r="Z886" s="38" t="str">
        <f aca="false">IF(OR(O886="",G886=""),"",O886*IFERROR(INDEX(Listas!$B$2:$B$50,MATCH(G886,Listas!$A$2:$A$50,0)),0))</f>
        <v/>
      </c>
      <c r="AA886" s="32"/>
      <c r="AB886" s="32"/>
      <c r="AC886" s="32"/>
      <c r="AD886" s="35" t="str">
        <f aca="false">IF(OR(LEFT(H886,4)="Meta",LEFT(H886,6)="Google"),IF(AG886=3,"Lead calificado",IF(OR(AG886=4,AG886=5),"Tasación/visita",IF(OR(AG886=6,AG886=7),"Captación/oferta",IF(AG886=8,"Cierre","")))),"")</f>
        <v/>
      </c>
      <c r="AE886" s="32"/>
      <c r="AF886" s="32"/>
      <c r="AG886" s="37" t="n">
        <f aca="false">IF(R886="",0,IFERROR(MATCH(R886,Listas!$L$2:$L$50,0),0))</f>
        <v>0</v>
      </c>
    </row>
    <row r="887" customFormat="false" ht="15" hidden="false" customHeight="false" outlineLevel="0" collapsed="false">
      <c r="A887" s="30"/>
      <c r="B887" s="31"/>
      <c r="C887" s="32"/>
      <c r="D887" s="32"/>
      <c r="E887" s="33"/>
      <c r="F887" s="32"/>
      <c r="G887" s="32"/>
      <c r="H887" s="32"/>
      <c r="I887" s="32"/>
      <c r="J887" s="32"/>
      <c r="K887" s="32"/>
      <c r="L887" s="32"/>
      <c r="M887" s="30"/>
      <c r="N887" s="32"/>
      <c r="O887" s="34"/>
      <c r="P887" s="32"/>
      <c r="Q887" s="32"/>
      <c r="R887" s="32"/>
      <c r="S887" s="32"/>
      <c r="T887" s="32"/>
      <c r="U887" s="32"/>
      <c r="V887" s="31"/>
      <c r="W887" s="35" t="str">
        <f aca="true">IF(OR(V887="",AG887&gt;=8),"",IF(V887&lt;TODAY(),"Vencida",IF(V887=TODAY(),"Hoy","")))</f>
        <v/>
      </c>
      <c r="X887" s="36" t="str">
        <f aca="false">IF(A887="","",IF(COUNTIF(Seguimiento!$B$2:$B$5001,A887)=0,"",_xlfn.MAXIFS(Seguimiento!$A$2:$A$5001,Seguimiento!$B$2:$B$5001,A887)))</f>
        <v/>
      </c>
      <c r="Y887" s="37" t="str">
        <f aca="true">IF(B887="","",TODAY()-B887)</f>
        <v/>
      </c>
      <c r="Z887" s="38" t="str">
        <f aca="false">IF(OR(O887="",G887=""),"",O887*IFERROR(INDEX(Listas!$B$2:$B$50,MATCH(G887,Listas!$A$2:$A$50,0)),0))</f>
        <v/>
      </c>
      <c r="AA887" s="32"/>
      <c r="AB887" s="32"/>
      <c r="AC887" s="32"/>
      <c r="AD887" s="35" t="str">
        <f aca="false">IF(OR(LEFT(H887,4)="Meta",LEFT(H887,6)="Google"),IF(AG887=3,"Lead calificado",IF(OR(AG887=4,AG887=5),"Tasación/visita",IF(OR(AG887=6,AG887=7),"Captación/oferta",IF(AG887=8,"Cierre","")))),"")</f>
        <v/>
      </c>
      <c r="AE887" s="32"/>
      <c r="AF887" s="32"/>
      <c r="AG887" s="37" t="n">
        <f aca="false">IF(R887="",0,IFERROR(MATCH(R887,Listas!$L$2:$L$50,0),0))</f>
        <v>0</v>
      </c>
    </row>
    <row r="888" customFormat="false" ht="15" hidden="false" customHeight="false" outlineLevel="0" collapsed="false">
      <c r="A888" s="30"/>
      <c r="B888" s="31"/>
      <c r="C888" s="32"/>
      <c r="D888" s="32"/>
      <c r="E888" s="33"/>
      <c r="F888" s="32"/>
      <c r="G888" s="32"/>
      <c r="H888" s="32"/>
      <c r="I888" s="32"/>
      <c r="J888" s="32"/>
      <c r="K888" s="32"/>
      <c r="L888" s="32"/>
      <c r="M888" s="30"/>
      <c r="N888" s="32"/>
      <c r="O888" s="34"/>
      <c r="P888" s="32"/>
      <c r="Q888" s="32"/>
      <c r="R888" s="32"/>
      <c r="S888" s="32"/>
      <c r="T888" s="32"/>
      <c r="U888" s="32"/>
      <c r="V888" s="31"/>
      <c r="W888" s="35" t="str">
        <f aca="true">IF(OR(V888="",AG888&gt;=8),"",IF(V888&lt;TODAY(),"Vencida",IF(V888=TODAY(),"Hoy","")))</f>
        <v/>
      </c>
      <c r="X888" s="36" t="str">
        <f aca="false">IF(A888="","",IF(COUNTIF(Seguimiento!$B$2:$B$5001,A888)=0,"",_xlfn.MAXIFS(Seguimiento!$A$2:$A$5001,Seguimiento!$B$2:$B$5001,A888)))</f>
        <v/>
      </c>
      <c r="Y888" s="37" t="str">
        <f aca="true">IF(B888="","",TODAY()-B888)</f>
        <v/>
      </c>
      <c r="Z888" s="38" t="str">
        <f aca="false">IF(OR(O888="",G888=""),"",O888*IFERROR(INDEX(Listas!$B$2:$B$50,MATCH(G888,Listas!$A$2:$A$50,0)),0))</f>
        <v/>
      </c>
      <c r="AA888" s="32"/>
      <c r="AB888" s="32"/>
      <c r="AC888" s="32"/>
      <c r="AD888" s="35" t="str">
        <f aca="false">IF(OR(LEFT(H888,4)="Meta",LEFT(H888,6)="Google"),IF(AG888=3,"Lead calificado",IF(OR(AG888=4,AG888=5),"Tasación/visita",IF(OR(AG888=6,AG888=7),"Captación/oferta",IF(AG888=8,"Cierre","")))),"")</f>
        <v/>
      </c>
      <c r="AE888" s="32"/>
      <c r="AF888" s="32"/>
      <c r="AG888" s="37" t="n">
        <f aca="false">IF(R888="",0,IFERROR(MATCH(R888,Listas!$L$2:$L$50,0),0))</f>
        <v>0</v>
      </c>
    </row>
    <row r="889" customFormat="false" ht="15" hidden="false" customHeight="false" outlineLevel="0" collapsed="false">
      <c r="A889" s="30"/>
      <c r="B889" s="31"/>
      <c r="C889" s="32"/>
      <c r="D889" s="32"/>
      <c r="E889" s="33"/>
      <c r="F889" s="32"/>
      <c r="G889" s="32"/>
      <c r="H889" s="32"/>
      <c r="I889" s="32"/>
      <c r="J889" s="32"/>
      <c r="K889" s="32"/>
      <c r="L889" s="32"/>
      <c r="M889" s="30"/>
      <c r="N889" s="32"/>
      <c r="O889" s="34"/>
      <c r="P889" s="32"/>
      <c r="Q889" s="32"/>
      <c r="R889" s="32"/>
      <c r="S889" s="32"/>
      <c r="T889" s="32"/>
      <c r="U889" s="32"/>
      <c r="V889" s="31"/>
      <c r="W889" s="35" t="str">
        <f aca="true">IF(OR(V889="",AG889&gt;=8),"",IF(V889&lt;TODAY(),"Vencida",IF(V889=TODAY(),"Hoy","")))</f>
        <v/>
      </c>
      <c r="X889" s="36" t="str">
        <f aca="false">IF(A889="","",IF(COUNTIF(Seguimiento!$B$2:$B$5001,A889)=0,"",_xlfn.MAXIFS(Seguimiento!$A$2:$A$5001,Seguimiento!$B$2:$B$5001,A889)))</f>
        <v/>
      </c>
      <c r="Y889" s="37" t="str">
        <f aca="true">IF(B889="","",TODAY()-B889)</f>
        <v/>
      </c>
      <c r="Z889" s="38" t="str">
        <f aca="false">IF(OR(O889="",G889=""),"",O889*IFERROR(INDEX(Listas!$B$2:$B$50,MATCH(G889,Listas!$A$2:$A$50,0)),0))</f>
        <v/>
      </c>
      <c r="AA889" s="32"/>
      <c r="AB889" s="32"/>
      <c r="AC889" s="32"/>
      <c r="AD889" s="35" t="str">
        <f aca="false">IF(OR(LEFT(H889,4)="Meta",LEFT(H889,6)="Google"),IF(AG889=3,"Lead calificado",IF(OR(AG889=4,AG889=5),"Tasación/visita",IF(OR(AG889=6,AG889=7),"Captación/oferta",IF(AG889=8,"Cierre","")))),"")</f>
        <v/>
      </c>
      <c r="AE889" s="32"/>
      <c r="AF889" s="32"/>
      <c r="AG889" s="37" t="n">
        <f aca="false">IF(R889="",0,IFERROR(MATCH(R889,Listas!$L$2:$L$50,0),0))</f>
        <v>0</v>
      </c>
    </row>
    <row r="890" customFormat="false" ht="15" hidden="false" customHeight="false" outlineLevel="0" collapsed="false">
      <c r="A890" s="30"/>
      <c r="B890" s="31"/>
      <c r="C890" s="32"/>
      <c r="D890" s="32"/>
      <c r="E890" s="33"/>
      <c r="F890" s="32"/>
      <c r="G890" s="32"/>
      <c r="H890" s="32"/>
      <c r="I890" s="32"/>
      <c r="J890" s="32"/>
      <c r="K890" s="32"/>
      <c r="L890" s="32"/>
      <c r="M890" s="30"/>
      <c r="N890" s="32"/>
      <c r="O890" s="34"/>
      <c r="P890" s="32"/>
      <c r="Q890" s="32"/>
      <c r="R890" s="32"/>
      <c r="S890" s="32"/>
      <c r="T890" s="32"/>
      <c r="U890" s="32"/>
      <c r="V890" s="31"/>
      <c r="W890" s="35" t="str">
        <f aca="true">IF(OR(V890="",AG890&gt;=8),"",IF(V890&lt;TODAY(),"Vencida",IF(V890=TODAY(),"Hoy","")))</f>
        <v/>
      </c>
      <c r="X890" s="36" t="str">
        <f aca="false">IF(A890="","",IF(COUNTIF(Seguimiento!$B$2:$B$5001,A890)=0,"",_xlfn.MAXIFS(Seguimiento!$A$2:$A$5001,Seguimiento!$B$2:$B$5001,A890)))</f>
        <v/>
      </c>
      <c r="Y890" s="37" t="str">
        <f aca="true">IF(B890="","",TODAY()-B890)</f>
        <v/>
      </c>
      <c r="Z890" s="38" t="str">
        <f aca="false">IF(OR(O890="",G890=""),"",O890*IFERROR(INDEX(Listas!$B$2:$B$50,MATCH(G890,Listas!$A$2:$A$50,0)),0))</f>
        <v/>
      </c>
      <c r="AA890" s="32"/>
      <c r="AB890" s="32"/>
      <c r="AC890" s="32"/>
      <c r="AD890" s="35" t="str">
        <f aca="false">IF(OR(LEFT(H890,4)="Meta",LEFT(H890,6)="Google"),IF(AG890=3,"Lead calificado",IF(OR(AG890=4,AG890=5),"Tasación/visita",IF(OR(AG890=6,AG890=7),"Captación/oferta",IF(AG890=8,"Cierre","")))),"")</f>
        <v/>
      </c>
      <c r="AE890" s="32"/>
      <c r="AF890" s="32"/>
      <c r="AG890" s="37" t="n">
        <f aca="false">IF(R890="",0,IFERROR(MATCH(R890,Listas!$L$2:$L$50,0),0))</f>
        <v>0</v>
      </c>
    </row>
    <row r="891" customFormat="false" ht="15" hidden="false" customHeight="false" outlineLevel="0" collapsed="false">
      <c r="A891" s="30"/>
      <c r="B891" s="31"/>
      <c r="C891" s="32"/>
      <c r="D891" s="32"/>
      <c r="E891" s="33"/>
      <c r="F891" s="32"/>
      <c r="G891" s="32"/>
      <c r="H891" s="32"/>
      <c r="I891" s="32"/>
      <c r="J891" s="32"/>
      <c r="K891" s="32"/>
      <c r="L891" s="32"/>
      <c r="M891" s="30"/>
      <c r="N891" s="32"/>
      <c r="O891" s="34"/>
      <c r="P891" s="32"/>
      <c r="Q891" s="32"/>
      <c r="R891" s="32"/>
      <c r="S891" s="32"/>
      <c r="T891" s="32"/>
      <c r="U891" s="32"/>
      <c r="V891" s="31"/>
      <c r="W891" s="35" t="str">
        <f aca="true">IF(OR(V891="",AG891&gt;=8),"",IF(V891&lt;TODAY(),"Vencida",IF(V891=TODAY(),"Hoy","")))</f>
        <v/>
      </c>
      <c r="X891" s="36" t="str">
        <f aca="false">IF(A891="","",IF(COUNTIF(Seguimiento!$B$2:$B$5001,A891)=0,"",_xlfn.MAXIFS(Seguimiento!$A$2:$A$5001,Seguimiento!$B$2:$B$5001,A891)))</f>
        <v/>
      </c>
      <c r="Y891" s="37" t="str">
        <f aca="true">IF(B891="","",TODAY()-B891)</f>
        <v/>
      </c>
      <c r="Z891" s="38" t="str">
        <f aca="false">IF(OR(O891="",G891=""),"",O891*IFERROR(INDEX(Listas!$B$2:$B$50,MATCH(G891,Listas!$A$2:$A$50,0)),0))</f>
        <v/>
      </c>
      <c r="AA891" s="32"/>
      <c r="AB891" s="32"/>
      <c r="AC891" s="32"/>
      <c r="AD891" s="35" t="str">
        <f aca="false">IF(OR(LEFT(H891,4)="Meta",LEFT(H891,6)="Google"),IF(AG891=3,"Lead calificado",IF(OR(AG891=4,AG891=5),"Tasación/visita",IF(OR(AG891=6,AG891=7),"Captación/oferta",IF(AG891=8,"Cierre","")))),"")</f>
        <v/>
      </c>
      <c r="AE891" s="32"/>
      <c r="AF891" s="32"/>
      <c r="AG891" s="37" t="n">
        <f aca="false">IF(R891="",0,IFERROR(MATCH(R891,Listas!$L$2:$L$50,0),0))</f>
        <v>0</v>
      </c>
    </row>
    <row r="892" customFormat="false" ht="15" hidden="false" customHeight="false" outlineLevel="0" collapsed="false">
      <c r="A892" s="30"/>
      <c r="B892" s="31"/>
      <c r="C892" s="32"/>
      <c r="D892" s="32"/>
      <c r="E892" s="33"/>
      <c r="F892" s="32"/>
      <c r="G892" s="32"/>
      <c r="H892" s="32"/>
      <c r="I892" s="32"/>
      <c r="J892" s="32"/>
      <c r="K892" s="32"/>
      <c r="L892" s="32"/>
      <c r="M892" s="30"/>
      <c r="N892" s="32"/>
      <c r="O892" s="34"/>
      <c r="P892" s="32"/>
      <c r="Q892" s="32"/>
      <c r="R892" s="32"/>
      <c r="S892" s="32"/>
      <c r="T892" s="32"/>
      <c r="U892" s="32"/>
      <c r="V892" s="31"/>
      <c r="W892" s="35" t="str">
        <f aca="true">IF(OR(V892="",AG892&gt;=8),"",IF(V892&lt;TODAY(),"Vencida",IF(V892=TODAY(),"Hoy","")))</f>
        <v/>
      </c>
      <c r="X892" s="36" t="str">
        <f aca="false">IF(A892="","",IF(COUNTIF(Seguimiento!$B$2:$B$5001,A892)=0,"",_xlfn.MAXIFS(Seguimiento!$A$2:$A$5001,Seguimiento!$B$2:$B$5001,A892)))</f>
        <v/>
      </c>
      <c r="Y892" s="37" t="str">
        <f aca="true">IF(B892="","",TODAY()-B892)</f>
        <v/>
      </c>
      <c r="Z892" s="38" t="str">
        <f aca="false">IF(OR(O892="",G892=""),"",O892*IFERROR(INDEX(Listas!$B$2:$B$50,MATCH(G892,Listas!$A$2:$A$50,0)),0))</f>
        <v/>
      </c>
      <c r="AA892" s="32"/>
      <c r="AB892" s="32"/>
      <c r="AC892" s="32"/>
      <c r="AD892" s="35" t="str">
        <f aca="false">IF(OR(LEFT(H892,4)="Meta",LEFT(H892,6)="Google"),IF(AG892=3,"Lead calificado",IF(OR(AG892=4,AG892=5),"Tasación/visita",IF(OR(AG892=6,AG892=7),"Captación/oferta",IF(AG892=8,"Cierre","")))),"")</f>
        <v/>
      </c>
      <c r="AE892" s="32"/>
      <c r="AF892" s="32"/>
      <c r="AG892" s="37" t="n">
        <f aca="false">IF(R892="",0,IFERROR(MATCH(R892,Listas!$L$2:$L$50,0),0))</f>
        <v>0</v>
      </c>
    </row>
    <row r="893" customFormat="false" ht="15" hidden="false" customHeight="false" outlineLevel="0" collapsed="false">
      <c r="A893" s="30"/>
      <c r="B893" s="31"/>
      <c r="C893" s="32"/>
      <c r="D893" s="32"/>
      <c r="E893" s="33"/>
      <c r="F893" s="32"/>
      <c r="G893" s="32"/>
      <c r="H893" s="32"/>
      <c r="I893" s="32"/>
      <c r="J893" s="32"/>
      <c r="K893" s="32"/>
      <c r="L893" s="32"/>
      <c r="M893" s="30"/>
      <c r="N893" s="32"/>
      <c r="O893" s="34"/>
      <c r="P893" s="32"/>
      <c r="Q893" s="32"/>
      <c r="R893" s="32"/>
      <c r="S893" s="32"/>
      <c r="T893" s="32"/>
      <c r="U893" s="32"/>
      <c r="V893" s="31"/>
      <c r="W893" s="35" t="str">
        <f aca="true">IF(OR(V893="",AG893&gt;=8),"",IF(V893&lt;TODAY(),"Vencida",IF(V893=TODAY(),"Hoy","")))</f>
        <v/>
      </c>
      <c r="X893" s="36" t="str">
        <f aca="false">IF(A893="","",IF(COUNTIF(Seguimiento!$B$2:$B$5001,A893)=0,"",_xlfn.MAXIFS(Seguimiento!$A$2:$A$5001,Seguimiento!$B$2:$B$5001,A893)))</f>
        <v/>
      </c>
      <c r="Y893" s="37" t="str">
        <f aca="true">IF(B893="","",TODAY()-B893)</f>
        <v/>
      </c>
      <c r="Z893" s="38" t="str">
        <f aca="false">IF(OR(O893="",G893=""),"",O893*IFERROR(INDEX(Listas!$B$2:$B$50,MATCH(G893,Listas!$A$2:$A$50,0)),0))</f>
        <v/>
      </c>
      <c r="AA893" s="32"/>
      <c r="AB893" s="32"/>
      <c r="AC893" s="32"/>
      <c r="AD893" s="35" t="str">
        <f aca="false">IF(OR(LEFT(H893,4)="Meta",LEFT(H893,6)="Google"),IF(AG893=3,"Lead calificado",IF(OR(AG893=4,AG893=5),"Tasación/visita",IF(OR(AG893=6,AG893=7),"Captación/oferta",IF(AG893=8,"Cierre","")))),"")</f>
        <v/>
      </c>
      <c r="AE893" s="32"/>
      <c r="AF893" s="32"/>
      <c r="AG893" s="37" t="n">
        <f aca="false">IF(R893="",0,IFERROR(MATCH(R893,Listas!$L$2:$L$50,0),0))</f>
        <v>0</v>
      </c>
    </row>
    <row r="894" customFormat="false" ht="15" hidden="false" customHeight="false" outlineLevel="0" collapsed="false">
      <c r="A894" s="30"/>
      <c r="B894" s="31"/>
      <c r="C894" s="32"/>
      <c r="D894" s="32"/>
      <c r="E894" s="33"/>
      <c r="F894" s="32"/>
      <c r="G894" s="32"/>
      <c r="H894" s="32"/>
      <c r="I894" s="32"/>
      <c r="J894" s="32"/>
      <c r="K894" s="32"/>
      <c r="L894" s="32"/>
      <c r="M894" s="30"/>
      <c r="N894" s="32"/>
      <c r="O894" s="34"/>
      <c r="P894" s="32"/>
      <c r="Q894" s="32"/>
      <c r="R894" s="32"/>
      <c r="S894" s="32"/>
      <c r="T894" s="32"/>
      <c r="U894" s="32"/>
      <c r="V894" s="31"/>
      <c r="W894" s="35" t="str">
        <f aca="true">IF(OR(V894="",AG894&gt;=8),"",IF(V894&lt;TODAY(),"Vencida",IF(V894=TODAY(),"Hoy","")))</f>
        <v/>
      </c>
      <c r="X894" s="36" t="str">
        <f aca="false">IF(A894="","",IF(COUNTIF(Seguimiento!$B$2:$B$5001,A894)=0,"",_xlfn.MAXIFS(Seguimiento!$A$2:$A$5001,Seguimiento!$B$2:$B$5001,A894)))</f>
        <v/>
      </c>
      <c r="Y894" s="37" t="str">
        <f aca="true">IF(B894="","",TODAY()-B894)</f>
        <v/>
      </c>
      <c r="Z894" s="38" t="str">
        <f aca="false">IF(OR(O894="",G894=""),"",O894*IFERROR(INDEX(Listas!$B$2:$B$50,MATCH(G894,Listas!$A$2:$A$50,0)),0))</f>
        <v/>
      </c>
      <c r="AA894" s="32"/>
      <c r="AB894" s="32"/>
      <c r="AC894" s="32"/>
      <c r="AD894" s="35" t="str">
        <f aca="false">IF(OR(LEFT(H894,4)="Meta",LEFT(H894,6)="Google"),IF(AG894=3,"Lead calificado",IF(OR(AG894=4,AG894=5),"Tasación/visita",IF(OR(AG894=6,AG894=7),"Captación/oferta",IF(AG894=8,"Cierre","")))),"")</f>
        <v/>
      </c>
      <c r="AE894" s="32"/>
      <c r="AF894" s="32"/>
      <c r="AG894" s="37" t="n">
        <f aca="false">IF(R894="",0,IFERROR(MATCH(R894,Listas!$L$2:$L$50,0),0))</f>
        <v>0</v>
      </c>
    </row>
    <row r="895" customFormat="false" ht="15" hidden="false" customHeight="false" outlineLevel="0" collapsed="false">
      <c r="A895" s="30"/>
      <c r="B895" s="31"/>
      <c r="C895" s="32"/>
      <c r="D895" s="32"/>
      <c r="E895" s="33"/>
      <c r="F895" s="32"/>
      <c r="G895" s="32"/>
      <c r="H895" s="32"/>
      <c r="I895" s="32"/>
      <c r="J895" s="32"/>
      <c r="K895" s="32"/>
      <c r="L895" s="32"/>
      <c r="M895" s="30"/>
      <c r="N895" s="32"/>
      <c r="O895" s="34"/>
      <c r="P895" s="32"/>
      <c r="Q895" s="32"/>
      <c r="R895" s="32"/>
      <c r="S895" s="32"/>
      <c r="T895" s="32"/>
      <c r="U895" s="32"/>
      <c r="V895" s="31"/>
      <c r="W895" s="35" t="str">
        <f aca="true">IF(OR(V895="",AG895&gt;=8),"",IF(V895&lt;TODAY(),"Vencida",IF(V895=TODAY(),"Hoy","")))</f>
        <v/>
      </c>
      <c r="X895" s="36" t="str">
        <f aca="false">IF(A895="","",IF(COUNTIF(Seguimiento!$B$2:$B$5001,A895)=0,"",_xlfn.MAXIFS(Seguimiento!$A$2:$A$5001,Seguimiento!$B$2:$B$5001,A895)))</f>
        <v/>
      </c>
      <c r="Y895" s="37" t="str">
        <f aca="true">IF(B895="","",TODAY()-B895)</f>
        <v/>
      </c>
      <c r="Z895" s="38" t="str">
        <f aca="false">IF(OR(O895="",G895=""),"",O895*IFERROR(INDEX(Listas!$B$2:$B$50,MATCH(G895,Listas!$A$2:$A$50,0)),0))</f>
        <v/>
      </c>
      <c r="AA895" s="32"/>
      <c r="AB895" s="32"/>
      <c r="AC895" s="32"/>
      <c r="AD895" s="35" t="str">
        <f aca="false">IF(OR(LEFT(H895,4)="Meta",LEFT(H895,6)="Google"),IF(AG895=3,"Lead calificado",IF(OR(AG895=4,AG895=5),"Tasación/visita",IF(OR(AG895=6,AG895=7),"Captación/oferta",IF(AG895=8,"Cierre","")))),"")</f>
        <v/>
      </c>
      <c r="AE895" s="32"/>
      <c r="AF895" s="32"/>
      <c r="AG895" s="37" t="n">
        <f aca="false">IF(R895="",0,IFERROR(MATCH(R895,Listas!$L$2:$L$50,0),0))</f>
        <v>0</v>
      </c>
    </row>
    <row r="896" customFormat="false" ht="15" hidden="false" customHeight="false" outlineLevel="0" collapsed="false">
      <c r="A896" s="30"/>
      <c r="B896" s="31"/>
      <c r="C896" s="32"/>
      <c r="D896" s="32"/>
      <c r="E896" s="33"/>
      <c r="F896" s="32"/>
      <c r="G896" s="32"/>
      <c r="H896" s="32"/>
      <c r="I896" s="32"/>
      <c r="J896" s="32"/>
      <c r="K896" s="32"/>
      <c r="L896" s="32"/>
      <c r="M896" s="30"/>
      <c r="N896" s="32"/>
      <c r="O896" s="34"/>
      <c r="P896" s="32"/>
      <c r="Q896" s="32"/>
      <c r="R896" s="32"/>
      <c r="S896" s="32"/>
      <c r="T896" s="32"/>
      <c r="U896" s="32"/>
      <c r="V896" s="31"/>
      <c r="W896" s="35" t="str">
        <f aca="true">IF(OR(V896="",AG896&gt;=8),"",IF(V896&lt;TODAY(),"Vencida",IF(V896=TODAY(),"Hoy","")))</f>
        <v/>
      </c>
      <c r="X896" s="36" t="str">
        <f aca="false">IF(A896="","",IF(COUNTIF(Seguimiento!$B$2:$B$5001,A896)=0,"",_xlfn.MAXIFS(Seguimiento!$A$2:$A$5001,Seguimiento!$B$2:$B$5001,A896)))</f>
        <v/>
      </c>
      <c r="Y896" s="37" t="str">
        <f aca="true">IF(B896="","",TODAY()-B896)</f>
        <v/>
      </c>
      <c r="Z896" s="38" t="str">
        <f aca="false">IF(OR(O896="",G896=""),"",O896*IFERROR(INDEX(Listas!$B$2:$B$50,MATCH(G896,Listas!$A$2:$A$50,0)),0))</f>
        <v/>
      </c>
      <c r="AA896" s="32"/>
      <c r="AB896" s="32"/>
      <c r="AC896" s="32"/>
      <c r="AD896" s="35" t="str">
        <f aca="false">IF(OR(LEFT(H896,4)="Meta",LEFT(H896,6)="Google"),IF(AG896=3,"Lead calificado",IF(OR(AG896=4,AG896=5),"Tasación/visita",IF(OR(AG896=6,AG896=7),"Captación/oferta",IF(AG896=8,"Cierre","")))),"")</f>
        <v/>
      </c>
      <c r="AE896" s="32"/>
      <c r="AF896" s="32"/>
      <c r="AG896" s="37" t="n">
        <f aca="false">IF(R896="",0,IFERROR(MATCH(R896,Listas!$L$2:$L$50,0),0))</f>
        <v>0</v>
      </c>
    </row>
    <row r="897" customFormat="false" ht="15" hidden="false" customHeight="false" outlineLevel="0" collapsed="false">
      <c r="A897" s="30"/>
      <c r="B897" s="31"/>
      <c r="C897" s="32"/>
      <c r="D897" s="32"/>
      <c r="E897" s="33"/>
      <c r="F897" s="32"/>
      <c r="G897" s="32"/>
      <c r="H897" s="32"/>
      <c r="I897" s="32"/>
      <c r="J897" s="32"/>
      <c r="K897" s="32"/>
      <c r="L897" s="32"/>
      <c r="M897" s="30"/>
      <c r="N897" s="32"/>
      <c r="O897" s="34"/>
      <c r="P897" s="32"/>
      <c r="Q897" s="32"/>
      <c r="R897" s="32"/>
      <c r="S897" s="32"/>
      <c r="T897" s="32"/>
      <c r="U897" s="32"/>
      <c r="V897" s="31"/>
      <c r="W897" s="35" t="str">
        <f aca="true">IF(OR(V897="",AG897&gt;=8),"",IF(V897&lt;TODAY(),"Vencida",IF(V897=TODAY(),"Hoy","")))</f>
        <v/>
      </c>
      <c r="X897" s="36" t="str">
        <f aca="false">IF(A897="","",IF(COUNTIF(Seguimiento!$B$2:$B$5001,A897)=0,"",_xlfn.MAXIFS(Seguimiento!$A$2:$A$5001,Seguimiento!$B$2:$B$5001,A897)))</f>
        <v/>
      </c>
      <c r="Y897" s="37" t="str">
        <f aca="true">IF(B897="","",TODAY()-B897)</f>
        <v/>
      </c>
      <c r="Z897" s="38" t="str">
        <f aca="false">IF(OR(O897="",G897=""),"",O897*IFERROR(INDEX(Listas!$B$2:$B$50,MATCH(G897,Listas!$A$2:$A$50,0)),0))</f>
        <v/>
      </c>
      <c r="AA897" s="32"/>
      <c r="AB897" s="32"/>
      <c r="AC897" s="32"/>
      <c r="AD897" s="35" t="str">
        <f aca="false">IF(OR(LEFT(H897,4)="Meta",LEFT(H897,6)="Google"),IF(AG897=3,"Lead calificado",IF(OR(AG897=4,AG897=5),"Tasación/visita",IF(OR(AG897=6,AG897=7),"Captación/oferta",IF(AG897=8,"Cierre","")))),"")</f>
        <v/>
      </c>
      <c r="AE897" s="32"/>
      <c r="AF897" s="32"/>
      <c r="AG897" s="37" t="n">
        <f aca="false">IF(R897="",0,IFERROR(MATCH(R897,Listas!$L$2:$L$50,0),0))</f>
        <v>0</v>
      </c>
    </row>
    <row r="898" customFormat="false" ht="15" hidden="false" customHeight="false" outlineLevel="0" collapsed="false">
      <c r="A898" s="30"/>
      <c r="B898" s="31"/>
      <c r="C898" s="32"/>
      <c r="D898" s="32"/>
      <c r="E898" s="33"/>
      <c r="F898" s="32"/>
      <c r="G898" s="32"/>
      <c r="H898" s="32"/>
      <c r="I898" s="32"/>
      <c r="J898" s="32"/>
      <c r="K898" s="32"/>
      <c r="L898" s="32"/>
      <c r="M898" s="30"/>
      <c r="N898" s="32"/>
      <c r="O898" s="34"/>
      <c r="P898" s="32"/>
      <c r="Q898" s="32"/>
      <c r="R898" s="32"/>
      <c r="S898" s="32"/>
      <c r="T898" s="32"/>
      <c r="U898" s="32"/>
      <c r="V898" s="31"/>
      <c r="W898" s="35" t="str">
        <f aca="true">IF(OR(V898="",AG898&gt;=8),"",IF(V898&lt;TODAY(),"Vencida",IF(V898=TODAY(),"Hoy","")))</f>
        <v/>
      </c>
      <c r="X898" s="36" t="str">
        <f aca="false">IF(A898="","",IF(COUNTIF(Seguimiento!$B$2:$B$5001,A898)=0,"",_xlfn.MAXIFS(Seguimiento!$A$2:$A$5001,Seguimiento!$B$2:$B$5001,A898)))</f>
        <v/>
      </c>
      <c r="Y898" s="37" t="str">
        <f aca="true">IF(B898="","",TODAY()-B898)</f>
        <v/>
      </c>
      <c r="Z898" s="38" t="str">
        <f aca="false">IF(OR(O898="",G898=""),"",O898*IFERROR(INDEX(Listas!$B$2:$B$50,MATCH(G898,Listas!$A$2:$A$50,0)),0))</f>
        <v/>
      </c>
      <c r="AA898" s="32"/>
      <c r="AB898" s="32"/>
      <c r="AC898" s="32"/>
      <c r="AD898" s="35" t="str">
        <f aca="false">IF(OR(LEFT(H898,4)="Meta",LEFT(H898,6)="Google"),IF(AG898=3,"Lead calificado",IF(OR(AG898=4,AG898=5),"Tasación/visita",IF(OR(AG898=6,AG898=7),"Captación/oferta",IF(AG898=8,"Cierre","")))),"")</f>
        <v/>
      </c>
      <c r="AE898" s="32"/>
      <c r="AF898" s="32"/>
      <c r="AG898" s="37" t="n">
        <f aca="false">IF(R898="",0,IFERROR(MATCH(R898,Listas!$L$2:$L$50,0),0))</f>
        <v>0</v>
      </c>
    </row>
    <row r="899" customFormat="false" ht="15" hidden="false" customHeight="false" outlineLevel="0" collapsed="false">
      <c r="A899" s="30"/>
      <c r="B899" s="31"/>
      <c r="C899" s="32"/>
      <c r="D899" s="32"/>
      <c r="E899" s="33"/>
      <c r="F899" s="32"/>
      <c r="G899" s="32"/>
      <c r="H899" s="32"/>
      <c r="I899" s="32"/>
      <c r="J899" s="32"/>
      <c r="K899" s="32"/>
      <c r="L899" s="32"/>
      <c r="M899" s="30"/>
      <c r="N899" s="32"/>
      <c r="O899" s="34"/>
      <c r="P899" s="32"/>
      <c r="Q899" s="32"/>
      <c r="R899" s="32"/>
      <c r="S899" s="32"/>
      <c r="T899" s="32"/>
      <c r="U899" s="32"/>
      <c r="V899" s="31"/>
      <c r="W899" s="35" t="str">
        <f aca="true">IF(OR(V899="",AG899&gt;=8),"",IF(V899&lt;TODAY(),"Vencida",IF(V899=TODAY(),"Hoy","")))</f>
        <v/>
      </c>
      <c r="X899" s="36" t="str">
        <f aca="false">IF(A899="","",IF(COUNTIF(Seguimiento!$B$2:$B$5001,A899)=0,"",_xlfn.MAXIFS(Seguimiento!$A$2:$A$5001,Seguimiento!$B$2:$B$5001,A899)))</f>
        <v/>
      </c>
      <c r="Y899" s="37" t="str">
        <f aca="true">IF(B899="","",TODAY()-B899)</f>
        <v/>
      </c>
      <c r="Z899" s="38" t="str">
        <f aca="false">IF(OR(O899="",G899=""),"",O899*IFERROR(INDEX(Listas!$B$2:$B$50,MATCH(G899,Listas!$A$2:$A$50,0)),0))</f>
        <v/>
      </c>
      <c r="AA899" s="32"/>
      <c r="AB899" s="32"/>
      <c r="AC899" s="32"/>
      <c r="AD899" s="35" t="str">
        <f aca="false">IF(OR(LEFT(H899,4)="Meta",LEFT(H899,6)="Google"),IF(AG899=3,"Lead calificado",IF(OR(AG899=4,AG899=5),"Tasación/visita",IF(OR(AG899=6,AG899=7),"Captación/oferta",IF(AG899=8,"Cierre","")))),"")</f>
        <v/>
      </c>
      <c r="AE899" s="32"/>
      <c r="AF899" s="32"/>
      <c r="AG899" s="37" t="n">
        <f aca="false">IF(R899="",0,IFERROR(MATCH(R899,Listas!$L$2:$L$50,0),0))</f>
        <v>0</v>
      </c>
    </row>
    <row r="900" customFormat="false" ht="15" hidden="false" customHeight="false" outlineLevel="0" collapsed="false">
      <c r="A900" s="30"/>
      <c r="B900" s="31"/>
      <c r="C900" s="32"/>
      <c r="D900" s="32"/>
      <c r="E900" s="33"/>
      <c r="F900" s="32"/>
      <c r="G900" s="32"/>
      <c r="H900" s="32"/>
      <c r="I900" s="32"/>
      <c r="J900" s="32"/>
      <c r="K900" s="32"/>
      <c r="L900" s="32"/>
      <c r="M900" s="30"/>
      <c r="N900" s="32"/>
      <c r="O900" s="34"/>
      <c r="P900" s="32"/>
      <c r="Q900" s="32"/>
      <c r="R900" s="32"/>
      <c r="S900" s="32"/>
      <c r="T900" s="32"/>
      <c r="U900" s="32"/>
      <c r="V900" s="31"/>
      <c r="W900" s="35" t="str">
        <f aca="true">IF(OR(V900="",AG900&gt;=8),"",IF(V900&lt;TODAY(),"Vencida",IF(V900=TODAY(),"Hoy","")))</f>
        <v/>
      </c>
      <c r="X900" s="36" t="str">
        <f aca="false">IF(A900="","",IF(COUNTIF(Seguimiento!$B$2:$B$5001,A900)=0,"",_xlfn.MAXIFS(Seguimiento!$A$2:$A$5001,Seguimiento!$B$2:$B$5001,A900)))</f>
        <v/>
      </c>
      <c r="Y900" s="37" t="str">
        <f aca="true">IF(B900="","",TODAY()-B900)</f>
        <v/>
      </c>
      <c r="Z900" s="38" t="str">
        <f aca="false">IF(OR(O900="",G900=""),"",O900*IFERROR(INDEX(Listas!$B$2:$B$50,MATCH(G900,Listas!$A$2:$A$50,0)),0))</f>
        <v/>
      </c>
      <c r="AA900" s="32"/>
      <c r="AB900" s="32"/>
      <c r="AC900" s="32"/>
      <c r="AD900" s="35" t="str">
        <f aca="false">IF(OR(LEFT(H900,4)="Meta",LEFT(H900,6)="Google"),IF(AG900=3,"Lead calificado",IF(OR(AG900=4,AG900=5),"Tasación/visita",IF(OR(AG900=6,AG900=7),"Captación/oferta",IF(AG900=8,"Cierre","")))),"")</f>
        <v/>
      </c>
      <c r="AE900" s="32"/>
      <c r="AF900" s="32"/>
      <c r="AG900" s="37" t="n">
        <f aca="false">IF(R900="",0,IFERROR(MATCH(R900,Listas!$L$2:$L$50,0),0))</f>
        <v>0</v>
      </c>
    </row>
    <row r="901" customFormat="false" ht="15" hidden="false" customHeight="false" outlineLevel="0" collapsed="false">
      <c r="A901" s="30"/>
      <c r="B901" s="31"/>
      <c r="C901" s="32"/>
      <c r="D901" s="32"/>
      <c r="E901" s="33"/>
      <c r="F901" s="32"/>
      <c r="G901" s="32"/>
      <c r="H901" s="32"/>
      <c r="I901" s="32"/>
      <c r="J901" s="32"/>
      <c r="K901" s="32"/>
      <c r="L901" s="32"/>
      <c r="M901" s="30"/>
      <c r="N901" s="32"/>
      <c r="O901" s="34"/>
      <c r="P901" s="32"/>
      <c r="Q901" s="32"/>
      <c r="R901" s="32"/>
      <c r="S901" s="32"/>
      <c r="T901" s="32"/>
      <c r="U901" s="32"/>
      <c r="V901" s="31"/>
      <c r="W901" s="35" t="str">
        <f aca="true">IF(OR(V901="",AG901&gt;=8),"",IF(V901&lt;TODAY(),"Vencida",IF(V901=TODAY(),"Hoy","")))</f>
        <v/>
      </c>
      <c r="X901" s="36" t="str">
        <f aca="false">IF(A901="","",IF(COUNTIF(Seguimiento!$B$2:$B$5001,A901)=0,"",_xlfn.MAXIFS(Seguimiento!$A$2:$A$5001,Seguimiento!$B$2:$B$5001,A901)))</f>
        <v/>
      </c>
      <c r="Y901" s="37" t="str">
        <f aca="true">IF(B901="","",TODAY()-B901)</f>
        <v/>
      </c>
      <c r="Z901" s="38" t="str">
        <f aca="false">IF(OR(O901="",G901=""),"",O901*IFERROR(INDEX(Listas!$B$2:$B$50,MATCH(G901,Listas!$A$2:$A$50,0)),0))</f>
        <v/>
      </c>
      <c r="AA901" s="32"/>
      <c r="AB901" s="32"/>
      <c r="AC901" s="32"/>
      <c r="AD901" s="35" t="str">
        <f aca="false">IF(OR(LEFT(H901,4)="Meta",LEFT(H901,6)="Google"),IF(AG901=3,"Lead calificado",IF(OR(AG901=4,AG901=5),"Tasación/visita",IF(OR(AG901=6,AG901=7),"Captación/oferta",IF(AG901=8,"Cierre","")))),"")</f>
        <v/>
      </c>
      <c r="AE901" s="32"/>
      <c r="AF901" s="32"/>
      <c r="AG901" s="37" t="n">
        <f aca="false">IF(R901="",0,IFERROR(MATCH(R901,Listas!$L$2:$L$50,0),0))</f>
        <v>0</v>
      </c>
    </row>
    <row r="902" customFormat="false" ht="15" hidden="false" customHeight="false" outlineLevel="0" collapsed="false">
      <c r="A902" s="30"/>
      <c r="B902" s="31"/>
      <c r="C902" s="32"/>
      <c r="D902" s="32"/>
      <c r="E902" s="33"/>
      <c r="F902" s="32"/>
      <c r="G902" s="32"/>
      <c r="H902" s="32"/>
      <c r="I902" s="32"/>
      <c r="J902" s="32"/>
      <c r="K902" s="32"/>
      <c r="L902" s="32"/>
      <c r="M902" s="30"/>
      <c r="N902" s="32"/>
      <c r="O902" s="34"/>
      <c r="P902" s="32"/>
      <c r="Q902" s="32"/>
      <c r="R902" s="32"/>
      <c r="S902" s="32"/>
      <c r="T902" s="32"/>
      <c r="U902" s="32"/>
      <c r="V902" s="31"/>
      <c r="W902" s="35" t="str">
        <f aca="true">IF(OR(V902="",AG902&gt;=8),"",IF(V902&lt;TODAY(),"Vencida",IF(V902=TODAY(),"Hoy","")))</f>
        <v/>
      </c>
      <c r="X902" s="36" t="str">
        <f aca="false">IF(A902="","",IF(COUNTIF(Seguimiento!$B$2:$B$5001,A902)=0,"",_xlfn.MAXIFS(Seguimiento!$A$2:$A$5001,Seguimiento!$B$2:$B$5001,A902)))</f>
        <v/>
      </c>
      <c r="Y902" s="37" t="str">
        <f aca="true">IF(B902="","",TODAY()-B902)</f>
        <v/>
      </c>
      <c r="Z902" s="38" t="str">
        <f aca="false">IF(OR(O902="",G902=""),"",O902*IFERROR(INDEX(Listas!$B$2:$B$50,MATCH(G902,Listas!$A$2:$A$50,0)),0))</f>
        <v/>
      </c>
      <c r="AA902" s="32"/>
      <c r="AB902" s="32"/>
      <c r="AC902" s="32"/>
      <c r="AD902" s="35" t="str">
        <f aca="false">IF(OR(LEFT(H902,4)="Meta",LEFT(H902,6)="Google"),IF(AG902=3,"Lead calificado",IF(OR(AG902=4,AG902=5),"Tasación/visita",IF(OR(AG902=6,AG902=7),"Captación/oferta",IF(AG902=8,"Cierre","")))),"")</f>
        <v/>
      </c>
      <c r="AE902" s="32"/>
      <c r="AF902" s="32"/>
      <c r="AG902" s="37" t="n">
        <f aca="false">IF(R902="",0,IFERROR(MATCH(R902,Listas!$L$2:$L$50,0),0))</f>
        <v>0</v>
      </c>
    </row>
    <row r="903" customFormat="false" ht="15" hidden="false" customHeight="false" outlineLevel="0" collapsed="false">
      <c r="A903" s="30"/>
      <c r="B903" s="31"/>
      <c r="C903" s="32"/>
      <c r="D903" s="32"/>
      <c r="E903" s="33"/>
      <c r="F903" s="32"/>
      <c r="G903" s="32"/>
      <c r="H903" s="32"/>
      <c r="I903" s="32"/>
      <c r="J903" s="32"/>
      <c r="K903" s="32"/>
      <c r="L903" s="32"/>
      <c r="M903" s="30"/>
      <c r="N903" s="32"/>
      <c r="O903" s="34"/>
      <c r="P903" s="32"/>
      <c r="Q903" s="32"/>
      <c r="R903" s="32"/>
      <c r="S903" s="32"/>
      <c r="T903" s="32"/>
      <c r="U903" s="32"/>
      <c r="V903" s="31"/>
      <c r="W903" s="35" t="str">
        <f aca="true">IF(OR(V903="",AG903&gt;=8),"",IF(V903&lt;TODAY(),"Vencida",IF(V903=TODAY(),"Hoy","")))</f>
        <v/>
      </c>
      <c r="X903" s="36" t="str">
        <f aca="false">IF(A903="","",IF(COUNTIF(Seguimiento!$B$2:$B$5001,A903)=0,"",_xlfn.MAXIFS(Seguimiento!$A$2:$A$5001,Seguimiento!$B$2:$B$5001,A903)))</f>
        <v/>
      </c>
      <c r="Y903" s="37" t="str">
        <f aca="true">IF(B903="","",TODAY()-B903)</f>
        <v/>
      </c>
      <c r="Z903" s="38" t="str">
        <f aca="false">IF(OR(O903="",G903=""),"",O903*IFERROR(INDEX(Listas!$B$2:$B$50,MATCH(G903,Listas!$A$2:$A$50,0)),0))</f>
        <v/>
      </c>
      <c r="AA903" s="32"/>
      <c r="AB903" s="32"/>
      <c r="AC903" s="32"/>
      <c r="AD903" s="35" t="str">
        <f aca="false">IF(OR(LEFT(H903,4)="Meta",LEFT(H903,6)="Google"),IF(AG903=3,"Lead calificado",IF(OR(AG903=4,AG903=5),"Tasación/visita",IF(OR(AG903=6,AG903=7),"Captación/oferta",IF(AG903=8,"Cierre","")))),"")</f>
        <v/>
      </c>
      <c r="AE903" s="32"/>
      <c r="AF903" s="32"/>
      <c r="AG903" s="37" t="n">
        <f aca="false">IF(R903="",0,IFERROR(MATCH(R903,Listas!$L$2:$L$50,0),0))</f>
        <v>0</v>
      </c>
    </row>
    <row r="904" customFormat="false" ht="15" hidden="false" customHeight="false" outlineLevel="0" collapsed="false">
      <c r="A904" s="30"/>
      <c r="B904" s="31"/>
      <c r="C904" s="32"/>
      <c r="D904" s="32"/>
      <c r="E904" s="33"/>
      <c r="F904" s="32"/>
      <c r="G904" s="32"/>
      <c r="H904" s="32"/>
      <c r="I904" s="32"/>
      <c r="J904" s="32"/>
      <c r="K904" s="32"/>
      <c r="L904" s="32"/>
      <c r="M904" s="30"/>
      <c r="N904" s="32"/>
      <c r="O904" s="34"/>
      <c r="P904" s="32"/>
      <c r="Q904" s="32"/>
      <c r="R904" s="32"/>
      <c r="S904" s="32"/>
      <c r="T904" s="32"/>
      <c r="U904" s="32"/>
      <c r="V904" s="31"/>
      <c r="W904" s="35" t="str">
        <f aca="true">IF(OR(V904="",AG904&gt;=8),"",IF(V904&lt;TODAY(),"Vencida",IF(V904=TODAY(),"Hoy","")))</f>
        <v/>
      </c>
      <c r="X904" s="36" t="str">
        <f aca="false">IF(A904="","",IF(COUNTIF(Seguimiento!$B$2:$B$5001,A904)=0,"",_xlfn.MAXIFS(Seguimiento!$A$2:$A$5001,Seguimiento!$B$2:$B$5001,A904)))</f>
        <v/>
      </c>
      <c r="Y904" s="37" t="str">
        <f aca="true">IF(B904="","",TODAY()-B904)</f>
        <v/>
      </c>
      <c r="Z904" s="38" t="str">
        <f aca="false">IF(OR(O904="",G904=""),"",O904*IFERROR(INDEX(Listas!$B$2:$B$50,MATCH(G904,Listas!$A$2:$A$50,0)),0))</f>
        <v/>
      </c>
      <c r="AA904" s="32"/>
      <c r="AB904" s="32"/>
      <c r="AC904" s="32"/>
      <c r="AD904" s="35" t="str">
        <f aca="false">IF(OR(LEFT(H904,4)="Meta",LEFT(H904,6)="Google"),IF(AG904=3,"Lead calificado",IF(OR(AG904=4,AG904=5),"Tasación/visita",IF(OR(AG904=6,AG904=7),"Captación/oferta",IF(AG904=8,"Cierre","")))),"")</f>
        <v/>
      </c>
      <c r="AE904" s="32"/>
      <c r="AF904" s="32"/>
      <c r="AG904" s="37" t="n">
        <f aca="false">IF(R904="",0,IFERROR(MATCH(R904,Listas!$L$2:$L$50,0),0))</f>
        <v>0</v>
      </c>
    </row>
    <row r="905" customFormat="false" ht="15" hidden="false" customHeight="false" outlineLevel="0" collapsed="false">
      <c r="A905" s="30"/>
      <c r="B905" s="31"/>
      <c r="C905" s="32"/>
      <c r="D905" s="32"/>
      <c r="E905" s="33"/>
      <c r="F905" s="32"/>
      <c r="G905" s="32"/>
      <c r="H905" s="32"/>
      <c r="I905" s="32"/>
      <c r="J905" s="32"/>
      <c r="K905" s="32"/>
      <c r="L905" s="32"/>
      <c r="M905" s="30"/>
      <c r="N905" s="32"/>
      <c r="O905" s="34"/>
      <c r="P905" s="32"/>
      <c r="Q905" s="32"/>
      <c r="R905" s="32"/>
      <c r="S905" s="32"/>
      <c r="T905" s="32"/>
      <c r="U905" s="32"/>
      <c r="V905" s="31"/>
      <c r="W905" s="35" t="str">
        <f aca="true">IF(OR(V905="",AG905&gt;=8),"",IF(V905&lt;TODAY(),"Vencida",IF(V905=TODAY(),"Hoy","")))</f>
        <v/>
      </c>
      <c r="X905" s="36" t="str">
        <f aca="false">IF(A905="","",IF(COUNTIF(Seguimiento!$B$2:$B$5001,A905)=0,"",_xlfn.MAXIFS(Seguimiento!$A$2:$A$5001,Seguimiento!$B$2:$B$5001,A905)))</f>
        <v/>
      </c>
      <c r="Y905" s="37" t="str">
        <f aca="true">IF(B905="","",TODAY()-B905)</f>
        <v/>
      </c>
      <c r="Z905" s="38" t="str">
        <f aca="false">IF(OR(O905="",G905=""),"",O905*IFERROR(INDEX(Listas!$B$2:$B$50,MATCH(G905,Listas!$A$2:$A$50,0)),0))</f>
        <v/>
      </c>
      <c r="AA905" s="32"/>
      <c r="AB905" s="32"/>
      <c r="AC905" s="32"/>
      <c r="AD905" s="35" t="str">
        <f aca="false">IF(OR(LEFT(H905,4)="Meta",LEFT(H905,6)="Google"),IF(AG905=3,"Lead calificado",IF(OR(AG905=4,AG905=5),"Tasación/visita",IF(OR(AG905=6,AG905=7),"Captación/oferta",IF(AG905=8,"Cierre","")))),"")</f>
        <v/>
      </c>
      <c r="AE905" s="32"/>
      <c r="AF905" s="32"/>
      <c r="AG905" s="37" t="n">
        <f aca="false">IF(R905="",0,IFERROR(MATCH(R905,Listas!$L$2:$L$50,0),0))</f>
        <v>0</v>
      </c>
    </row>
    <row r="906" customFormat="false" ht="15" hidden="false" customHeight="false" outlineLevel="0" collapsed="false">
      <c r="A906" s="30"/>
      <c r="B906" s="31"/>
      <c r="C906" s="32"/>
      <c r="D906" s="32"/>
      <c r="E906" s="33"/>
      <c r="F906" s="32"/>
      <c r="G906" s="32"/>
      <c r="H906" s="32"/>
      <c r="I906" s="32"/>
      <c r="J906" s="32"/>
      <c r="K906" s="32"/>
      <c r="L906" s="32"/>
      <c r="M906" s="30"/>
      <c r="N906" s="32"/>
      <c r="O906" s="34"/>
      <c r="P906" s="32"/>
      <c r="Q906" s="32"/>
      <c r="R906" s="32"/>
      <c r="S906" s="32"/>
      <c r="T906" s="32"/>
      <c r="U906" s="32"/>
      <c r="V906" s="31"/>
      <c r="W906" s="35" t="str">
        <f aca="true">IF(OR(V906="",AG906&gt;=8),"",IF(V906&lt;TODAY(),"Vencida",IF(V906=TODAY(),"Hoy","")))</f>
        <v/>
      </c>
      <c r="X906" s="36" t="str">
        <f aca="false">IF(A906="","",IF(COUNTIF(Seguimiento!$B$2:$B$5001,A906)=0,"",_xlfn.MAXIFS(Seguimiento!$A$2:$A$5001,Seguimiento!$B$2:$B$5001,A906)))</f>
        <v/>
      </c>
      <c r="Y906" s="37" t="str">
        <f aca="true">IF(B906="","",TODAY()-B906)</f>
        <v/>
      </c>
      <c r="Z906" s="38" t="str">
        <f aca="false">IF(OR(O906="",G906=""),"",O906*IFERROR(INDEX(Listas!$B$2:$B$50,MATCH(G906,Listas!$A$2:$A$50,0)),0))</f>
        <v/>
      </c>
      <c r="AA906" s="32"/>
      <c r="AB906" s="32"/>
      <c r="AC906" s="32"/>
      <c r="AD906" s="35" t="str">
        <f aca="false">IF(OR(LEFT(H906,4)="Meta",LEFT(H906,6)="Google"),IF(AG906=3,"Lead calificado",IF(OR(AG906=4,AG906=5),"Tasación/visita",IF(OR(AG906=6,AG906=7),"Captación/oferta",IF(AG906=8,"Cierre","")))),"")</f>
        <v/>
      </c>
      <c r="AE906" s="32"/>
      <c r="AF906" s="32"/>
      <c r="AG906" s="37" t="n">
        <f aca="false">IF(R906="",0,IFERROR(MATCH(R906,Listas!$L$2:$L$50,0),0))</f>
        <v>0</v>
      </c>
    </row>
    <row r="907" customFormat="false" ht="15" hidden="false" customHeight="false" outlineLevel="0" collapsed="false">
      <c r="A907" s="30"/>
      <c r="B907" s="31"/>
      <c r="C907" s="32"/>
      <c r="D907" s="32"/>
      <c r="E907" s="33"/>
      <c r="F907" s="32"/>
      <c r="G907" s="32"/>
      <c r="H907" s="32"/>
      <c r="I907" s="32"/>
      <c r="J907" s="32"/>
      <c r="K907" s="32"/>
      <c r="L907" s="32"/>
      <c r="M907" s="30"/>
      <c r="N907" s="32"/>
      <c r="O907" s="34"/>
      <c r="P907" s="32"/>
      <c r="Q907" s="32"/>
      <c r="R907" s="32"/>
      <c r="S907" s="32"/>
      <c r="T907" s="32"/>
      <c r="U907" s="32"/>
      <c r="V907" s="31"/>
      <c r="W907" s="35" t="str">
        <f aca="true">IF(OR(V907="",AG907&gt;=8),"",IF(V907&lt;TODAY(),"Vencida",IF(V907=TODAY(),"Hoy","")))</f>
        <v/>
      </c>
      <c r="X907" s="36" t="str">
        <f aca="false">IF(A907="","",IF(COUNTIF(Seguimiento!$B$2:$B$5001,A907)=0,"",_xlfn.MAXIFS(Seguimiento!$A$2:$A$5001,Seguimiento!$B$2:$B$5001,A907)))</f>
        <v/>
      </c>
      <c r="Y907" s="37" t="str">
        <f aca="true">IF(B907="","",TODAY()-B907)</f>
        <v/>
      </c>
      <c r="Z907" s="38" t="str">
        <f aca="false">IF(OR(O907="",G907=""),"",O907*IFERROR(INDEX(Listas!$B$2:$B$50,MATCH(G907,Listas!$A$2:$A$50,0)),0))</f>
        <v/>
      </c>
      <c r="AA907" s="32"/>
      <c r="AB907" s="32"/>
      <c r="AC907" s="32"/>
      <c r="AD907" s="35" t="str">
        <f aca="false">IF(OR(LEFT(H907,4)="Meta",LEFT(H907,6)="Google"),IF(AG907=3,"Lead calificado",IF(OR(AG907=4,AG907=5),"Tasación/visita",IF(OR(AG907=6,AG907=7),"Captación/oferta",IF(AG907=8,"Cierre","")))),"")</f>
        <v/>
      </c>
      <c r="AE907" s="32"/>
      <c r="AF907" s="32"/>
      <c r="AG907" s="37" t="n">
        <f aca="false">IF(R907="",0,IFERROR(MATCH(R907,Listas!$L$2:$L$50,0),0))</f>
        <v>0</v>
      </c>
    </row>
    <row r="908" customFormat="false" ht="15" hidden="false" customHeight="false" outlineLevel="0" collapsed="false">
      <c r="A908" s="30"/>
      <c r="B908" s="31"/>
      <c r="C908" s="32"/>
      <c r="D908" s="32"/>
      <c r="E908" s="33"/>
      <c r="F908" s="32"/>
      <c r="G908" s="32"/>
      <c r="H908" s="32"/>
      <c r="I908" s="32"/>
      <c r="J908" s="32"/>
      <c r="K908" s="32"/>
      <c r="L908" s="32"/>
      <c r="M908" s="30"/>
      <c r="N908" s="32"/>
      <c r="O908" s="34"/>
      <c r="P908" s="32"/>
      <c r="Q908" s="32"/>
      <c r="R908" s="32"/>
      <c r="S908" s="32"/>
      <c r="T908" s="32"/>
      <c r="U908" s="32"/>
      <c r="V908" s="31"/>
      <c r="W908" s="35" t="str">
        <f aca="true">IF(OR(V908="",AG908&gt;=8),"",IF(V908&lt;TODAY(),"Vencida",IF(V908=TODAY(),"Hoy","")))</f>
        <v/>
      </c>
      <c r="X908" s="36" t="str">
        <f aca="false">IF(A908="","",IF(COUNTIF(Seguimiento!$B$2:$B$5001,A908)=0,"",_xlfn.MAXIFS(Seguimiento!$A$2:$A$5001,Seguimiento!$B$2:$B$5001,A908)))</f>
        <v/>
      </c>
      <c r="Y908" s="37" t="str">
        <f aca="true">IF(B908="","",TODAY()-B908)</f>
        <v/>
      </c>
      <c r="Z908" s="38" t="str">
        <f aca="false">IF(OR(O908="",G908=""),"",O908*IFERROR(INDEX(Listas!$B$2:$B$50,MATCH(G908,Listas!$A$2:$A$50,0)),0))</f>
        <v/>
      </c>
      <c r="AA908" s="32"/>
      <c r="AB908" s="32"/>
      <c r="AC908" s="32"/>
      <c r="AD908" s="35" t="str">
        <f aca="false">IF(OR(LEFT(H908,4)="Meta",LEFT(H908,6)="Google"),IF(AG908=3,"Lead calificado",IF(OR(AG908=4,AG908=5),"Tasación/visita",IF(OR(AG908=6,AG908=7),"Captación/oferta",IF(AG908=8,"Cierre","")))),"")</f>
        <v/>
      </c>
      <c r="AE908" s="32"/>
      <c r="AF908" s="32"/>
      <c r="AG908" s="37" t="n">
        <f aca="false">IF(R908="",0,IFERROR(MATCH(R908,Listas!$L$2:$L$50,0),0))</f>
        <v>0</v>
      </c>
    </row>
    <row r="909" customFormat="false" ht="15" hidden="false" customHeight="false" outlineLevel="0" collapsed="false">
      <c r="A909" s="30"/>
      <c r="B909" s="31"/>
      <c r="C909" s="32"/>
      <c r="D909" s="32"/>
      <c r="E909" s="33"/>
      <c r="F909" s="32"/>
      <c r="G909" s="32"/>
      <c r="H909" s="32"/>
      <c r="I909" s="32"/>
      <c r="J909" s="32"/>
      <c r="K909" s="32"/>
      <c r="L909" s="32"/>
      <c r="M909" s="30"/>
      <c r="N909" s="32"/>
      <c r="O909" s="34"/>
      <c r="P909" s="32"/>
      <c r="Q909" s="32"/>
      <c r="R909" s="32"/>
      <c r="S909" s="32"/>
      <c r="T909" s="32"/>
      <c r="U909" s="32"/>
      <c r="V909" s="31"/>
      <c r="W909" s="35" t="str">
        <f aca="true">IF(OR(V909="",AG909&gt;=8),"",IF(V909&lt;TODAY(),"Vencida",IF(V909=TODAY(),"Hoy","")))</f>
        <v/>
      </c>
      <c r="X909" s="36" t="str">
        <f aca="false">IF(A909="","",IF(COUNTIF(Seguimiento!$B$2:$B$5001,A909)=0,"",_xlfn.MAXIFS(Seguimiento!$A$2:$A$5001,Seguimiento!$B$2:$B$5001,A909)))</f>
        <v/>
      </c>
      <c r="Y909" s="37" t="str">
        <f aca="true">IF(B909="","",TODAY()-B909)</f>
        <v/>
      </c>
      <c r="Z909" s="38" t="str">
        <f aca="false">IF(OR(O909="",G909=""),"",O909*IFERROR(INDEX(Listas!$B$2:$B$50,MATCH(G909,Listas!$A$2:$A$50,0)),0))</f>
        <v/>
      </c>
      <c r="AA909" s="32"/>
      <c r="AB909" s="32"/>
      <c r="AC909" s="32"/>
      <c r="AD909" s="35" t="str">
        <f aca="false">IF(OR(LEFT(H909,4)="Meta",LEFT(H909,6)="Google"),IF(AG909=3,"Lead calificado",IF(OR(AG909=4,AG909=5),"Tasación/visita",IF(OR(AG909=6,AG909=7),"Captación/oferta",IF(AG909=8,"Cierre","")))),"")</f>
        <v/>
      </c>
      <c r="AE909" s="32"/>
      <c r="AF909" s="32"/>
      <c r="AG909" s="37" t="n">
        <f aca="false">IF(R909="",0,IFERROR(MATCH(R909,Listas!$L$2:$L$50,0),0))</f>
        <v>0</v>
      </c>
    </row>
    <row r="910" customFormat="false" ht="15" hidden="false" customHeight="false" outlineLevel="0" collapsed="false">
      <c r="A910" s="30"/>
      <c r="B910" s="31"/>
      <c r="C910" s="32"/>
      <c r="D910" s="32"/>
      <c r="E910" s="33"/>
      <c r="F910" s="32"/>
      <c r="G910" s="32"/>
      <c r="H910" s="32"/>
      <c r="I910" s="32"/>
      <c r="J910" s="32"/>
      <c r="K910" s="32"/>
      <c r="L910" s="32"/>
      <c r="M910" s="30"/>
      <c r="N910" s="32"/>
      <c r="O910" s="34"/>
      <c r="P910" s="32"/>
      <c r="Q910" s="32"/>
      <c r="R910" s="32"/>
      <c r="S910" s="32"/>
      <c r="T910" s="32"/>
      <c r="U910" s="32"/>
      <c r="V910" s="31"/>
      <c r="W910" s="35" t="str">
        <f aca="true">IF(OR(V910="",AG910&gt;=8),"",IF(V910&lt;TODAY(),"Vencida",IF(V910=TODAY(),"Hoy","")))</f>
        <v/>
      </c>
      <c r="X910" s="36" t="str">
        <f aca="false">IF(A910="","",IF(COUNTIF(Seguimiento!$B$2:$B$5001,A910)=0,"",_xlfn.MAXIFS(Seguimiento!$A$2:$A$5001,Seguimiento!$B$2:$B$5001,A910)))</f>
        <v/>
      </c>
      <c r="Y910" s="37" t="str">
        <f aca="true">IF(B910="","",TODAY()-B910)</f>
        <v/>
      </c>
      <c r="Z910" s="38" t="str">
        <f aca="false">IF(OR(O910="",G910=""),"",O910*IFERROR(INDEX(Listas!$B$2:$B$50,MATCH(G910,Listas!$A$2:$A$50,0)),0))</f>
        <v/>
      </c>
      <c r="AA910" s="32"/>
      <c r="AB910" s="32"/>
      <c r="AC910" s="32"/>
      <c r="AD910" s="35" t="str">
        <f aca="false">IF(OR(LEFT(H910,4)="Meta",LEFT(H910,6)="Google"),IF(AG910=3,"Lead calificado",IF(OR(AG910=4,AG910=5),"Tasación/visita",IF(OR(AG910=6,AG910=7),"Captación/oferta",IF(AG910=8,"Cierre","")))),"")</f>
        <v/>
      </c>
      <c r="AE910" s="32"/>
      <c r="AF910" s="32"/>
      <c r="AG910" s="37" t="n">
        <f aca="false">IF(R910="",0,IFERROR(MATCH(R910,Listas!$L$2:$L$50,0),0))</f>
        <v>0</v>
      </c>
    </row>
    <row r="911" customFormat="false" ht="15" hidden="false" customHeight="false" outlineLevel="0" collapsed="false">
      <c r="A911" s="30"/>
      <c r="B911" s="31"/>
      <c r="C911" s="32"/>
      <c r="D911" s="32"/>
      <c r="E911" s="33"/>
      <c r="F911" s="32"/>
      <c r="G911" s="32"/>
      <c r="H911" s="32"/>
      <c r="I911" s="32"/>
      <c r="J911" s="32"/>
      <c r="K911" s="32"/>
      <c r="L911" s="32"/>
      <c r="M911" s="30"/>
      <c r="N911" s="32"/>
      <c r="O911" s="34"/>
      <c r="P911" s="32"/>
      <c r="Q911" s="32"/>
      <c r="R911" s="32"/>
      <c r="S911" s="32"/>
      <c r="T911" s="32"/>
      <c r="U911" s="32"/>
      <c r="V911" s="31"/>
      <c r="W911" s="35" t="str">
        <f aca="true">IF(OR(V911="",AG911&gt;=8),"",IF(V911&lt;TODAY(),"Vencida",IF(V911=TODAY(),"Hoy","")))</f>
        <v/>
      </c>
      <c r="X911" s="36" t="str">
        <f aca="false">IF(A911="","",IF(COUNTIF(Seguimiento!$B$2:$B$5001,A911)=0,"",_xlfn.MAXIFS(Seguimiento!$A$2:$A$5001,Seguimiento!$B$2:$B$5001,A911)))</f>
        <v/>
      </c>
      <c r="Y911" s="37" t="str">
        <f aca="true">IF(B911="","",TODAY()-B911)</f>
        <v/>
      </c>
      <c r="Z911" s="38" t="str">
        <f aca="false">IF(OR(O911="",G911=""),"",O911*IFERROR(INDEX(Listas!$B$2:$B$50,MATCH(G911,Listas!$A$2:$A$50,0)),0))</f>
        <v/>
      </c>
      <c r="AA911" s="32"/>
      <c r="AB911" s="32"/>
      <c r="AC911" s="32"/>
      <c r="AD911" s="35" t="str">
        <f aca="false">IF(OR(LEFT(H911,4)="Meta",LEFT(H911,6)="Google"),IF(AG911=3,"Lead calificado",IF(OR(AG911=4,AG911=5),"Tasación/visita",IF(OR(AG911=6,AG911=7),"Captación/oferta",IF(AG911=8,"Cierre","")))),"")</f>
        <v/>
      </c>
      <c r="AE911" s="32"/>
      <c r="AF911" s="32"/>
      <c r="AG911" s="37" t="n">
        <f aca="false">IF(R911="",0,IFERROR(MATCH(R911,Listas!$L$2:$L$50,0),0))</f>
        <v>0</v>
      </c>
    </row>
    <row r="912" customFormat="false" ht="15" hidden="false" customHeight="false" outlineLevel="0" collapsed="false">
      <c r="A912" s="30"/>
      <c r="B912" s="31"/>
      <c r="C912" s="32"/>
      <c r="D912" s="32"/>
      <c r="E912" s="33"/>
      <c r="F912" s="32"/>
      <c r="G912" s="32"/>
      <c r="H912" s="32"/>
      <c r="I912" s="32"/>
      <c r="J912" s="32"/>
      <c r="K912" s="32"/>
      <c r="L912" s="32"/>
      <c r="M912" s="30"/>
      <c r="N912" s="32"/>
      <c r="O912" s="34"/>
      <c r="P912" s="32"/>
      <c r="Q912" s="32"/>
      <c r="R912" s="32"/>
      <c r="S912" s="32"/>
      <c r="T912" s="32"/>
      <c r="U912" s="32"/>
      <c r="V912" s="31"/>
      <c r="W912" s="35" t="str">
        <f aca="true">IF(OR(V912="",AG912&gt;=8),"",IF(V912&lt;TODAY(),"Vencida",IF(V912=TODAY(),"Hoy","")))</f>
        <v/>
      </c>
      <c r="X912" s="36" t="str">
        <f aca="false">IF(A912="","",IF(COUNTIF(Seguimiento!$B$2:$B$5001,A912)=0,"",_xlfn.MAXIFS(Seguimiento!$A$2:$A$5001,Seguimiento!$B$2:$B$5001,A912)))</f>
        <v/>
      </c>
      <c r="Y912" s="37" t="str">
        <f aca="true">IF(B912="","",TODAY()-B912)</f>
        <v/>
      </c>
      <c r="Z912" s="38" t="str">
        <f aca="false">IF(OR(O912="",G912=""),"",O912*IFERROR(INDEX(Listas!$B$2:$B$50,MATCH(G912,Listas!$A$2:$A$50,0)),0))</f>
        <v/>
      </c>
      <c r="AA912" s="32"/>
      <c r="AB912" s="32"/>
      <c r="AC912" s="32"/>
      <c r="AD912" s="35" t="str">
        <f aca="false">IF(OR(LEFT(H912,4)="Meta",LEFT(H912,6)="Google"),IF(AG912=3,"Lead calificado",IF(OR(AG912=4,AG912=5),"Tasación/visita",IF(OR(AG912=6,AG912=7),"Captación/oferta",IF(AG912=8,"Cierre","")))),"")</f>
        <v/>
      </c>
      <c r="AE912" s="32"/>
      <c r="AF912" s="32"/>
      <c r="AG912" s="37" t="n">
        <f aca="false">IF(R912="",0,IFERROR(MATCH(R912,Listas!$L$2:$L$50,0),0))</f>
        <v>0</v>
      </c>
    </row>
    <row r="913" customFormat="false" ht="15" hidden="false" customHeight="false" outlineLevel="0" collapsed="false">
      <c r="A913" s="30"/>
      <c r="B913" s="31"/>
      <c r="C913" s="32"/>
      <c r="D913" s="32"/>
      <c r="E913" s="33"/>
      <c r="F913" s="32"/>
      <c r="G913" s="32"/>
      <c r="H913" s="32"/>
      <c r="I913" s="32"/>
      <c r="J913" s="32"/>
      <c r="K913" s="32"/>
      <c r="L913" s="32"/>
      <c r="M913" s="30"/>
      <c r="N913" s="32"/>
      <c r="O913" s="34"/>
      <c r="P913" s="32"/>
      <c r="Q913" s="32"/>
      <c r="R913" s="32"/>
      <c r="S913" s="32"/>
      <c r="T913" s="32"/>
      <c r="U913" s="32"/>
      <c r="V913" s="31"/>
      <c r="W913" s="35" t="str">
        <f aca="true">IF(OR(V913="",AG913&gt;=8),"",IF(V913&lt;TODAY(),"Vencida",IF(V913=TODAY(),"Hoy","")))</f>
        <v/>
      </c>
      <c r="X913" s="36" t="str">
        <f aca="false">IF(A913="","",IF(COUNTIF(Seguimiento!$B$2:$B$5001,A913)=0,"",_xlfn.MAXIFS(Seguimiento!$A$2:$A$5001,Seguimiento!$B$2:$B$5001,A913)))</f>
        <v/>
      </c>
      <c r="Y913" s="37" t="str">
        <f aca="true">IF(B913="","",TODAY()-B913)</f>
        <v/>
      </c>
      <c r="Z913" s="38" t="str">
        <f aca="false">IF(OR(O913="",G913=""),"",O913*IFERROR(INDEX(Listas!$B$2:$B$50,MATCH(G913,Listas!$A$2:$A$50,0)),0))</f>
        <v/>
      </c>
      <c r="AA913" s="32"/>
      <c r="AB913" s="32"/>
      <c r="AC913" s="32"/>
      <c r="AD913" s="35" t="str">
        <f aca="false">IF(OR(LEFT(H913,4)="Meta",LEFT(H913,6)="Google"),IF(AG913=3,"Lead calificado",IF(OR(AG913=4,AG913=5),"Tasación/visita",IF(OR(AG913=6,AG913=7),"Captación/oferta",IF(AG913=8,"Cierre","")))),"")</f>
        <v/>
      </c>
      <c r="AE913" s="32"/>
      <c r="AF913" s="32"/>
      <c r="AG913" s="37" t="n">
        <f aca="false">IF(R913="",0,IFERROR(MATCH(R913,Listas!$L$2:$L$50,0),0))</f>
        <v>0</v>
      </c>
    </row>
    <row r="914" customFormat="false" ht="15" hidden="false" customHeight="false" outlineLevel="0" collapsed="false">
      <c r="A914" s="30"/>
      <c r="B914" s="31"/>
      <c r="C914" s="32"/>
      <c r="D914" s="32"/>
      <c r="E914" s="33"/>
      <c r="F914" s="32"/>
      <c r="G914" s="32"/>
      <c r="H914" s="32"/>
      <c r="I914" s="32"/>
      <c r="J914" s="32"/>
      <c r="K914" s="32"/>
      <c r="L914" s="32"/>
      <c r="M914" s="30"/>
      <c r="N914" s="32"/>
      <c r="O914" s="34"/>
      <c r="P914" s="32"/>
      <c r="Q914" s="32"/>
      <c r="R914" s="32"/>
      <c r="S914" s="32"/>
      <c r="T914" s="32"/>
      <c r="U914" s="32"/>
      <c r="V914" s="31"/>
      <c r="W914" s="35" t="str">
        <f aca="true">IF(OR(V914="",AG914&gt;=8),"",IF(V914&lt;TODAY(),"Vencida",IF(V914=TODAY(),"Hoy","")))</f>
        <v/>
      </c>
      <c r="X914" s="36" t="str">
        <f aca="false">IF(A914="","",IF(COUNTIF(Seguimiento!$B$2:$B$5001,A914)=0,"",_xlfn.MAXIFS(Seguimiento!$A$2:$A$5001,Seguimiento!$B$2:$B$5001,A914)))</f>
        <v/>
      </c>
      <c r="Y914" s="37" t="str">
        <f aca="true">IF(B914="","",TODAY()-B914)</f>
        <v/>
      </c>
      <c r="Z914" s="38" t="str">
        <f aca="false">IF(OR(O914="",G914=""),"",O914*IFERROR(INDEX(Listas!$B$2:$B$50,MATCH(G914,Listas!$A$2:$A$50,0)),0))</f>
        <v/>
      </c>
      <c r="AA914" s="32"/>
      <c r="AB914" s="32"/>
      <c r="AC914" s="32"/>
      <c r="AD914" s="35" t="str">
        <f aca="false">IF(OR(LEFT(H914,4)="Meta",LEFT(H914,6)="Google"),IF(AG914=3,"Lead calificado",IF(OR(AG914=4,AG914=5),"Tasación/visita",IF(OR(AG914=6,AG914=7),"Captación/oferta",IF(AG914=8,"Cierre","")))),"")</f>
        <v/>
      </c>
      <c r="AE914" s="32"/>
      <c r="AF914" s="32"/>
      <c r="AG914" s="37" t="n">
        <f aca="false">IF(R914="",0,IFERROR(MATCH(R914,Listas!$L$2:$L$50,0),0))</f>
        <v>0</v>
      </c>
    </row>
    <row r="915" customFormat="false" ht="15" hidden="false" customHeight="false" outlineLevel="0" collapsed="false">
      <c r="A915" s="30"/>
      <c r="B915" s="31"/>
      <c r="C915" s="32"/>
      <c r="D915" s="32"/>
      <c r="E915" s="33"/>
      <c r="F915" s="32"/>
      <c r="G915" s="32"/>
      <c r="H915" s="32"/>
      <c r="I915" s="32"/>
      <c r="J915" s="32"/>
      <c r="K915" s="32"/>
      <c r="L915" s="32"/>
      <c r="M915" s="30"/>
      <c r="N915" s="32"/>
      <c r="O915" s="34"/>
      <c r="P915" s="32"/>
      <c r="Q915" s="32"/>
      <c r="R915" s="32"/>
      <c r="S915" s="32"/>
      <c r="T915" s="32"/>
      <c r="U915" s="32"/>
      <c r="V915" s="31"/>
      <c r="W915" s="35" t="str">
        <f aca="true">IF(OR(V915="",AG915&gt;=8),"",IF(V915&lt;TODAY(),"Vencida",IF(V915=TODAY(),"Hoy","")))</f>
        <v/>
      </c>
      <c r="X915" s="36" t="str">
        <f aca="false">IF(A915="","",IF(COUNTIF(Seguimiento!$B$2:$B$5001,A915)=0,"",_xlfn.MAXIFS(Seguimiento!$A$2:$A$5001,Seguimiento!$B$2:$B$5001,A915)))</f>
        <v/>
      </c>
      <c r="Y915" s="37" t="str">
        <f aca="true">IF(B915="","",TODAY()-B915)</f>
        <v/>
      </c>
      <c r="Z915" s="38" t="str">
        <f aca="false">IF(OR(O915="",G915=""),"",O915*IFERROR(INDEX(Listas!$B$2:$B$50,MATCH(G915,Listas!$A$2:$A$50,0)),0))</f>
        <v/>
      </c>
      <c r="AA915" s="32"/>
      <c r="AB915" s="32"/>
      <c r="AC915" s="32"/>
      <c r="AD915" s="35" t="str">
        <f aca="false">IF(OR(LEFT(H915,4)="Meta",LEFT(H915,6)="Google"),IF(AG915=3,"Lead calificado",IF(OR(AG915=4,AG915=5),"Tasación/visita",IF(OR(AG915=6,AG915=7),"Captación/oferta",IF(AG915=8,"Cierre","")))),"")</f>
        <v/>
      </c>
      <c r="AE915" s="32"/>
      <c r="AF915" s="32"/>
      <c r="AG915" s="37" t="n">
        <f aca="false">IF(R915="",0,IFERROR(MATCH(R915,Listas!$L$2:$L$50,0),0))</f>
        <v>0</v>
      </c>
    </row>
    <row r="916" customFormat="false" ht="15" hidden="false" customHeight="false" outlineLevel="0" collapsed="false">
      <c r="A916" s="30"/>
      <c r="B916" s="31"/>
      <c r="C916" s="32"/>
      <c r="D916" s="32"/>
      <c r="E916" s="33"/>
      <c r="F916" s="32"/>
      <c r="G916" s="32"/>
      <c r="H916" s="32"/>
      <c r="I916" s="32"/>
      <c r="J916" s="32"/>
      <c r="K916" s="32"/>
      <c r="L916" s="32"/>
      <c r="M916" s="30"/>
      <c r="N916" s="32"/>
      <c r="O916" s="34"/>
      <c r="P916" s="32"/>
      <c r="Q916" s="32"/>
      <c r="R916" s="32"/>
      <c r="S916" s="32"/>
      <c r="T916" s="32"/>
      <c r="U916" s="32"/>
      <c r="V916" s="31"/>
      <c r="W916" s="35" t="str">
        <f aca="true">IF(OR(V916="",AG916&gt;=8),"",IF(V916&lt;TODAY(),"Vencida",IF(V916=TODAY(),"Hoy","")))</f>
        <v/>
      </c>
      <c r="X916" s="36" t="str">
        <f aca="false">IF(A916="","",IF(COUNTIF(Seguimiento!$B$2:$B$5001,A916)=0,"",_xlfn.MAXIFS(Seguimiento!$A$2:$A$5001,Seguimiento!$B$2:$B$5001,A916)))</f>
        <v/>
      </c>
      <c r="Y916" s="37" t="str">
        <f aca="true">IF(B916="","",TODAY()-B916)</f>
        <v/>
      </c>
      <c r="Z916" s="38" t="str">
        <f aca="false">IF(OR(O916="",G916=""),"",O916*IFERROR(INDEX(Listas!$B$2:$B$50,MATCH(G916,Listas!$A$2:$A$50,0)),0))</f>
        <v/>
      </c>
      <c r="AA916" s="32"/>
      <c r="AB916" s="32"/>
      <c r="AC916" s="32"/>
      <c r="AD916" s="35" t="str">
        <f aca="false">IF(OR(LEFT(H916,4)="Meta",LEFT(H916,6)="Google"),IF(AG916=3,"Lead calificado",IF(OR(AG916=4,AG916=5),"Tasación/visita",IF(OR(AG916=6,AG916=7),"Captación/oferta",IF(AG916=8,"Cierre","")))),"")</f>
        <v/>
      </c>
      <c r="AE916" s="32"/>
      <c r="AF916" s="32"/>
      <c r="AG916" s="37" t="n">
        <f aca="false">IF(R916="",0,IFERROR(MATCH(R916,Listas!$L$2:$L$50,0),0))</f>
        <v>0</v>
      </c>
    </row>
    <row r="917" customFormat="false" ht="15" hidden="false" customHeight="false" outlineLevel="0" collapsed="false">
      <c r="A917" s="30"/>
      <c r="B917" s="31"/>
      <c r="C917" s="32"/>
      <c r="D917" s="32"/>
      <c r="E917" s="33"/>
      <c r="F917" s="32"/>
      <c r="G917" s="32"/>
      <c r="H917" s="32"/>
      <c r="I917" s="32"/>
      <c r="J917" s="32"/>
      <c r="K917" s="32"/>
      <c r="L917" s="32"/>
      <c r="M917" s="30"/>
      <c r="N917" s="32"/>
      <c r="O917" s="34"/>
      <c r="P917" s="32"/>
      <c r="Q917" s="32"/>
      <c r="R917" s="32"/>
      <c r="S917" s="32"/>
      <c r="T917" s="32"/>
      <c r="U917" s="32"/>
      <c r="V917" s="31"/>
      <c r="W917" s="35" t="str">
        <f aca="true">IF(OR(V917="",AG917&gt;=8),"",IF(V917&lt;TODAY(),"Vencida",IF(V917=TODAY(),"Hoy","")))</f>
        <v/>
      </c>
      <c r="X917" s="36" t="str">
        <f aca="false">IF(A917="","",IF(COUNTIF(Seguimiento!$B$2:$B$5001,A917)=0,"",_xlfn.MAXIFS(Seguimiento!$A$2:$A$5001,Seguimiento!$B$2:$B$5001,A917)))</f>
        <v/>
      </c>
      <c r="Y917" s="37" t="str">
        <f aca="true">IF(B917="","",TODAY()-B917)</f>
        <v/>
      </c>
      <c r="Z917" s="38" t="str">
        <f aca="false">IF(OR(O917="",G917=""),"",O917*IFERROR(INDEX(Listas!$B$2:$B$50,MATCH(G917,Listas!$A$2:$A$50,0)),0))</f>
        <v/>
      </c>
      <c r="AA917" s="32"/>
      <c r="AB917" s="32"/>
      <c r="AC917" s="32"/>
      <c r="AD917" s="35" t="str">
        <f aca="false">IF(OR(LEFT(H917,4)="Meta",LEFT(H917,6)="Google"),IF(AG917=3,"Lead calificado",IF(OR(AG917=4,AG917=5),"Tasación/visita",IF(OR(AG917=6,AG917=7),"Captación/oferta",IF(AG917=8,"Cierre","")))),"")</f>
        <v/>
      </c>
      <c r="AE917" s="32"/>
      <c r="AF917" s="32"/>
      <c r="AG917" s="37" t="n">
        <f aca="false">IF(R917="",0,IFERROR(MATCH(R917,Listas!$L$2:$L$50,0),0))</f>
        <v>0</v>
      </c>
    </row>
    <row r="918" customFormat="false" ht="15" hidden="false" customHeight="false" outlineLevel="0" collapsed="false">
      <c r="A918" s="30"/>
      <c r="B918" s="31"/>
      <c r="C918" s="32"/>
      <c r="D918" s="32"/>
      <c r="E918" s="33"/>
      <c r="F918" s="32"/>
      <c r="G918" s="32"/>
      <c r="H918" s="32"/>
      <c r="I918" s="32"/>
      <c r="J918" s="32"/>
      <c r="K918" s="32"/>
      <c r="L918" s="32"/>
      <c r="M918" s="30"/>
      <c r="N918" s="32"/>
      <c r="O918" s="34"/>
      <c r="P918" s="32"/>
      <c r="Q918" s="32"/>
      <c r="R918" s="32"/>
      <c r="S918" s="32"/>
      <c r="T918" s="32"/>
      <c r="U918" s="32"/>
      <c r="V918" s="31"/>
      <c r="W918" s="35" t="str">
        <f aca="true">IF(OR(V918="",AG918&gt;=8),"",IF(V918&lt;TODAY(),"Vencida",IF(V918=TODAY(),"Hoy","")))</f>
        <v/>
      </c>
      <c r="X918" s="36" t="str">
        <f aca="false">IF(A918="","",IF(COUNTIF(Seguimiento!$B$2:$B$5001,A918)=0,"",_xlfn.MAXIFS(Seguimiento!$A$2:$A$5001,Seguimiento!$B$2:$B$5001,A918)))</f>
        <v/>
      </c>
      <c r="Y918" s="37" t="str">
        <f aca="true">IF(B918="","",TODAY()-B918)</f>
        <v/>
      </c>
      <c r="Z918" s="38" t="str">
        <f aca="false">IF(OR(O918="",G918=""),"",O918*IFERROR(INDEX(Listas!$B$2:$B$50,MATCH(G918,Listas!$A$2:$A$50,0)),0))</f>
        <v/>
      </c>
      <c r="AA918" s="32"/>
      <c r="AB918" s="32"/>
      <c r="AC918" s="32"/>
      <c r="AD918" s="35" t="str">
        <f aca="false">IF(OR(LEFT(H918,4)="Meta",LEFT(H918,6)="Google"),IF(AG918=3,"Lead calificado",IF(OR(AG918=4,AG918=5),"Tasación/visita",IF(OR(AG918=6,AG918=7),"Captación/oferta",IF(AG918=8,"Cierre","")))),"")</f>
        <v/>
      </c>
      <c r="AE918" s="32"/>
      <c r="AF918" s="32"/>
      <c r="AG918" s="37" t="n">
        <f aca="false">IF(R918="",0,IFERROR(MATCH(R918,Listas!$L$2:$L$50,0),0))</f>
        <v>0</v>
      </c>
    </row>
    <row r="919" customFormat="false" ht="15" hidden="false" customHeight="false" outlineLevel="0" collapsed="false">
      <c r="A919" s="30"/>
      <c r="B919" s="31"/>
      <c r="C919" s="32"/>
      <c r="D919" s="32"/>
      <c r="E919" s="33"/>
      <c r="F919" s="32"/>
      <c r="G919" s="32"/>
      <c r="H919" s="32"/>
      <c r="I919" s="32"/>
      <c r="J919" s="32"/>
      <c r="K919" s="32"/>
      <c r="L919" s="32"/>
      <c r="M919" s="30"/>
      <c r="N919" s="32"/>
      <c r="O919" s="34"/>
      <c r="P919" s="32"/>
      <c r="Q919" s="32"/>
      <c r="R919" s="32"/>
      <c r="S919" s="32"/>
      <c r="T919" s="32"/>
      <c r="U919" s="32"/>
      <c r="V919" s="31"/>
      <c r="W919" s="35" t="str">
        <f aca="true">IF(OR(V919="",AG919&gt;=8),"",IF(V919&lt;TODAY(),"Vencida",IF(V919=TODAY(),"Hoy","")))</f>
        <v/>
      </c>
      <c r="X919" s="36" t="str">
        <f aca="false">IF(A919="","",IF(COUNTIF(Seguimiento!$B$2:$B$5001,A919)=0,"",_xlfn.MAXIFS(Seguimiento!$A$2:$A$5001,Seguimiento!$B$2:$B$5001,A919)))</f>
        <v/>
      </c>
      <c r="Y919" s="37" t="str">
        <f aca="true">IF(B919="","",TODAY()-B919)</f>
        <v/>
      </c>
      <c r="Z919" s="38" t="str">
        <f aca="false">IF(OR(O919="",G919=""),"",O919*IFERROR(INDEX(Listas!$B$2:$B$50,MATCH(G919,Listas!$A$2:$A$50,0)),0))</f>
        <v/>
      </c>
      <c r="AA919" s="32"/>
      <c r="AB919" s="32"/>
      <c r="AC919" s="32"/>
      <c r="AD919" s="35" t="str">
        <f aca="false">IF(OR(LEFT(H919,4)="Meta",LEFT(H919,6)="Google"),IF(AG919=3,"Lead calificado",IF(OR(AG919=4,AG919=5),"Tasación/visita",IF(OR(AG919=6,AG919=7),"Captación/oferta",IF(AG919=8,"Cierre","")))),"")</f>
        <v/>
      </c>
      <c r="AE919" s="32"/>
      <c r="AF919" s="32"/>
      <c r="AG919" s="37" t="n">
        <f aca="false">IF(R919="",0,IFERROR(MATCH(R919,Listas!$L$2:$L$50,0),0))</f>
        <v>0</v>
      </c>
    </row>
    <row r="920" customFormat="false" ht="15" hidden="false" customHeight="false" outlineLevel="0" collapsed="false">
      <c r="A920" s="30"/>
      <c r="B920" s="31"/>
      <c r="C920" s="32"/>
      <c r="D920" s="32"/>
      <c r="E920" s="33"/>
      <c r="F920" s="32"/>
      <c r="G920" s="32"/>
      <c r="H920" s="32"/>
      <c r="I920" s="32"/>
      <c r="J920" s="32"/>
      <c r="K920" s="32"/>
      <c r="L920" s="32"/>
      <c r="M920" s="30"/>
      <c r="N920" s="32"/>
      <c r="O920" s="34"/>
      <c r="P920" s="32"/>
      <c r="Q920" s="32"/>
      <c r="R920" s="32"/>
      <c r="S920" s="32"/>
      <c r="T920" s="32"/>
      <c r="U920" s="32"/>
      <c r="V920" s="31"/>
      <c r="W920" s="35" t="str">
        <f aca="true">IF(OR(V920="",AG920&gt;=8),"",IF(V920&lt;TODAY(),"Vencida",IF(V920=TODAY(),"Hoy","")))</f>
        <v/>
      </c>
      <c r="X920" s="36" t="str">
        <f aca="false">IF(A920="","",IF(COUNTIF(Seguimiento!$B$2:$B$5001,A920)=0,"",_xlfn.MAXIFS(Seguimiento!$A$2:$A$5001,Seguimiento!$B$2:$B$5001,A920)))</f>
        <v/>
      </c>
      <c r="Y920" s="37" t="str">
        <f aca="true">IF(B920="","",TODAY()-B920)</f>
        <v/>
      </c>
      <c r="Z920" s="38" t="str">
        <f aca="false">IF(OR(O920="",G920=""),"",O920*IFERROR(INDEX(Listas!$B$2:$B$50,MATCH(G920,Listas!$A$2:$A$50,0)),0))</f>
        <v/>
      </c>
      <c r="AA920" s="32"/>
      <c r="AB920" s="32"/>
      <c r="AC920" s="32"/>
      <c r="AD920" s="35" t="str">
        <f aca="false">IF(OR(LEFT(H920,4)="Meta",LEFT(H920,6)="Google"),IF(AG920=3,"Lead calificado",IF(OR(AG920=4,AG920=5),"Tasación/visita",IF(OR(AG920=6,AG920=7),"Captación/oferta",IF(AG920=8,"Cierre","")))),"")</f>
        <v/>
      </c>
      <c r="AE920" s="32"/>
      <c r="AF920" s="32"/>
      <c r="AG920" s="37" t="n">
        <f aca="false">IF(R920="",0,IFERROR(MATCH(R920,Listas!$L$2:$L$50,0),0))</f>
        <v>0</v>
      </c>
    </row>
    <row r="921" customFormat="false" ht="15" hidden="false" customHeight="false" outlineLevel="0" collapsed="false">
      <c r="A921" s="30"/>
      <c r="B921" s="31"/>
      <c r="C921" s="32"/>
      <c r="D921" s="32"/>
      <c r="E921" s="33"/>
      <c r="F921" s="32"/>
      <c r="G921" s="32"/>
      <c r="H921" s="32"/>
      <c r="I921" s="32"/>
      <c r="J921" s="32"/>
      <c r="K921" s="32"/>
      <c r="L921" s="32"/>
      <c r="M921" s="30"/>
      <c r="N921" s="32"/>
      <c r="O921" s="34"/>
      <c r="P921" s="32"/>
      <c r="Q921" s="32"/>
      <c r="R921" s="32"/>
      <c r="S921" s="32"/>
      <c r="T921" s="32"/>
      <c r="U921" s="32"/>
      <c r="V921" s="31"/>
      <c r="W921" s="35" t="str">
        <f aca="true">IF(OR(V921="",AG921&gt;=8),"",IF(V921&lt;TODAY(),"Vencida",IF(V921=TODAY(),"Hoy","")))</f>
        <v/>
      </c>
      <c r="X921" s="36" t="str">
        <f aca="false">IF(A921="","",IF(COUNTIF(Seguimiento!$B$2:$B$5001,A921)=0,"",_xlfn.MAXIFS(Seguimiento!$A$2:$A$5001,Seguimiento!$B$2:$B$5001,A921)))</f>
        <v/>
      </c>
      <c r="Y921" s="37" t="str">
        <f aca="true">IF(B921="","",TODAY()-B921)</f>
        <v/>
      </c>
      <c r="Z921" s="38" t="str">
        <f aca="false">IF(OR(O921="",G921=""),"",O921*IFERROR(INDEX(Listas!$B$2:$B$50,MATCH(G921,Listas!$A$2:$A$50,0)),0))</f>
        <v/>
      </c>
      <c r="AA921" s="32"/>
      <c r="AB921" s="32"/>
      <c r="AC921" s="32"/>
      <c r="AD921" s="35" t="str">
        <f aca="false">IF(OR(LEFT(H921,4)="Meta",LEFT(H921,6)="Google"),IF(AG921=3,"Lead calificado",IF(OR(AG921=4,AG921=5),"Tasación/visita",IF(OR(AG921=6,AG921=7),"Captación/oferta",IF(AG921=8,"Cierre","")))),"")</f>
        <v/>
      </c>
      <c r="AE921" s="32"/>
      <c r="AF921" s="32"/>
      <c r="AG921" s="37" t="n">
        <f aca="false">IF(R921="",0,IFERROR(MATCH(R921,Listas!$L$2:$L$50,0),0))</f>
        <v>0</v>
      </c>
    </row>
    <row r="922" customFormat="false" ht="15" hidden="false" customHeight="false" outlineLevel="0" collapsed="false">
      <c r="A922" s="30"/>
      <c r="B922" s="31"/>
      <c r="C922" s="32"/>
      <c r="D922" s="32"/>
      <c r="E922" s="33"/>
      <c r="F922" s="32"/>
      <c r="G922" s="32"/>
      <c r="H922" s="32"/>
      <c r="I922" s="32"/>
      <c r="J922" s="32"/>
      <c r="K922" s="32"/>
      <c r="L922" s="32"/>
      <c r="M922" s="30"/>
      <c r="N922" s="32"/>
      <c r="O922" s="34"/>
      <c r="P922" s="32"/>
      <c r="Q922" s="32"/>
      <c r="R922" s="32"/>
      <c r="S922" s="32"/>
      <c r="T922" s="32"/>
      <c r="U922" s="32"/>
      <c r="V922" s="31"/>
      <c r="W922" s="35" t="str">
        <f aca="true">IF(OR(V922="",AG922&gt;=8),"",IF(V922&lt;TODAY(),"Vencida",IF(V922=TODAY(),"Hoy","")))</f>
        <v/>
      </c>
      <c r="X922" s="36" t="str">
        <f aca="false">IF(A922="","",IF(COUNTIF(Seguimiento!$B$2:$B$5001,A922)=0,"",_xlfn.MAXIFS(Seguimiento!$A$2:$A$5001,Seguimiento!$B$2:$B$5001,A922)))</f>
        <v/>
      </c>
      <c r="Y922" s="37" t="str">
        <f aca="true">IF(B922="","",TODAY()-B922)</f>
        <v/>
      </c>
      <c r="Z922" s="38" t="str">
        <f aca="false">IF(OR(O922="",G922=""),"",O922*IFERROR(INDEX(Listas!$B$2:$B$50,MATCH(G922,Listas!$A$2:$A$50,0)),0))</f>
        <v/>
      </c>
      <c r="AA922" s="32"/>
      <c r="AB922" s="32"/>
      <c r="AC922" s="32"/>
      <c r="AD922" s="35" t="str">
        <f aca="false">IF(OR(LEFT(H922,4)="Meta",LEFT(H922,6)="Google"),IF(AG922=3,"Lead calificado",IF(OR(AG922=4,AG922=5),"Tasación/visita",IF(OR(AG922=6,AG922=7),"Captación/oferta",IF(AG922=8,"Cierre","")))),"")</f>
        <v/>
      </c>
      <c r="AE922" s="32"/>
      <c r="AF922" s="32"/>
      <c r="AG922" s="37" t="n">
        <f aca="false">IF(R922="",0,IFERROR(MATCH(R922,Listas!$L$2:$L$50,0),0))</f>
        <v>0</v>
      </c>
    </row>
    <row r="923" customFormat="false" ht="15" hidden="false" customHeight="false" outlineLevel="0" collapsed="false">
      <c r="A923" s="30"/>
      <c r="B923" s="31"/>
      <c r="C923" s="32"/>
      <c r="D923" s="32"/>
      <c r="E923" s="33"/>
      <c r="F923" s="32"/>
      <c r="G923" s="32"/>
      <c r="H923" s="32"/>
      <c r="I923" s="32"/>
      <c r="J923" s="32"/>
      <c r="K923" s="32"/>
      <c r="L923" s="32"/>
      <c r="M923" s="30"/>
      <c r="N923" s="32"/>
      <c r="O923" s="34"/>
      <c r="P923" s="32"/>
      <c r="Q923" s="32"/>
      <c r="R923" s="32"/>
      <c r="S923" s="32"/>
      <c r="T923" s="32"/>
      <c r="U923" s="32"/>
      <c r="V923" s="31"/>
      <c r="W923" s="35" t="str">
        <f aca="true">IF(OR(V923="",AG923&gt;=8),"",IF(V923&lt;TODAY(),"Vencida",IF(V923=TODAY(),"Hoy","")))</f>
        <v/>
      </c>
      <c r="X923" s="36" t="str">
        <f aca="false">IF(A923="","",IF(COUNTIF(Seguimiento!$B$2:$B$5001,A923)=0,"",_xlfn.MAXIFS(Seguimiento!$A$2:$A$5001,Seguimiento!$B$2:$B$5001,A923)))</f>
        <v/>
      </c>
      <c r="Y923" s="37" t="str">
        <f aca="true">IF(B923="","",TODAY()-B923)</f>
        <v/>
      </c>
      <c r="Z923" s="38" t="str">
        <f aca="false">IF(OR(O923="",G923=""),"",O923*IFERROR(INDEX(Listas!$B$2:$B$50,MATCH(G923,Listas!$A$2:$A$50,0)),0))</f>
        <v/>
      </c>
      <c r="AA923" s="32"/>
      <c r="AB923" s="32"/>
      <c r="AC923" s="32"/>
      <c r="AD923" s="35" t="str">
        <f aca="false">IF(OR(LEFT(H923,4)="Meta",LEFT(H923,6)="Google"),IF(AG923=3,"Lead calificado",IF(OR(AG923=4,AG923=5),"Tasación/visita",IF(OR(AG923=6,AG923=7),"Captación/oferta",IF(AG923=8,"Cierre","")))),"")</f>
        <v/>
      </c>
      <c r="AE923" s="32"/>
      <c r="AF923" s="32"/>
      <c r="AG923" s="37" t="n">
        <f aca="false">IF(R923="",0,IFERROR(MATCH(R923,Listas!$L$2:$L$50,0),0))</f>
        <v>0</v>
      </c>
    </row>
    <row r="924" customFormat="false" ht="15" hidden="false" customHeight="false" outlineLevel="0" collapsed="false">
      <c r="A924" s="30"/>
      <c r="B924" s="31"/>
      <c r="C924" s="32"/>
      <c r="D924" s="32"/>
      <c r="E924" s="33"/>
      <c r="F924" s="32"/>
      <c r="G924" s="32"/>
      <c r="H924" s="32"/>
      <c r="I924" s="32"/>
      <c r="J924" s="32"/>
      <c r="K924" s="32"/>
      <c r="L924" s="32"/>
      <c r="M924" s="30"/>
      <c r="N924" s="32"/>
      <c r="O924" s="34"/>
      <c r="P924" s="32"/>
      <c r="Q924" s="32"/>
      <c r="R924" s="32"/>
      <c r="S924" s="32"/>
      <c r="T924" s="32"/>
      <c r="U924" s="32"/>
      <c r="V924" s="31"/>
      <c r="W924" s="35" t="str">
        <f aca="true">IF(OR(V924="",AG924&gt;=8),"",IF(V924&lt;TODAY(),"Vencida",IF(V924=TODAY(),"Hoy","")))</f>
        <v/>
      </c>
      <c r="X924" s="36" t="str">
        <f aca="false">IF(A924="","",IF(COUNTIF(Seguimiento!$B$2:$B$5001,A924)=0,"",_xlfn.MAXIFS(Seguimiento!$A$2:$A$5001,Seguimiento!$B$2:$B$5001,A924)))</f>
        <v/>
      </c>
      <c r="Y924" s="37" t="str">
        <f aca="true">IF(B924="","",TODAY()-B924)</f>
        <v/>
      </c>
      <c r="Z924" s="38" t="str">
        <f aca="false">IF(OR(O924="",G924=""),"",O924*IFERROR(INDEX(Listas!$B$2:$B$50,MATCH(G924,Listas!$A$2:$A$50,0)),0))</f>
        <v/>
      </c>
      <c r="AA924" s="32"/>
      <c r="AB924" s="32"/>
      <c r="AC924" s="32"/>
      <c r="AD924" s="35" t="str">
        <f aca="false">IF(OR(LEFT(H924,4)="Meta",LEFT(H924,6)="Google"),IF(AG924=3,"Lead calificado",IF(OR(AG924=4,AG924=5),"Tasación/visita",IF(OR(AG924=6,AG924=7),"Captación/oferta",IF(AG924=8,"Cierre","")))),"")</f>
        <v/>
      </c>
      <c r="AE924" s="32"/>
      <c r="AF924" s="32"/>
      <c r="AG924" s="37" t="n">
        <f aca="false">IF(R924="",0,IFERROR(MATCH(R924,Listas!$L$2:$L$50,0),0))</f>
        <v>0</v>
      </c>
    </row>
    <row r="925" customFormat="false" ht="15" hidden="false" customHeight="false" outlineLevel="0" collapsed="false">
      <c r="A925" s="30"/>
      <c r="B925" s="31"/>
      <c r="C925" s="32"/>
      <c r="D925" s="32"/>
      <c r="E925" s="33"/>
      <c r="F925" s="32"/>
      <c r="G925" s="32"/>
      <c r="H925" s="32"/>
      <c r="I925" s="32"/>
      <c r="J925" s="32"/>
      <c r="K925" s="32"/>
      <c r="L925" s="32"/>
      <c r="M925" s="30"/>
      <c r="N925" s="32"/>
      <c r="O925" s="34"/>
      <c r="P925" s="32"/>
      <c r="Q925" s="32"/>
      <c r="R925" s="32"/>
      <c r="S925" s="32"/>
      <c r="T925" s="32"/>
      <c r="U925" s="32"/>
      <c r="V925" s="31"/>
      <c r="W925" s="35" t="str">
        <f aca="true">IF(OR(V925="",AG925&gt;=8),"",IF(V925&lt;TODAY(),"Vencida",IF(V925=TODAY(),"Hoy","")))</f>
        <v/>
      </c>
      <c r="X925" s="36" t="str">
        <f aca="false">IF(A925="","",IF(COUNTIF(Seguimiento!$B$2:$B$5001,A925)=0,"",_xlfn.MAXIFS(Seguimiento!$A$2:$A$5001,Seguimiento!$B$2:$B$5001,A925)))</f>
        <v/>
      </c>
      <c r="Y925" s="37" t="str">
        <f aca="true">IF(B925="","",TODAY()-B925)</f>
        <v/>
      </c>
      <c r="Z925" s="38" t="str">
        <f aca="false">IF(OR(O925="",G925=""),"",O925*IFERROR(INDEX(Listas!$B$2:$B$50,MATCH(G925,Listas!$A$2:$A$50,0)),0))</f>
        <v/>
      </c>
      <c r="AA925" s="32"/>
      <c r="AB925" s="32"/>
      <c r="AC925" s="32"/>
      <c r="AD925" s="35" t="str">
        <f aca="false">IF(OR(LEFT(H925,4)="Meta",LEFT(H925,6)="Google"),IF(AG925=3,"Lead calificado",IF(OR(AG925=4,AG925=5),"Tasación/visita",IF(OR(AG925=6,AG925=7),"Captación/oferta",IF(AG925=8,"Cierre","")))),"")</f>
        <v/>
      </c>
      <c r="AE925" s="32"/>
      <c r="AF925" s="32"/>
      <c r="AG925" s="37" t="n">
        <f aca="false">IF(R925="",0,IFERROR(MATCH(R925,Listas!$L$2:$L$50,0),0))</f>
        <v>0</v>
      </c>
    </row>
    <row r="926" customFormat="false" ht="15" hidden="false" customHeight="false" outlineLevel="0" collapsed="false">
      <c r="A926" s="30"/>
      <c r="B926" s="31"/>
      <c r="C926" s="32"/>
      <c r="D926" s="32"/>
      <c r="E926" s="33"/>
      <c r="F926" s="32"/>
      <c r="G926" s="32"/>
      <c r="H926" s="32"/>
      <c r="I926" s="32"/>
      <c r="J926" s="32"/>
      <c r="K926" s="32"/>
      <c r="L926" s="32"/>
      <c r="M926" s="30"/>
      <c r="N926" s="32"/>
      <c r="O926" s="34"/>
      <c r="P926" s="32"/>
      <c r="Q926" s="32"/>
      <c r="R926" s="32"/>
      <c r="S926" s="32"/>
      <c r="T926" s="32"/>
      <c r="U926" s="32"/>
      <c r="V926" s="31"/>
      <c r="W926" s="35" t="str">
        <f aca="true">IF(OR(V926="",AG926&gt;=8),"",IF(V926&lt;TODAY(),"Vencida",IF(V926=TODAY(),"Hoy","")))</f>
        <v/>
      </c>
      <c r="X926" s="36" t="str">
        <f aca="false">IF(A926="","",IF(COUNTIF(Seguimiento!$B$2:$B$5001,A926)=0,"",_xlfn.MAXIFS(Seguimiento!$A$2:$A$5001,Seguimiento!$B$2:$B$5001,A926)))</f>
        <v/>
      </c>
      <c r="Y926" s="37" t="str">
        <f aca="true">IF(B926="","",TODAY()-B926)</f>
        <v/>
      </c>
      <c r="Z926" s="38" t="str">
        <f aca="false">IF(OR(O926="",G926=""),"",O926*IFERROR(INDEX(Listas!$B$2:$B$50,MATCH(G926,Listas!$A$2:$A$50,0)),0))</f>
        <v/>
      </c>
      <c r="AA926" s="32"/>
      <c r="AB926" s="32"/>
      <c r="AC926" s="32"/>
      <c r="AD926" s="35" t="str">
        <f aca="false">IF(OR(LEFT(H926,4)="Meta",LEFT(H926,6)="Google"),IF(AG926=3,"Lead calificado",IF(OR(AG926=4,AG926=5),"Tasación/visita",IF(OR(AG926=6,AG926=7),"Captación/oferta",IF(AG926=8,"Cierre","")))),"")</f>
        <v/>
      </c>
      <c r="AE926" s="32"/>
      <c r="AF926" s="32"/>
      <c r="AG926" s="37" t="n">
        <f aca="false">IF(R926="",0,IFERROR(MATCH(R926,Listas!$L$2:$L$50,0),0))</f>
        <v>0</v>
      </c>
    </row>
    <row r="927" customFormat="false" ht="15" hidden="false" customHeight="false" outlineLevel="0" collapsed="false">
      <c r="A927" s="30"/>
      <c r="B927" s="31"/>
      <c r="C927" s="32"/>
      <c r="D927" s="32"/>
      <c r="E927" s="33"/>
      <c r="F927" s="32"/>
      <c r="G927" s="32"/>
      <c r="H927" s="32"/>
      <c r="I927" s="32"/>
      <c r="J927" s="32"/>
      <c r="K927" s="32"/>
      <c r="L927" s="32"/>
      <c r="M927" s="30"/>
      <c r="N927" s="32"/>
      <c r="O927" s="34"/>
      <c r="P927" s="32"/>
      <c r="Q927" s="32"/>
      <c r="R927" s="32"/>
      <c r="S927" s="32"/>
      <c r="T927" s="32"/>
      <c r="U927" s="32"/>
      <c r="V927" s="31"/>
      <c r="W927" s="35" t="str">
        <f aca="true">IF(OR(V927="",AG927&gt;=8),"",IF(V927&lt;TODAY(),"Vencida",IF(V927=TODAY(),"Hoy","")))</f>
        <v/>
      </c>
      <c r="X927" s="36" t="str">
        <f aca="false">IF(A927="","",IF(COUNTIF(Seguimiento!$B$2:$B$5001,A927)=0,"",_xlfn.MAXIFS(Seguimiento!$A$2:$A$5001,Seguimiento!$B$2:$B$5001,A927)))</f>
        <v/>
      </c>
      <c r="Y927" s="37" t="str">
        <f aca="true">IF(B927="","",TODAY()-B927)</f>
        <v/>
      </c>
      <c r="Z927" s="38" t="str">
        <f aca="false">IF(OR(O927="",G927=""),"",O927*IFERROR(INDEX(Listas!$B$2:$B$50,MATCH(G927,Listas!$A$2:$A$50,0)),0))</f>
        <v/>
      </c>
      <c r="AA927" s="32"/>
      <c r="AB927" s="32"/>
      <c r="AC927" s="32"/>
      <c r="AD927" s="35" t="str">
        <f aca="false">IF(OR(LEFT(H927,4)="Meta",LEFT(H927,6)="Google"),IF(AG927=3,"Lead calificado",IF(OR(AG927=4,AG927=5),"Tasación/visita",IF(OR(AG927=6,AG927=7),"Captación/oferta",IF(AG927=8,"Cierre","")))),"")</f>
        <v/>
      </c>
      <c r="AE927" s="32"/>
      <c r="AF927" s="32"/>
      <c r="AG927" s="37" t="n">
        <f aca="false">IF(R927="",0,IFERROR(MATCH(R927,Listas!$L$2:$L$50,0),0))</f>
        <v>0</v>
      </c>
    </row>
    <row r="928" customFormat="false" ht="15" hidden="false" customHeight="false" outlineLevel="0" collapsed="false">
      <c r="A928" s="30"/>
      <c r="B928" s="31"/>
      <c r="C928" s="32"/>
      <c r="D928" s="32"/>
      <c r="E928" s="33"/>
      <c r="F928" s="32"/>
      <c r="G928" s="32"/>
      <c r="H928" s="32"/>
      <c r="I928" s="32"/>
      <c r="J928" s="32"/>
      <c r="K928" s="32"/>
      <c r="L928" s="32"/>
      <c r="M928" s="30"/>
      <c r="N928" s="32"/>
      <c r="O928" s="34"/>
      <c r="P928" s="32"/>
      <c r="Q928" s="32"/>
      <c r="R928" s="32"/>
      <c r="S928" s="32"/>
      <c r="T928" s="32"/>
      <c r="U928" s="32"/>
      <c r="V928" s="31"/>
      <c r="W928" s="35" t="str">
        <f aca="true">IF(OR(V928="",AG928&gt;=8),"",IF(V928&lt;TODAY(),"Vencida",IF(V928=TODAY(),"Hoy","")))</f>
        <v/>
      </c>
      <c r="X928" s="36" t="str">
        <f aca="false">IF(A928="","",IF(COUNTIF(Seguimiento!$B$2:$B$5001,A928)=0,"",_xlfn.MAXIFS(Seguimiento!$A$2:$A$5001,Seguimiento!$B$2:$B$5001,A928)))</f>
        <v/>
      </c>
      <c r="Y928" s="37" t="str">
        <f aca="true">IF(B928="","",TODAY()-B928)</f>
        <v/>
      </c>
      <c r="Z928" s="38" t="str">
        <f aca="false">IF(OR(O928="",G928=""),"",O928*IFERROR(INDEX(Listas!$B$2:$B$50,MATCH(G928,Listas!$A$2:$A$50,0)),0))</f>
        <v/>
      </c>
      <c r="AA928" s="32"/>
      <c r="AB928" s="32"/>
      <c r="AC928" s="32"/>
      <c r="AD928" s="35" t="str">
        <f aca="false">IF(OR(LEFT(H928,4)="Meta",LEFT(H928,6)="Google"),IF(AG928=3,"Lead calificado",IF(OR(AG928=4,AG928=5),"Tasación/visita",IF(OR(AG928=6,AG928=7),"Captación/oferta",IF(AG928=8,"Cierre","")))),"")</f>
        <v/>
      </c>
      <c r="AE928" s="32"/>
      <c r="AF928" s="32"/>
      <c r="AG928" s="37" t="n">
        <f aca="false">IF(R928="",0,IFERROR(MATCH(R928,Listas!$L$2:$L$50,0),0))</f>
        <v>0</v>
      </c>
    </row>
    <row r="929" customFormat="false" ht="15" hidden="false" customHeight="false" outlineLevel="0" collapsed="false">
      <c r="A929" s="30"/>
      <c r="B929" s="31"/>
      <c r="C929" s="32"/>
      <c r="D929" s="32"/>
      <c r="E929" s="33"/>
      <c r="F929" s="32"/>
      <c r="G929" s="32"/>
      <c r="H929" s="32"/>
      <c r="I929" s="32"/>
      <c r="J929" s="32"/>
      <c r="K929" s="32"/>
      <c r="L929" s="32"/>
      <c r="M929" s="30"/>
      <c r="N929" s="32"/>
      <c r="O929" s="34"/>
      <c r="P929" s="32"/>
      <c r="Q929" s="32"/>
      <c r="R929" s="32"/>
      <c r="S929" s="32"/>
      <c r="T929" s="32"/>
      <c r="U929" s="32"/>
      <c r="V929" s="31"/>
      <c r="W929" s="35" t="str">
        <f aca="true">IF(OR(V929="",AG929&gt;=8),"",IF(V929&lt;TODAY(),"Vencida",IF(V929=TODAY(),"Hoy","")))</f>
        <v/>
      </c>
      <c r="X929" s="36" t="str">
        <f aca="false">IF(A929="","",IF(COUNTIF(Seguimiento!$B$2:$B$5001,A929)=0,"",_xlfn.MAXIFS(Seguimiento!$A$2:$A$5001,Seguimiento!$B$2:$B$5001,A929)))</f>
        <v/>
      </c>
      <c r="Y929" s="37" t="str">
        <f aca="true">IF(B929="","",TODAY()-B929)</f>
        <v/>
      </c>
      <c r="Z929" s="38" t="str">
        <f aca="false">IF(OR(O929="",G929=""),"",O929*IFERROR(INDEX(Listas!$B$2:$B$50,MATCH(G929,Listas!$A$2:$A$50,0)),0))</f>
        <v/>
      </c>
      <c r="AA929" s="32"/>
      <c r="AB929" s="32"/>
      <c r="AC929" s="32"/>
      <c r="AD929" s="35" t="str">
        <f aca="false">IF(OR(LEFT(H929,4)="Meta",LEFT(H929,6)="Google"),IF(AG929=3,"Lead calificado",IF(OR(AG929=4,AG929=5),"Tasación/visita",IF(OR(AG929=6,AG929=7),"Captación/oferta",IF(AG929=8,"Cierre","")))),"")</f>
        <v/>
      </c>
      <c r="AE929" s="32"/>
      <c r="AF929" s="32"/>
      <c r="AG929" s="37" t="n">
        <f aca="false">IF(R929="",0,IFERROR(MATCH(R929,Listas!$L$2:$L$50,0),0))</f>
        <v>0</v>
      </c>
    </row>
    <row r="930" customFormat="false" ht="15" hidden="false" customHeight="false" outlineLevel="0" collapsed="false">
      <c r="A930" s="30"/>
      <c r="B930" s="31"/>
      <c r="C930" s="32"/>
      <c r="D930" s="32"/>
      <c r="E930" s="33"/>
      <c r="F930" s="32"/>
      <c r="G930" s="32"/>
      <c r="H930" s="32"/>
      <c r="I930" s="32"/>
      <c r="J930" s="32"/>
      <c r="K930" s="32"/>
      <c r="L930" s="32"/>
      <c r="M930" s="30"/>
      <c r="N930" s="32"/>
      <c r="O930" s="34"/>
      <c r="P930" s="32"/>
      <c r="Q930" s="32"/>
      <c r="R930" s="32"/>
      <c r="S930" s="32"/>
      <c r="T930" s="32"/>
      <c r="U930" s="32"/>
      <c r="V930" s="31"/>
      <c r="W930" s="35" t="str">
        <f aca="true">IF(OR(V930="",AG930&gt;=8),"",IF(V930&lt;TODAY(),"Vencida",IF(V930=TODAY(),"Hoy","")))</f>
        <v/>
      </c>
      <c r="X930" s="36" t="str">
        <f aca="false">IF(A930="","",IF(COUNTIF(Seguimiento!$B$2:$B$5001,A930)=0,"",_xlfn.MAXIFS(Seguimiento!$A$2:$A$5001,Seguimiento!$B$2:$B$5001,A930)))</f>
        <v/>
      </c>
      <c r="Y930" s="37" t="str">
        <f aca="true">IF(B930="","",TODAY()-B930)</f>
        <v/>
      </c>
      <c r="Z930" s="38" t="str">
        <f aca="false">IF(OR(O930="",G930=""),"",O930*IFERROR(INDEX(Listas!$B$2:$B$50,MATCH(G930,Listas!$A$2:$A$50,0)),0))</f>
        <v/>
      </c>
      <c r="AA930" s="32"/>
      <c r="AB930" s="32"/>
      <c r="AC930" s="32"/>
      <c r="AD930" s="35" t="str">
        <f aca="false">IF(OR(LEFT(H930,4)="Meta",LEFT(H930,6)="Google"),IF(AG930=3,"Lead calificado",IF(OR(AG930=4,AG930=5),"Tasación/visita",IF(OR(AG930=6,AG930=7),"Captación/oferta",IF(AG930=8,"Cierre","")))),"")</f>
        <v/>
      </c>
      <c r="AE930" s="32"/>
      <c r="AF930" s="32"/>
      <c r="AG930" s="37" t="n">
        <f aca="false">IF(R930="",0,IFERROR(MATCH(R930,Listas!$L$2:$L$50,0),0))</f>
        <v>0</v>
      </c>
    </row>
    <row r="931" customFormat="false" ht="15" hidden="false" customHeight="false" outlineLevel="0" collapsed="false">
      <c r="A931" s="30"/>
      <c r="B931" s="31"/>
      <c r="C931" s="32"/>
      <c r="D931" s="32"/>
      <c r="E931" s="33"/>
      <c r="F931" s="32"/>
      <c r="G931" s="32"/>
      <c r="H931" s="32"/>
      <c r="I931" s="32"/>
      <c r="J931" s="32"/>
      <c r="K931" s="32"/>
      <c r="L931" s="32"/>
      <c r="M931" s="30"/>
      <c r="N931" s="32"/>
      <c r="O931" s="34"/>
      <c r="P931" s="32"/>
      <c r="Q931" s="32"/>
      <c r="R931" s="32"/>
      <c r="S931" s="32"/>
      <c r="T931" s="32"/>
      <c r="U931" s="32"/>
      <c r="V931" s="31"/>
      <c r="W931" s="35" t="str">
        <f aca="true">IF(OR(V931="",AG931&gt;=8),"",IF(V931&lt;TODAY(),"Vencida",IF(V931=TODAY(),"Hoy","")))</f>
        <v/>
      </c>
      <c r="X931" s="36" t="str">
        <f aca="false">IF(A931="","",IF(COUNTIF(Seguimiento!$B$2:$B$5001,A931)=0,"",_xlfn.MAXIFS(Seguimiento!$A$2:$A$5001,Seguimiento!$B$2:$B$5001,A931)))</f>
        <v/>
      </c>
      <c r="Y931" s="37" t="str">
        <f aca="true">IF(B931="","",TODAY()-B931)</f>
        <v/>
      </c>
      <c r="Z931" s="38" t="str">
        <f aca="false">IF(OR(O931="",G931=""),"",O931*IFERROR(INDEX(Listas!$B$2:$B$50,MATCH(G931,Listas!$A$2:$A$50,0)),0))</f>
        <v/>
      </c>
      <c r="AA931" s="32"/>
      <c r="AB931" s="32"/>
      <c r="AC931" s="32"/>
      <c r="AD931" s="35" t="str">
        <f aca="false">IF(OR(LEFT(H931,4)="Meta",LEFT(H931,6)="Google"),IF(AG931=3,"Lead calificado",IF(OR(AG931=4,AG931=5),"Tasación/visita",IF(OR(AG931=6,AG931=7),"Captación/oferta",IF(AG931=8,"Cierre","")))),"")</f>
        <v/>
      </c>
      <c r="AE931" s="32"/>
      <c r="AF931" s="32"/>
      <c r="AG931" s="37" t="n">
        <f aca="false">IF(R931="",0,IFERROR(MATCH(R931,Listas!$L$2:$L$50,0),0))</f>
        <v>0</v>
      </c>
    </row>
    <row r="932" customFormat="false" ht="15" hidden="false" customHeight="false" outlineLevel="0" collapsed="false">
      <c r="A932" s="30"/>
      <c r="B932" s="31"/>
      <c r="C932" s="32"/>
      <c r="D932" s="32"/>
      <c r="E932" s="33"/>
      <c r="F932" s="32"/>
      <c r="G932" s="32"/>
      <c r="H932" s="32"/>
      <c r="I932" s="32"/>
      <c r="J932" s="32"/>
      <c r="K932" s="32"/>
      <c r="L932" s="32"/>
      <c r="M932" s="30"/>
      <c r="N932" s="32"/>
      <c r="O932" s="34"/>
      <c r="P932" s="32"/>
      <c r="Q932" s="32"/>
      <c r="R932" s="32"/>
      <c r="S932" s="32"/>
      <c r="T932" s="32"/>
      <c r="U932" s="32"/>
      <c r="V932" s="31"/>
      <c r="W932" s="35" t="str">
        <f aca="true">IF(OR(V932="",AG932&gt;=8),"",IF(V932&lt;TODAY(),"Vencida",IF(V932=TODAY(),"Hoy","")))</f>
        <v/>
      </c>
      <c r="X932" s="36" t="str">
        <f aca="false">IF(A932="","",IF(COUNTIF(Seguimiento!$B$2:$B$5001,A932)=0,"",_xlfn.MAXIFS(Seguimiento!$A$2:$A$5001,Seguimiento!$B$2:$B$5001,A932)))</f>
        <v/>
      </c>
      <c r="Y932" s="37" t="str">
        <f aca="true">IF(B932="","",TODAY()-B932)</f>
        <v/>
      </c>
      <c r="Z932" s="38" t="str">
        <f aca="false">IF(OR(O932="",G932=""),"",O932*IFERROR(INDEX(Listas!$B$2:$B$50,MATCH(G932,Listas!$A$2:$A$50,0)),0))</f>
        <v/>
      </c>
      <c r="AA932" s="32"/>
      <c r="AB932" s="32"/>
      <c r="AC932" s="32"/>
      <c r="AD932" s="35" t="str">
        <f aca="false">IF(OR(LEFT(H932,4)="Meta",LEFT(H932,6)="Google"),IF(AG932=3,"Lead calificado",IF(OR(AG932=4,AG932=5),"Tasación/visita",IF(OR(AG932=6,AG932=7),"Captación/oferta",IF(AG932=8,"Cierre","")))),"")</f>
        <v/>
      </c>
      <c r="AE932" s="32"/>
      <c r="AF932" s="32"/>
      <c r="AG932" s="37" t="n">
        <f aca="false">IF(R932="",0,IFERROR(MATCH(R932,Listas!$L$2:$L$50,0),0))</f>
        <v>0</v>
      </c>
    </row>
    <row r="933" customFormat="false" ht="15" hidden="false" customHeight="false" outlineLevel="0" collapsed="false">
      <c r="A933" s="30"/>
      <c r="B933" s="31"/>
      <c r="C933" s="32"/>
      <c r="D933" s="32"/>
      <c r="E933" s="33"/>
      <c r="F933" s="32"/>
      <c r="G933" s="32"/>
      <c r="H933" s="32"/>
      <c r="I933" s="32"/>
      <c r="J933" s="32"/>
      <c r="K933" s="32"/>
      <c r="L933" s="32"/>
      <c r="M933" s="30"/>
      <c r="N933" s="32"/>
      <c r="O933" s="34"/>
      <c r="P933" s="32"/>
      <c r="Q933" s="32"/>
      <c r="R933" s="32"/>
      <c r="S933" s="32"/>
      <c r="T933" s="32"/>
      <c r="U933" s="32"/>
      <c r="V933" s="31"/>
      <c r="W933" s="35" t="str">
        <f aca="true">IF(OR(V933="",AG933&gt;=8),"",IF(V933&lt;TODAY(),"Vencida",IF(V933=TODAY(),"Hoy","")))</f>
        <v/>
      </c>
      <c r="X933" s="36" t="str">
        <f aca="false">IF(A933="","",IF(COUNTIF(Seguimiento!$B$2:$B$5001,A933)=0,"",_xlfn.MAXIFS(Seguimiento!$A$2:$A$5001,Seguimiento!$B$2:$B$5001,A933)))</f>
        <v/>
      </c>
      <c r="Y933" s="37" t="str">
        <f aca="true">IF(B933="","",TODAY()-B933)</f>
        <v/>
      </c>
      <c r="Z933" s="38" t="str">
        <f aca="false">IF(OR(O933="",G933=""),"",O933*IFERROR(INDEX(Listas!$B$2:$B$50,MATCH(G933,Listas!$A$2:$A$50,0)),0))</f>
        <v/>
      </c>
      <c r="AA933" s="32"/>
      <c r="AB933" s="32"/>
      <c r="AC933" s="32"/>
      <c r="AD933" s="35" t="str">
        <f aca="false">IF(OR(LEFT(H933,4)="Meta",LEFT(H933,6)="Google"),IF(AG933=3,"Lead calificado",IF(OR(AG933=4,AG933=5),"Tasación/visita",IF(OR(AG933=6,AG933=7),"Captación/oferta",IF(AG933=8,"Cierre","")))),"")</f>
        <v/>
      </c>
      <c r="AE933" s="32"/>
      <c r="AF933" s="32"/>
      <c r="AG933" s="37" t="n">
        <f aca="false">IF(R933="",0,IFERROR(MATCH(R933,Listas!$L$2:$L$50,0),0))</f>
        <v>0</v>
      </c>
    </row>
    <row r="934" customFormat="false" ht="15" hidden="false" customHeight="false" outlineLevel="0" collapsed="false">
      <c r="A934" s="30"/>
      <c r="B934" s="31"/>
      <c r="C934" s="32"/>
      <c r="D934" s="32"/>
      <c r="E934" s="33"/>
      <c r="F934" s="32"/>
      <c r="G934" s="32"/>
      <c r="H934" s="32"/>
      <c r="I934" s="32"/>
      <c r="J934" s="32"/>
      <c r="K934" s="32"/>
      <c r="L934" s="32"/>
      <c r="M934" s="30"/>
      <c r="N934" s="32"/>
      <c r="O934" s="34"/>
      <c r="P934" s="32"/>
      <c r="Q934" s="32"/>
      <c r="R934" s="32"/>
      <c r="S934" s="32"/>
      <c r="T934" s="32"/>
      <c r="U934" s="32"/>
      <c r="V934" s="31"/>
      <c r="W934" s="35" t="str">
        <f aca="true">IF(OR(V934="",AG934&gt;=8),"",IF(V934&lt;TODAY(),"Vencida",IF(V934=TODAY(),"Hoy","")))</f>
        <v/>
      </c>
      <c r="X934" s="36" t="str">
        <f aca="false">IF(A934="","",IF(COUNTIF(Seguimiento!$B$2:$B$5001,A934)=0,"",_xlfn.MAXIFS(Seguimiento!$A$2:$A$5001,Seguimiento!$B$2:$B$5001,A934)))</f>
        <v/>
      </c>
      <c r="Y934" s="37" t="str">
        <f aca="true">IF(B934="","",TODAY()-B934)</f>
        <v/>
      </c>
      <c r="Z934" s="38" t="str">
        <f aca="false">IF(OR(O934="",G934=""),"",O934*IFERROR(INDEX(Listas!$B$2:$B$50,MATCH(G934,Listas!$A$2:$A$50,0)),0))</f>
        <v/>
      </c>
      <c r="AA934" s="32"/>
      <c r="AB934" s="32"/>
      <c r="AC934" s="32"/>
      <c r="AD934" s="35" t="str">
        <f aca="false">IF(OR(LEFT(H934,4)="Meta",LEFT(H934,6)="Google"),IF(AG934=3,"Lead calificado",IF(OR(AG934=4,AG934=5),"Tasación/visita",IF(OR(AG934=6,AG934=7),"Captación/oferta",IF(AG934=8,"Cierre","")))),"")</f>
        <v/>
      </c>
      <c r="AE934" s="32"/>
      <c r="AF934" s="32"/>
      <c r="AG934" s="37" t="n">
        <f aca="false">IF(R934="",0,IFERROR(MATCH(R934,Listas!$L$2:$L$50,0),0))</f>
        <v>0</v>
      </c>
    </row>
    <row r="935" customFormat="false" ht="15" hidden="false" customHeight="false" outlineLevel="0" collapsed="false">
      <c r="A935" s="30"/>
      <c r="B935" s="31"/>
      <c r="C935" s="32"/>
      <c r="D935" s="32"/>
      <c r="E935" s="33"/>
      <c r="F935" s="32"/>
      <c r="G935" s="32"/>
      <c r="H935" s="32"/>
      <c r="I935" s="32"/>
      <c r="J935" s="32"/>
      <c r="K935" s="32"/>
      <c r="L935" s="32"/>
      <c r="M935" s="30"/>
      <c r="N935" s="32"/>
      <c r="O935" s="34"/>
      <c r="P935" s="32"/>
      <c r="Q935" s="32"/>
      <c r="R935" s="32"/>
      <c r="S935" s="32"/>
      <c r="T935" s="32"/>
      <c r="U935" s="32"/>
      <c r="V935" s="31"/>
      <c r="W935" s="35" t="str">
        <f aca="true">IF(OR(V935="",AG935&gt;=8),"",IF(V935&lt;TODAY(),"Vencida",IF(V935=TODAY(),"Hoy","")))</f>
        <v/>
      </c>
      <c r="X935" s="36" t="str">
        <f aca="false">IF(A935="","",IF(COUNTIF(Seguimiento!$B$2:$B$5001,A935)=0,"",_xlfn.MAXIFS(Seguimiento!$A$2:$A$5001,Seguimiento!$B$2:$B$5001,A935)))</f>
        <v/>
      </c>
      <c r="Y935" s="37" t="str">
        <f aca="true">IF(B935="","",TODAY()-B935)</f>
        <v/>
      </c>
      <c r="Z935" s="38" t="str">
        <f aca="false">IF(OR(O935="",G935=""),"",O935*IFERROR(INDEX(Listas!$B$2:$B$50,MATCH(G935,Listas!$A$2:$A$50,0)),0))</f>
        <v/>
      </c>
      <c r="AA935" s="32"/>
      <c r="AB935" s="32"/>
      <c r="AC935" s="32"/>
      <c r="AD935" s="35" t="str">
        <f aca="false">IF(OR(LEFT(H935,4)="Meta",LEFT(H935,6)="Google"),IF(AG935=3,"Lead calificado",IF(OR(AG935=4,AG935=5),"Tasación/visita",IF(OR(AG935=6,AG935=7),"Captación/oferta",IF(AG935=8,"Cierre","")))),"")</f>
        <v/>
      </c>
      <c r="AE935" s="32"/>
      <c r="AF935" s="32"/>
      <c r="AG935" s="37" t="n">
        <f aca="false">IF(R935="",0,IFERROR(MATCH(R935,Listas!$L$2:$L$50,0),0))</f>
        <v>0</v>
      </c>
    </row>
    <row r="936" customFormat="false" ht="15" hidden="false" customHeight="false" outlineLevel="0" collapsed="false">
      <c r="A936" s="30"/>
      <c r="B936" s="31"/>
      <c r="C936" s="32"/>
      <c r="D936" s="32"/>
      <c r="E936" s="33"/>
      <c r="F936" s="32"/>
      <c r="G936" s="32"/>
      <c r="H936" s="32"/>
      <c r="I936" s="32"/>
      <c r="J936" s="32"/>
      <c r="K936" s="32"/>
      <c r="L936" s="32"/>
      <c r="M936" s="30"/>
      <c r="N936" s="32"/>
      <c r="O936" s="34"/>
      <c r="P936" s="32"/>
      <c r="Q936" s="32"/>
      <c r="R936" s="32"/>
      <c r="S936" s="32"/>
      <c r="T936" s="32"/>
      <c r="U936" s="32"/>
      <c r="V936" s="31"/>
      <c r="W936" s="35" t="str">
        <f aca="true">IF(OR(V936="",AG936&gt;=8),"",IF(V936&lt;TODAY(),"Vencida",IF(V936=TODAY(),"Hoy","")))</f>
        <v/>
      </c>
      <c r="X936" s="36" t="str">
        <f aca="false">IF(A936="","",IF(COUNTIF(Seguimiento!$B$2:$B$5001,A936)=0,"",_xlfn.MAXIFS(Seguimiento!$A$2:$A$5001,Seguimiento!$B$2:$B$5001,A936)))</f>
        <v/>
      </c>
      <c r="Y936" s="37" t="str">
        <f aca="true">IF(B936="","",TODAY()-B936)</f>
        <v/>
      </c>
      <c r="Z936" s="38" t="str">
        <f aca="false">IF(OR(O936="",G936=""),"",O936*IFERROR(INDEX(Listas!$B$2:$B$50,MATCH(G936,Listas!$A$2:$A$50,0)),0))</f>
        <v/>
      </c>
      <c r="AA936" s="32"/>
      <c r="AB936" s="32"/>
      <c r="AC936" s="32"/>
      <c r="AD936" s="35" t="str">
        <f aca="false">IF(OR(LEFT(H936,4)="Meta",LEFT(H936,6)="Google"),IF(AG936=3,"Lead calificado",IF(OR(AG936=4,AG936=5),"Tasación/visita",IF(OR(AG936=6,AG936=7),"Captación/oferta",IF(AG936=8,"Cierre","")))),"")</f>
        <v/>
      </c>
      <c r="AE936" s="32"/>
      <c r="AF936" s="32"/>
      <c r="AG936" s="37" t="n">
        <f aca="false">IF(R936="",0,IFERROR(MATCH(R936,Listas!$L$2:$L$50,0),0))</f>
        <v>0</v>
      </c>
    </row>
    <row r="937" customFormat="false" ht="15" hidden="false" customHeight="false" outlineLevel="0" collapsed="false">
      <c r="A937" s="30"/>
      <c r="B937" s="31"/>
      <c r="C937" s="32"/>
      <c r="D937" s="32"/>
      <c r="E937" s="33"/>
      <c r="F937" s="32"/>
      <c r="G937" s="32"/>
      <c r="H937" s="32"/>
      <c r="I937" s="32"/>
      <c r="J937" s="32"/>
      <c r="K937" s="32"/>
      <c r="L937" s="32"/>
      <c r="M937" s="30"/>
      <c r="N937" s="32"/>
      <c r="O937" s="34"/>
      <c r="P937" s="32"/>
      <c r="Q937" s="32"/>
      <c r="R937" s="32"/>
      <c r="S937" s="32"/>
      <c r="T937" s="32"/>
      <c r="U937" s="32"/>
      <c r="V937" s="31"/>
      <c r="W937" s="35" t="str">
        <f aca="true">IF(OR(V937="",AG937&gt;=8),"",IF(V937&lt;TODAY(),"Vencida",IF(V937=TODAY(),"Hoy","")))</f>
        <v/>
      </c>
      <c r="X937" s="36" t="str">
        <f aca="false">IF(A937="","",IF(COUNTIF(Seguimiento!$B$2:$B$5001,A937)=0,"",_xlfn.MAXIFS(Seguimiento!$A$2:$A$5001,Seguimiento!$B$2:$B$5001,A937)))</f>
        <v/>
      </c>
      <c r="Y937" s="37" t="str">
        <f aca="true">IF(B937="","",TODAY()-B937)</f>
        <v/>
      </c>
      <c r="Z937" s="38" t="str">
        <f aca="false">IF(OR(O937="",G937=""),"",O937*IFERROR(INDEX(Listas!$B$2:$B$50,MATCH(G937,Listas!$A$2:$A$50,0)),0))</f>
        <v/>
      </c>
      <c r="AA937" s="32"/>
      <c r="AB937" s="32"/>
      <c r="AC937" s="32"/>
      <c r="AD937" s="35" t="str">
        <f aca="false">IF(OR(LEFT(H937,4)="Meta",LEFT(H937,6)="Google"),IF(AG937=3,"Lead calificado",IF(OR(AG937=4,AG937=5),"Tasación/visita",IF(OR(AG937=6,AG937=7),"Captación/oferta",IF(AG937=8,"Cierre","")))),"")</f>
        <v/>
      </c>
      <c r="AE937" s="32"/>
      <c r="AF937" s="32"/>
      <c r="AG937" s="37" t="n">
        <f aca="false">IF(R937="",0,IFERROR(MATCH(R937,Listas!$L$2:$L$50,0),0))</f>
        <v>0</v>
      </c>
    </row>
    <row r="938" customFormat="false" ht="15" hidden="false" customHeight="false" outlineLevel="0" collapsed="false">
      <c r="A938" s="30"/>
      <c r="B938" s="31"/>
      <c r="C938" s="32"/>
      <c r="D938" s="32"/>
      <c r="E938" s="33"/>
      <c r="F938" s="32"/>
      <c r="G938" s="32"/>
      <c r="H938" s="32"/>
      <c r="I938" s="32"/>
      <c r="J938" s="32"/>
      <c r="K938" s="32"/>
      <c r="L938" s="32"/>
      <c r="M938" s="30"/>
      <c r="N938" s="32"/>
      <c r="O938" s="34"/>
      <c r="P938" s="32"/>
      <c r="Q938" s="32"/>
      <c r="R938" s="32"/>
      <c r="S938" s="32"/>
      <c r="T938" s="32"/>
      <c r="U938" s="32"/>
      <c r="V938" s="31"/>
      <c r="W938" s="35" t="str">
        <f aca="true">IF(OR(V938="",AG938&gt;=8),"",IF(V938&lt;TODAY(),"Vencida",IF(V938=TODAY(),"Hoy","")))</f>
        <v/>
      </c>
      <c r="X938" s="36" t="str">
        <f aca="false">IF(A938="","",IF(COUNTIF(Seguimiento!$B$2:$B$5001,A938)=0,"",_xlfn.MAXIFS(Seguimiento!$A$2:$A$5001,Seguimiento!$B$2:$B$5001,A938)))</f>
        <v/>
      </c>
      <c r="Y938" s="37" t="str">
        <f aca="true">IF(B938="","",TODAY()-B938)</f>
        <v/>
      </c>
      <c r="Z938" s="38" t="str">
        <f aca="false">IF(OR(O938="",G938=""),"",O938*IFERROR(INDEX(Listas!$B$2:$B$50,MATCH(G938,Listas!$A$2:$A$50,0)),0))</f>
        <v/>
      </c>
      <c r="AA938" s="32"/>
      <c r="AB938" s="32"/>
      <c r="AC938" s="32"/>
      <c r="AD938" s="35" t="str">
        <f aca="false">IF(OR(LEFT(H938,4)="Meta",LEFT(H938,6)="Google"),IF(AG938=3,"Lead calificado",IF(OR(AG938=4,AG938=5),"Tasación/visita",IF(OR(AG938=6,AG938=7),"Captación/oferta",IF(AG938=8,"Cierre","")))),"")</f>
        <v/>
      </c>
      <c r="AE938" s="32"/>
      <c r="AF938" s="32"/>
      <c r="AG938" s="37" t="n">
        <f aca="false">IF(R938="",0,IFERROR(MATCH(R938,Listas!$L$2:$L$50,0),0))</f>
        <v>0</v>
      </c>
    </row>
    <row r="939" customFormat="false" ht="15" hidden="false" customHeight="false" outlineLevel="0" collapsed="false">
      <c r="A939" s="30"/>
      <c r="B939" s="31"/>
      <c r="C939" s="32"/>
      <c r="D939" s="32"/>
      <c r="E939" s="33"/>
      <c r="F939" s="32"/>
      <c r="G939" s="32"/>
      <c r="H939" s="32"/>
      <c r="I939" s="32"/>
      <c r="J939" s="32"/>
      <c r="K939" s="32"/>
      <c r="L939" s="32"/>
      <c r="M939" s="30"/>
      <c r="N939" s="32"/>
      <c r="O939" s="34"/>
      <c r="P939" s="32"/>
      <c r="Q939" s="32"/>
      <c r="R939" s="32"/>
      <c r="S939" s="32"/>
      <c r="T939" s="32"/>
      <c r="U939" s="32"/>
      <c r="V939" s="31"/>
      <c r="W939" s="35" t="str">
        <f aca="true">IF(OR(V939="",AG939&gt;=8),"",IF(V939&lt;TODAY(),"Vencida",IF(V939=TODAY(),"Hoy","")))</f>
        <v/>
      </c>
      <c r="X939" s="36" t="str">
        <f aca="false">IF(A939="","",IF(COUNTIF(Seguimiento!$B$2:$B$5001,A939)=0,"",_xlfn.MAXIFS(Seguimiento!$A$2:$A$5001,Seguimiento!$B$2:$B$5001,A939)))</f>
        <v/>
      </c>
      <c r="Y939" s="37" t="str">
        <f aca="true">IF(B939="","",TODAY()-B939)</f>
        <v/>
      </c>
      <c r="Z939" s="38" t="str">
        <f aca="false">IF(OR(O939="",G939=""),"",O939*IFERROR(INDEX(Listas!$B$2:$B$50,MATCH(G939,Listas!$A$2:$A$50,0)),0))</f>
        <v/>
      </c>
      <c r="AA939" s="32"/>
      <c r="AB939" s="32"/>
      <c r="AC939" s="32"/>
      <c r="AD939" s="35" t="str">
        <f aca="false">IF(OR(LEFT(H939,4)="Meta",LEFT(H939,6)="Google"),IF(AG939=3,"Lead calificado",IF(OR(AG939=4,AG939=5),"Tasación/visita",IF(OR(AG939=6,AG939=7),"Captación/oferta",IF(AG939=8,"Cierre","")))),"")</f>
        <v/>
      </c>
      <c r="AE939" s="32"/>
      <c r="AF939" s="32"/>
      <c r="AG939" s="37" t="n">
        <f aca="false">IF(R939="",0,IFERROR(MATCH(R939,Listas!$L$2:$L$50,0),0))</f>
        <v>0</v>
      </c>
    </row>
    <row r="940" customFormat="false" ht="15" hidden="false" customHeight="false" outlineLevel="0" collapsed="false">
      <c r="A940" s="30"/>
      <c r="B940" s="31"/>
      <c r="C940" s="32"/>
      <c r="D940" s="32"/>
      <c r="E940" s="33"/>
      <c r="F940" s="32"/>
      <c r="G940" s="32"/>
      <c r="H940" s="32"/>
      <c r="I940" s="32"/>
      <c r="J940" s="32"/>
      <c r="K940" s="32"/>
      <c r="L940" s="32"/>
      <c r="M940" s="30"/>
      <c r="N940" s="32"/>
      <c r="O940" s="34"/>
      <c r="P940" s="32"/>
      <c r="Q940" s="32"/>
      <c r="R940" s="32"/>
      <c r="S940" s="32"/>
      <c r="T940" s="32"/>
      <c r="U940" s="32"/>
      <c r="V940" s="31"/>
      <c r="W940" s="35" t="str">
        <f aca="true">IF(OR(V940="",AG940&gt;=8),"",IF(V940&lt;TODAY(),"Vencida",IF(V940=TODAY(),"Hoy","")))</f>
        <v/>
      </c>
      <c r="X940" s="36" t="str">
        <f aca="false">IF(A940="","",IF(COUNTIF(Seguimiento!$B$2:$B$5001,A940)=0,"",_xlfn.MAXIFS(Seguimiento!$A$2:$A$5001,Seguimiento!$B$2:$B$5001,A940)))</f>
        <v/>
      </c>
      <c r="Y940" s="37" t="str">
        <f aca="true">IF(B940="","",TODAY()-B940)</f>
        <v/>
      </c>
      <c r="Z940" s="38" t="str">
        <f aca="false">IF(OR(O940="",G940=""),"",O940*IFERROR(INDEX(Listas!$B$2:$B$50,MATCH(G940,Listas!$A$2:$A$50,0)),0))</f>
        <v/>
      </c>
      <c r="AA940" s="32"/>
      <c r="AB940" s="32"/>
      <c r="AC940" s="32"/>
      <c r="AD940" s="35" t="str">
        <f aca="false">IF(OR(LEFT(H940,4)="Meta",LEFT(H940,6)="Google"),IF(AG940=3,"Lead calificado",IF(OR(AG940=4,AG940=5),"Tasación/visita",IF(OR(AG940=6,AG940=7),"Captación/oferta",IF(AG940=8,"Cierre","")))),"")</f>
        <v/>
      </c>
      <c r="AE940" s="32"/>
      <c r="AF940" s="32"/>
      <c r="AG940" s="37" t="n">
        <f aca="false">IF(R940="",0,IFERROR(MATCH(R940,Listas!$L$2:$L$50,0),0))</f>
        <v>0</v>
      </c>
    </row>
    <row r="941" customFormat="false" ht="15" hidden="false" customHeight="false" outlineLevel="0" collapsed="false">
      <c r="A941" s="30"/>
      <c r="B941" s="31"/>
      <c r="C941" s="32"/>
      <c r="D941" s="32"/>
      <c r="E941" s="33"/>
      <c r="F941" s="32"/>
      <c r="G941" s="32"/>
      <c r="H941" s="32"/>
      <c r="I941" s="32"/>
      <c r="J941" s="32"/>
      <c r="K941" s="32"/>
      <c r="L941" s="32"/>
      <c r="M941" s="30"/>
      <c r="N941" s="32"/>
      <c r="O941" s="34"/>
      <c r="P941" s="32"/>
      <c r="Q941" s="32"/>
      <c r="R941" s="32"/>
      <c r="S941" s="32"/>
      <c r="T941" s="32"/>
      <c r="U941" s="32"/>
      <c r="V941" s="31"/>
      <c r="W941" s="35" t="str">
        <f aca="true">IF(OR(V941="",AG941&gt;=8),"",IF(V941&lt;TODAY(),"Vencida",IF(V941=TODAY(),"Hoy","")))</f>
        <v/>
      </c>
      <c r="X941" s="36" t="str">
        <f aca="false">IF(A941="","",IF(COUNTIF(Seguimiento!$B$2:$B$5001,A941)=0,"",_xlfn.MAXIFS(Seguimiento!$A$2:$A$5001,Seguimiento!$B$2:$B$5001,A941)))</f>
        <v/>
      </c>
      <c r="Y941" s="37" t="str">
        <f aca="true">IF(B941="","",TODAY()-B941)</f>
        <v/>
      </c>
      <c r="Z941" s="38" t="str">
        <f aca="false">IF(OR(O941="",G941=""),"",O941*IFERROR(INDEX(Listas!$B$2:$B$50,MATCH(G941,Listas!$A$2:$A$50,0)),0))</f>
        <v/>
      </c>
      <c r="AA941" s="32"/>
      <c r="AB941" s="32"/>
      <c r="AC941" s="32"/>
      <c r="AD941" s="35" t="str">
        <f aca="false">IF(OR(LEFT(H941,4)="Meta",LEFT(H941,6)="Google"),IF(AG941=3,"Lead calificado",IF(OR(AG941=4,AG941=5),"Tasación/visita",IF(OR(AG941=6,AG941=7),"Captación/oferta",IF(AG941=8,"Cierre","")))),"")</f>
        <v/>
      </c>
      <c r="AE941" s="32"/>
      <c r="AF941" s="32"/>
      <c r="AG941" s="37" t="n">
        <f aca="false">IF(R941="",0,IFERROR(MATCH(R941,Listas!$L$2:$L$50,0),0))</f>
        <v>0</v>
      </c>
    </row>
    <row r="942" customFormat="false" ht="15" hidden="false" customHeight="false" outlineLevel="0" collapsed="false">
      <c r="A942" s="30"/>
      <c r="B942" s="31"/>
      <c r="C942" s="32"/>
      <c r="D942" s="32"/>
      <c r="E942" s="33"/>
      <c r="F942" s="32"/>
      <c r="G942" s="32"/>
      <c r="H942" s="32"/>
      <c r="I942" s="32"/>
      <c r="J942" s="32"/>
      <c r="K942" s="32"/>
      <c r="L942" s="32"/>
      <c r="M942" s="30"/>
      <c r="N942" s="32"/>
      <c r="O942" s="34"/>
      <c r="P942" s="32"/>
      <c r="Q942" s="32"/>
      <c r="R942" s="32"/>
      <c r="S942" s="32"/>
      <c r="T942" s="32"/>
      <c r="U942" s="32"/>
      <c r="V942" s="31"/>
      <c r="W942" s="35" t="str">
        <f aca="true">IF(OR(V942="",AG942&gt;=8),"",IF(V942&lt;TODAY(),"Vencida",IF(V942=TODAY(),"Hoy","")))</f>
        <v/>
      </c>
      <c r="X942" s="36" t="str">
        <f aca="false">IF(A942="","",IF(COUNTIF(Seguimiento!$B$2:$B$5001,A942)=0,"",_xlfn.MAXIFS(Seguimiento!$A$2:$A$5001,Seguimiento!$B$2:$B$5001,A942)))</f>
        <v/>
      </c>
      <c r="Y942" s="37" t="str">
        <f aca="true">IF(B942="","",TODAY()-B942)</f>
        <v/>
      </c>
      <c r="Z942" s="38" t="str">
        <f aca="false">IF(OR(O942="",G942=""),"",O942*IFERROR(INDEX(Listas!$B$2:$B$50,MATCH(G942,Listas!$A$2:$A$50,0)),0))</f>
        <v/>
      </c>
      <c r="AA942" s="32"/>
      <c r="AB942" s="32"/>
      <c r="AC942" s="32"/>
      <c r="AD942" s="35" t="str">
        <f aca="false">IF(OR(LEFT(H942,4)="Meta",LEFT(H942,6)="Google"),IF(AG942=3,"Lead calificado",IF(OR(AG942=4,AG942=5),"Tasación/visita",IF(OR(AG942=6,AG942=7),"Captación/oferta",IF(AG942=8,"Cierre","")))),"")</f>
        <v/>
      </c>
      <c r="AE942" s="32"/>
      <c r="AF942" s="32"/>
      <c r="AG942" s="37" t="n">
        <f aca="false">IF(R942="",0,IFERROR(MATCH(R942,Listas!$L$2:$L$50,0),0))</f>
        <v>0</v>
      </c>
    </row>
    <row r="943" customFormat="false" ht="15" hidden="false" customHeight="false" outlineLevel="0" collapsed="false">
      <c r="A943" s="30"/>
      <c r="B943" s="31"/>
      <c r="C943" s="32"/>
      <c r="D943" s="32"/>
      <c r="E943" s="33"/>
      <c r="F943" s="32"/>
      <c r="G943" s="32"/>
      <c r="H943" s="32"/>
      <c r="I943" s="32"/>
      <c r="J943" s="32"/>
      <c r="K943" s="32"/>
      <c r="L943" s="32"/>
      <c r="M943" s="30"/>
      <c r="N943" s="32"/>
      <c r="O943" s="34"/>
      <c r="P943" s="32"/>
      <c r="Q943" s="32"/>
      <c r="R943" s="32"/>
      <c r="S943" s="32"/>
      <c r="T943" s="32"/>
      <c r="U943" s="32"/>
      <c r="V943" s="31"/>
      <c r="W943" s="35" t="str">
        <f aca="true">IF(OR(V943="",AG943&gt;=8),"",IF(V943&lt;TODAY(),"Vencida",IF(V943=TODAY(),"Hoy","")))</f>
        <v/>
      </c>
      <c r="X943" s="36" t="str">
        <f aca="false">IF(A943="","",IF(COUNTIF(Seguimiento!$B$2:$B$5001,A943)=0,"",_xlfn.MAXIFS(Seguimiento!$A$2:$A$5001,Seguimiento!$B$2:$B$5001,A943)))</f>
        <v/>
      </c>
      <c r="Y943" s="37" t="str">
        <f aca="true">IF(B943="","",TODAY()-B943)</f>
        <v/>
      </c>
      <c r="Z943" s="38" t="str">
        <f aca="false">IF(OR(O943="",G943=""),"",O943*IFERROR(INDEX(Listas!$B$2:$B$50,MATCH(G943,Listas!$A$2:$A$50,0)),0))</f>
        <v/>
      </c>
      <c r="AA943" s="32"/>
      <c r="AB943" s="32"/>
      <c r="AC943" s="32"/>
      <c r="AD943" s="35" t="str">
        <f aca="false">IF(OR(LEFT(H943,4)="Meta",LEFT(H943,6)="Google"),IF(AG943=3,"Lead calificado",IF(OR(AG943=4,AG943=5),"Tasación/visita",IF(OR(AG943=6,AG943=7),"Captación/oferta",IF(AG943=8,"Cierre","")))),"")</f>
        <v/>
      </c>
      <c r="AE943" s="32"/>
      <c r="AF943" s="32"/>
      <c r="AG943" s="37" t="n">
        <f aca="false">IF(R943="",0,IFERROR(MATCH(R943,Listas!$L$2:$L$50,0),0))</f>
        <v>0</v>
      </c>
    </row>
    <row r="944" customFormat="false" ht="15" hidden="false" customHeight="false" outlineLevel="0" collapsed="false">
      <c r="A944" s="30"/>
      <c r="B944" s="31"/>
      <c r="C944" s="32"/>
      <c r="D944" s="32"/>
      <c r="E944" s="33"/>
      <c r="F944" s="32"/>
      <c r="G944" s="32"/>
      <c r="H944" s="32"/>
      <c r="I944" s="32"/>
      <c r="J944" s="32"/>
      <c r="K944" s="32"/>
      <c r="L944" s="32"/>
      <c r="M944" s="30"/>
      <c r="N944" s="32"/>
      <c r="O944" s="34"/>
      <c r="P944" s="32"/>
      <c r="Q944" s="32"/>
      <c r="R944" s="32"/>
      <c r="S944" s="32"/>
      <c r="T944" s="32"/>
      <c r="U944" s="32"/>
      <c r="V944" s="31"/>
      <c r="W944" s="35" t="str">
        <f aca="true">IF(OR(V944="",AG944&gt;=8),"",IF(V944&lt;TODAY(),"Vencida",IF(V944=TODAY(),"Hoy","")))</f>
        <v/>
      </c>
      <c r="X944" s="36" t="str">
        <f aca="false">IF(A944="","",IF(COUNTIF(Seguimiento!$B$2:$B$5001,A944)=0,"",_xlfn.MAXIFS(Seguimiento!$A$2:$A$5001,Seguimiento!$B$2:$B$5001,A944)))</f>
        <v/>
      </c>
      <c r="Y944" s="37" t="str">
        <f aca="true">IF(B944="","",TODAY()-B944)</f>
        <v/>
      </c>
      <c r="Z944" s="38" t="str">
        <f aca="false">IF(OR(O944="",G944=""),"",O944*IFERROR(INDEX(Listas!$B$2:$B$50,MATCH(G944,Listas!$A$2:$A$50,0)),0))</f>
        <v/>
      </c>
      <c r="AA944" s="32"/>
      <c r="AB944" s="32"/>
      <c r="AC944" s="32"/>
      <c r="AD944" s="35" t="str">
        <f aca="false">IF(OR(LEFT(H944,4)="Meta",LEFT(H944,6)="Google"),IF(AG944=3,"Lead calificado",IF(OR(AG944=4,AG944=5),"Tasación/visita",IF(OR(AG944=6,AG944=7),"Captación/oferta",IF(AG944=8,"Cierre","")))),"")</f>
        <v/>
      </c>
      <c r="AE944" s="32"/>
      <c r="AF944" s="32"/>
      <c r="AG944" s="37" t="n">
        <f aca="false">IF(R944="",0,IFERROR(MATCH(R944,Listas!$L$2:$L$50,0),0))</f>
        <v>0</v>
      </c>
    </row>
    <row r="945" customFormat="false" ht="15" hidden="false" customHeight="false" outlineLevel="0" collapsed="false">
      <c r="A945" s="30"/>
      <c r="B945" s="31"/>
      <c r="C945" s="32"/>
      <c r="D945" s="32"/>
      <c r="E945" s="33"/>
      <c r="F945" s="32"/>
      <c r="G945" s="32"/>
      <c r="H945" s="32"/>
      <c r="I945" s="32"/>
      <c r="J945" s="32"/>
      <c r="K945" s="32"/>
      <c r="L945" s="32"/>
      <c r="M945" s="30"/>
      <c r="N945" s="32"/>
      <c r="O945" s="34"/>
      <c r="P945" s="32"/>
      <c r="Q945" s="32"/>
      <c r="R945" s="32"/>
      <c r="S945" s="32"/>
      <c r="T945" s="32"/>
      <c r="U945" s="32"/>
      <c r="V945" s="31"/>
      <c r="W945" s="35" t="str">
        <f aca="true">IF(OR(V945="",AG945&gt;=8),"",IF(V945&lt;TODAY(),"Vencida",IF(V945=TODAY(),"Hoy","")))</f>
        <v/>
      </c>
      <c r="X945" s="36" t="str">
        <f aca="false">IF(A945="","",IF(COUNTIF(Seguimiento!$B$2:$B$5001,A945)=0,"",_xlfn.MAXIFS(Seguimiento!$A$2:$A$5001,Seguimiento!$B$2:$B$5001,A945)))</f>
        <v/>
      </c>
      <c r="Y945" s="37" t="str">
        <f aca="true">IF(B945="","",TODAY()-B945)</f>
        <v/>
      </c>
      <c r="Z945" s="38" t="str">
        <f aca="false">IF(OR(O945="",G945=""),"",O945*IFERROR(INDEX(Listas!$B$2:$B$50,MATCH(G945,Listas!$A$2:$A$50,0)),0))</f>
        <v/>
      </c>
      <c r="AA945" s="32"/>
      <c r="AB945" s="32"/>
      <c r="AC945" s="32"/>
      <c r="AD945" s="35" t="str">
        <f aca="false">IF(OR(LEFT(H945,4)="Meta",LEFT(H945,6)="Google"),IF(AG945=3,"Lead calificado",IF(OR(AG945=4,AG945=5),"Tasación/visita",IF(OR(AG945=6,AG945=7),"Captación/oferta",IF(AG945=8,"Cierre","")))),"")</f>
        <v/>
      </c>
      <c r="AE945" s="32"/>
      <c r="AF945" s="32"/>
      <c r="AG945" s="37" t="n">
        <f aca="false">IF(R945="",0,IFERROR(MATCH(R945,Listas!$L$2:$L$50,0),0))</f>
        <v>0</v>
      </c>
    </row>
    <row r="946" customFormat="false" ht="15" hidden="false" customHeight="false" outlineLevel="0" collapsed="false">
      <c r="A946" s="30"/>
      <c r="B946" s="31"/>
      <c r="C946" s="32"/>
      <c r="D946" s="32"/>
      <c r="E946" s="33"/>
      <c r="F946" s="32"/>
      <c r="G946" s="32"/>
      <c r="H946" s="32"/>
      <c r="I946" s="32"/>
      <c r="J946" s="32"/>
      <c r="K946" s="32"/>
      <c r="L946" s="32"/>
      <c r="M946" s="30"/>
      <c r="N946" s="32"/>
      <c r="O946" s="34"/>
      <c r="P946" s="32"/>
      <c r="Q946" s="32"/>
      <c r="R946" s="32"/>
      <c r="S946" s="32"/>
      <c r="T946" s="32"/>
      <c r="U946" s="32"/>
      <c r="V946" s="31"/>
      <c r="W946" s="35" t="str">
        <f aca="true">IF(OR(V946="",AG946&gt;=8),"",IF(V946&lt;TODAY(),"Vencida",IF(V946=TODAY(),"Hoy","")))</f>
        <v/>
      </c>
      <c r="X946" s="36" t="str">
        <f aca="false">IF(A946="","",IF(COUNTIF(Seguimiento!$B$2:$B$5001,A946)=0,"",_xlfn.MAXIFS(Seguimiento!$A$2:$A$5001,Seguimiento!$B$2:$B$5001,A946)))</f>
        <v/>
      </c>
      <c r="Y946" s="37" t="str">
        <f aca="true">IF(B946="","",TODAY()-B946)</f>
        <v/>
      </c>
      <c r="Z946" s="38" t="str">
        <f aca="false">IF(OR(O946="",G946=""),"",O946*IFERROR(INDEX(Listas!$B$2:$B$50,MATCH(G946,Listas!$A$2:$A$50,0)),0))</f>
        <v/>
      </c>
      <c r="AA946" s="32"/>
      <c r="AB946" s="32"/>
      <c r="AC946" s="32"/>
      <c r="AD946" s="35" t="str">
        <f aca="false">IF(OR(LEFT(H946,4)="Meta",LEFT(H946,6)="Google"),IF(AG946=3,"Lead calificado",IF(OR(AG946=4,AG946=5),"Tasación/visita",IF(OR(AG946=6,AG946=7),"Captación/oferta",IF(AG946=8,"Cierre","")))),"")</f>
        <v/>
      </c>
      <c r="AE946" s="32"/>
      <c r="AF946" s="32"/>
      <c r="AG946" s="37" t="n">
        <f aca="false">IF(R946="",0,IFERROR(MATCH(R946,Listas!$L$2:$L$50,0),0))</f>
        <v>0</v>
      </c>
    </row>
    <row r="947" customFormat="false" ht="15" hidden="false" customHeight="false" outlineLevel="0" collapsed="false">
      <c r="A947" s="30"/>
      <c r="B947" s="31"/>
      <c r="C947" s="32"/>
      <c r="D947" s="32"/>
      <c r="E947" s="33"/>
      <c r="F947" s="32"/>
      <c r="G947" s="32"/>
      <c r="H947" s="32"/>
      <c r="I947" s="32"/>
      <c r="J947" s="32"/>
      <c r="K947" s="32"/>
      <c r="L947" s="32"/>
      <c r="M947" s="30"/>
      <c r="N947" s="32"/>
      <c r="O947" s="34"/>
      <c r="P947" s="32"/>
      <c r="Q947" s="32"/>
      <c r="R947" s="32"/>
      <c r="S947" s="32"/>
      <c r="T947" s="32"/>
      <c r="U947" s="32"/>
      <c r="V947" s="31"/>
      <c r="W947" s="35" t="str">
        <f aca="true">IF(OR(V947="",AG947&gt;=8),"",IF(V947&lt;TODAY(),"Vencida",IF(V947=TODAY(),"Hoy","")))</f>
        <v/>
      </c>
      <c r="X947" s="36" t="str">
        <f aca="false">IF(A947="","",IF(COUNTIF(Seguimiento!$B$2:$B$5001,A947)=0,"",_xlfn.MAXIFS(Seguimiento!$A$2:$A$5001,Seguimiento!$B$2:$B$5001,A947)))</f>
        <v/>
      </c>
      <c r="Y947" s="37" t="str">
        <f aca="true">IF(B947="","",TODAY()-B947)</f>
        <v/>
      </c>
      <c r="Z947" s="38" t="str">
        <f aca="false">IF(OR(O947="",G947=""),"",O947*IFERROR(INDEX(Listas!$B$2:$B$50,MATCH(G947,Listas!$A$2:$A$50,0)),0))</f>
        <v/>
      </c>
      <c r="AA947" s="32"/>
      <c r="AB947" s="32"/>
      <c r="AC947" s="32"/>
      <c r="AD947" s="35" t="str">
        <f aca="false">IF(OR(LEFT(H947,4)="Meta",LEFT(H947,6)="Google"),IF(AG947=3,"Lead calificado",IF(OR(AG947=4,AG947=5),"Tasación/visita",IF(OR(AG947=6,AG947=7),"Captación/oferta",IF(AG947=8,"Cierre","")))),"")</f>
        <v/>
      </c>
      <c r="AE947" s="32"/>
      <c r="AF947" s="32"/>
      <c r="AG947" s="37" t="n">
        <f aca="false">IF(R947="",0,IFERROR(MATCH(R947,Listas!$L$2:$L$50,0),0))</f>
        <v>0</v>
      </c>
    </row>
    <row r="948" customFormat="false" ht="15" hidden="false" customHeight="false" outlineLevel="0" collapsed="false">
      <c r="A948" s="30"/>
      <c r="B948" s="31"/>
      <c r="C948" s="32"/>
      <c r="D948" s="32"/>
      <c r="E948" s="33"/>
      <c r="F948" s="32"/>
      <c r="G948" s="32"/>
      <c r="H948" s="32"/>
      <c r="I948" s="32"/>
      <c r="J948" s="32"/>
      <c r="K948" s="32"/>
      <c r="L948" s="32"/>
      <c r="M948" s="30"/>
      <c r="N948" s="32"/>
      <c r="O948" s="34"/>
      <c r="P948" s="32"/>
      <c r="Q948" s="32"/>
      <c r="R948" s="32"/>
      <c r="S948" s="32"/>
      <c r="T948" s="32"/>
      <c r="U948" s="32"/>
      <c r="V948" s="31"/>
      <c r="W948" s="35" t="str">
        <f aca="true">IF(OR(V948="",AG948&gt;=8),"",IF(V948&lt;TODAY(),"Vencida",IF(V948=TODAY(),"Hoy","")))</f>
        <v/>
      </c>
      <c r="X948" s="36" t="str">
        <f aca="false">IF(A948="","",IF(COUNTIF(Seguimiento!$B$2:$B$5001,A948)=0,"",_xlfn.MAXIFS(Seguimiento!$A$2:$A$5001,Seguimiento!$B$2:$B$5001,A948)))</f>
        <v/>
      </c>
      <c r="Y948" s="37" t="str">
        <f aca="true">IF(B948="","",TODAY()-B948)</f>
        <v/>
      </c>
      <c r="Z948" s="38" t="str">
        <f aca="false">IF(OR(O948="",G948=""),"",O948*IFERROR(INDEX(Listas!$B$2:$B$50,MATCH(G948,Listas!$A$2:$A$50,0)),0))</f>
        <v/>
      </c>
      <c r="AA948" s="32"/>
      <c r="AB948" s="32"/>
      <c r="AC948" s="32"/>
      <c r="AD948" s="35" t="str">
        <f aca="false">IF(OR(LEFT(H948,4)="Meta",LEFT(H948,6)="Google"),IF(AG948=3,"Lead calificado",IF(OR(AG948=4,AG948=5),"Tasación/visita",IF(OR(AG948=6,AG948=7),"Captación/oferta",IF(AG948=8,"Cierre","")))),"")</f>
        <v/>
      </c>
      <c r="AE948" s="32"/>
      <c r="AF948" s="32"/>
      <c r="AG948" s="37" t="n">
        <f aca="false">IF(R948="",0,IFERROR(MATCH(R948,Listas!$L$2:$L$50,0),0))</f>
        <v>0</v>
      </c>
    </row>
    <row r="949" customFormat="false" ht="15" hidden="false" customHeight="false" outlineLevel="0" collapsed="false">
      <c r="A949" s="30"/>
      <c r="B949" s="31"/>
      <c r="C949" s="32"/>
      <c r="D949" s="32"/>
      <c r="E949" s="33"/>
      <c r="F949" s="32"/>
      <c r="G949" s="32"/>
      <c r="H949" s="32"/>
      <c r="I949" s="32"/>
      <c r="J949" s="32"/>
      <c r="K949" s="32"/>
      <c r="L949" s="32"/>
      <c r="M949" s="30"/>
      <c r="N949" s="32"/>
      <c r="O949" s="34"/>
      <c r="P949" s="32"/>
      <c r="Q949" s="32"/>
      <c r="R949" s="32"/>
      <c r="S949" s="32"/>
      <c r="T949" s="32"/>
      <c r="U949" s="32"/>
      <c r="V949" s="31"/>
      <c r="W949" s="35" t="str">
        <f aca="true">IF(OR(V949="",AG949&gt;=8),"",IF(V949&lt;TODAY(),"Vencida",IF(V949=TODAY(),"Hoy","")))</f>
        <v/>
      </c>
      <c r="X949" s="36" t="str">
        <f aca="false">IF(A949="","",IF(COUNTIF(Seguimiento!$B$2:$B$5001,A949)=0,"",_xlfn.MAXIFS(Seguimiento!$A$2:$A$5001,Seguimiento!$B$2:$B$5001,A949)))</f>
        <v/>
      </c>
      <c r="Y949" s="37" t="str">
        <f aca="true">IF(B949="","",TODAY()-B949)</f>
        <v/>
      </c>
      <c r="Z949" s="38" t="str">
        <f aca="false">IF(OR(O949="",G949=""),"",O949*IFERROR(INDEX(Listas!$B$2:$B$50,MATCH(G949,Listas!$A$2:$A$50,0)),0))</f>
        <v/>
      </c>
      <c r="AA949" s="32"/>
      <c r="AB949" s="32"/>
      <c r="AC949" s="32"/>
      <c r="AD949" s="35" t="str">
        <f aca="false">IF(OR(LEFT(H949,4)="Meta",LEFT(H949,6)="Google"),IF(AG949=3,"Lead calificado",IF(OR(AG949=4,AG949=5),"Tasación/visita",IF(OR(AG949=6,AG949=7),"Captación/oferta",IF(AG949=8,"Cierre","")))),"")</f>
        <v/>
      </c>
      <c r="AE949" s="32"/>
      <c r="AF949" s="32"/>
      <c r="AG949" s="37" t="n">
        <f aca="false">IF(R949="",0,IFERROR(MATCH(R949,Listas!$L$2:$L$50,0),0))</f>
        <v>0</v>
      </c>
    </row>
    <row r="950" customFormat="false" ht="15" hidden="false" customHeight="false" outlineLevel="0" collapsed="false">
      <c r="A950" s="30"/>
      <c r="B950" s="31"/>
      <c r="C950" s="32"/>
      <c r="D950" s="32"/>
      <c r="E950" s="33"/>
      <c r="F950" s="32"/>
      <c r="G950" s="32"/>
      <c r="H950" s="32"/>
      <c r="I950" s="32"/>
      <c r="J950" s="32"/>
      <c r="K950" s="32"/>
      <c r="L950" s="32"/>
      <c r="M950" s="30"/>
      <c r="N950" s="32"/>
      <c r="O950" s="34"/>
      <c r="P950" s="32"/>
      <c r="Q950" s="32"/>
      <c r="R950" s="32"/>
      <c r="S950" s="32"/>
      <c r="T950" s="32"/>
      <c r="U950" s="32"/>
      <c r="V950" s="31"/>
      <c r="W950" s="35" t="str">
        <f aca="true">IF(OR(V950="",AG950&gt;=8),"",IF(V950&lt;TODAY(),"Vencida",IF(V950=TODAY(),"Hoy","")))</f>
        <v/>
      </c>
      <c r="X950" s="36" t="str">
        <f aca="false">IF(A950="","",IF(COUNTIF(Seguimiento!$B$2:$B$5001,A950)=0,"",_xlfn.MAXIFS(Seguimiento!$A$2:$A$5001,Seguimiento!$B$2:$B$5001,A950)))</f>
        <v/>
      </c>
      <c r="Y950" s="37" t="str">
        <f aca="true">IF(B950="","",TODAY()-B950)</f>
        <v/>
      </c>
      <c r="Z950" s="38" t="str">
        <f aca="false">IF(OR(O950="",G950=""),"",O950*IFERROR(INDEX(Listas!$B$2:$B$50,MATCH(G950,Listas!$A$2:$A$50,0)),0))</f>
        <v/>
      </c>
      <c r="AA950" s="32"/>
      <c r="AB950" s="32"/>
      <c r="AC950" s="32"/>
      <c r="AD950" s="35" t="str">
        <f aca="false">IF(OR(LEFT(H950,4)="Meta",LEFT(H950,6)="Google"),IF(AG950=3,"Lead calificado",IF(OR(AG950=4,AG950=5),"Tasación/visita",IF(OR(AG950=6,AG950=7),"Captación/oferta",IF(AG950=8,"Cierre","")))),"")</f>
        <v/>
      </c>
      <c r="AE950" s="32"/>
      <c r="AF950" s="32"/>
      <c r="AG950" s="37" t="n">
        <f aca="false">IF(R950="",0,IFERROR(MATCH(R950,Listas!$L$2:$L$50,0),0))</f>
        <v>0</v>
      </c>
    </row>
    <row r="951" customFormat="false" ht="15" hidden="false" customHeight="false" outlineLevel="0" collapsed="false">
      <c r="A951" s="30"/>
      <c r="B951" s="31"/>
      <c r="C951" s="32"/>
      <c r="D951" s="32"/>
      <c r="E951" s="33"/>
      <c r="F951" s="32"/>
      <c r="G951" s="32"/>
      <c r="H951" s="32"/>
      <c r="I951" s="32"/>
      <c r="J951" s="32"/>
      <c r="K951" s="32"/>
      <c r="L951" s="32"/>
      <c r="M951" s="30"/>
      <c r="N951" s="32"/>
      <c r="O951" s="34"/>
      <c r="P951" s="32"/>
      <c r="Q951" s="32"/>
      <c r="R951" s="32"/>
      <c r="S951" s="32"/>
      <c r="T951" s="32"/>
      <c r="U951" s="32"/>
      <c r="V951" s="31"/>
      <c r="W951" s="35" t="str">
        <f aca="true">IF(OR(V951="",AG951&gt;=8),"",IF(V951&lt;TODAY(),"Vencida",IF(V951=TODAY(),"Hoy","")))</f>
        <v/>
      </c>
      <c r="X951" s="36" t="str">
        <f aca="false">IF(A951="","",IF(COUNTIF(Seguimiento!$B$2:$B$5001,A951)=0,"",_xlfn.MAXIFS(Seguimiento!$A$2:$A$5001,Seguimiento!$B$2:$B$5001,A951)))</f>
        <v/>
      </c>
      <c r="Y951" s="37" t="str">
        <f aca="true">IF(B951="","",TODAY()-B951)</f>
        <v/>
      </c>
      <c r="Z951" s="38" t="str">
        <f aca="false">IF(OR(O951="",G951=""),"",O951*IFERROR(INDEX(Listas!$B$2:$B$50,MATCH(G951,Listas!$A$2:$A$50,0)),0))</f>
        <v/>
      </c>
      <c r="AA951" s="32"/>
      <c r="AB951" s="32"/>
      <c r="AC951" s="32"/>
      <c r="AD951" s="35" t="str">
        <f aca="false">IF(OR(LEFT(H951,4)="Meta",LEFT(H951,6)="Google"),IF(AG951=3,"Lead calificado",IF(OR(AG951=4,AG951=5),"Tasación/visita",IF(OR(AG951=6,AG951=7),"Captación/oferta",IF(AG951=8,"Cierre","")))),"")</f>
        <v/>
      </c>
      <c r="AE951" s="32"/>
      <c r="AF951" s="32"/>
      <c r="AG951" s="37" t="n">
        <f aca="false">IF(R951="",0,IFERROR(MATCH(R951,Listas!$L$2:$L$50,0),0))</f>
        <v>0</v>
      </c>
    </row>
    <row r="952" customFormat="false" ht="15" hidden="false" customHeight="false" outlineLevel="0" collapsed="false">
      <c r="A952" s="30"/>
      <c r="B952" s="31"/>
      <c r="C952" s="32"/>
      <c r="D952" s="32"/>
      <c r="E952" s="33"/>
      <c r="F952" s="32"/>
      <c r="G952" s="32"/>
      <c r="H952" s="32"/>
      <c r="I952" s="32"/>
      <c r="J952" s="32"/>
      <c r="K952" s="32"/>
      <c r="L952" s="32"/>
      <c r="M952" s="30"/>
      <c r="N952" s="32"/>
      <c r="O952" s="34"/>
      <c r="P952" s="32"/>
      <c r="Q952" s="32"/>
      <c r="R952" s="32"/>
      <c r="S952" s="32"/>
      <c r="T952" s="32"/>
      <c r="U952" s="32"/>
      <c r="V952" s="31"/>
      <c r="W952" s="35" t="str">
        <f aca="true">IF(OR(V952="",AG952&gt;=8),"",IF(V952&lt;TODAY(),"Vencida",IF(V952=TODAY(),"Hoy","")))</f>
        <v/>
      </c>
      <c r="X952" s="36" t="str">
        <f aca="false">IF(A952="","",IF(COUNTIF(Seguimiento!$B$2:$B$5001,A952)=0,"",_xlfn.MAXIFS(Seguimiento!$A$2:$A$5001,Seguimiento!$B$2:$B$5001,A952)))</f>
        <v/>
      </c>
      <c r="Y952" s="37" t="str">
        <f aca="true">IF(B952="","",TODAY()-B952)</f>
        <v/>
      </c>
      <c r="Z952" s="38" t="str">
        <f aca="false">IF(OR(O952="",G952=""),"",O952*IFERROR(INDEX(Listas!$B$2:$B$50,MATCH(G952,Listas!$A$2:$A$50,0)),0))</f>
        <v/>
      </c>
      <c r="AA952" s="32"/>
      <c r="AB952" s="32"/>
      <c r="AC952" s="32"/>
      <c r="AD952" s="35" t="str">
        <f aca="false">IF(OR(LEFT(H952,4)="Meta",LEFT(H952,6)="Google"),IF(AG952=3,"Lead calificado",IF(OR(AG952=4,AG952=5),"Tasación/visita",IF(OR(AG952=6,AG952=7),"Captación/oferta",IF(AG952=8,"Cierre","")))),"")</f>
        <v/>
      </c>
      <c r="AE952" s="32"/>
      <c r="AF952" s="32"/>
      <c r="AG952" s="37" t="n">
        <f aca="false">IF(R952="",0,IFERROR(MATCH(R952,Listas!$L$2:$L$50,0),0))</f>
        <v>0</v>
      </c>
    </row>
    <row r="953" customFormat="false" ht="15" hidden="false" customHeight="false" outlineLevel="0" collapsed="false">
      <c r="A953" s="30"/>
      <c r="B953" s="31"/>
      <c r="C953" s="32"/>
      <c r="D953" s="32"/>
      <c r="E953" s="33"/>
      <c r="F953" s="32"/>
      <c r="G953" s="32"/>
      <c r="H953" s="32"/>
      <c r="I953" s="32"/>
      <c r="J953" s="32"/>
      <c r="K953" s="32"/>
      <c r="L953" s="32"/>
      <c r="M953" s="30"/>
      <c r="N953" s="32"/>
      <c r="O953" s="34"/>
      <c r="P953" s="32"/>
      <c r="Q953" s="32"/>
      <c r="R953" s="32"/>
      <c r="S953" s="32"/>
      <c r="T953" s="32"/>
      <c r="U953" s="32"/>
      <c r="V953" s="31"/>
      <c r="W953" s="35" t="str">
        <f aca="true">IF(OR(V953="",AG953&gt;=8),"",IF(V953&lt;TODAY(),"Vencida",IF(V953=TODAY(),"Hoy","")))</f>
        <v/>
      </c>
      <c r="X953" s="36" t="str">
        <f aca="false">IF(A953="","",IF(COUNTIF(Seguimiento!$B$2:$B$5001,A953)=0,"",_xlfn.MAXIFS(Seguimiento!$A$2:$A$5001,Seguimiento!$B$2:$B$5001,A953)))</f>
        <v/>
      </c>
      <c r="Y953" s="37" t="str">
        <f aca="true">IF(B953="","",TODAY()-B953)</f>
        <v/>
      </c>
      <c r="Z953" s="38" t="str">
        <f aca="false">IF(OR(O953="",G953=""),"",O953*IFERROR(INDEX(Listas!$B$2:$B$50,MATCH(G953,Listas!$A$2:$A$50,0)),0))</f>
        <v/>
      </c>
      <c r="AA953" s="32"/>
      <c r="AB953" s="32"/>
      <c r="AC953" s="32"/>
      <c r="AD953" s="35" t="str">
        <f aca="false">IF(OR(LEFT(H953,4)="Meta",LEFT(H953,6)="Google"),IF(AG953=3,"Lead calificado",IF(OR(AG953=4,AG953=5),"Tasación/visita",IF(OR(AG953=6,AG953=7),"Captación/oferta",IF(AG953=8,"Cierre","")))),"")</f>
        <v/>
      </c>
      <c r="AE953" s="32"/>
      <c r="AF953" s="32"/>
      <c r="AG953" s="37" t="n">
        <f aca="false">IF(R953="",0,IFERROR(MATCH(R953,Listas!$L$2:$L$50,0),0))</f>
        <v>0</v>
      </c>
    </row>
    <row r="954" customFormat="false" ht="15" hidden="false" customHeight="false" outlineLevel="0" collapsed="false">
      <c r="A954" s="30"/>
      <c r="B954" s="31"/>
      <c r="C954" s="32"/>
      <c r="D954" s="32"/>
      <c r="E954" s="33"/>
      <c r="F954" s="32"/>
      <c r="G954" s="32"/>
      <c r="H954" s="32"/>
      <c r="I954" s="32"/>
      <c r="J954" s="32"/>
      <c r="K954" s="32"/>
      <c r="L954" s="32"/>
      <c r="M954" s="30"/>
      <c r="N954" s="32"/>
      <c r="O954" s="34"/>
      <c r="P954" s="32"/>
      <c r="Q954" s="32"/>
      <c r="R954" s="32"/>
      <c r="S954" s="32"/>
      <c r="T954" s="32"/>
      <c r="U954" s="32"/>
      <c r="V954" s="31"/>
      <c r="W954" s="35" t="str">
        <f aca="true">IF(OR(V954="",AG954&gt;=8),"",IF(V954&lt;TODAY(),"Vencida",IF(V954=TODAY(),"Hoy","")))</f>
        <v/>
      </c>
      <c r="X954" s="36" t="str">
        <f aca="false">IF(A954="","",IF(COUNTIF(Seguimiento!$B$2:$B$5001,A954)=0,"",_xlfn.MAXIFS(Seguimiento!$A$2:$A$5001,Seguimiento!$B$2:$B$5001,A954)))</f>
        <v/>
      </c>
      <c r="Y954" s="37" t="str">
        <f aca="true">IF(B954="","",TODAY()-B954)</f>
        <v/>
      </c>
      <c r="Z954" s="38" t="str">
        <f aca="false">IF(OR(O954="",G954=""),"",O954*IFERROR(INDEX(Listas!$B$2:$B$50,MATCH(G954,Listas!$A$2:$A$50,0)),0))</f>
        <v/>
      </c>
      <c r="AA954" s="32"/>
      <c r="AB954" s="32"/>
      <c r="AC954" s="32"/>
      <c r="AD954" s="35" t="str">
        <f aca="false">IF(OR(LEFT(H954,4)="Meta",LEFT(H954,6)="Google"),IF(AG954=3,"Lead calificado",IF(OR(AG954=4,AG954=5),"Tasación/visita",IF(OR(AG954=6,AG954=7),"Captación/oferta",IF(AG954=8,"Cierre","")))),"")</f>
        <v/>
      </c>
      <c r="AE954" s="32"/>
      <c r="AF954" s="32"/>
      <c r="AG954" s="37" t="n">
        <f aca="false">IF(R954="",0,IFERROR(MATCH(R954,Listas!$L$2:$L$50,0),0))</f>
        <v>0</v>
      </c>
    </row>
    <row r="955" customFormat="false" ht="15" hidden="false" customHeight="false" outlineLevel="0" collapsed="false">
      <c r="A955" s="30"/>
      <c r="B955" s="31"/>
      <c r="C955" s="32"/>
      <c r="D955" s="32"/>
      <c r="E955" s="33"/>
      <c r="F955" s="32"/>
      <c r="G955" s="32"/>
      <c r="H955" s="32"/>
      <c r="I955" s="32"/>
      <c r="J955" s="32"/>
      <c r="K955" s="32"/>
      <c r="L955" s="32"/>
      <c r="M955" s="30"/>
      <c r="N955" s="32"/>
      <c r="O955" s="34"/>
      <c r="P955" s="32"/>
      <c r="Q955" s="32"/>
      <c r="R955" s="32"/>
      <c r="S955" s="32"/>
      <c r="T955" s="32"/>
      <c r="U955" s="32"/>
      <c r="V955" s="31"/>
      <c r="W955" s="35" t="str">
        <f aca="true">IF(OR(V955="",AG955&gt;=8),"",IF(V955&lt;TODAY(),"Vencida",IF(V955=TODAY(),"Hoy","")))</f>
        <v/>
      </c>
      <c r="X955" s="36" t="str">
        <f aca="false">IF(A955="","",IF(COUNTIF(Seguimiento!$B$2:$B$5001,A955)=0,"",_xlfn.MAXIFS(Seguimiento!$A$2:$A$5001,Seguimiento!$B$2:$B$5001,A955)))</f>
        <v/>
      </c>
      <c r="Y955" s="37" t="str">
        <f aca="true">IF(B955="","",TODAY()-B955)</f>
        <v/>
      </c>
      <c r="Z955" s="38" t="str">
        <f aca="false">IF(OR(O955="",G955=""),"",O955*IFERROR(INDEX(Listas!$B$2:$B$50,MATCH(G955,Listas!$A$2:$A$50,0)),0))</f>
        <v/>
      </c>
      <c r="AA955" s="32"/>
      <c r="AB955" s="32"/>
      <c r="AC955" s="32"/>
      <c r="AD955" s="35" t="str">
        <f aca="false">IF(OR(LEFT(H955,4)="Meta",LEFT(H955,6)="Google"),IF(AG955=3,"Lead calificado",IF(OR(AG955=4,AG955=5),"Tasación/visita",IF(OR(AG955=6,AG955=7),"Captación/oferta",IF(AG955=8,"Cierre","")))),"")</f>
        <v/>
      </c>
      <c r="AE955" s="32"/>
      <c r="AF955" s="32"/>
      <c r="AG955" s="37" t="n">
        <f aca="false">IF(R955="",0,IFERROR(MATCH(R955,Listas!$L$2:$L$50,0),0))</f>
        <v>0</v>
      </c>
    </row>
    <row r="956" customFormat="false" ht="15" hidden="false" customHeight="false" outlineLevel="0" collapsed="false">
      <c r="A956" s="30"/>
      <c r="B956" s="31"/>
      <c r="C956" s="32"/>
      <c r="D956" s="32"/>
      <c r="E956" s="33"/>
      <c r="F956" s="32"/>
      <c r="G956" s="32"/>
      <c r="H956" s="32"/>
      <c r="I956" s="32"/>
      <c r="J956" s="32"/>
      <c r="K956" s="32"/>
      <c r="L956" s="32"/>
      <c r="M956" s="30"/>
      <c r="N956" s="32"/>
      <c r="O956" s="34"/>
      <c r="P956" s="32"/>
      <c r="Q956" s="32"/>
      <c r="R956" s="32"/>
      <c r="S956" s="32"/>
      <c r="T956" s="32"/>
      <c r="U956" s="32"/>
      <c r="V956" s="31"/>
      <c r="W956" s="35" t="str">
        <f aca="true">IF(OR(V956="",AG956&gt;=8),"",IF(V956&lt;TODAY(),"Vencida",IF(V956=TODAY(),"Hoy","")))</f>
        <v/>
      </c>
      <c r="X956" s="36" t="str">
        <f aca="false">IF(A956="","",IF(COUNTIF(Seguimiento!$B$2:$B$5001,A956)=0,"",_xlfn.MAXIFS(Seguimiento!$A$2:$A$5001,Seguimiento!$B$2:$B$5001,A956)))</f>
        <v/>
      </c>
      <c r="Y956" s="37" t="str">
        <f aca="true">IF(B956="","",TODAY()-B956)</f>
        <v/>
      </c>
      <c r="Z956" s="38" t="str">
        <f aca="false">IF(OR(O956="",G956=""),"",O956*IFERROR(INDEX(Listas!$B$2:$B$50,MATCH(G956,Listas!$A$2:$A$50,0)),0))</f>
        <v/>
      </c>
      <c r="AA956" s="32"/>
      <c r="AB956" s="32"/>
      <c r="AC956" s="32"/>
      <c r="AD956" s="35" t="str">
        <f aca="false">IF(OR(LEFT(H956,4)="Meta",LEFT(H956,6)="Google"),IF(AG956=3,"Lead calificado",IF(OR(AG956=4,AG956=5),"Tasación/visita",IF(OR(AG956=6,AG956=7),"Captación/oferta",IF(AG956=8,"Cierre","")))),"")</f>
        <v/>
      </c>
      <c r="AE956" s="32"/>
      <c r="AF956" s="32"/>
      <c r="AG956" s="37" t="n">
        <f aca="false">IF(R956="",0,IFERROR(MATCH(R956,Listas!$L$2:$L$50,0),0))</f>
        <v>0</v>
      </c>
    </row>
    <row r="957" customFormat="false" ht="15" hidden="false" customHeight="false" outlineLevel="0" collapsed="false">
      <c r="A957" s="30"/>
      <c r="B957" s="31"/>
      <c r="C957" s="32"/>
      <c r="D957" s="32"/>
      <c r="E957" s="33"/>
      <c r="F957" s="32"/>
      <c r="G957" s="32"/>
      <c r="H957" s="32"/>
      <c r="I957" s="32"/>
      <c r="J957" s="32"/>
      <c r="K957" s="32"/>
      <c r="L957" s="32"/>
      <c r="M957" s="30"/>
      <c r="N957" s="32"/>
      <c r="O957" s="34"/>
      <c r="P957" s="32"/>
      <c r="Q957" s="32"/>
      <c r="R957" s="32"/>
      <c r="S957" s="32"/>
      <c r="T957" s="32"/>
      <c r="U957" s="32"/>
      <c r="V957" s="31"/>
      <c r="W957" s="35" t="str">
        <f aca="true">IF(OR(V957="",AG957&gt;=8),"",IF(V957&lt;TODAY(),"Vencida",IF(V957=TODAY(),"Hoy","")))</f>
        <v/>
      </c>
      <c r="X957" s="36" t="str">
        <f aca="false">IF(A957="","",IF(COUNTIF(Seguimiento!$B$2:$B$5001,A957)=0,"",_xlfn.MAXIFS(Seguimiento!$A$2:$A$5001,Seguimiento!$B$2:$B$5001,A957)))</f>
        <v/>
      </c>
      <c r="Y957" s="37" t="str">
        <f aca="true">IF(B957="","",TODAY()-B957)</f>
        <v/>
      </c>
      <c r="Z957" s="38" t="str">
        <f aca="false">IF(OR(O957="",G957=""),"",O957*IFERROR(INDEX(Listas!$B$2:$B$50,MATCH(G957,Listas!$A$2:$A$50,0)),0))</f>
        <v/>
      </c>
      <c r="AA957" s="32"/>
      <c r="AB957" s="32"/>
      <c r="AC957" s="32"/>
      <c r="AD957" s="35" t="str">
        <f aca="false">IF(OR(LEFT(H957,4)="Meta",LEFT(H957,6)="Google"),IF(AG957=3,"Lead calificado",IF(OR(AG957=4,AG957=5),"Tasación/visita",IF(OR(AG957=6,AG957=7),"Captación/oferta",IF(AG957=8,"Cierre","")))),"")</f>
        <v/>
      </c>
      <c r="AE957" s="32"/>
      <c r="AF957" s="32"/>
      <c r="AG957" s="37" t="n">
        <f aca="false">IF(R957="",0,IFERROR(MATCH(R957,Listas!$L$2:$L$50,0),0))</f>
        <v>0</v>
      </c>
    </row>
    <row r="958" customFormat="false" ht="15" hidden="false" customHeight="false" outlineLevel="0" collapsed="false">
      <c r="A958" s="30"/>
      <c r="B958" s="31"/>
      <c r="C958" s="32"/>
      <c r="D958" s="32"/>
      <c r="E958" s="33"/>
      <c r="F958" s="32"/>
      <c r="G958" s="32"/>
      <c r="H958" s="32"/>
      <c r="I958" s="32"/>
      <c r="J958" s="32"/>
      <c r="K958" s="32"/>
      <c r="L958" s="32"/>
      <c r="M958" s="30"/>
      <c r="N958" s="32"/>
      <c r="O958" s="34"/>
      <c r="P958" s="32"/>
      <c r="Q958" s="32"/>
      <c r="R958" s="32"/>
      <c r="S958" s="32"/>
      <c r="T958" s="32"/>
      <c r="U958" s="32"/>
      <c r="V958" s="31"/>
      <c r="W958" s="35" t="str">
        <f aca="true">IF(OR(V958="",AG958&gt;=8),"",IF(V958&lt;TODAY(),"Vencida",IF(V958=TODAY(),"Hoy","")))</f>
        <v/>
      </c>
      <c r="X958" s="36" t="str">
        <f aca="false">IF(A958="","",IF(COUNTIF(Seguimiento!$B$2:$B$5001,A958)=0,"",_xlfn.MAXIFS(Seguimiento!$A$2:$A$5001,Seguimiento!$B$2:$B$5001,A958)))</f>
        <v/>
      </c>
      <c r="Y958" s="37" t="str">
        <f aca="true">IF(B958="","",TODAY()-B958)</f>
        <v/>
      </c>
      <c r="Z958" s="38" t="str">
        <f aca="false">IF(OR(O958="",G958=""),"",O958*IFERROR(INDEX(Listas!$B$2:$B$50,MATCH(G958,Listas!$A$2:$A$50,0)),0))</f>
        <v/>
      </c>
      <c r="AA958" s="32"/>
      <c r="AB958" s="32"/>
      <c r="AC958" s="32"/>
      <c r="AD958" s="35" t="str">
        <f aca="false">IF(OR(LEFT(H958,4)="Meta",LEFT(H958,6)="Google"),IF(AG958=3,"Lead calificado",IF(OR(AG958=4,AG958=5),"Tasación/visita",IF(OR(AG958=6,AG958=7),"Captación/oferta",IF(AG958=8,"Cierre","")))),"")</f>
        <v/>
      </c>
      <c r="AE958" s="32"/>
      <c r="AF958" s="32"/>
      <c r="AG958" s="37" t="n">
        <f aca="false">IF(R958="",0,IFERROR(MATCH(R958,Listas!$L$2:$L$50,0),0))</f>
        <v>0</v>
      </c>
    </row>
    <row r="959" customFormat="false" ht="15" hidden="false" customHeight="false" outlineLevel="0" collapsed="false">
      <c r="A959" s="30"/>
      <c r="B959" s="31"/>
      <c r="C959" s="32"/>
      <c r="D959" s="32"/>
      <c r="E959" s="33"/>
      <c r="F959" s="32"/>
      <c r="G959" s="32"/>
      <c r="H959" s="32"/>
      <c r="I959" s="32"/>
      <c r="J959" s="32"/>
      <c r="K959" s="32"/>
      <c r="L959" s="32"/>
      <c r="M959" s="30"/>
      <c r="N959" s="32"/>
      <c r="O959" s="34"/>
      <c r="P959" s="32"/>
      <c r="Q959" s="32"/>
      <c r="R959" s="32"/>
      <c r="S959" s="32"/>
      <c r="T959" s="32"/>
      <c r="U959" s="32"/>
      <c r="V959" s="31"/>
      <c r="W959" s="35" t="str">
        <f aca="true">IF(OR(V959="",AG959&gt;=8),"",IF(V959&lt;TODAY(),"Vencida",IF(V959=TODAY(),"Hoy","")))</f>
        <v/>
      </c>
      <c r="X959" s="36" t="str">
        <f aca="false">IF(A959="","",IF(COUNTIF(Seguimiento!$B$2:$B$5001,A959)=0,"",_xlfn.MAXIFS(Seguimiento!$A$2:$A$5001,Seguimiento!$B$2:$B$5001,A959)))</f>
        <v/>
      </c>
      <c r="Y959" s="37" t="str">
        <f aca="true">IF(B959="","",TODAY()-B959)</f>
        <v/>
      </c>
      <c r="Z959" s="38" t="str">
        <f aca="false">IF(OR(O959="",G959=""),"",O959*IFERROR(INDEX(Listas!$B$2:$B$50,MATCH(G959,Listas!$A$2:$A$50,0)),0))</f>
        <v/>
      </c>
      <c r="AA959" s="32"/>
      <c r="AB959" s="32"/>
      <c r="AC959" s="32"/>
      <c r="AD959" s="35" t="str">
        <f aca="false">IF(OR(LEFT(H959,4)="Meta",LEFT(H959,6)="Google"),IF(AG959=3,"Lead calificado",IF(OR(AG959=4,AG959=5),"Tasación/visita",IF(OR(AG959=6,AG959=7),"Captación/oferta",IF(AG959=8,"Cierre","")))),"")</f>
        <v/>
      </c>
      <c r="AE959" s="32"/>
      <c r="AF959" s="32"/>
      <c r="AG959" s="37" t="n">
        <f aca="false">IF(R959="",0,IFERROR(MATCH(R959,Listas!$L$2:$L$50,0),0))</f>
        <v>0</v>
      </c>
    </row>
    <row r="960" customFormat="false" ht="15" hidden="false" customHeight="false" outlineLevel="0" collapsed="false">
      <c r="A960" s="30"/>
      <c r="B960" s="31"/>
      <c r="C960" s="32"/>
      <c r="D960" s="32"/>
      <c r="E960" s="33"/>
      <c r="F960" s="32"/>
      <c r="G960" s="32"/>
      <c r="H960" s="32"/>
      <c r="I960" s="32"/>
      <c r="J960" s="32"/>
      <c r="K960" s="32"/>
      <c r="L960" s="32"/>
      <c r="M960" s="30"/>
      <c r="N960" s="32"/>
      <c r="O960" s="34"/>
      <c r="P960" s="32"/>
      <c r="Q960" s="32"/>
      <c r="R960" s="32"/>
      <c r="S960" s="32"/>
      <c r="T960" s="32"/>
      <c r="U960" s="32"/>
      <c r="V960" s="31"/>
      <c r="W960" s="35" t="str">
        <f aca="true">IF(OR(V960="",AG960&gt;=8),"",IF(V960&lt;TODAY(),"Vencida",IF(V960=TODAY(),"Hoy","")))</f>
        <v/>
      </c>
      <c r="X960" s="36" t="str">
        <f aca="false">IF(A960="","",IF(COUNTIF(Seguimiento!$B$2:$B$5001,A960)=0,"",_xlfn.MAXIFS(Seguimiento!$A$2:$A$5001,Seguimiento!$B$2:$B$5001,A960)))</f>
        <v/>
      </c>
      <c r="Y960" s="37" t="str">
        <f aca="true">IF(B960="","",TODAY()-B960)</f>
        <v/>
      </c>
      <c r="Z960" s="38" t="str">
        <f aca="false">IF(OR(O960="",G960=""),"",O960*IFERROR(INDEX(Listas!$B$2:$B$50,MATCH(G960,Listas!$A$2:$A$50,0)),0))</f>
        <v/>
      </c>
      <c r="AA960" s="32"/>
      <c r="AB960" s="32"/>
      <c r="AC960" s="32"/>
      <c r="AD960" s="35" t="str">
        <f aca="false">IF(OR(LEFT(H960,4)="Meta",LEFT(H960,6)="Google"),IF(AG960=3,"Lead calificado",IF(OR(AG960=4,AG960=5),"Tasación/visita",IF(OR(AG960=6,AG960=7),"Captación/oferta",IF(AG960=8,"Cierre","")))),"")</f>
        <v/>
      </c>
      <c r="AE960" s="32"/>
      <c r="AF960" s="32"/>
      <c r="AG960" s="37" t="n">
        <f aca="false">IF(R960="",0,IFERROR(MATCH(R960,Listas!$L$2:$L$50,0),0))</f>
        <v>0</v>
      </c>
    </row>
    <row r="961" customFormat="false" ht="15" hidden="false" customHeight="false" outlineLevel="0" collapsed="false">
      <c r="A961" s="30"/>
      <c r="B961" s="31"/>
      <c r="C961" s="32"/>
      <c r="D961" s="32"/>
      <c r="E961" s="33"/>
      <c r="F961" s="32"/>
      <c r="G961" s="32"/>
      <c r="H961" s="32"/>
      <c r="I961" s="32"/>
      <c r="J961" s="32"/>
      <c r="K961" s="32"/>
      <c r="L961" s="32"/>
      <c r="M961" s="30"/>
      <c r="N961" s="32"/>
      <c r="O961" s="34"/>
      <c r="P961" s="32"/>
      <c r="Q961" s="32"/>
      <c r="R961" s="32"/>
      <c r="S961" s="32"/>
      <c r="T961" s="32"/>
      <c r="U961" s="32"/>
      <c r="V961" s="31"/>
      <c r="W961" s="35" t="str">
        <f aca="true">IF(OR(V961="",AG961&gt;=8),"",IF(V961&lt;TODAY(),"Vencida",IF(V961=TODAY(),"Hoy","")))</f>
        <v/>
      </c>
      <c r="X961" s="36" t="str">
        <f aca="false">IF(A961="","",IF(COUNTIF(Seguimiento!$B$2:$B$5001,A961)=0,"",_xlfn.MAXIFS(Seguimiento!$A$2:$A$5001,Seguimiento!$B$2:$B$5001,A961)))</f>
        <v/>
      </c>
      <c r="Y961" s="37" t="str">
        <f aca="true">IF(B961="","",TODAY()-B961)</f>
        <v/>
      </c>
      <c r="Z961" s="38" t="str">
        <f aca="false">IF(OR(O961="",G961=""),"",O961*IFERROR(INDEX(Listas!$B$2:$B$50,MATCH(G961,Listas!$A$2:$A$50,0)),0))</f>
        <v/>
      </c>
      <c r="AA961" s="32"/>
      <c r="AB961" s="32"/>
      <c r="AC961" s="32"/>
      <c r="AD961" s="35" t="str">
        <f aca="false">IF(OR(LEFT(H961,4)="Meta",LEFT(H961,6)="Google"),IF(AG961=3,"Lead calificado",IF(OR(AG961=4,AG961=5),"Tasación/visita",IF(OR(AG961=6,AG961=7),"Captación/oferta",IF(AG961=8,"Cierre","")))),"")</f>
        <v/>
      </c>
      <c r="AE961" s="32"/>
      <c r="AF961" s="32"/>
      <c r="AG961" s="37" t="n">
        <f aca="false">IF(R961="",0,IFERROR(MATCH(R961,Listas!$L$2:$L$50,0),0))</f>
        <v>0</v>
      </c>
    </row>
    <row r="962" customFormat="false" ht="15" hidden="false" customHeight="false" outlineLevel="0" collapsed="false">
      <c r="A962" s="30"/>
      <c r="B962" s="31"/>
      <c r="C962" s="32"/>
      <c r="D962" s="32"/>
      <c r="E962" s="33"/>
      <c r="F962" s="32"/>
      <c r="G962" s="32"/>
      <c r="H962" s="32"/>
      <c r="I962" s="32"/>
      <c r="J962" s="32"/>
      <c r="K962" s="32"/>
      <c r="L962" s="32"/>
      <c r="M962" s="30"/>
      <c r="N962" s="32"/>
      <c r="O962" s="34"/>
      <c r="P962" s="32"/>
      <c r="Q962" s="32"/>
      <c r="R962" s="32"/>
      <c r="S962" s="32"/>
      <c r="T962" s="32"/>
      <c r="U962" s="32"/>
      <c r="V962" s="31"/>
      <c r="W962" s="35" t="str">
        <f aca="true">IF(OR(V962="",AG962&gt;=8),"",IF(V962&lt;TODAY(),"Vencida",IF(V962=TODAY(),"Hoy","")))</f>
        <v/>
      </c>
      <c r="X962" s="36" t="str">
        <f aca="false">IF(A962="","",IF(COUNTIF(Seguimiento!$B$2:$B$5001,A962)=0,"",_xlfn.MAXIFS(Seguimiento!$A$2:$A$5001,Seguimiento!$B$2:$B$5001,A962)))</f>
        <v/>
      </c>
      <c r="Y962" s="37" t="str">
        <f aca="true">IF(B962="","",TODAY()-B962)</f>
        <v/>
      </c>
      <c r="Z962" s="38" t="str">
        <f aca="false">IF(OR(O962="",G962=""),"",O962*IFERROR(INDEX(Listas!$B$2:$B$50,MATCH(G962,Listas!$A$2:$A$50,0)),0))</f>
        <v/>
      </c>
      <c r="AA962" s="32"/>
      <c r="AB962" s="32"/>
      <c r="AC962" s="32"/>
      <c r="AD962" s="35" t="str">
        <f aca="false">IF(OR(LEFT(H962,4)="Meta",LEFT(H962,6)="Google"),IF(AG962=3,"Lead calificado",IF(OR(AG962=4,AG962=5),"Tasación/visita",IF(OR(AG962=6,AG962=7),"Captación/oferta",IF(AG962=8,"Cierre","")))),"")</f>
        <v/>
      </c>
      <c r="AE962" s="32"/>
      <c r="AF962" s="32"/>
      <c r="AG962" s="37" t="n">
        <f aca="false">IF(R962="",0,IFERROR(MATCH(R962,Listas!$L$2:$L$50,0),0))</f>
        <v>0</v>
      </c>
    </row>
    <row r="963" customFormat="false" ht="15" hidden="false" customHeight="false" outlineLevel="0" collapsed="false">
      <c r="A963" s="30"/>
      <c r="B963" s="31"/>
      <c r="C963" s="32"/>
      <c r="D963" s="32"/>
      <c r="E963" s="33"/>
      <c r="F963" s="32"/>
      <c r="G963" s="32"/>
      <c r="H963" s="32"/>
      <c r="I963" s="32"/>
      <c r="J963" s="32"/>
      <c r="K963" s="32"/>
      <c r="L963" s="32"/>
      <c r="M963" s="30"/>
      <c r="N963" s="32"/>
      <c r="O963" s="34"/>
      <c r="P963" s="32"/>
      <c r="Q963" s="32"/>
      <c r="R963" s="32"/>
      <c r="S963" s="32"/>
      <c r="T963" s="32"/>
      <c r="U963" s="32"/>
      <c r="V963" s="31"/>
      <c r="W963" s="35" t="str">
        <f aca="true">IF(OR(V963="",AG963&gt;=8),"",IF(V963&lt;TODAY(),"Vencida",IF(V963=TODAY(),"Hoy","")))</f>
        <v/>
      </c>
      <c r="X963" s="36" t="str">
        <f aca="false">IF(A963="","",IF(COUNTIF(Seguimiento!$B$2:$B$5001,A963)=0,"",_xlfn.MAXIFS(Seguimiento!$A$2:$A$5001,Seguimiento!$B$2:$B$5001,A963)))</f>
        <v/>
      </c>
      <c r="Y963" s="37" t="str">
        <f aca="true">IF(B963="","",TODAY()-B963)</f>
        <v/>
      </c>
      <c r="Z963" s="38" t="str">
        <f aca="false">IF(OR(O963="",G963=""),"",O963*IFERROR(INDEX(Listas!$B$2:$B$50,MATCH(G963,Listas!$A$2:$A$50,0)),0))</f>
        <v/>
      </c>
      <c r="AA963" s="32"/>
      <c r="AB963" s="32"/>
      <c r="AC963" s="32"/>
      <c r="AD963" s="35" t="str">
        <f aca="false">IF(OR(LEFT(H963,4)="Meta",LEFT(H963,6)="Google"),IF(AG963=3,"Lead calificado",IF(OR(AG963=4,AG963=5),"Tasación/visita",IF(OR(AG963=6,AG963=7),"Captación/oferta",IF(AG963=8,"Cierre","")))),"")</f>
        <v/>
      </c>
      <c r="AE963" s="32"/>
      <c r="AF963" s="32"/>
      <c r="AG963" s="37" t="n">
        <f aca="false">IF(R963="",0,IFERROR(MATCH(R963,Listas!$L$2:$L$50,0),0))</f>
        <v>0</v>
      </c>
    </row>
    <row r="964" customFormat="false" ht="15" hidden="false" customHeight="false" outlineLevel="0" collapsed="false">
      <c r="A964" s="30"/>
      <c r="B964" s="31"/>
      <c r="C964" s="32"/>
      <c r="D964" s="32"/>
      <c r="E964" s="33"/>
      <c r="F964" s="32"/>
      <c r="G964" s="32"/>
      <c r="H964" s="32"/>
      <c r="I964" s="32"/>
      <c r="J964" s="32"/>
      <c r="K964" s="32"/>
      <c r="L964" s="32"/>
      <c r="M964" s="30"/>
      <c r="N964" s="32"/>
      <c r="O964" s="34"/>
      <c r="P964" s="32"/>
      <c r="Q964" s="32"/>
      <c r="R964" s="32"/>
      <c r="S964" s="32"/>
      <c r="T964" s="32"/>
      <c r="U964" s="32"/>
      <c r="V964" s="31"/>
      <c r="W964" s="35" t="str">
        <f aca="true">IF(OR(V964="",AG964&gt;=8),"",IF(V964&lt;TODAY(),"Vencida",IF(V964=TODAY(),"Hoy","")))</f>
        <v/>
      </c>
      <c r="X964" s="36" t="str">
        <f aca="false">IF(A964="","",IF(COUNTIF(Seguimiento!$B$2:$B$5001,A964)=0,"",_xlfn.MAXIFS(Seguimiento!$A$2:$A$5001,Seguimiento!$B$2:$B$5001,A964)))</f>
        <v/>
      </c>
      <c r="Y964" s="37" t="str">
        <f aca="true">IF(B964="","",TODAY()-B964)</f>
        <v/>
      </c>
      <c r="Z964" s="38" t="str">
        <f aca="false">IF(OR(O964="",G964=""),"",O964*IFERROR(INDEX(Listas!$B$2:$B$50,MATCH(G964,Listas!$A$2:$A$50,0)),0))</f>
        <v/>
      </c>
      <c r="AA964" s="32"/>
      <c r="AB964" s="32"/>
      <c r="AC964" s="32"/>
      <c r="AD964" s="35" t="str">
        <f aca="false">IF(OR(LEFT(H964,4)="Meta",LEFT(H964,6)="Google"),IF(AG964=3,"Lead calificado",IF(OR(AG964=4,AG964=5),"Tasación/visita",IF(OR(AG964=6,AG964=7),"Captación/oferta",IF(AG964=8,"Cierre","")))),"")</f>
        <v/>
      </c>
      <c r="AE964" s="32"/>
      <c r="AF964" s="32"/>
      <c r="AG964" s="37" t="n">
        <f aca="false">IF(R964="",0,IFERROR(MATCH(R964,Listas!$L$2:$L$50,0),0))</f>
        <v>0</v>
      </c>
    </row>
    <row r="965" customFormat="false" ht="15" hidden="false" customHeight="false" outlineLevel="0" collapsed="false">
      <c r="A965" s="30"/>
      <c r="B965" s="31"/>
      <c r="C965" s="32"/>
      <c r="D965" s="32"/>
      <c r="E965" s="33"/>
      <c r="F965" s="32"/>
      <c r="G965" s="32"/>
      <c r="H965" s="32"/>
      <c r="I965" s="32"/>
      <c r="J965" s="32"/>
      <c r="K965" s="32"/>
      <c r="L965" s="32"/>
      <c r="M965" s="30"/>
      <c r="N965" s="32"/>
      <c r="O965" s="34"/>
      <c r="P965" s="32"/>
      <c r="Q965" s="32"/>
      <c r="R965" s="32"/>
      <c r="S965" s="32"/>
      <c r="T965" s="32"/>
      <c r="U965" s="32"/>
      <c r="V965" s="31"/>
      <c r="W965" s="35" t="str">
        <f aca="true">IF(OR(V965="",AG965&gt;=8),"",IF(V965&lt;TODAY(),"Vencida",IF(V965=TODAY(),"Hoy","")))</f>
        <v/>
      </c>
      <c r="X965" s="36" t="str">
        <f aca="false">IF(A965="","",IF(COUNTIF(Seguimiento!$B$2:$B$5001,A965)=0,"",_xlfn.MAXIFS(Seguimiento!$A$2:$A$5001,Seguimiento!$B$2:$B$5001,A965)))</f>
        <v/>
      </c>
      <c r="Y965" s="37" t="str">
        <f aca="true">IF(B965="","",TODAY()-B965)</f>
        <v/>
      </c>
      <c r="Z965" s="38" t="str">
        <f aca="false">IF(OR(O965="",G965=""),"",O965*IFERROR(INDEX(Listas!$B$2:$B$50,MATCH(G965,Listas!$A$2:$A$50,0)),0))</f>
        <v/>
      </c>
      <c r="AA965" s="32"/>
      <c r="AB965" s="32"/>
      <c r="AC965" s="32"/>
      <c r="AD965" s="35" t="str">
        <f aca="false">IF(OR(LEFT(H965,4)="Meta",LEFT(H965,6)="Google"),IF(AG965=3,"Lead calificado",IF(OR(AG965=4,AG965=5),"Tasación/visita",IF(OR(AG965=6,AG965=7),"Captación/oferta",IF(AG965=8,"Cierre","")))),"")</f>
        <v/>
      </c>
      <c r="AE965" s="32"/>
      <c r="AF965" s="32"/>
      <c r="AG965" s="37" t="n">
        <f aca="false">IF(R965="",0,IFERROR(MATCH(R965,Listas!$L$2:$L$50,0),0))</f>
        <v>0</v>
      </c>
    </row>
    <row r="966" customFormat="false" ht="15" hidden="false" customHeight="false" outlineLevel="0" collapsed="false">
      <c r="A966" s="30"/>
      <c r="B966" s="31"/>
      <c r="C966" s="32"/>
      <c r="D966" s="32"/>
      <c r="E966" s="33"/>
      <c r="F966" s="32"/>
      <c r="G966" s="32"/>
      <c r="H966" s="32"/>
      <c r="I966" s="32"/>
      <c r="J966" s="32"/>
      <c r="K966" s="32"/>
      <c r="L966" s="32"/>
      <c r="M966" s="30"/>
      <c r="N966" s="32"/>
      <c r="O966" s="34"/>
      <c r="P966" s="32"/>
      <c r="Q966" s="32"/>
      <c r="R966" s="32"/>
      <c r="S966" s="32"/>
      <c r="T966" s="32"/>
      <c r="U966" s="32"/>
      <c r="V966" s="31"/>
      <c r="W966" s="35" t="str">
        <f aca="true">IF(OR(V966="",AG966&gt;=8),"",IF(V966&lt;TODAY(),"Vencida",IF(V966=TODAY(),"Hoy","")))</f>
        <v/>
      </c>
      <c r="X966" s="36" t="str">
        <f aca="false">IF(A966="","",IF(COUNTIF(Seguimiento!$B$2:$B$5001,A966)=0,"",_xlfn.MAXIFS(Seguimiento!$A$2:$A$5001,Seguimiento!$B$2:$B$5001,A966)))</f>
        <v/>
      </c>
      <c r="Y966" s="37" t="str">
        <f aca="true">IF(B966="","",TODAY()-B966)</f>
        <v/>
      </c>
      <c r="Z966" s="38" t="str">
        <f aca="false">IF(OR(O966="",G966=""),"",O966*IFERROR(INDEX(Listas!$B$2:$B$50,MATCH(G966,Listas!$A$2:$A$50,0)),0))</f>
        <v/>
      </c>
      <c r="AA966" s="32"/>
      <c r="AB966" s="32"/>
      <c r="AC966" s="32"/>
      <c r="AD966" s="35" t="str">
        <f aca="false">IF(OR(LEFT(H966,4)="Meta",LEFT(H966,6)="Google"),IF(AG966=3,"Lead calificado",IF(OR(AG966=4,AG966=5),"Tasación/visita",IF(OR(AG966=6,AG966=7),"Captación/oferta",IF(AG966=8,"Cierre","")))),"")</f>
        <v/>
      </c>
      <c r="AE966" s="32"/>
      <c r="AF966" s="32"/>
      <c r="AG966" s="37" t="n">
        <f aca="false">IF(R966="",0,IFERROR(MATCH(R966,Listas!$L$2:$L$50,0),0))</f>
        <v>0</v>
      </c>
    </row>
    <row r="967" customFormat="false" ht="15" hidden="false" customHeight="false" outlineLevel="0" collapsed="false">
      <c r="A967" s="30"/>
      <c r="B967" s="31"/>
      <c r="C967" s="32"/>
      <c r="D967" s="32"/>
      <c r="E967" s="33"/>
      <c r="F967" s="32"/>
      <c r="G967" s="32"/>
      <c r="H967" s="32"/>
      <c r="I967" s="32"/>
      <c r="J967" s="32"/>
      <c r="K967" s="32"/>
      <c r="L967" s="32"/>
      <c r="M967" s="30"/>
      <c r="N967" s="32"/>
      <c r="O967" s="34"/>
      <c r="P967" s="32"/>
      <c r="Q967" s="32"/>
      <c r="R967" s="32"/>
      <c r="S967" s="32"/>
      <c r="T967" s="32"/>
      <c r="U967" s="32"/>
      <c r="V967" s="31"/>
      <c r="W967" s="35" t="str">
        <f aca="true">IF(OR(V967="",AG967&gt;=8),"",IF(V967&lt;TODAY(),"Vencida",IF(V967=TODAY(),"Hoy","")))</f>
        <v/>
      </c>
      <c r="X967" s="36" t="str">
        <f aca="false">IF(A967="","",IF(COUNTIF(Seguimiento!$B$2:$B$5001,A967)=0,"",_xlfn.MAXIFS(Seguimiento!$A$2:$A$5001,Seguimiento!$B$2:$B$5001,A967)))</f>
        <v/>
      </c>
      <c r="Y967" s="37" t="str">
        <f aca="true">IF(B967="","",TODAY()-B967)</f>
        <v/>
      </c>
      <c r="Z967" s="38" t="str">
        <f aca="false">IF(OR(O967="",G967=""),"",O967*IFERROR(INDEX(Listas!$B$2:$B$50,MATCH(G967,Listas!$A$2:$A$50,0)),0))</f>
        <v/>
      </c>
      <c r="AA967" s="32"/>
      <c r="AB967" s="32"/>
      <c r="AC967" s="32"/>
      <c r="AD967" s="35" t="str">
        <f aca="false">IF(OR(LEFT(H967,4)="Meta",LEFT(H967,6)="Google"),IF(AG967=3,"Lead calificado",IF(OR(AG967=4,AG967=5),"Tasación/visita",IF(OR(AG967=6,AG967=7),"Captación/oferta",IF(AG967=8,"Cierre","")))),"")</f>
        <v/>
      </c>
      <c r="AE967" s="32"/>
      <c r="AF967" s="32"/>
      <c r="AG967" s="37" t="n">
        <f aca="false">IF(R967="",0,IFERROR(MATCH(R967,Listas!$L$2:$L$50,0),0))</f>
        <v>0</v>
      </c>
    </row>
    <row r="968" customFormat="false" ht="15" hidden="false" customHeight="false" outlineLevel="0" collapsed="false">
      <c r="A968" s="30"/>
      <c r="B968" s="31"/>
      <c r="C968" s="32"/>
      <c r="D968" s="32"/>
      <c r="E968" s="33"/>
      <c r="F968" s="32"/>
      <c r="G968" s="32"/>
      <c r="H968" s="32"/>
      <c r="I968" s="32"/>
      <c r="J968" s="32"/>
      <c r="K968" s="32"/>
      <c r="L968" s="32"/>
      <c r="M968" s="30"/>
      <c r="N968" s="32"/>
      <c r="O968" s="34"/>
      <c r="P968" s="32"/>
      <c r="Q968" s="32"/>
      <c r="R968" s="32"/>
      <c r="S968" s="32"/>
      <c r="T968" s="32"/>
      <c r="U968" s="32"/>
      <c r="V968" s="31"/>
      <c r="W968" s="35" t="str">
        <f aca="true">IF(OR(V968="",AG968&gt;=8),"",IF(V968&lt;TODAY(),"Vencida",IF(V968=TODAY(),"Hoy","")))</f>
        <v/>
      </c>
      <c r="X968" s="36" t="str">
        <f aca="false">IF(A968="","",IF(COUNTIF(Seguimiento!$B$2:$B$5001,A968)=0,"",_xlfn.MAXIFS(Seguimiento!$A$2:$A$5001,Seguimiento!$B$2:$B$5001,A968)))</f>
        <v/>
      </c>
      <c r="Y968" s="37" t="str">
        <f aca="true">IF(B968="","",TODAY()-B968)</f>
        <v/>
      </c>
      <c r="Z968" s="38" t="str">
        <f aca="false">IF(OR(O968="",G968=""),"",O968*IFERROR(INDEX(Listas!$B$2:$B$50,MATCH(G968,Listas!$A$2:$A$50,0)),0))</f>
        <v/>
      </c>
      <c r="AA968" s="32"/>
      <c r="AB968" s="32"/>
      <c r="AC968" s="32"/>
      <c r="AD968" s="35" t="str">
        <f aca="false">IF(OR(LEFT(H968,4)="Meta",LEFT(H968,6)="Google"),IF(AG968=3,"Lead calificado",IF(OR(AG968=4,AG968=5),"Tasación/visita",IF(OR(AG968=6,AG968=7),"Captación/oferta",IF(AG968=8,"Cierre","")))),"")</f>
        <v/>
      </c>
      <c r="AE968" s="32"/>
      <c r="AF968" s="32"/>
      <c r="AG968" s="37" t="n">
        <f aca="false">IF(R968="",0,IFERROR(MATCH(R968,Listas!$L$2:$L$50,0),0))</f>
        <v>0</v>
      </c>
    </row>
    <row r="969" customFormat="false" ht="15" hidden="false" customHeight="false" outlineLevel="0" collapsed="false">
      <c r="A969" s="30"/>
      <c r="B969" s="31"/>
      <c r="C969" s="32"/>
      <c r="D969" s="32"/>
      <c r="E969" s="33"/>
      <c r="F969" s="32"/>
      <c r="G969" s="32"/>
      <c r="H969" s="32"/>
      <c r="I969" s="32"/>
      <c r="J969" s="32"/>
      <c r="K969" s="32"/>
      <c r="L969" s="32"/>
      <c r="M969" s="30"/>
      <c r="N969" s="32"/>
      <c r="O969" s="34"/>
      <c r="P969" s="32"/>
      <c r="Q969" s="32"/>
      <c r="R969" s="32"/>
      <c r="S969" s="32"/>
      <c r="T969" s="32"/>
      <c r="U969" s="32"/>
      <c r="V969" s="31"/>
      <c r="W969" s="35" t="str">
        <f aca="true">IF(OR(V969="",AG969&gt;=8),"",IF(V969&lt;TODAY(),"Vencida",IF(V969=TODAY(),"Hoy","")))</f>
        <v/>
      </c>
      <c r="X969" s="36" t="str">
        <f aca="false">IF(A969="","",IF(COUNTIF(Seguimiento!$B$2:$B$5001,A969)=0,"",_xlfn.MAXIFS(Seguimiento!$A$2:$A$5001,Seguimiento!$B$2:$B$5001,A969)))</f>
        <v/>
      </c>
      <c r="Y969" s="37" t="str">
        <f aca="true">IF(B969="","",TODAY()-B969)</f>
        <v/>
      </c>
      <c r="Z969" s="38" t="str">
        <f aca="false">IF(OR(O969="",G969=""),"",O969*IFERROR(INDEX(Listas!$B$2:$B$50,MATCH(G969,Listas!$A$2:$A$50,0)),0))</f>
        <v/>
      </c>
      <c r="AA969" s="32"/>
      <c r="AB969" s="32"/>
      <c r="AC969" s="32"/>
      <c r="AD969" s="35" t="str">
        <f aca="false">IF(OR(LEFT(H969,4)="Meta",LEFT(H969,6)="Google"),IF(AG969=3,"Lead calificado",IF(OR(AG969=4,AG969=5),"Tasación/visita",IF(OR(AG969=6,AG969=7),"Captación/oferta",IF(AG969=8,"Cierre","")))),"")</f>
        <v/>
      </c>
      <c r="AE969" s="32"/>
      <c r="AF969" s="32"/>
      <c r="AG969" s="37" t="n">
        <f aca="false">IF(R969="",0,IFERROR(MATCH(R969,Listas!$L$2:$L$50,0),0))</f>
        <v>0</v>
      </c>
    </row>
    <row r="970" customFormat="false" ht="15" hidden="false" customHeight="false" outlineLevel="0" collapsed="false">
      <c r="A970" s="30"/>
      <c r="B970" s="31"/>
      <c r="C970" s="32"/>
      <c r="D970" s="32"/>
      <c r="E970" s="33"/>
      <c r="F970" s="32"/>
      <c r="G970" s="32"/>
      <c r="H970" s="32"/>
      <c r="I970" s="32"/>
      <c r="J970" s="32"/>
      <c r="K970" s="32"/>
      <c r="L970" s="32"/>
      <c r="M970" s="30"/>
      <c r="N970" s="32"/>
      <c r="O970" s="34"/>
      <c r="P970" s="32"/>
      <c r="Q970" s="32"/>
      <c r="R970" s="32"/>
      <c r="S970" s="32"/>
      <c r="T970" s="32"/>
      <c r="U970" s="32"/>
      <c r="V970" s="31"/>
      <c r="W970" s="35" t="str">
        <f aca="true">IF(OR(V970="",AG970&gt;=8),"",IF(V970&lt;TODAY(),"Vencida",IF(V970=TODAY(),"Hoy","")))</f>
        <v/>
      </c>
      <c r="X970" s="36" t="str">
        <f aca="false">IF(A970="","",IF(COUNTIF(Seguimiento!$B$2:$B$5001,A970)=0,"",_xlfn.MAXIFS(Seguimiento!$A$2:$A$5001,Seguimiento!$B$2:$B$5001,A970)))</f>
        <v/>
      </c>
      <c r="Y970" s="37" t="str">
        <f aca="true">IF(B970="","",TODAY()-B970)</f>
        <v/>
      </c>
      <c r="Z970" s="38" t="str">
        <f aca="false">IF(OR(O970="",G970=""),"",O970*IFERROR(INDEX(Listas!$B$2:$B$50,MATCH(G970,Listas!$A$2:$A$50,0)),0))</f>
        <v/>
      </c>
      <c r="AA970" s="32"/>
      <c r="AB970" s="32"/>
      <c r="AC970" s="32"/>
      <c r="AD970" s="35" t="str">
        <f aca="false">IF(OR(LEFT(H970,4)="Meta",LEFT(H970,6)="Google"),IF(AG970=3,"Lead calificado",IF(OR(AG970=4,AG970=5),"Tasación/visita",IF(OR(AG970=6,AG970=7),"Captación/oferta",IF(AG970=8,"Cierre","")))),"")</f>
        <v/>
      </c>
      <c r="AE970" s="32"/>
      <c r="AF970" s="32"/>
      <c r="AG970" s="37" t="n">
        <f aca="false">IF(R970="",0,IFERROR(MATCH(R970,Listas!$L$2:$L$50,0),0))</f>
        <v>0</v>
      </c>
    </row>
    <row r="971" customFormat="false" ht="15" hidden="false" customHeight="false" outlineLevel="0" collapsed="false">
      <c r="A971" s="30"/>
      <c r="B971" s="31"/>
      <c r="C971" s="32"/>
      <c r="D971" s="32"/>
      <c r="E971" s="33"/>
      <c r="F971" s="32"/>
      <c r="G971" s="32"/>
      <c r="H971" s="32"/>
      <c r="I971" s="32"/>
      <c r="J971" s="32"/>
      <c r="K971" s="32"/>
      <c r="L971" s="32"/>
      <c r="M971" s="30"/>
      <c r="N971" s="32"/>
      <c r="O971" s="34"/>
      <c r="P971" s="32"/>
      <c r="Q971" s="32"/>
      <c r="R971" s="32"/>
      <c r="S971" s="32"/>
      <c r="T971" s="32"/>
      <c r="U971" s="32"/>
      <c r="V971" s="31"/>
      <c r="W971" s="35" t="str">
        <f aca="true">IF(OR(V971="",AG971&gt;=8),"",IF(V971&lt;TODAY(),"Vencida",IF(V971=TODAY(),"Hoy","")))</f>
        <v/>
      </c>
      <c r="X971" s="36" t="str">
        <f aca="false">IF(A971="","",IF(COUNTIF(Seguimiento!$B$2:$B$5001,A971)=0,"",_xlfn.MAXIFS(Seguimiento!$A$2:$A$5001,Seguimiento!$B$2:$B$5001,A971)))</f>
        <v/>
      </c>
      <c r="Y971" s="37" t="str">
        <f aca="true">IF(B971="","",TODAY()-B971)</f>
        <v/>
      </c>
      <c r="Z971" s="38" t="str">
        <f aca="false">IF(OR(O971="",G971=""),"",O971*IFERROR(INDEX(Listas!$B$2:$B$50,MATCH(G971,Listas!$A$2:$A$50,0)),0))</f>
        <v/>
      </c>
      <c r="AA971" s="32"/>
      <c r="AB971" s="32"/>
      <c r="AC971" s="32"/>
      <c r="AD971" s="35" t="str">
        <f aca="false">IF(OR(LEFT(H971,4)="Meta",LEFT(H971,6)="Google"),IF(AG971=3,"Lead calificado",IF(OR(AG971=4,AG971=5),"Tasación/visita",IF(OR(AG971=6,AG971=7),"Captación/oferta",IF(AG971=8,"Cierre","")))),"")</f>
        <v/>
      </c>
      <c r="AE971" s="32"/>
      <c r="AF971" s="32"/>
      <c r="AG971" s="37" t="n">
        <f aca="false">IF(R971="",0,IFERROR(MATCH(R971,Listas!$L$2:$L$50,0),0))</f>
        <v>0</v>
      </c>
    </row>
    <row r="972" customFormat="false" ht="15" hidden="false" customHeight="false" outlineLevel="0" collapsed="false">
      <c r="A972" s="30"/>
      <c r="B972" s="31"/>
      <c r="C972" s="32"/>
      <c r="D972" s="32"/>
      <c r="E972" s="33"/>
      <c r="F972" s="32"/>
      <c r="G972" s="32"/>
      <c r="H972" s="32"/>
      <c r="I972" s="32"/>
      <c r="J972" s="32"/>
      <c r="K972" s="32"/>
      <c r="L972" s="32"/>
      <c r="M972" s="30"/>
      <c r="N972" s="32"/>
      <c r="O972" s="34"/>
      <c r="P972" s="32"/>
      <c r="Q972" s="32"/>
      <c r="R972" s="32"/>
      <c r="S972" s="32"/>
      <c r="T972" s="32"/>
      <c r="U972" s="32"/>
      <c r="V972" s="31"/>
      <c r="W972" s="35" t="str">
        <f aca="true">IF(OR(V972="",AG972&gt;=8),"",IF(V972&lt;TODAY(),"Vencida",IF(V972=TODAY(),"Hoy","")))</f>
        <v/>
      </c>
      <c r="X972" s="36" t="str">
        <f aca="false">IF(A972="","",IF(COUNTIF(Seguimiento!$B$2:$B$5001,A972)=0,"",_xlfn.MAXIFS(Seguimiento!$A$2:$A$5001,Seguimiento!$B$2:$B$5001,A972)))</f>
        <v/>
      </c>
      <c r="Y972" s="37" t="str">
        <f aca="true">IF(B972="","",TODAY()-B972)</f>
        <v/>
      </c>
      <c r="Z972" s="38" t="str">
        <f aca="false">IF(OR(O972="",G972=""),"",O972*IFERROR(INDEX(Listas!$B$2:$B$50,MATCH(G972,Listas!$A$2:$A$50,0)),0))</f>
        <v/>
      </c>
      <c r="AA972" s="32"/>
      <c r="AB972" s="32"/>
      <c r="AC972" s="32"/>
      <c r="AD972" s="35" t="str">
        <f aca="false">IF(OR(LEFT(H972,4)="Meta",LEFT(H972,6)="Google"),IF(AG972=3,"Lead calificado",IF(OR(AG972=4,AG972=5),"Tasación/visita",IF(OR(AG972=6,AG972=7),"Captación/oferta",IF(AG972=8,"Cierre","")))),"")</f>
        <v/>
      </c>
      <c r="AE972" s="32"/>
      <c r="AF972" s="32"/>
      <c r="AG972" s="37" t="n">
        <f aca="false">IF(R972="",0,IFERROR(MATCH(R972,Listas!$L$2:$L$50,0),0))</f>
        <v>0</v>
      </c>
    </row>
    <row r="973" customFormat="false" ht="15" hidden="false" customHeight="false" outlineLevel="0" collapsed="false">
      <c r="A973" s="30"/>
      <c r="B973" s="31"/>
      <c r="C973" s="32"/>
      <c r="D973" s="32"/>
      <c r="E973" s="33"/>
      <c r="F973" s="32"/>
      <c r="G973" s="32"/>
      <c r="H973" s="32"/>
      <c r="I973" s="32"/>
      <c r="J973" s="32"/>
      <c r="K973" s="32"/>
      <c r="L973" s="32"/>
      <c r="M973" s="30"/>
      <c r="N973" s="32"/>
      <c r="O973" s="34"/>
      <c r="P973" s="32"/>
      <c r="Q973" s="32"/>
      <c r="R973" s="32"/>
      <c r="S973" s="32"/>
      <c r="T973" s="32"/>
      <c r="U973" s="32"/>
      <c r="V973" s="31"/>
      <c r="W973" s="35" t="str">
        <f aca="true">IF(OR(V973="",AG973&gt;=8),"",IF(V973&lt;TODAY(),"Vencida",IF(V973=TODAY(),"Hoy","")))</f>
        <v/>
      </c>
      <c r="X973" s="36" t="str">
        <f aca="false">IF(A973="","",IF(COUNTIF(Seguimiento!$B$2:$B$5001,A973)=0,"",_xlfn.MAXIFS(Seguimiento!$A$2:$A$5001,Seguimiento!$B$2:$B$5001,A973)))</f>
        <v/>
      </c>
      <c r="Y973" s="37" t="str">
        <f aca="true">IF(B973="","",TODAY()-B973)</f>
        <v/>
      </c>
      <c r="Z973" s="38" t="str">
        <f aca="false">IF(OR(O973="",G973=""),"",O973*IFERROR(INDEX(Listas!$B$2:$B$50,MATCH(G973,Listas!$A$2:$A$50,0)),0))</f>
        <v/>
      </c>
      <c r="AA973" s="32"/>
      <c r="AB973" s="32"/>
      <c r="AC973" s="32"/>
      <c r="AD973" s="35" t="str">
        <f aca="false">IF(OR(LEFT(H973,4)="Meta",LEFT(H973,6)="Google"),IF(AG973=3,"Lead calificado",IF(OR(AG973=4,AG973=5),"Tasación/visita",IF(OR(AG973=6,AG973=7),"Captación/oferta",IF(AG973=8,"Cierre","")))),"")</f>
        <v/>
      </c>
      <c r="AE973" s="32"/>
      <c r="AF973" s="32"/>
      <c r="AG973" s="37" t="n">
        <f aca="false">IF(R973="",0,IFERROR(MATCH(R973,Listas!$L$2:$L$50,0),0))</f>
        <v>0</v>
      </c>
    </row>
    <row r="974" customFormat="false" ht="15" hidden="false" customHeight="false" outlineLevel="0" collapsed="false">
      <c r="A974" s="30"/>
      <c r="B974" s="31"/>
      <c r="C974" s="32"/>
      <c r="D974" s="32"/>
      <c r="E974" s="33"/>
      <c r="F974" s="32"/>
      <c r="G974" s="32"/>
      <c r="H974" s="32"/>
      <c r="I974" s="32"/>
      <c r="J974" s="32"/>
      <c r="K974" s="32"/>
      <c r="L974" s="32"/>
      <c r="M974" s="30"/>
      <c r="N974" s="32"/>
      <c r="O974" s="34"/>
      <c r="P974" s="32"/>
      <c r="Q974" s="32"/>
      <c r="R974" s="32"/>
      <c r="S974" s="32"/>
      <c r="T974" s="32"/>
      <c r="U974" s="32"/>
      <c r="V974" s="31"/>
      <c r="W974" s="35" t="str">
        <f aca="true">IF(OR(V974="",AG974&gt;=8),"",IF(V974&lt;TODAY(),"Vencida",IF(V974=TODAY(),"Hoy","")))</f>
        <v/>
      </c>
      <c r="X974" s="36" t="str">
        <f aca="false">IF(A974="","",IF(COUNTIF(Seguimiento!$B$2:$B$5001,A974)=0,"",_xlfn.MAXIFS(Seguimiento!$A$2:$A$5001,Seguimiento!$B$2:$B$5001,A974)))</f>
        <v/>
      </c>
      <c r="Y974" s="37" t="str">
        <f aca="true">IF(B974="","",TODAY()-B974)</f>
        <v/>
      </c>
      <c r="Z974" s="38" t="str">
        <f aca="false">IF(OR(O974="",G974=""),"",O974*IFERROR(INDEX(Listas!$B$2:$B$50,MATCH(G974,Listas!$A$2:$A$50,0)),0))</f>
        <v/>
      </c>
      <c r="AA974" s="32"/>
      <c r="AB974" s="32"/>
      <c r="AC974" s="32"/>
      <c r="AD974" s="35" t="str">
        <f aca="false">IF(OR(LEFT(H974,4)="Meta",LEFT(H974,6)="Google"),IF(AG974=3,"Lead calificado",IF(OR(AG974=4,AG974=5),"Tasación/visita",IF(OR(AG974=6,AG974=7),"Captación/oferta",IF(AG974=8,"Cierre","")))),"")</f>
        <v/>
      </c>
      <c r="AE974" s="32"/>
      <c r="AF974" s="32"/>
      <c r="AG974" s="37" t="n">
        <f aca="false">IF(R974="",0,IFERROR(MATCH(R974,Listas!$L$2:$L$50,0),0))</f>
        <v>0</v>
      </c>
    </row>
    <row r="975" customFormat="false" ht="15" hidden="false" customHeight="false" outlineLevel="0" collapsed="false">
      <c r="A975" s="30"/>
      <c r="B975" s="31"/>
      <c r="C975" s="32"/>
      <c r="D975" s="32"/>
      <c r="E975" s="33"/>
      <c r="F975" s="32"/>
      <c r="G975" s="32"/>
      <c r="H975" s="32"/>
      <c r="I975" s="32"/>
      <c r="J975" s="32"/>
      <c r="K975" s="32"/>
      <c r="L975" s="32"/>
      <c r="M975" s="30"/>
      <c r="N975" s="32"/>
      <c r="O975" s="34"/>
      <c r="P975" s="32"/>
      <c r="Q975" s="32"/>
      <c r="R975" s="32"/>
      <c r="S975" s="32"/>
      <c r="T975" s="32"/>
      <c r="U975" s="32"/>
      <c r="V975" s="31"/>
      <c r="W975" s="35" t="str">
        <f aca="true">IF(OR(V975="",AG975&gt;=8),"",IF(V975&lt;TODAY(),"Vencida",IF(V975=TODAY(),"Hoy","")))</f>
        <v/>
      </c>
      <c r="X975" s="36" t="str">
        <f aca="false">IF(A975="","",IF(COUNTIF(Seguimiento!$B$2:$B$5001,A975)=0,"",_xlfn.MAXIFS(Seguimiento!$A$2:$A$5001,Seguimiento!$B$2:$B$5001,A975)))</f>
        <v/>
      </c>
      <c r="Y975" s="37" t="str">
        <f aca="true">IF(B975="","",TODAY()-B975)</f>
        <v/>
      </c>
      <c r="Z975" s="38" t="str">
        <f aca="false">IF(OR(O975="",G975=""),"",O975*IFERROR(INDEX(Listas!$B$2:$B$50,MATCH(G975,Listas!$A$2:$A$50,0)),0))</f>
        <v/>
      </c>
      <c r="AA975" s="32"/>
      <c r="AB975" s="32"/>
      <c r="AC975" s="32"/>
      <c r="AD975" s="35" t="str">
        <f aca="false">IF(OR(LEFT(H975,4)="Meta",LEFT(H975,6)="Google"),IF(AG975=3,"Lead calificado",IF(OR(AG975=4,AG975=5),"Tasación/visita",IF(OR(AG975=6,AG975=7),"Captación/oferta",IF(AG975=8,"Cierre","")))),"")</f>
        <v/>
      </c>
      <c r="AE975" s="32"/>
      <c r="AF975" s="32"/>
      <c r="AG975" s="37" t="n">
        <f aca="false">IF(R975="",0,IFERROR(MATCH(R975,Listas!$L$2:$L$50,0),0))</f>
        <v>0</v>
      </c>
    </row>
    <row r="976" customFormat="false" ht="15" hidden="false" customHeight="false" outlineLevel="0" collapsed="false">
      <c r="A976" s="30"/>
      <c r="B976" s="31"/>
      <c r="C976" s="32"/>
      <c r="D976" s="32"/>
      <c r="E976" s="33"/>
      <c r="F976" s="32"/>
      <c r="G976" s="32"/>
      <c r="H976" s="32"/>
      <c r="I976" s="32"/>
      <c r="J976" s="32"/>
      <c r="K976" s="32"/>
      <c r="L976" s="32"/>
      <c r="M976" s="30"/>
      <c r="N976" s="32"/>
      <c r="O976" s="34"/>
      <c r="P976" s="32"/>
      <c r="Q976" s="32"/>
      <c r="R976" s="32"/>
      <c r="S976" s="32"/>
      <c r="T976" s="32"/>
      <c r="U976" s="32"/>
      <c r="V976" s="31"/>
      <c r="W976" s="35" t="str">
        <f aca="true">IF(OR(V976="",AG976&gt;=8),"",IF(V976&lt;TODAY(),"Vencida",IF(V976=TODAY(),"Hoy","")))</f>
        <v/>
      </c>
      <c r="X976" s="36" t="str">
        <f aca="false">IF(A976="","",IF(COUNTIF(Seguimiento!$B$2:$B$5001,A976)=0,"",_xlfn.MAXIFS(Seguimiento!$A$2:$A$5001,Seguimiento!$B$2:$B$5001,A976)))</f>
        <v/>
      </c>
      <c r="Y976" s="37" t="str">
        <f aca="true">IF(B976="","",TODAY()-B976)</f>
        <v/>
      </c>
      <c r="Z976" s="38" t="str">
        <f aca="false">IF(OR(O976="",G976=""),"",O976*IFERROR(INDEX(Listas!$B$2:$B$50,MATCH(G976,Listas!$A$2:$A$50,0)),0))</f>
        <v/>
      </c>
      <c r="AA976" s="32"/>
      <c r="AB976" s="32"/>
      <c r="AC976" s="32"/>
      <c r="AD976" s="35" t="str">
        <f aca="false">IF(OR(LEFT(H976,4)="Meta",LEFT(H976,6)="Google"),IF(AG976=3,"Lead calificado",IF(OR(AG976=4,AG976=5),"Tasación/visita",IF(OR(AG976=6,AG976=7),"Captación/oferta",IF(AG976=8,"Cierre","")))),"")</f>
        <v/>
      </c>
      <c r="AE976" s="32"/>
      <c r="AF976" s="32"/>
      <c r="AG976" s="37" t="n">
        <f aca="false">IF(R976="",0,IFERROR(MATCH(R976,Listas!$L$2:$L$50,0),0))</f>
        <v>0</v>
      </c>
    </row>
    <row r="977" customFormat="false" ht="15" hidden="false" customHeight="false" outlineLevel="0" collapsed="false">
      <c r="A977" s="30"/>
      <c r="B977" s="31"/>
      <c r="C977" s="32"/>
      <c r="D977" s="32"/>
      <c r="E977" s="33"/>
      <c r="F977" s="32"/>
      <c r="G977" s="32"/>
      <c r="H977" s="32"/>
      <c r="I977" s="32"/>
      <c r="J977" s="32"/>
      <c r="K977" s="32"/>
      <c r="L977" s="32"/>
      <c r="M977" s="30"/>
      <c r="N977" s="32"/>
      <c r="O977" s="34"/>
      <c r="P977" s="32"/>
      <c r="Q977" s="32"/>
      <c r="R977" s="32"/>
      <c r="S977" s="32"/>
      <c r="T977" s="32"/>
      <c r="U977" s="32"/>
      <c r="V977" s="31"/>
      <c r="W977" s="35" t="str">
        <f aca="true">IF(OR(V977="",AG977&gt;=8),"",IF(V977&lt;TODAY(),"Vencida",IF(V977=TODAY(),"Hoy","")))</f>
        <v/>
      </c>
      <c r="X977" s="36" t="str">
        <f aca="false">IF(A977="","",IF(COUNTIF(Seguimiento!$B$2:$B$5001,A977)=0,"",_xlfn.MAXIFS(Seguimiento!$A$2:$A$5001,Seguimiento!$B$2:$B$5001,A977)))</f>
        <v/>
      </c>
      <c r="Y977" s="37" t="str">
        <f aca="true">IF(B977="","",TODAY()-B977)</f>
        <v/>
      </c>
      <c r="Z977" s="38" t="str">
        <f aca="false">IF(OR(O977="",G977=""),"",O977*IFERROR(INDEX(Listas!$B$2:$B$50,MATCH(G977,Listas!$A$2:$A$50,0)),0))</f>
        <v/>
      </c>
      <c r="AA977" s="32"/>
      <c r="AB977" s="32"/>
      <c r="AC977" s="32"/>
      <c r="AD977" s="35" t="str">
        <f aca="false">IF(OR(LEFT(H977,4)="Meta",LEFT(H977,6)="Google"),IF(AG977=3,"Lead calificado",IF(OR(AG977=4,AG977=5),"Tasación/visita",IF(OR(AG977=6,AG977=7),"Captación/oferta",IF(AG977=8,"Cierre","")))),"")</f>
        <v/>
      </c>
      <c r="AE977" s="32"/>
      <c r="AF977" s="32"/>
      <c r="AG977" s="37" t="n">
        <f aca="false">IF(R977="",0,IFERROR(MATCH(R977,Listas!$L$2:$L$50,0),0))</f>
        <v>0</v>
      </c>
    </row>
    <row r="978" customFormat="false" ht="15" hidden="false" customHeight="false" outlineLevel="0" collapsed="false">
      <c r="A978" s="30"/>
      <c r="B978" s="31"/>
      <c r="C978" s="32"/>
      <c r="D978" s="32"/>
      <c r="E978" s="33"/>
      <c r="F978" s="32"/>
      <c r="G978" s="32"/>
      <c r="H978" s="32"/>
      <c r="I978" s="32"/>
      <c r="J978" s="32"/>
      <c r="K978" s="32"/>
      <c r="L978" s="32"/>
      <c r="M978" s="30"/>
      <c r="N978" s="32"/>
      <c r="O978" s="34"/>
      <c r="P978" s="32"/>
      <c r="Q978" s="32"/>
      <c r="R978" s="32"/>
      <c r="S978" s="32"/>
      <c r="T978" s="32"/>
      <c r="U978" s="32"/>
      <c r="V978" s="31"/>
      <c r="W978" s="35" t="str">
        <f aca="true">IF(OR(V978="",AG978&gt;=8),"",IF(V978&lt;TODAY(),"Vencida",IF(V978=TODAY(),"Hoy","")))</f>
        <v/>
      </c>
      <c r="X978" s="36" t="str">
        <f aca="false">IF(A978="","",IF(COUNTIF(Seguimiento!$B$2:$B$5001,A978)=0,"",_xlfn.MAXIFS(Seguimiento!$A$2:$A$5001,Seguimiento!$B$2:$B$5001,A978)))</f>
        <v/>
      </c>
      <c r="Y978" s="37" t="str">
        <f aca="true">IF(B978="","",TODAY()-B978)</f>
        <v/>
      </c>
      <c r="Z978" s="38" t="str">
        <f aca="false">IF(OR(O978="",G978=""),"",O978*IFERROR(INDEX(Listas!$B$2:$B$50,MATCH(G978,Listas!$A$2:$A$50,0)),0))</f>
        <v/>
      </c>
      <c r="AA978" s="32"/>
      <c r="AB978" s="32"/>
      <c r="AC978" s="32"/>
      <c r="AD978" s="35" t="str">
        <f aca="false">IF(OR(LEFT(H978,4)="Meta",LEFT(H978,6)="Google"),IF(AG978=3,"Lead calificado",IF(OR(AG978=4,AG978=5),"Tasación/visita",IF(OR(AG978=6,AG978=7),"Captación/oferta",IF(AG978=8,"Cierre","")))),"")</f>
        <v/>
      </c>
      <c r="AE978" s="32"/>
      <c r="AF978" s="32"/>
      <c r="AG978" s="37" t="n">
        <f aca="false">IF(R978="",0,IFERROR(MATCH(R978,Listas!$L$2:$L$50,0),0))</f>
        <v>0</v>
      </c>
    </row>
    <row r="979" customFormat="false" ht="15" hidden="false" customHeight="false" outlineLevel="0" collapsed="false">
      <c r="A979" s="30"/>
      <c r="B979" s="31"/>
      <c r="C979" s="32"/>
      <c r="D979" s="32"/>
      <c r="E979" s="33"/>
      <c r="F979" s="32"/>
      <c r="G979" s="32"/>
      <c r="H979" s="32"/>
      <c r="I979" s="32"/>
      <c r="J979" s="32"/>
      <c r="K979" s="32"/>
      <c r="L979" s="32"/>
      <c r="M979" s="30"/>
      <c r="N979" s="32"/>
      <c r="O979" s="34"/>
      <c r="P979" s="32"/>
      <c r="Q979" s="32"/>
      <c r="R979" s="32"/>
      <c r="S979" s="32"/>
      <c r="T979" s="32"/>
      <c r="U979" s="32"/>
      <c r="V979" s="31"/>
      <c r="W979" s="35" t="str">
        <f aca="true">IF(OR(V979="",AG979&gt;=8),"",IF(V979&lt;TODAY(),"Vencida",IF(V979=TODAY(),"Hoy","")))</f>
        <v/>
      </c>
      <c r="X979" s="36" t="str">
        <f aca="false">IF(A979="","",IF(COUNTIF(Seguimiento!$B$2:$B$5001,A979)=0,"",_xlfn.MAXIFS(Seguimiento!$A$2:$A$5001,Seguimiento!$B$2:$B$5001,A979)))</f>
        <v/>
      </c>
      <c r="Y979" s="37" t="str">
        <f aca="true">IF(B979="","",TODAY()-B979)</f>
        <v/>
      </c>
      <c r="Z979" s="38" t="str">
        <f aca="false">IF(OR(O979="",G979=""),"",O979*IFERROR(INDEX(Listas!$B$2:$B$50,MATCH(G979,Listas!$A$2:$A$50,0)),0))</f>
        <v/>
      </c>
      <c r="AA979" s="32"/>
      <c r="AB979" s="32"/>
      <c r="AC979" s="32"/>
      <c r="AD979" s="35" t="str">
        <f aca="false">IF(OR(LEFT(H979,4)="Meta",LEFT(H979,6)="Google"),IF(AG979=3,"Lead calificado",IF(OR(AG979=4,AG979=5),"Tasación/visita",IF(OR(AG979=6,AG979=7),"Captación/oferta",IF(AG979=8,"Cierre","")))),"")</f>
        <v/>
      </c>
      <c r="AE979" s="32"/>
      <c r="AF979" s="32"/>
      <c r="AG979" s="37" t="n">
        <f aca="false">IF(R979="",0,IFERROR(MATCH(R979,Listas!$L$2:$L$50,0),0))</f>
        <v>0</v>
      </c>
    </row>
    <row r="980" customFormat="false" ht="15" hidden="false" customHeight="false" outlineLevel="0" collapsed="false">
      <c r="A980" s="30"/>
      <c r="B980" s="31"/>
      <c r="C980" s="32"/>
      <c r="D980" s="32"/>
      <c r="E980" s="33"/>
      <c r="F980" s="32"/>
      <c r="G980" s="32"/>
      <c r="H980" s="32"/>
      <c r="I980" s="32"/>
      <c r="J980" s="32"/>
      <c r="K980" s="32"/>
      <c r="L980" s="32"/>
      <c r="M980" s="30"/>
      <c r="N980" s="32"/>
      <c r="O980" s="34"/>
      <c r="P980" s="32"/>
      <c r="Q980" s="32"/>
      <c r="R980" s="32"/>
      <c r="S980" s="32"/>
      <c r="T980" s="32"/>
      <c r="U980" s="32"/>
      <c r="V980" s="31"/>
      <c r="W980" s="35" t="str">
        <f aca="true">IF(OR(V980="",AG980&gt;=8),"",IF(V980&lt;TODAY(),"Vencida",IF(V980=TODAY(),"Hoy","")))</f>
        <v/>
      </c>
      <c r="X980" s="36" t="str">
        <f aca="false">IF(A980="","",IF(COUNTIF(Seguimiento!$B$2:$B$5001,A980)=0,"",_xlfn.MAXIFS(Seguimiento!$A$2:$A$5001,Seguimiento!$B$2:$B$5001,A980)))</f>
        <v/>
      </c>
      <c r="Y980" s="37" t="str">
        <f aca="true">IF(B980="","",TODAY()-B980)</f>
        <v/>
      </c>
      <c r="Z980" s="38" t="str">
        <f aca="false">IF(OR(O980="",G980=""),"",O980*IFERROR(INDEX(Listas!$B$2:$B$50,MATCH(G980,Listas!$A$2:$A$50,0)),0))</f>
        <v/>
      </c>
      <c r="AA980" s="32"/>
      <c r="AB980" s="32"/>
      <c r="AC980" s="32"/>
      <c r="AD980" s="35" t="str">
        <f aca="false">IF(OR(LEFT(H980,4)="Meta",LEFT(H980,6)="Google"),IF(AG980=3,"Lead calificado",IF(OR(AG980=4,AG980=5),"Tasación/visita",IF(OR(AG980=6,AG980=7),"Captación/oferta",IF(AG980=8,"Cierre","")))),"")</f>
        <v/>
      </c>
      <c r="AE980" s="32"/>
      <c r="AF980" s="32"/>
      <c r="AG980" s="37" t="n">
        <f aca="false">IF(R980="",0,IFERROR(MATCH(R980,Listas!$L$2:$L$50,0),0))</f>
        <v>0</v>
      </c>
    </row>
    <row r="981" customFormat="false" ht="15" hidden="false" customHeight="false" outlineLevel="0" collapsed="false">
      <c r="A981" s="30"/>
      <c r="B981" s="31"/>
      <c r="C981" s="32"/>
      <c r="D981" s="32"/>
      <c r="E981" s="33"/>
      <c r="F981" s="32"/>
      <c r="G981" s="32"/>
      <c r="H981" s="32"/>
      <c r="I981" s="32"/>
      <c r="J981" s="32"/>
      <c r="K981" s="32"/>
      <c r="L981" s="32"/>
      <c r="M981" s="30"/>
      <c r="N981" s="32"/>
      <c r="O981" s="34"/>
      <c r="P981" s="32"/>
      <c r="Q981" s="32"/>
      <c r="R981" s="32"/>
      <c r="S981" s="32"/>
      <c r="T981" s="32"/>
      <c r="U981" s="32"/>
      <c r="V981" s="31"/>
      <c r="W981" s="35" t="str">
        <f aca="true">IF(OR(V981="",AG981&gt;=8),"",IF(V981&lt;TODAY(),"Vencida",IF(V981=TODAY(),"Hoy","")))</f>
        <v/>
      </c>
      <c r="X981" s="36" t="str">
        <f aca="false">IF(A981="","",IF(COUNTIF(Seguimiento!$B$2:$B$5001,A981)=0,"",_xlfn.MAXIFS(Seguimiento!$A$2:$A$5001,Seguimiento!$B$2:$B$5001,A981)))</f>
        <v/>
      </c>
      <c r="Y981" s="37" t="str">
        <f aca="true">IF(B981="","",TODAY()-B981)</f>
        <v/>
      </c>
      <c r="Z981" s="38" t="str">
        <f aca="false">IF(OR(O981="",G981=""),"",O981*IFERROR(INDEX(Listas!$B$2:$B$50,MATCH(G981,Listas!$A$2:$A$50,0)),0))</f>
        <v/>
      </c>
      <c r="AA981" s="32"/>
      <c r="AB981" s="32"/>
      <c r="AC981" s="32"/>
      <c r="AD981" s="35" t="str">
        <f aca="false">IF(OR(LEFT(H981,4)="Meta",LEFT(H981,6)="Google"),IF(AG981=3,"Lead calificado",IF(OR(AG981=4,AG981=5),"Tasación/visita",IF(OR(AG981=6,AG981=7),"Captación/oferta",IF(AG981=8,"Cierre","")))),"")</f>
        <v/>
      </c>
      <c r="AE981" s="32"/>
      <c r="AF981" s="32"/>
      <c r="AG981" s="37" t="n">
        <f aca="false">IF(R981="",0,IFERROR(MATCH(R981,Listas!$L$2:$L$50,0),0))</f>
        <v>0</v>
      </c>
    </row>
    <row r="982" customFormat="false" ht="15" hidden="false" customHeight="false" outlineLevel="0" collapsed="false">
      <c r="A982" s="30"/>
      <c r="B982" s="31"/>
      <c r="C982" s="32"/>
      <c r="D982" s="32"/>
      <c r="E982" s="33"/>
      <c r="F982" s="32"/>
      <c r="G982" s="32"/>
      <c r="H982" s="32"/>
      <c r="I982" s="32"/>
      <c r="J982" s="32"/>
      <c r="K982" s="32"/>
      <c r="L982" s="32"/>
      <c r="M982" s="30"/>
      <c r="N982" s="32"/>
      <c r="O982" s="34"/>
      <c r="P982" s="32"/>
      <c r="Q982" s="32"/>
      <c r="R982" s="32"/>
      <c r="S982" s="32"/>
      <c r="T982" s="32"/>
      <c r="U982" s="32"/>
      <c r="V982" s="31"/>
      <c r="W982" s="35" t="str">
        <f aca="true">IF(OR(V982="",AG982&gt;=8),"",IF(V982&lt;TODAY(),"Vencida",IF(V982=TODAY(),"Hoy","")))</f>
        <v/>
      </c>
      <c r="X982" s="36" t="str">
        <f aca="false">IF(A982="","",IF(COUNTIF(Seguimiento!$B$2:$B$5001,A982)=0,"",_xlfn.MAXIFS(Seguimiento!$A$2:$A$5001,Seguimiento!$B$2:$B$5001,A982)))</f>
        <v/>
      </c>
      <c r="Y982" s="37" t="str">
        <f aca="true">IF(B982="","",TODAY()-B982)</f>
        <v/>
      </c>
      <c r="Z982" s="38" t="str">
        <f aca="false">IF(OR(O982="",G982=""),"",O982*IFERROR(INDEX(Listas!$B$2:$B$50,MATCH(G982,Listas!$A$2:$A$50,0)),0))</f>
        <v/>
      </c>
      <c r="AA982" s="32"/>
      <c r="AB982" s="32"/>
      <c r="AC982" s="32"/>
      <c r="AD982" s="35" t="str">
        <f aca="false">IF(OR(LEFT(H982,4)="Meta",LEFT(H982,6)="Google"),IF(AG982=3,"Lead calificado",IF(OR(AG982=4,AG982=5),"Tasación/visita",IF(OR(AG982=6,AG982=7),"Captación/oferta",IF(AG982=8,"Cierre","")))),"")</f>
        <v/>
      </c>
      <c r="AE982" s="32"/>
      <c r="AF982" s="32"/>
      <c r="AG982" s="37" t="n">
        <f aca="false">IF(R982="",0,IFERROR(MATCH(R982,Listas!$L$2:$L$50,0),0))</f>
        <v>0</v>
      </c>
    </row>
    <row r="983" customFormat="false" ht="15" hidden="false" customHeight="false" outlineLevel="0" collapsed="false">
      <c r="A983" s="30"/>
      <c r="B983" s="31"/>
      <c r="C983" s="32"/>
      <c r="D983" s="32"/>
      <c r="E983" s="33"/>
      <c r="F983" s="32"/>
      <c r="G983" s="32"/>
      <c r="H983" s="32"/>
      <c r="I983" s="32"/>
      <c r="J983" s="32"/>
      <c r="K983" s="32"/>
      <c r="L983" s="32"/>
      <c r="M983" s="30"/>
      <c r="N983" s="32"/>
      <c r="O983" s="34"/>
      <c r="P983" s="32"/>
      <c r="Q983" s="32"/>
      <c r="R983" s="32"/>
      <c r="S983" s="32"/>
      <c r="T983" s="32"/>
      <c r="U983" s="32"/>
      <c r="V983" s="31"/>
      <c r="W983" s="35" t="str">
        <f aca="true">IF(OR(V983="",AG983&gt;=8),"",IF(V983&lt;TODAY(),"Vencida",IF(V983=TODAY(),"Hoy","")))</f>
        <v/>
      </c>
      <c r="X983" s="36" t="str">
        <f aca="false">IF(A983="","",IF(COUNTIF(Seguimiento!$B$2:$B$5001,A983)=0,"",_xlfn.MAXIFS(Seguimiento!$A$2:$A$5001,Seguimiento!$B$2:$B$5001,A983)))</f>
        <v/>
      </c>
      <c r="Y983" s="37" t="str">
        <f aca="true">IF(B983="","",TODAY()-B983)</f>
        <v/>
      </c>
      <c r="Z983" s="38" t="str">
        <f aca="false">IF(OR(O983="",G983=""),"",O983*IFERROR(INDEX(Listas!$B$2:$B$50,MATCH(G983,Listas!$A$2:$A$50,0)),0))</f>
        <v/>
      </c>
      <c r="AA983" s="32"/>
      <c r="AB983" s="32"/>
      <c r="AC983" s="32"/>
      <c r="AD983" s="35" t="str">
        <f aca="false">IF(OR(LEFT(H983,4)="Meta",LEFT(H983,6)="Google"),IF(AG983=3,"Lead calificado",IF(OR(AG983=4,AG983=5),"Tasación/visita",IF(OR(AG983=6,AG983=7),"Captación/oferta",IF(AG983=8,"Cierre","")))),"")</f>
        <v/>
      </c>
      <c r="AE983" s="32"/>
      <c r="AF983" s="32"/>
      <c r="AG983" s="37" t="n">
        <f aca="false">IF(R983="",0,IFERROR(MATCH(R983,Listas!$L$2:$L$50,0),0))</f>
        <v>0</v>
      </c>
    </row>
    <row r="984" customFormat="false" ht="15" hidden="false" customHeight="false" outlineLevel="0" collapsed="false">
      <c r="A984" s="30"/>
      <c r="B984" s="31"/>
      <c r="C984" s="32"/>
      <c r="D984" s="32"/>
      <c r="E984" s="33"/>
      <c r="F984" s="32"/>
      <c r="G984" s="32"/>
      <c r="H984" s="32"/>
      <c r="I984" s="32"/>
      <c r="J984" s="32"/>
      <c r="K984" s="32"/>
      <c r="L984" s="32"/>
      <c r="M984" s="30"/>
      <c r="N984" s="32"/>
      <c r="O984" s="34"/>
      <c r="P984" s="32"/>
      <c r="Q984" s="32"/>
      <c r="R984" s="32"/>
      <c r="S984" s="32"/>
      <c r="T984" s="32"/>
      <c r="U984" s="32"/>
      <c r="V984" s="31"/>
      <c r="W984" s="35" t="str">
        <f aca="true">IF(OR(V984="",AG984&gt;=8),"",IF(V984&lt;TODAY(),"Vencida",IF(V984=TODAY(),"Hoy","")))</f>
        <v/>
      </c>
      <c r="X984" s="36" t="str">
        <f aca="false">IF(A984="","",IF(COUNTIF(Seguimiento!$B$2:$B$5001,A984)=0,"",_xlfn.MAXIFS(Seguimiento!$A$2:$A$5001,Seguimiento!$B$2:$B$5001,A984)))</f>
        <v/>
      </c>
      <c r="Y984" s="37" t="str">
        <f aca="true">IF(B984="","",TODAY()-B984)</f>
        <v/>
      </c>
      <c r="Z984" s="38" t="str">
        <f aca="false">IF(OR(O984="",G984=""),"",O984*IFERROR(INDEX(Listas!$B$2:$B$50,MATCH(G984,Listas!$A$2:$A$50,0)),0))</f>
        <v/>
      </c>
      <c r="AA984" s="32"/>
      <c r="AB984" s="32"/>
      <c r="AC984" s="32"/>
      <c r="AD984" s="35" t="str">
        <f aca="false">IF(OR(LEFT(H984,4)="Meta",LEFT(H984,6)="Google"),IF(AG984=3,"Lead calificado",IF(OR(AG984=4,AG984=5),"Tasación/visita",IF(OR(AG984=6,AG984=7),"Captación/oferta",IF(AG984=8,"Cierre","")))),"")</f>
        <v/>
      </c>
      <c r="AE984" s="32"/>
      <c r="AF984" s="32"/>
      <c r="AG984" s="37" t="n">
        <f aca="false">IF(R984="",0,IFERROR(MATCH(R984,Listas!$L$2:$L$50,0),0))</f>
        <v>0</v>
      </c>
    </row>
    <row r="985" customFormat="false" ht="15" hidden="false" customHeight="false" outlineLevel="0" collapsed="false">
      <c r="A985" s="30"/>
      <c r="B985" s="31"/>
      <c r="C985" s="32"/>
      <c r="D985" s="32"/>
      <c r="E985" s="33"/>
      <c r="F985" s="32"/>
      <c r="G985" s="32"/>
      <c r="H985" s="32"/>
      <c r="I985" s="32"/>
      <c r="J985" s="32"/>
      <c r="K985" s="32"/>
      <c r="L985" s="32"/>
      <c r="M985" s="30"/>
      <c r="N985" s="32"/>
      <c r="O985" s="34"/>
      <c r="P985" s="32"/>
      <c r="Q985" s="32"/>
      <c r="R985" s="32"/>
      <c r="S985" s="32"/>
      <c r="T985" s="32"/>
      <c r="U985" s="32"/>
      <c r="V985" s="31"/>
      <c r="W985" s="35" t="str">
        <f aca="true">IF(OR(V985="",AG985&gt;=8),"",IF(V985&lt;TODAY(),"Vencida",IF(V985=TODAY(),"Hoy","")))</f>
        <v/>
      </c>
      <c r="X985" s="36" t="str">
        <f aca="false">IF(A985="","",IF(COUNTIF(Seguimiento!$B$2:$B$5001,A985)=0,"",_xlfn.MAXIFS(Seguimiento!$A$2:$A$5001,Seguimiento!$B$2:$B$5001,A985)))</f>
        <v/>
      </c>
      <c r="Y985" s="37" t="str">
        <f aca="true">IF(B985="","",TODAY()-B985)</f>
        <v/>
      </c>
      <c r="Z985" s="38" t="str">
        <f aca="false">IF(OR(O985="",G985=""),"",O985*IFERROR(INDEX(Listas!$B$2:$B$50,MATCH(G985,Listas!$A$2:$A$50,0)),0))</f>
        <v/>
      </c>
      <c r="AA985" s="32"/>
      <c r="AB985" s="32"/>
      <c r="AC985" s="32"/>
      <c r="AD985" s="35" t="str">
        <f aca="false">IF(OR(LEFT(H985,4)="Meta",LEFT(H985,6)="Google"),IF(AG985=3,"Lead calificado",IF(OR(AG985=4,AG985=5),"Tasación/visita",IF(OR(AG985=6,AG985=7),"Captación/oferta",IF(AG985=8,"Cierre","")))),"")</f>
        <v/>
      </c>
      <c r="AE985" s="32"/>
      <c r="AF985" s="32"/>
      <c r="AG985" s="37" t="n">
        <f aca="false">IF(R985="",0,IFERROR(MATCH(R985,Listas!$L$2:$L$50,0),0))</f>
        <v>0</v>
      </c>
    </row>
    <row r="986" customFormat="false" ht="15" hidden="false" customHeight="false" outlineLevel="0" collapsed="false">
      <c r="A986" s="30"/>
      <c r="B986" s="31"/>
      <c r="C986" s="32"/>
      <c r="D986" s="32"/>
      <c r="E986" s="33"/>
      <c r="F986" s="32"/>
      <c r="G986" s="32"/>
      <c r="H986" s="32"/>
      <c r="I986" s="32"/>
      <c r="J986" s="32"/>
      <c r="K986" s="32"/>
      <c r="L986" s="32"/>
      <c r="M986" s="30"/>
      <c r="N986" s="32"/>
      <c r="O986" s="34"/>
      <c r="P986" s="32"/>
      <c r="Q986" s="32"/>
      <c r="R986" s="32"/>
      <c r="S986" s="32"/>
      <c r="T986" s="32"/>
      <c r="U986" s="32"/>
      <c r="V986" s="31"/>
      <c r="W986" s="35" t="str">
        <f aca="true">IF(OR(V986="",AG986&gt;=8),"",IF(V986&lt;TODAY(),"Vencida",IF(V986=TODAY(),"Hoy","")))</f>
        <v/>
      </c>
      <c r="X986" s="36" t="str">
        <f aca="false">IF(A986="","",IF(COUNTIF(Seguimiento!$B$2:$B$5001,A986)=0,"",_xlfn.MAXIFS(Seguimiento!$A$2:$A$5001,Seguimiento!$B$2:$B$5001,A986)))</f>
        <v/>
      </c>
      <c r="Y986" s="37" t="str">
        <f aca="true">IF(B986="","",TODAY()-B986)</f>
        <v/>
      </c>
      <c r="Z986" s="38" t="str">
        <f aca="false">IF(OR(O986="",G986=""),"",O986*IFERROR(INDEX(Listas!$B$2:$B$50,MATCH(G986,Listas!$A$2:$A$50,0)),0))</f>
        <v/>
      </c>
      <c r="AA986" s="32"/>
      <c r="AB986" s="32"/>
      <c r="AC986" s="32"/>
      <c r="AD986" s="35" t="str">
        <f aca="false">IF(OR(LEFT(H986,4)="Meta",LEFT(H986,6)="Google"),IF(AG986=3,"Lead calificado",IF(OR(AG986=4,AG986=5),"Tasación/visita",IF(OR(AG986=6,AG986=7),"Captación/oferta",IF(AG986=8,"Cierre","")))),"")</f>
        <v/>
      </c>
      <c r="AE986" s="32"/>
      <c r="AF986" s="32"/>
      <c r="AG986" s="37" t="n">
        <f aca="false">IF(R986="",0,IFERROR(MATCH(R986,Listas!$L$2:$L$50,0),0))</f>
        <v>0</v>
      </c>
    </row>
    <row r="987" customFormat="false" ht="15" hidden="false" customHeight="false" outlineLevel="0" collapsed="false">
      <c r="A987" s="30"/>
      <c r="B987" s="31"/>
      <c r="C987" s="32"/>
      <c r="D987" s="32"/>
      <c r="E987" s="33"/>
      <c r="F987" s="32"/>
      <c r="G987" s="32"/>
      <c r="H987" s="32"/>
      <c r="I987" s="32"/>
      <c r="J987" s="32"/>
      <c r="K987" s="32"/>
      <c r="L987" s="32"/>
      <c r="M987" s="30"/>
      <c r="N987" s="32"/>
      <c r="O987" s="34"/>
      <c r="P987" s="32"/>
      <c r="Q987" s="32"/>
      <c r="R987" s="32"/>
      <c r="S987" s="32"/>
      <c r="T987" s="32"/>
      <c r="U987" s="32"/>
      <c r="V987" s="31"/>
      <c r="W987" s="35" t="str">
        <f aca="true">IF(OR(V987="",AG987&gt;=8),"",IF(V987&lt;TODAY(),"Vencida",IF(V987=TODAY(),"Hoy","")))</f>
        <v/>
      </c>
      <c r="X987" s="36" t="str">
        <f aca="false">IF(A987="","",IF(COUNTIF(Seguimiento!$B$2:$B$5001,A987)=0,"",_xlfn.MAXIFS(Seguimiento!$A$2:$A$5001,Seguimiento!$B$2:$B$5001,A987)))</f>
        <v/>
      </c>
      <c r="Y987" s="37" t="str">
        <f aca="true">IF(B987="","",TODAY()-B987)</f>
        <v/>
      </c>
      <c r="Z987" s="38" t="str">
        <f aca="false">IF(OR(O987="",G987=""),"",O987*IFERROR(INDEX(Listas!$B$2:$B$50,MATCH(G987,Listas!$A$2:$A$50,0)),0))</f>
        <v/>
      </c>
      <c r="AA987" s="32"/>
      <c r="AB987" s="32"/>
      <c r="AC987" s="32"/>
      <c r="AD987" s="35" t="str">
        <f aca="false">IF(OR(LEFT(H987,4)="Meta",LEFT(H987,6)="Google"),IF(AG987=3,"Lead calificado",IF(OR(AG987=4,AG987=5),"Tasación/visita",IF(OR(AG987=6,AG987=7),"Captación/oferta",IF(AG987=8,"Cierre","")))),"")</f>
        <v/>
      </c>
      <c r="AE987" s="32"/>
      <c r="AF987" s="32"/>
      <c r="AG987" s="37" t="n">
        <f aca="false">IF(R987="",0,IFERROR(MATCH(R987,Listas!$L$2:$L$50,0),0))</f>
        <v>0</v>
      </c>
    </row>
    <row r="988" customFormat="false" ht="15" hidden="false" customHeight="false" outlineLevel="0" collapsed="false">
      <c r="A988" s="30"/>
      <c r="B988" s="31"/>
      <c r="C988" s="32"/>
      <c r="D988" s="32"/>
      <c r="E988" s="33"/>
      <c r="F988" s="32"/>
      <c r="G988" s="32"/>
      <c r="H988" s="32"/>
      <c r="I988" s="32"/>
      <c r="J988" s="32"/>
      <c r="K988" s="32"/>
      <c r="L988" s="32"/>
      <c r="M988" s="30"/>
      <c r="N988" s="32"/>
      <c r="O988" s="34"/>
      <c r="P988" s="32"/>
      <c r="Q988" s="32"/>
      <c r="R988" s="32"/>
      <c r="S988" s="32"/>
      <c r="T988" s="32"/>
      <c r="U988" s="32"/>
      <c r="V988" s="31"/>
      <c r="W988" s="35" t="str">
        <f aca="true">IF(OR(V988="",AG988&gt;=8),"",IF(V988&lt;TODAY(),"Vencida",IF(V988=TODAY(),"Hoy","")))</f>
        <v/>
      </c>
      <c r="X988" s="36" t="str">
        <f aca="false">IF(A988="","",IF(COUNTIF(Seguimiento!$B$2:$B$5001,A988)=0,"",_xlfn.MAXIFS(Seguimiento!$A$2:$A$5001,Seguimiento!$B$2:$B$5001,A988)))</f>
        <v/>
      </c>
      <c r="Y988" s="37" t="str">
        <f aca="true">IF(B988="","",TODAY()-B988)</f>
        <v/>
      </c>
      <c r="Z988" s="38" t="str">
        <f aca="false">IF(OR(O988="",G988=""),"",O988*IFERROR(INDEX(Listas!$B$2:$B$50,MATCH(G988,Listas!$A$2:$A$50,0)),0))</f>
        <v/>
      </c>
      <c r="AA988" s="32"/>
      <c r="AB988" s="32"/>
      <c r="AC988" s="32"/>
      <c r="AD988" s="35" t="str">
        <f aca="false">IF(OR(LEFT(H988,4)="Meta",LEFT(H988,6)="Google"),IF(AG988=3,"Lead calificado",IF(OR(AG988=4,AG988=5),"Tasación/visita",IF(OR(AG988=6,AG988=7),"Captación/oferta",IF(AG988=8,"Cierre","")))),"")</f>
        <v/>
      </c>
      <c r="AE988" s="32"/>
      <c r="AF988" s="32"/>
      <c r="AG988" s="37" t="n">
        <f aca="false">IF(R988="",0,IFERROR(MATCH(R988,Listas!$L$2:$L$50,0),0))</f>
        <v>0</v>
      </c>
    </row>
    <row r="989" customFormat="false" ht="15" hidden="false" customHeight="false" outlineLevel="0" collapsed="false">
      <c r="A989" s="30"/>
      <c r="B989" s="31"/>
      <c r="C989" s="32"/>
      <c r="D989" s="32"/>
      <c r="E989" s="33"/>
      <c r="F989" s="32"/>
      <c r="G989" s="32"/>
      <c r="H989" s="32"/>
      <c r="I989" s="32"/>
      <c r="J989" s="32"/>
      <c r="K989" s="32"/>
      <c r="L989" s="32"/>
      <c r="M989" s="30"/>
      <c r="N989" s="32"/>
      <c r="O989" s="34"/>
      <c r="P989" s="32"/>
      <c r="Q989" s="32"/>
      <c r="R989" s="32"/>
      <c r="S989" s="32"/>
      <c r="T989" s="32"/>
      <c r="U989" s="32"/>
      <c r="V989" s="31"/>
      <c r="W989" s="35" t="str">
        <f aca="true">IF(OR(V989="",AG989&gt;=8),"",IF(V989&lt;TODAY(),"Vencida",IF(V989=TODAY(),"Hoy","")))</f>
        <v/>
      </c>
      <c r="X989" s="36" t="str">
        <f aca="false">IF(A989="","",IF(COUNTIF(Seguimiento!$B$2:$B$5001,A989)=0,"",_xlfn.MAXIFS(Seguimiento!$A$2:$A$5001,Seguimiento!$B$2:$B$5001,A989)))</f>
        <v/>
      </c>
      <c r="Y989" s="37" t="str">
        <f aca="true">IF(B989="","",TODAY()-B989)</f>
        <v/>
      </c>
      <c r="Z989" s="38" t="str">
        <f aca="false">IF(OR(O989="",G989=""),"",O989*IFERROR(INDEX(Listas!$B$2:$B$50,MATCH(G989,Listas!$A$2:$A$50,0)),0))</f>
        <v/>
      </c>
      <c r="AA989" s="32"/>
      <c r="AB989" s="32"/>
      <c r="AC989" s="32"/>
      <c r="AD989" s="35" t="str">
        <f aca="false">IF(OR(LEFT(H989,4)="Meta",LEFT(H989,6)="Google"),IF(AG989=3,"Lead calificado",IF(OR(AG989=4,AG989=5),"Tasación/visita",IF(OR(AG989=6,AG989=7),"Captación/oferta",IF(AG989=8,"Cierre","")))),"")</f>
        <v/>
      </c>
      <c r="AE989" s="32"/>
      <c r="AF989" s="32"/>
      <c r="AG989" s="37" t="n">
        <f aca="false">IF(R989="",0,IFERROR(MATCH(R989,Listas!$L$2:$L$50,0),0))</f>
        <v>0</v>
      </c>
    </row>
    <row r="990" customFormat="false" ht="15" hidden="false" customHeight="false" outlineLevel="0" collapsed="false">
      <c r="A990" s="30"/>
      <c r="B990" s="31"/>
      <c r="C990" s="32"/>
      <c r="D990" s="32"/>
      <c r="E990" s="33"/>
      <c r="F990" s="32"/>
      <c r="G990" s="32"/>
      <c r="H990" s="32"/>
      <c r="I990" s="32"/>
      <c r="J990" s="32"/>
      <c r="K990" s="32"/>
      <c r="L990" s="32"/>
      <c r="M990" s="30"/>
      <c r="N990" s="32"/>
      <c r="O990" s="34"/>
      <c r="P990" s="32"/>
      <c r="Q990" s="32"/>
      <c r="R990" s="32"/>
      <c r="S990" s="32"/>
      <c r="T990" s="32"/>
      <c r="U990" s="32"/>
      <c r="V990" s="31"/>
      <c r="W990" s="35" t="str">
        <f aca="true">IF(OR(V990="",AG990&gt;=8),"",IF(V990&lt;TODAY(),"Vencida",IF(V990=TODAY(),"Hoy","")))</f>
        <v/>
      </c>
      <c r="X990" s="36" t="str">
        <f aca="false">IF(A990="","",IF(COUNTIF(Seguimiento!$B$2:$B$5001,A990)=0,"",_xlfn.MAXIFS(Seguimiento!$A$2:$A$5001,Seguimiento!$B$2:$B$5001,A990)))</f>
        <v/>
      </c>
      <c r="Y990" s="37" t="str">
        <f aca="true">IF(B990="","",TODAY()-B990)</f>
        <v/>
      </c>
      <c r="Z990" s="38" t="str">
        <f aca="false">IF(OR(O990="",G990=""),"",O990*IFERROR(INDEX(Listas!$B$2:$B$50,MATCH(G990,Listas!$A$2:$A$50,0)),0))</f>
        <v/>
      </c>
      <c r="AA990" s="32"/>
      <c r="AB990" s="32"/>
      <c r="AC990" s="32"/>
      <c r="AD990" s="35" t="str">
        <f aca="false">IF(OR(LEFT(H990,4)="Meta",LEFT(H990,6)="Google"),IF(AG990=3,"Lead calificado",IF(OR(AG990=4,AG990=5),"Tasación/visita",IF(OR(AG990=6,AG990=7),"Captación/oferta",IF(AG990=8,"Cierre","")))),"")</f>
        <v/>
      </c>
      <c r="AE990" s="32"/>
      <c r="AF990" s="32"/>
      <c r="AG990" s="37" t="n">
        <f aca="false">IF(R990="",0,IFERROR(MATCH(R990,Listas!$L$2:$L$50,0),0))</f>
        <v>0</v>
      </c>
    </row>
    <row r="991" customFormat="false" ht="15" hidden="false" customHeight="false" outlineLevel="0" collapsed="false">
      <c r="A991" s="30"/>
      <c r="B991" s="31"/>
      <c r="C991" s="32"/>
      <c r="D991" s="32"/>
      <c r="E991" s="33"/>
      <c r="F991" s="32"/>
      <c r="G991" s="32"/>
      <c r="H991" s="32"/>
      <c r="I991" s="32"/>
      <c r="J991" s="32"/>
      <c r="K991" s="32"/>
      <c r="L991" s="32"/>
      <c r="M991" s="30"/>
      <c r="N991" s="32"/>
      <c r="O991" s="34"/>
      <c r="P991" s="32"/>
      <c r="Q991" s="32"/>
      <c r="R991" s="32"/>
      <c r="S991" s="32"/>
      <c r="T991" s="32"/>
      <c r="U991" s="32"/>
      <c r="V991" s="31"/>
      <c r="W991" s="35" t="str">
        <f aca="true">IF(OR(V991="",AG991&gt;=8),"",IF(V991&lt;TODAY(),"Vencida",IF(V991=TODAY(),"Hoy","")))</f>
        <v/>
      </c>
      <c r="X991" s="36" t="str">
        <f aca="false">IF(A991="","",IF(COUNTIF(Seguimiento!$B$2:$B$5001,A991)=0,"",_xlfn.MAXIFS(Seguimiento!$A$2:$A$5001,Seguimiento!$B$2:$B$5001,A991)))</f>
        <v/>
      </c>
      <c r="Y991" s="37" t="str">
        <f aca="true">IF(B991="","",TODAY()-B991)</f>
        <v/>
      </c>
      <c r="Z991" s="38" t="str">
        <f aca="false">IF(OR(O991="",G991=""),"",O991*IFERROR(INDEX(Listas!$B$2:$B$50,MATCH(G991,Listas!$A$2:$A$50,0)),0))</f>
        <v/>
      </c>
      <c r="AA991" s="32"/>
      <c r="AB991" s="32"/>
      <c r="AC991" s="32"/>
      <c r="AD991" s="35" t="str">
        <f aca="false">IF(OR(LEFT(H991,4)="Meta",LEFT(H991,6)="Google"),IF(AG991=3,"Lead calificado",IF(OR(AG991=4,AG991=5),"Tasación/visita",IF(OR(AG991=6,AG991=7),"Captación/oferta",IF(AG991=8,"Cierre","")))),"")</f>
        <v/>
      </c>
      <c r="AE991" s="32"/>
      <c r="AF991" s="32"/>
      <c r="AG991" s="37" t="n">
        <f aca="false">IF(R991="",0,IFERROR(MATCH(R991,Listas!$L$2:$L$50,0),0))</f>
        <v>0</v>
      </c>
    </row>
    <row r="992" customFormat="false" ht="15" hidden="false" customHeight="false" outlineLevel="0" collapsed="false">
      <c r="A992" s="30"/>
      <c r="B992" s="31"/>
      <c r="C992" s="32"/>
      <c r="D992" s="32"/>
      <c r="E992" s="33"/>
      <c r="F992" s="32"/>
      <c r="G992" s="32"/>
      <c r="H992" s="32"/>
      <c r="I992" s="32"/>
      <c r="J992" s="32"/>
      <c r="K992" s="32"/>
      <c r="L992" s="32"/>
      <c r="M992" s="30"/>
      <c r="N992" s="32"/>
      <c r="O992" s="34"/>
      <c r="P992" s="32"/>
      <c r="Q992" s="32"/>
      <c r="R992" s="32"/>
      <c r="S992" s="32"/>
      <c r="T992" s="32"/>
      <c r="U992" s="32"/>
      <c r="V992" s="31"/>
      <c r="W992" s="35" t="str">
        <f aca="true">IF(OR(V992="",AG992&gt;=8),"",IF(V992&lt;TODAY(),"Vencida",IF(V992=TODAY(),"Hoy","")))</f>
        <v/>
      </c>
      <c r="X992" s="36" t="str">
        <f aca="false">IF(A992="","",IF(COUNTIF(Seguimiento!$B$2:$B$5001,A992)=0,"",_xlfn.MAXIFS(Seguimiento!$A$2:$A$5001,Seguimiento!$B$2:$B$5001,A992)))</f>
        <v/>
      </c>
      <c r="Y992" s="37" t="str">
        <f aca="true">IF(B992="","",TODAY()-B992)</f>
        <v/>
      </c>
      <c r="Z992" s="38" t="str">
        <f aca="false">IF(OR(O992="",G992=""),"",O992*IFERROR(INDEX(Listas!$B$2:$B$50,MATCH(G992,Listas!$A$2:$A$50,0)),0))</f>
        <v/>
      </c>
      <c r="AA992" s="32"/>
      <c r="AB992" s="32"/>
      <c r="AC992" s="32"/>
      <c r="AD992" s="35" t="str">
        <f aca="false">IF(OR(LEFT(H992,4)="Meta",LEFT(H992,6)="Google"),IF(AG992=3,"Lead calificado",IF(OR(AG992=4,AG992=5),"Tasación/visita",IF(OR(AG992=6,AG992=7),"Captación/oferta",IF(AG992=8,"Cierre","")))),"")</f>
        <v/>
      </c>
      <c r="AE992" s="32"/>
      <c r="AF992" s="32"/>
      <c r="AG992" s="37" t="n">
        <f aca="false">IF(R992="",0,IFERROR(MATCH(R992,Listas!$L$2:$L$50,0),0))</f>
        <v>0</v>
      </c>
    </row>
    <row r="993" customFormat="false" ht="15" hidden="false" customHeight="false" outlineLevel="0" collapsed="false">
      <c r="A993" s="30"/>
      <c r="B993" s="31"/>
      <c r="C993" s="32"/>
      <c r="D993" s="32"/>
      <c r="E993" s="33"/>
      <c r="F993" s="32"/>
      <c r="G993" s="32"/>
      <c r="H993" s="32"/>
      <c r="I993" s="32"/>
      <c r="J993" s="32"/>
      <c r="K993" s="32"/>
      <c r="L993" s="32"/>
      <c r="M993" s="30"/>
      <c r="N993" s="32"/>
      <c r="O993" s="34"/>
      <c r="P993" s="32"/>
      <c r="Q993" s="32"/>
      <c r="R993" s="32"/>
      <c r="S993" s="32"/>
      <c r="T993" s="32"/>
      <c r="U993" s="32"/>
      <c r="V993" s="31"/>
      <c r="W993" s="35" t="str">
        <f aca="true">IF(OR(V993="",AG993&gt;=8),"",IF(V993&lt;TODAY(),"Vencida",IF(V993=TODAY(),"Hoy","")))</f>
        <v/>
      </c>
      <c r="X993" s="36" t="str">
        <f aca="false">IF(A993="","",IF(COUNTIF(Seguimiento!$B$2:$B$5001,A993)=0,"",_xlfn.MAXIFS(Seguimiento!$A$2:$A$5001,Seguimiento!$B$2:$B$5001,A993)))</f>
        <v/>
      </c>
      <c r="Y993" s="37" t="str">
        <f aca="true">IF(B993="","",TODAY()-B993)</f>
        <v/>
      </c>
      <c r="Z993" s="38" t="str">
        <f aca="false">IF(OR(O993="",G993=""),"",O993*IFERROR(INDEX(Listas!$B$2:$B$50,MATCH(G993,Listas!$A$2:$A$50,0)),0))</f>
        <v/>
      </c>
      <c r="AA993" s="32"/>
      <c r="AB993" s="32"/>
      <c r="AC993" s="32"/>
      <c r="AD993" s="35" t="str">
        <f aca="false">IF(OR(LEFT(H993,4)="Meta",LEFT(H993,6)="Google"),IF(AG993=3,"Lead calificado",IF(OR(AG993=4,AG993=5),"Tasación/visita",IF(OR(AG993=6,AG993=7),"Captación/oferta",IF(AG993=8,"Cierre","")))),"")</f>
        <v/>
      </c>
      <c r="AE993" s="32"/>
      <c r="AF993" s="32"/>
      <c r="AG993" s="37" t="n">
        <f aca="false">IF(R993="",0,IFERROR(MATCH(R993,Listas!$L$2:$L$50,0),0))</f>
        <v>0</v>
      </c>
    </row>
    <row r="994" customFormat="false" ht="15" hidden="false" customHeight="false" outlineLevel="0" collapsed="false">
      <c r="A994" s="30"/>
      <c r="B994" s="31"/>
      <c r="C994" s="32"/>
      <c r="D994" s="32"/>
      <c r="E994" s="33"/>
      <c r="F994" s="32"/>
      <c r="G994" s="32"/>
      <c r="H994" s="32"/>
      <c r="I994" s="32"/>
      <c r="J994" s="32"/>
      <c r="K994" s="32"/>
      <c r="L994" s="32"/>
      <c r="M994" s="30"/>
      <c r="N994" s="32"/>
      <c r="O994" s="34"/>
      <c r="P994" s="32"/>
      <c r="Q994" s="32"/>
      <c r="R994" s="32"/>
      <c r="S994" s="32"/>
      <c r="T994" s="32"/>
      <c r="U994" s="32"/>
      <c r="V994" s="31"/>
      <c r="W994" s="35" t="str">
        <f aca="true">IF(OR(V994="",AG994&gt;=8),"",IF(V994&lt;TODAY(),"Vencida",IF(V994=TODAY(),"Hoy","")))</f>
        <v/>
      </c>
      <c r="X994" s="36" t="str">
        <f aca="false">IF(A994="","",IF(COUNTIF(Seguimiento!$B$2:$B$5001,A994)=0,"",_xlfn.MAXIFS(Seguimiento!$A$2:$A$5001,Seguimiento!$B$2:$B$5001,A994)))</f>
        <v/>
      </c>
      <c r="Y994" s="37" t="str">
        <f aca="true">IF(B994="","",TODAY()-B994)</f>
        <v/>
      </c>
      <c r="Z994" s="38" t="str">
        <f aca="false">IF(OR(O994="",G994=""),"",O994*IFERROR(INDEX(Listas!$B$2:$B$50,MATCH(G994,Listas!$A$2:$A$50,0)),0))</f>
        <v/>
      </c>
      <c r="AA994" s="32"/>
      <c r="AB994" s="32"/>
      <c r="AC994" s="32"/>
      <c r="AD994" s="35" t="str">
        <f aca="false">IF(OR(LEFT(H994,4)="Meta",LEFT(H994,6)="Google"),IF(AG994=3,"Lead calificado",IF(OR(AG994=4,AG994=5),"Tasación/visita",IF(OR(AG994=6,AG994=7),"Captación/oferta",IF(AG994=8,"Cierre","")))),"")</f>
        <v/>
      </c>
      <c r="AE994" s="32"/>
      <c r="AF994" s="32"/>
      <c r="AG994" s="37" t="n">
        <f aca="false">IF(R994="",0,IFERROR(MATCH(R994,Listas!$L$2:$L$50,0),0))</f>
        <v>0</v>
      </c>
    </row>
    <row r="995" customFormat="false" ht="15" hidden="false" customHeight="false" outlineLevel="0" collapsed="false">
      <c r="A995" s="30"/>
      <c r="B995" s="31"/>
      <c r="C995" s="32"/>
      <c r="D995" s="32"/>
      <c r="E995" s="33"/>
      <c r="F995" s="32"/>
      <c r="G995" s="32"/>
      <c r="H995" s="32"/>
      <c r="I995" s="32"/>
      <c r="J995" s="32"/>
      <c r="K995" s="32"/>
      <c r="L995" s="32"/>
      <c r="M995" s="30"/>
      <c r="N995" s="32"/>
      <c r="O995" s="34"/>
      <c r="P995" s="32"/>
      <c r="Q995" s="32"/>
      <c r="R995" s="32"/>
      <c r="S995" s="32"/>
      <c r="T995" s="32"/>
      <c r="U995" s="32"/>
      <c r="V995" s="31"/>
      <c r="W995" s="35" t="str">
        <f aca="true">IF(OR(V995="",AG995&gt;=8),"",IF(V995&lt;TODAY(),"Vencida",IF(V995=TODAY(),"Hoy","")))</f>
        <v/>
      </c>
      <c r="X995" s="36" t="str">
        <f aca="false">IF(A995="","",IF(COUNTIF(Seguimiento!$B$2:$B$5001,A995)=0,"",_xlfn.MAXIFS(Seguimiento!$A$2:$A$5001,Seguimiento!$B$2:$B$5001,A995)))</f>
        <v/>
      </c>
      <c r="Y995" s="37" t="str">
        <f aca="true">IF(B995="","",TODAY()-B995)</f>
        <v/>
      </c>
      <c r="Z995" s="38" t="str">
        <f aca="false">IF(OR(O995="",G995=""),"",O995*IFERROR(INDEX(Listas!$B$2:$B$50,MATCH(G995,Listas!$A$2:$A$50,0)),0))</f>
        <v/>
      </c>
      <c r="AA995" s="32"/>
      <c r="AB995" s="32"/>
      <c r="AC995" s="32"/>
      <c r="AD995" s="35" t="str">
        <f aca="false">IF(OR(LEFT(H995,4)="Meta",LEFT(H995,6)="Google"),IF(AG995=3,"Lead calificado",IF(OR(AG995=4,AG995=5),"Tasación/visita",IF(OR(AG995=6,AG995=7),"Captación/oferta",IF(AG995=8,"Cierre","")))),"")</f>
        <v/>
      </c>
      <c r="AE995" s="32"/>
      <c r="AF995" s="32"/>
      <c r="AG995" s="37" t="n">
        <f aca="false">IF(R995="",0,IFERROR(MATCH(R995,Listas!$L$2:$L$50,0),0))</f>
        <v>0</v>
      </c>
    </row>
    <row r="996" customFormat="false" ht="15" hidden="false" customHeight="false" outlineLevel="0" collapsed="false">
      <c r="A996" s="30"/>
      <c r="B996" s="31"/>
      <c r="C996" s="32"/>
      <c r="D996" s="32"/>
      <c r="E996" s="33"/>
      <c r="F996" s="32"/>
      <c r="G996" s="32"/>
      <c r="H996" s="32"/>
      <c r="I996" s="32"/>
      <c r="J996" s="32"/>
      <c r="K996" s="32"/>
      <c r="L996" s="32"/>
      <c r="M996" s="30"/>
      <c r="N996" s="32"/>
      <c r="O996" s="34"/>
      <c r="P996" s="32"/>
      <c r="Q996" s="32"/>
      <c r="R996" s="32"/>
      <c r="S996" s="32"/>
      <c r="T996" s="32"/>
      <c r="U996" s="32"/>
      <c r="V996" s="31"/>
      <c r="W996" s="35" t="str">
        <f aca="true">IF(OR(V996="",AG996&gt;=8),"",IF(V996&lt;TODAY(),"Vencida",IF(V996=TODAY(),"Hoy","")))</f>
        <v/>
      </c>
      <c r="X996" s="36" t="str">
        <f aca="false">IF(A996="","",IF(COUNTIF(Seguimiento!$B$2:$B$5001,A996)=0,"",_xlfn.MAXIFS(Seguimiento!$A$2:$A$5001,Seguimiento!$B$2:$B$5001,A996)))</f>
        <v/>
      </c>
      <c r="Y996" s="37" t="str">
        <f aca="true">IF(B996="","",TODAY()-B996)</f>
        <v/>
      </c>
      <c r="Z996" s="38" t="str">
        <f aca="false">IF(OR(O996="",G996=""),"",O996*IFERROR(INDEX(Listas!$B$2:$B$50,MATCH(G996,Listas!$A$2:$A$50,0)),0))</f>
        <v/>
      </c>
      <c r="AA996" s="32"/>
      <c r="AB996" s="32"/>
      <c r="AC996" s="32"/>
      <c r="AD996" s="35" t="str">
        <f aca="false">IF(OR(LEFT(H996,4)="Meta",LEFT(H996,6)="Google"),IF(AG996=3,"Lead calificado",IF(OR(AG996=4,AG996=5),"Tasación/visita",IF(OR(AG996=6,AG996=7),"Captación/oferta",IF(AG996=8,"Cierre","")))),"")</f>
        <v/>
      </c>
      <c r="AE996" s="32"/>
      <c r="AF996" s="32"/>
      <c r="AG996" s="37" t="n">
        <f aca="false">IF(R996="",0,IFERROR(MATCH(R996,Listas!$L$2:$L$50,0),0))</f>
        <v>0</v>
      </c>
    </row>
    <row r="997" customFormat="false" ht="15" hidden="false" customHeight="false" outlineLevel="0" collapsed="false">
      <c r="A997" s="30"/>
      <c r="B997" s="31"/>
      <c r="C997" s="32"/>
      <c r="D997" s="32"/>
      <c r="E997" s="33"/>
      <c r="F997" s="32"/>
      <c r="G997" s="32"/>
      <c r="H997" s="32"/>
      <c r="I997" s="32"/>
      <c r="J997" s="32"/>
      <c r="K997" s="32"/>
      <c r="L997" s="32"/>
      <c r="M997" s="30"/>
      <c r="N997" s="32"/>
      <c r="O997" s="34"/>
      <c r="P997" s="32"/>
      <c r="Q997" s="32"/>
      <c r="R997" s="32"/>
      <c r="S997" s="32"/>
      <c r="T997" s="32"/>
      <c r="U997" s="32"/>
      <c r="V997" s="31"/>
      <c r="W997" s="35" t="str">
        <f aca="true">IF(OR(V997="",AG997&gt;=8),"",IF(V997&lt;TODAY(),"Vencida",IF(V997=TODAY(),"Hoy","")))</f>
        <v/>
      </c>
      <c r="X997" s="36" t="str">
        <f aca="false">IF(A997="","",IF(COUNTIF(Seguimiento!$B$2:$B$5001,A997)=0,"",_xlfn.MAXIFS(Seguimiento!$A$2:$A$5001,Seguimiento!$B$2:$B$5001,A997)))</f>
        <v/>
      </c>
      <c r="Y997" s="37" t="str">
        <f aca="true">IF(B997="","",TODAY()-B997)</f>
        <v/>
      </c>
      <c r="Z997" s="38" t="str">
        <f aca="false">IF(OR(O997="",G997=""),"",O997*IFERROR(INDEX(Listas!$B$2:$B$50,MATCH(G997,Listas!$A$2:$A$50,0)),0))</f>
        <v/>
      </c>
      <c r="AA997" s="32"/>
      <c r="AB997" s="32"/>
      <c r="AC997" s="32"/>
      <c r="AD997" s="35" t="str">
        <f aca="false">IF(OR(LEFT(H997,4)="Meta",LEFT(H997,6)="Google"),IF(AG997=3,"Lead calificado",IF(OR(AG997=4,AG997=5),"Tasación/visita",IF(OR(AG997=6,AG997=7),"Captación/oferta",IF(AG997=8,"Cierre","")))),"")</f>
        <v/>
      </c>
      <c r="AE997" s="32"/>
      <c r="AF997" s="32"/>
      <c r="AG997" s="37" t="n">
        <f aca="false">IF(R997="",0,IFERROR(MATCH(R997,Listas!$L$2:$L$50,0),0))</f>
        <v>0</v>
      </c>
    </row>
    <row r="998" customFormat="false" ht="15" hidden="false" customHeight="false" outlineLevel="0" collapsed="false">
      <c r="A998" s="30"/>
      <c r="B998" s="31"/>
      <c r="C998" s="32"/>
      <c r="D998" s="32"/>
      <c r="E998" s="33"/>
      <c r="F998" s="32"/>
      <c r="G998" s="32"/>
      <c r="H998" s="32"/>
      <c r="I998" s="32"/>
      <c r="J998" s="32"/>
      <c r="K998" s="32"/>
      <c r="L998" s="32"/>
      <c r="M998" s="30"/>
      <c r="N998" s="32"/>
      <c r="O998" s="34"/>
      <c r="P998" s="32"/>
      <c r="Q998" s="32"/>
      <c r="R998" s="32"/>
      <c r="S998" s="32"/>
      <c r="T998" s="32"/>
      <c r="U998" s="32"/>
      <c r="V998" s="31"/>
      <c r="W998" s="35" t="str">
        <f aca="true">IF(OR(V998="",AG998&gt;=8),"",IF(V998&lt;TODAY(),"Vencida",IF(V998=TODAY(),"Hoy","")))</f>
        <v/>
      </c>
      <c r="X998" s="36" t="str">
        <f aca="false">IF(A998="","",IF(COUNTIF(Seguimiento!$B$2:$B$5001,A998)=0,"",_xlfn.MAXIFS(Seguimiento!$A$2:$A$5001,Seguimiento!$B$2:$B$5001,A998)))</f>
        <v/>
      </c>
      <c r="Y998" s="37" t="str">
        <f aca="true">IF(B998="","",TODAY()-B998)</f>
        <v/>
      </c>
      <c r="Z998" s="38" t="str">
        <f aca="false">IF(OR(O998="",G998=""),"",O998*IFERROR(INDEX(Listas!$B$2:$B$50,MATCH(G998,Listas!$A$2:$A$50,0)),0))</f>
        <v/>
      </c>
      <c r="AA998" s="32"/>
      <c r="AB998" s="32"/>
      <c r="AC998" s="32"/>
      <c r="AD998" s="35" t="str">
        <f aca="false">IF(OR(LEFT(H998,4)="Meta",LEFT(H998,6)="Google"),IF(AG998=3,"Lead calificado",IF(OR(AG998=4,AG998=5),"Tasación/visita",IF(OR(AG998=6,AG998=7),"Captación/oferta",IF(AG998=8,"Cierre","")))),"")</f>
        <v/>
      </c>
      <c r="AE998" s="32"/>
      <c r="AF998" s="32"/>
      <c r="AG998" s="37" t="n">
        <f aca="false">IF(R998="",0,IFERROR(MATCH(R998,Listas!$L$2:$L$50,0),0))</f>
        <v>0</v>
      </c>
    </row>
    <row r="999" customFormat="false" ht="15" hidden="false" customHeight="false" outlineLevel="0" collapsed="false">
      <c r="A999" s="30"/>
      <c r="B999" s="31"/>
      <c r="C999" s="32"/>
      <c r="D999" s="32"/>
      <c r="E999" s="33"/>
      <c r="F999" s="32"/>
      <c r="G999" s="32"/>
      <c r="H999" s="32"/>
      <c r="I999" s="32"/>
      <c r="J999" s="32"/>
      <c r="K999" s="32"/>
      <c r="L999" s="32"/>
      <c r="M999" s="30"/>
      <c r="N999" s="32"/>
      <c r="O999" s="34"/>
      <c r="P999" s="32"/>
      <c r="Q999" s="32"/>
      <c r="R999" s="32"/>
      <c r="S999" s="32"/>
      <c r="T999" s="32"/>
      <c r="U999" s="32"/>
      <c r="V999" s="31"/>
      <c r="W999" s="35" t="str">
        <f aca="true">IF(OR(V999="",AG999&gt;=8),"",IF(V999&lt;TODAY(),"Vencida",IF(V999=TODAY(),"Hoy","")))</f>
        <v/>
      </c>
      <c r="X999" s="36" t="str">
        <f aca="false">IF(A999="","",IF(COUNTIF(Seguimiento!$B$2:$B$5001,A999)=0,"",_xlfn.MAXIFS(Seguimiento!$A$2:$A$5001,Seguimiento!$B$2:$B$5001,A999)))</f>
        <v/>
      </c>
      <c r="Y999" s="37" t="str">
        <f aca="true">IF(B999="","",TODAY()-B999)</f>
        <v/>
      </c>
      <c r="Z999" s="38" t="str">
        <f aca="false">IF(OR(O999="",G999=""),"",O999*IFERROR(INDEX(Listas!$B$2:$B$50,MATCH(G999,Listas!$A$2:$A$50,0)),0))</f>
        <v/>
      </c>
      <c r="AA999" s="32"/>
      <c r="AB999" s="32"/>
      <c r="AC999" s="32"/>
      <c r="AD999" s="35" t="str">
        <f aca="false">IF(OR(LEFT(H999,4)="Meta",LEFT(H999,6)="Google"),IF(AG999=3,"Lead calificado",IF(OR(AG999=4,AG999=5),"Tasación/visita",IF(OR(AG999=6,AG999=7),"Captación/oferta",IF(AG999=8,"Cierre","")))),"")</f>
        <v/>
      </c>
      <c r="AE999" s="32"/>
      <c r="AF999" s="32"/>
      <c r="AG999" s="37" t="n">
        <f aca="false">IF(R999="",0,IFERROR(MATCH(R999,Listas!$L$2:$L$50,0),0))</f>
        <v>0</v>
      </c>
    </row>
    <row r="1000" customFormat="false" ht="15" hidden="false" customHeight="false" outlineLevel="0" collapsed="false">
      <c r="A1000" s="30"/>
      <c r="B1000" s="31"/>
      <c r="C1000" s="32"/>
      <c r="D1000" s="32"/>
      <c r="E1000" s="33"/>
      <c r="F1000" s="32"/>
      <c r="G1000" s="32"/>
      <c r="H1000" s="32"/>
      <c r="I1000" s="32"/>
      <c r="J1000" s="32"/>
      <c r="K1000" s="32"/>
      <c r="L1000" s="32"/>
      <c r="M1000" s="30"/>
      <c r="N1000" s="32"/>
      <c r="O1000" s="34"/>
      <c r="P1000" s="32"/>
      <c r="Q1000" s="32"/>
      <c r="R1000" s="32"/>
      <c r="S1000" s="32"/>
      <c r="T1000" s="32"/>
      <c r="U1000" s="32"/>
      <c r="V1000" s="31"/>
      <c r="W1000" s="35" t="str">
        <f aca="true">IF(OR(V1000="",AG1000&gt;=8),"",IF(V1000&lt;TODAY(),"Vencida",IF(V1000=TODAY(),"Hoy","")))</f>
        <v/>
      </c>
      <c r="X1000" s="36" t="str">
        <f aca="false">IF(A1000="","",IF(COUNTIF(Seguimiento!$B$2:$B$5001,A1000)=0,"",_xlfn.MAXIFS(Seguimiento!$A$2:$A$5001,Seguimiento!$B$2:$B$5001,A1000)))</f>
        <v/>
      </c>
      <c r="Y1000" s="37" t="str">
        <f aca="true">IF(B1000="","",TODAY()-B1000)</f>
        <v/>
      </c>
      <c r="Z1000" s="38" t="str">
        <f aca="false">IF(OR(O1000="",G1000=""),"",O1000*IFERROR(INDEX(Listas!$B$2:$B$50,MATCH(G1000,Listas!$A$2:$A$50,0)),0))</f>
        <v/>
      </c>
      <c r="AA1000" s="32"/>
      <c r="AB1000" s="32"/>
      <c r="AC1000" s="32"/>
      <c r="AD1000" s="35" t="str">
        <f aca="false">IF(OR(LEFT(H1000,4)="Meta",LEFT(H1000,6)="Google"),IF(AG1000=3,"Lead calificado",IF(OR(AG1000=4,AG1000=5),"Tasación/visita",IF(OR(AG1000=6,AG1000=7),"Captación/oferta",IF(AG1000=8,"Cierre","")))),"")</f>
        <v/>
      </c>
      <c r="AE1000" s="32"/>
      <c r="AF1000" s="32"/>
      <c r="AG1000" s="37" t="n">
        <f aca="false">IF(R1000="",0,IFERROR(MATCH(R1000,Listas!$L$2:$L$50,0),0))</f>
        <v>0</v>
      </c>
    </row>
    <row r="1001" customFormat="false" ht="15" hidden="false" customHeight="false" outlineLevel="0" collapsed="false">
      <c r="A1001" s="30"/>
      <c r="B1001" s="31"/>
      <c r="C1001" s="32"/>
      <c r="D1001" s="32"/>
      <c r="E1001" s="33"/>
      <c r="F1001" s="32"/>
      <c r="G1001" s="32"/>
      <c r="H1001" s="32"/>
      <c r="I1001" s="32"/>
      <c r="J1001" s="32"/>
      <c r="K1001" s="32"/>
      <c r="L1001" s="32"/>
      <c r="M1001" s="30"/>
      <c r="N1001" s="32"/>
      <c r="O1001" s="34"/>
      <c r="P1001" s="32"/>
      <c r="Q1001" s="32"/>
      <c r="R1001" s="32"/>
      <c r="S1001" s="32"/>
      <c r="T1001" s="32"/>
      <c r="U1001" s="32"/>
      <c r="V1001" s="31"/>
      <c r="W1001" s="35" t="str">
        <f aca="true">IF(OR(V1001="",AG1001&gt;=8),"",IF(V1001&lt;TODAY(),"Vencida",IF(V1001=TODAY(),"Hoy","")))</f>
        <v/>
      </c>
      <c r="X1001" s="36" t="str">
        <f aca="false">IF(A1001="","",IF(COUNTIF(Seguimiento!$B$2:$B$5001,A1001)=0,"",_xlfn.MAXIFS(Seguimiento!$A$2:$A$5001,Seguimiento!$B$2:$B$5001,A1001)))</f>
        <v/>
      </c>
      <c r="Y1001" s="37" t="str">
        <f aca="true">IF(B1001="","",TODAY()-B1001)</f>
        <v/>
      </c>
      <c r="Z1001" s="38" t="str">
        <f aca="false">IF(OR(O1001="",G1001=""),"",O1001*IFERROR(INDEX(Listas!$B$2:$B$50,MATCH(G1001,Listas!$A$2:$A$50,0)),0))</f>
        <v/>
      </c>
      <c r="AA1001" s="32"/>
      <c r="AB1001" s="32"/>
      <c r="AC1001" s="32"/>
      <c r="AD1001" s="35" t="str">
        <f aca="false">IF(OR(LEFT(H1001,4)="Meta",LEFT(H1001,6)="Google"),IF(AG1001=3,"Lead calificado",IF(OR(AG1001=4,AG1001=5),"Tasación/visita",IF(OR(AG1001=6,AG1001=7),"Captación/oferta",IF(AG1001=8,"Cierre","")))),"")</f>
        <v/>
      </c>
      <c r="AE1001" s="32"/>
      <c r="AF1001" s="32"/>
      <c r="AG1001" s="37" t="n">
        <f aca="false">IF(R1001="",0,IFERROR(MATCH(R1001,Listas!$L$2:$L$50,0),0))</f>
        <v>0</v>
      </c>
    </row>
    <row r="1002" customFormat="false" ht="15" hidden="false" customHeight="false" outlineLevel="0" collapsed="false">
      <c r="A1002" s="30"/>
      <c r="B1002" s="31"/>
      <c r="C1002" s="32"/>
      <c r="D1002" s="32"/>
      <c r="E1002" s="33"/>
      <c r="F1002" s="32"/>
      <c r="G1002" s="32"/>
      <c r="H1002" s="32"/>
      <c r="I1002" s="32"/>
      <c r="J1002" s="32"/>
      <c r="K1002" s="32"/>
      <c r="L1002" s="32"/>
      <c r="M1002" s="30"/>
      <c r="N1002" s="32"/>
      <c r="O1002" s="34"/>
      <c r="P1002" s="32"/>
      <c r="Q1002" s="32"/>
      <c r="R1002" s="32"/>
      <c r="S1002" s="32"/>
      <c r="T1002" s="32"/>
      <c r="U1002" s="32"/>
      <c r="V1002" s="31"/>
      <c r="W1002" s="35" t="str">
        <f aca="true">IF(OR(V1002="",AG1002&gt;=8),"",IF(V1002&lt;TODAY(),"Vencida",IF(V1002=TODAY(),"Hoy","")))</f>
        <v/>
      </c>
      <c r="X1002" s="36" t="str">
        <f aca="false">IF(A1002="","",IF(COUNTIF(Seguimiento!$B$2:$B$5001,A1002)=0,"",_xlfn.MAXIFS(Seguimiento!$A$2:$A$5001,Seguimiento!$B$2:$B$5001,A1002)))</f>
        <v/>
      </c>
      <c r="Y1002" s="37" t="str">
        <f aca="true">IF(B1002="","",TODAY()-B1002)</f>
        <v/>
      </c>
      <c r="Z1002" s="38" t="str">
        <f aca="false">IF(OR(O1002="",G1002=""),"",O1002*IFERROR(INDEX(Listas!$B$2:$B$50,MATCH(G1002,Listas!$A$2:$A$50,0)),0))</f>
        <v/>
      </c>
      <c r="AA1002" s="32"/>
      <c r="AB1002" s="32"/>
      <c r="AC1002" s="32"/>
      <c r="AD1002" s="35" t="str">
        <f aca="false">IF(OR(LEFT(H1002,4)="Meta",LEFT(H1002,6)="Google"),IF(AG1002=3,"Lead calificado",IF(OR(AG1002=4,AG1002=5),"Tasación/visita",IF(OR(AG1002=6,AG1002=7),"Captación/oferta",IF(AG1002=8,"Cierre","")))),"")</f>
        <v/>
      </c>
      <c r="AE1002" s="32"/>
      <c r="AF1002" s="32"/>
      <c r="AG1002" s="37" t="n">
        <f aca="false">IF(R1002="",0,IFERROR(MATCH(R1002,Listas!$L$2:$L$50,0),0))</f>
        <v>0</v>
      </c>
    </row>
    <row r="1003" customFormat="false" ht="15" hidden="false" customHeight="false" outlineLevel="0" collapsed="false">
      <c r="A1003" s="30"/>
      <c r="B1003" s="31"/>
      <c r="C1003" s="32"/>
      <c r="D1003" s="32"/>
      <c r="E1003" s="33"/>
      <c r="F1003" s="32"/>
      <c r="G1003" s="32"/>
      <c r="H1003" s="32"/>
      <c r="I1003" s="32"/>
      <c r="J1003" s="32"/>
      <c r="K1003" s="32"/>
      <c r="L1003" s="32"/>
      <c r="M1003" s="30"/>
      <c r="N1003" s="32"/>
      <c r="O1003" s="34"/>
      <c r="P1003" s="32"/>
      <c r="Q1003" s="32"/>
      <c r="R1003" s="32"/>
      <c r="S1003" s="32"/>
      <c r="T1003" s="32"/>
      <c r="U1003" s="32"/>
      <c r="V1003" s="31"/>
      <c r="W1003" s="35" t="str">
        <f aca="true">IF(OR(V1003="",AG1003&gt;=8),"",IF(V1003&lt;TODAY(),"Vencida",IF(V1003=TODAY(),"Hoy","")))</f>
        <v/>
      </c>
      <c r="X1003" s="36" t="str">
        <f aca="false">IF(A1003="","",IF(COUNTIF(Seguimiento!$B$2:$B$5001,A1003)=0,"",_xlfn.MAXIFS(Seguimiento!$A$2:$A$5001,Seguimiento!$B$2:$B$5001,A1003)))</f>
        <v/>
      </c>
      <c r="Y1003" s="37" t="str">
        <f aca="true">IF(B1003="","",TODAY()-B1003)</f>
        <v/>
      </c>
      <c r="Z1003" s="38" t="str">
        <f aca="false">IF(OR(O1003="",G1003=""),"",O1003*IFERROR(INDEX(Listas!$B$2:$B$50,MATCH(G1003,Listas!$A$2:$A$50,0)),0))</f>
        <v/>
      </c>
      <c r="AA1003" s="32"/>
      <c r="AB1003" s="32"/>
      <c r="AC1003" s="32"/>
      <c r="AD1003" s="35" t="str">
        <f aca="false">IF(OR(LEFT(H1003,4)="Meta",LEFT(H1003,6)="Google"),IF(AG1003=3,"Lead calificado",IF(OR(AG1003=4,AG1003=5),"Tasación/visita",IF(OR(AG1003=6,AG1003=7),"Captación/oferta",IF(AG1003=8,"Cierre","")))),"")</f>
        <v/>
      </c>
      <c r="AE1003" s="32"/>
      <c r="AF1003" s="32"/>
      <c r="AG1003" s="37" t="n">
        <f aca="false">IF(R1003="",0,IFERROR(MATCH(R1003,Listas!$L$2:$L$50,0),0))</f>
        <v>0</v>
      </c>
    </row>
    <row r="1004" customFormat="false" ht="15" hidden="false" customHeight="false" outlineLevel="0" collapsed="false">
      <c r="A1004" s="30"/>
      <c r="B1004" s="31"/>
      <c r="C1004" s="32"/>
      <c r="D1004" s="32"/>
      <c r="E1004" s="33"/>
      <c r="F1004" s="32"/>
      <c r="G1004" s="32"/>
      <c r="H1004" s="32"/>
      <c r="I1004" s="32"/>
      <c r="J1004" s="32"/>
      <c r="K1004" s="32"/>
      <c r="L1004" s="32"/>
      <c r="M1004" s="30"/>
      <c r="N1004" s="32"/>
      <c r="O1004" s="34"/>
      <c r="P1004" s="32"/>
      <c r="Q1004" s="32"/>
      <c r="R1004" s="32"/>
      <c r="S1004" s="32"/>
      <c r="T1004" s="32"/>
      <c r="U1004" s="32"/>
      <c r="V1004" s="31"/>
      <c r="W1004" s="35" t="str">
        <f aca="true">IF(OR(V1004="",AG1004&gt;=8),"",IF(V1004&lt;TODAY(),"Vencida",IF(V1004=TODAY(),"Hoy","")))</f>
        <v/>
      </c>
      <c r="X1004" s="36" t="str">
        <f aca="false">IF(A1004="","",IF(COUNTIF(Seguimiento!$B$2:$B$5001,A1004)=0,"",_xlfn.MAXIFS(Seguimiento!$A$2:$A$5001,Seguimiento!$B$2:$B$5001,A1004)))</f>
        <v/>
      </c>
      <c r="Y1004" s="37" t="str">
        <f aca="true">IF(B1004="","",TODAY()-B1004)</f>
        <v/>
      </c>
      <c r="Z1004" s="38" t="str">
        <f aca="false">IF(OR(O1004="",G1004=""),"",O1004*IFERROR(INDEX(Listas!$B$2:$B$50,MATCH(G1004,Listas!$A$2:$A$50,0)),0))</f>
        <v/>
      </c>
      <c r="AA1004" s="32"/>
      <c r="AB1004" s="32"/>
      <c r="AC1004" s="32"/>
      <c r="AD1004" s="35" t="str">
        <f aca="false">IF(OR(LEFT(H1004,4)="Meta",LEFT(H1004,6)="Google"),IF(AG1004=3,"Lead calificado",IF(OR(AG1004=4,AG1004=5),"Tasación/visita",IF(OR(AG1004=6,AG1004=7),"Captación/oferta",IF(AG1004=8,"Cierre","")))),"")</f>
        <v/>
      </c>
      <c r="AE1004" s="32"/>
      <c r="AF1004" s="32"/>
      <c r="AG1004" s="37" t="n">
        <f aca="false">IF(R1004="",0,IFERROR(MATCH(R1004,Listas!$L$2:$L$50,0),0))</f>
        <v>0</v>
      </c>
    </row>
    <row r="1005" customFormat="false" ht="15" hidden="false" customHeight="false" outlineLevel="0" collapsed="false">
      <c r="A1005" s="30"/>
      <c r="B1005" s="31"/>
      <c r="C1005" s="32"/>
      <c r="D1005" s="32"/>
      <c r="E1005" s="33"/>
      <c r="F1005" s="32"/>
      <c r="G1005" s="32"/>
      <c r="H1005" s="32"/>
      <c r="I1005" s="32"/>
      <c r="J1005" s="32"/>
      <c r="K1005" s="32"/>
      <c r="L1005" s="32"/>
      <c r="M1005" s="30"/>
      <c r="N1005" s="32"/>
      <c r="O1005" s="34"/>
      <c r="P1005" s="32"/>
      <c r="Q1005" s="32"/>
      <c r="R1005" s="32"/>
      <c r="S1005" s="32"/>
      <c r="T1005" s="32"/>
      <c r="U1005" s="32"/>
      <c r="V1005" s="31"/>
      <c r="W1005" s="35" t="str">
        <f aca="true">IF(OR(V1005="",AG1005&gt;=8),"",IF(V1005&lt;TODAY(),"Vencida",IF(V1005=TODAY(),"Hoy","")))</f>
        <v/>
      </c>
      <c r="X1005" s="36" t="str">
        <f aca="false">IF(A1005="","",IF(COUNTIF(Seguimiento!$B$2:$B$5001,A1005)=0,"",_xlfn.MAXIFS(Seguimiento!$A$2:$A$5001,Seguimiento!$B$2:$B$5001,A1005)))</f>
        <v/>
      </c>
      <c r="Y1005" s="37" t="str">
        <f aca="true">IF(B1005="","",TODAY()-B1005)</f>
        <v/>
      </c>
      <c r="Z1005" s="38" t="str">
        <f aca="false">IF(OR(O1005="",G1005=""),"",O1005*IFERROR(INDEX(Listas!$B$2:$B$50,MATCH(G1005,Listas!$A$2:$A$50,0)),0))</f>
        <v/>
      </c>
      <c r="AA1005" s="32"/>
      <c r="AB1005" s="32"/>
      <c r="AC1005" s="32"/>
      <c r="AD1005" s="35" t="str">
        <f aca="false">IF(OR(LEFT(H1005,4)="Meta",LEFT(H1005,6)="Google"),IF(AG1005=3,"Lead calificado",IF(OR(AG1005=4,AG1005=5),"Tasación/visita",IF(OR(AG1005=6,AG1005=7),"Captación/oferta",IF(AG1005=8,"Cierre","")))),"")</f>
        <v/>
      </c>
      <c r="AE1005" s="32"/>
      <c r="AF1005" s="32"/>
      <c r="AG1005" s="37" t="n">
        <f aca="false">IF(R1005="",0,IFERROR(MATCH(R1005,Listas!$L$2:$L$50,0),0))</f>
        <v>0</v>
      </c>
    </row>
    <row r="1006" customFormat="false" ht="15" hidden="false" customHeight="false" outlineLevel="0" collapsed="false">
      <c r="A1006" s="30"/>
      <c r="B1006" s="31"/>
      <c r="C1006" s="32"/>
      <c r="D1006" s="32"/>
      <c r="E1006" s="33"/>
      <c r="F1006" s="32"/>
      <c r="G1006" s="32"/>
      <c r="H1006" s="32"/>
      <c r="I1006" s="32"/>
      <c r="J1006" s="32"/>
      <c r="K1006" s="32"/>
      <c r="L1006" s="32"/>
      <c r="M1006" s="30"/>
      <c r="N1006" s="32"/>
      <c r="O1006" s="34"/>
      <c r="P1006" s="32"/>
      <c r="Q1006" s="32"/>
      <c r="R1006" s="32"/>
      <c r="S1006" s="32"/>
      <c r="T1006" s="32"/>
      <c r="U1006" s="32"/>
      <c r="V1006" s="31"/>
      <c r="W1006" s="35" t="str">
        <f aca="true">IF(OR(V1006="",AG1006&gt;=8),"",IF(V1006&lt;TODAY(),"Vencida",IF(V1006=TODAY(),"Hoy","")))</f>
        <v/>
      </c>
      <c r="X1006" s="36" t="str">
        <f aca="false">IF(A1006="","",IF(COUNTIF(Seguimiento!$B$2:$B$5001,A1006)=0,"",_xlfn.MAXIFS(Seguimiento!$A$2:$A$5001,Seguimiento!$B$2:$B$5001,A1006)))</f>
        <v/>
      </c>
      <c r="Y1006" s="37" t="str">
        <f aca="true">IF(B1006="","",TODAY()-B1006)</f>
        <v/>
      </c>
      <c r="Z1006" s="38" t="str">
        <f aca="false">IF(OR(O1006="",G1006=""),"",O1006*IFERROR(INDEX(Listas!$B$2:$B$50,MATCH(G1006,Listas!$A$2:$A$50,0)),0))</f>
        <v/>
      </c>
      <c r="AA1006" s="32"/>
      <c r="AB1006" s="32"/>
      <c r="AC1006" s="32"/>
      <c r="AD1006" s="35" t="str">
        <f aca="false">IF(OR(LEFT(H1006,4)="Meta",LEFT(H1006,6)="Google"),IF(AG1006=3,"Lead calificado",IF(OR(AG1006=4,AG1006=5),"Tasación/visita",IF(OR(AG1006=6,AG1006=7),"Captación/oferta",IF(AG1006=8,"Cierre","")))),"")</f>
        <v/>
      </c>
      <c r="AE1006" s="32"/>
      <c r="AF1006" s="32"/>
      <c r="AG1006" s="37" t="n">
        <f aca="false">IF(R1006="",0,IFERROR(MATCH(R1006,Listas!$L$2:$L$50,0),0))</f>
        <v>0</v>
      </c>
    </row>
    <row r="1007" customFormat="false" ht="15" hidden="false" customHeight="false" outlineLevel="0" collapsed="false">
      <c r="A1007" s="30"/>
      <c r="B1007" s="31"/>
      <c r="C1007" s="32"/>
      <c r="D1007" s="32"/>
      <c r="E1007" s="33"/>
      <c r="F1007" s="32"/>
      <c r="G1007" s="32"/>
      <c r="H1007" s="32"/>
      <c r="I1007" s="32"/>
      <c r="J1007" s="32"/>
      <c r="K1007" s="32"/>
      <c r="L1007" s="32"/>
      <c r="M1007" s="30"/>
      <c r="N1007" s="32"/>
      <c r="O1007" s="34"/>
      <c r="P1007" s="32"/>
      <c r="Q1007" s="32"/>
      <c r="R1007" s="32"/>
      <c r="S1007" s="32"/>
      <c r="T1007" s="32"/>
      <c r="U1007" s="32"/>
      <c r="V1007" s="31"/>
      <c r="W1007" s="35" t="str">
        <f aca="true">IF(OR(V1007="",AG1007&gt;=8),"",IF(V1007&lt;TODAY(),"Vencida",IF(V1007=TODAY(),"Hoy","")))</f>
        <v/>
      </c>
      <c r="X1007" s="36" t="str">
        <f aca="false">IF(A1007="","",IF(COUNTIF(Seguimiento!$B$2:$B$5001,A1007)=0,"",_xlfn.MAXIFS(Seguimiento!$A$2:$A$5001,Seguimiento!$B$2:$B$5001,A1007)))</f>
        <v/>
      </c>
      <c r="Y1007" s="37" t="str">
        <f aca="true">IF(B1007="","",TODAY()-B1007)</f>
        <v/>
      </c>
      <c r="Z1007" s="38" t="str">
        <f aca="false">IF(OR(O1007="",G1007=""),"",O1007*IFERROR(INDEX(Listas!$B$2:$B$50,MATCH(G1007,Listas!$A$2:$A$50,0)),0))</f>
        <v/>
      </c>
      <c r="AA1007" s="32"/>
      <c r="AB1007" s="32"/>
      <c r="AC1007" s="32"/>
      <c r="AD1007" s="35" t="str">
        <f aca="false">IF(OR(LEFT(H1007,4)="Meta",LEFT(H1007,6)="Google"),IF(AG1007=3,"Lead calificado",IF(OR(AG1007=4,AG1007=5),"Tasación/visita",IF(OR(AG1007=6,AG1007=7),"Captación/oferta",IF(AG1007=8,"Cierre","")))),"")</f>
        <v/>
      </c>
      <c r="AE1007" s="32"/>
      <c r="AF1007" s="32"/>
      <c r="AG1007" s="37" t="n">
        <f aca="false">IF(R1007="",0,IFERROR(MATCH(R1007,Listas!$L$2:$L$50,0),0))</f>
        <v>0</v>
      </c>
    </row>
    <row r="1008" customFormat="false" ht="15" hidden="false" customHeight="false" outlineLevel="0" collapsed="false">
      <c r="A1008" s="30"/>
      <c r="B1008" s="31"/>
      <c r="C1008" s="32"/>
      <c r="D1008" s="32"/>
      <c r="E1008" s="33"/>
      <c r="F1008" s="32"/>
      <c r="G1008" s="32"/>
      <c r="H1008" s="32"/>
      <c r="I1008" s="32"/>
      <c r="J1008" s="32"/>
      <c r="K1008" s="32"/>
      <c r="L1008" s="32"/>
      <c r="M1008" s="30"/>
      <c r="N1008" s="32"/>
      <c r="O1008" s="34"/>
      <c r="P1008" s="32"/>
      <c r="Q1008" s="32"/>
      <c r="R1008" s="32"/>
      <c r="S1008" s="32"/>
      <c r="T1008" s="32"/>
      <c r="U1008" s="32"/>
      <c r="V1008" s="31"/>
      <c r="W1008" s="35" t="str">
        <f aca="true">IF(OR(V1008="",AG1008&gt;=8),"",IF(V1008&lt;TODAY(),"Vencida",IF(V1008=TODAY(),"Hoy","")))</f>
        <v/>
      </c>
      <c r="X1008" s="36" t="str">
        <f aca="false">IF(A1008="","",IF(COUNTIF(Seguimiento!$B$2:$B$5001,A1008)=0,"",_xlfn.MAXIFS(Seguimiento!$A$2:$A$5001,Seguimiento!$B$2:$B$5001,A1008)))</f>
        <v/>
      </c>
      <c r="Y1008" s="37" t="str">
        <f aca="true">IF(B1008="","",TODAY()-B1008)</f>
        <v/>
      </c>
      <c r="Z1008" s="38" t="str">
        <f aca="false">IF(OR(O1008="",G1008=""),"",O1008*IFERROR(INDEX(Listas!$B$2:$B$50,MATCH(G1008,Listas!$A$2:$A$50,0)),0))</f>
        <v/>
      </c>
      <c r="AA1008" s="32"/>
      <c r="AB1008" s="32"/>
      <c r="AC1008" s="32"/>
      <c r="AD1008" s="35" t="str">
        <f aca="false">IF(OR(LEFT(H1008,4)="Meta",LEFT(H1008,6)="Google"),IF(AG1008=3,"Lead calificado",IF(OR(AG1008=4,AG1008=5),"Tasación/visita",IF(OR(AG1008=6,AG1008=7),"Captación/oferta",IF(AG1008=8,"Cierre","")))),"")</f>
        <v/>
      </c>
      <c r="AE1008" s="32"/>
      <c r="AF1008" s="32"/>
      <c r="AG1008" s="37" t="n">
        <f aca="false">IF(R1008="",0,IFERROR(MATCH(R1008,Listas!$L$2:$L$50,0),0))</f>
        <v>0</v>
      </c>
    </row>
    <row r="1009" customFormat="false" ht="15" hidden="false" customHeight="false" outlineLevel="0" collapsed="false">
      <c r="A1009" s="30"/>
      <c r="B1009" s="31"/>
      <c r="C1009" s="32"/>
      <c r="D1009" s="32"/>
      <c r="E1009" s="33"/>
      <c r="F1009" s="32"/>
      <c r="G1009" s="32"/>
      <c r="H1009" s="32"/>
      <c r="I1009" s="32"/>
      <c r="J1009" s="32"/>
      <c r="K1009" s="32"/>
      <c r="L1009" s="32"/>
      <c r="M1009" s="30"/>
      <c r="N1009" s="32"/>
      <c r="O1009" s="34"/>
      <c r="P1009" s="32"/>
      <c r="Q1009" s="32"/>
      <c r="R1009" s="32"/>
      <c r="S1009" s="32"/>
      <c r="T1009" s="32"/>
      <c r="U1009" s="32"/>
      <c r="V1009" s="31"/>
      <c r="W1009" s="35" t="str">
        <f aca="true">IF(OR(V1009="",AG1009&gt;=8),"",IF(V1009&lt;TODAY(),"Vencida",IF(V1009=TODAY(),"Hoy","")))</f>
        <v/>
      </c>
      <c r="X1009" s="36" t="str">
        <f aca="false">IF(A1009="","",IF(COUNTIF(Seguimiento!$B$2:$B$5001,A1009)=0,"",_xlfn.MAXIFS(Seguimiento!$A$2:$A$5001,Seguimiento!$B$2:$B$5001,A1009)))</f>
        <v/>
      </c>
      <c r="Y1009" s="37" t="str">
        <f aca="true">IF(B1009="","",TODAY()-B1009)</f>
        <v/>
      </c>
      <c r="Z1009" s="38" t="str">
        <f aca="false">IF(OR(O1009="",G1009=""),"",O1009*IFERROR(INDEX(Listas!$B$2:$B$50,MATCH(G1009,Listas!$A$2:$A$50,0)),0))</f>
        <v/>
      </c>
      <c r="AA1009" s="32"/>
      <c r="AB1009" s="32"/>
      <c r="AC1009" s="32"/>
      <c r="AD1009" s="35" t="str">
        <f aca="false">IF(OR(LEFT(H1009,4)="Meta",LEFT(H1009,6)="Google"),IF(AG1009=3,"Lead calificado",IF(OR(AG1009=4,AG1009=5),"Tasación/visita",IF(OR(AG1009=6,AG1009=7),"Captación/oferta",IF(AG1009=8,"Cierre","")))),"")</f>
        <v/>
      </c>
      <c r="AE1009" s="32"/>
      <c r="AF1009" s="32"/>
      <c r="AG1009" s="37" t="n">
        <f aca="false">IF(R1009="",0,IFERROR(MATCH(R1009,Listas!$L$2:$L$50,0),0))</f>
        <v>0</v>
      </c>
    </row>
    <row r="1010" customFormat="false" ht="15" hidden="false" customHeight="false" outlineLevel="0" collapsed="false">
      <c r="A1010" s="30"/>
      <c r="B1010" s="31"/>
      <c r="C1010" s="32"/>
      <c r="D1010" s="32"/>
      <c r="E1010" s="33"/>
      <c r="F1010" s="32"/>
      <c r="G1010" s="32"/>
      <c r="H1010" s="32"/>
      <c r="I1010" s="32"/>
      <c r="J1010" s="32"/>
      <c r="K1010" s="32"/>
      <c r="L1010" s="32"/>
      <c r="M1010" s="30"/>
      <c r="N1010" s="32"/>
      <c r="O1010" s="34"/>
      <c r="P1010" s="32"/>
      <c r="Q1010" s="32"/>
      <c r="R1010" s="32"/>
      <c r="S1010" s="32"/>
      <c r="T1010" s="32"/>
      <c r="U1010" s="32"/>
      <c r="V1010" s="31"/>
      <c r="W1010" s="35" t="str">
        <f aca="true">IF(OR(V1010="",AG1010&gt;=8),"",IF(V1010&lt;TODAY(),"Vencida",IF(V1010=TODAY(),"Hoy","")))</f>
        <v/>
      </c>
      <c r="X1010" s="36" t="str">
        <f aca="false">IF(A1010="","",IF(COUNTIF(Seguimiento!$B$2:$B$5001,A1010)=0,"",_xlfn.MAXIFS(Seguimiento!$A$2:$A$5001,Seguimiento!$B$2:$B$5001,A1010)))</f>
        <v/>
      </c>
      <c r="Y1010" s="37" t="str">
        <f aca="true">IF(B1010="","",TODAY()-B1010)</f>
        <v/>
      </c>
      <c r="Z1010" s="38" t="str">
        <f aca="false">IF(OR(O1010="",G1010=""),"",O1010*IFERROR(INDEX(Listas!$B$2:$B$50,MATCH(G1010,Listas!$A$2:$A$50,0)),0))</f>
        <v/>
      </c>
      <c r="AA1010" s="32"/>
      <c r="AB1010" s="32"/>
      <c r="AC1010" s="32"/>
      <c r="AD1010" s="35" t="str">
        <f aca="false">IF(OR(LEFT(H1010,4)="Meta",LEFT(H1010,6)="Google"),IF(AG1010=3,"Lead calificado",IF(OR(AG1010=4,AG1010=5),"Tasación/visita",IF(OR(AG1010=6,AG1010=7),"Captación/oferta",IF(AG1010=8,"Cierre","")))),"")</f>
        <v/>
      </c>
      <c r="AE1010" s="32"/>
      <c r="AF1010" s="32"/>
      <c r="AG1010" s="37" t="n">
        <f aca="false">IF(R1010="",0,IFERROR(MATCH(R1010,Listas!$L$2:$L$50,0),0))</f>
        <v>0</v>
      </c>
    </row>
    <row r="1011" customFormat="false" ht="15" hidden="false" customHeight="false" outlineLevel="0" collapsed="false">
      <c r="A1011" s="30"/>
      <c r="B1011" s="31"/>
      <c r="C1011" s="32"/>
      <c r="D1011" s="32"/>
      <c r="E1011" s="33"/>
      <c r="F1011" s="32"/>
      <c r="G1011" s="32"/>
      <c r="H1011" s="32"/>
      <c r="I1011" s="32"/>
      <c r="J1011" s="32"/>
      <c r="K1011" s="32"/>
      <c r="L1011" s="32"/>
      <c r="M1011" s="30"/>
      <c r="N1011" s="32"/>
      <c r="O1011" s="34"/>
      <c r="P1011" s="32"/>
      <c r="Q1011" s="32"/>
      <c r="R1011" s="32"/>
      <c r="S1011" s="32"/>
      <c r="T1011" s="32"/>
      <c r="U1011" s="32"/>
      <c r="V1011" s="31"/>
      <c r="W1011" s="35" t="str">
        <f aca="true">IF(OR(V1011="",AG1011&gt;=8),"",IF(V1011&lt;TODAY(),"Vencida",IF(V1011=TODAY(),"Hoy","")))</f>
        <v/>
      </c>
      <c r="X1011" s="36" t="str">
        <f aca="false">IF(A1011="","",IF(COUNTIF(Seguimiento!$B$2:$B$5001,A1011)=0,"",_xlfn.MAXIFS(Seguimiento!$A$2:$A$5001,Seguimiento!$B$2:$B$5001,A1011)))</f>
        <v/>
      </c>
      <c r="Y1011" s="37" t="str">
        <f aca="true">IF(B1011="","",TODAY()-B1011)</f>
        <v/>
      </c>
      <c r="Z1011" s="38" t="str">
        <f aca="false">IF(OR(O1011="",G1011=""),"",O1011*IFERROR(INDEX(Listas!$B$2:$B$50,MATCH(G1011,Listas!$A$2:$A$50,0)),0))</f>
        <v/>
      </c>
      <c r="AA1011" s="32"/>
      <c r="AB1011" s="32"/>
      <c r="AC1011" s="32"/>
      <c r="AD1011" s="35" t="str">
        <f aca="false">IF(OR(LEFT(H1011,4)="Meta",LEFT(H1011,6)="Google"),IF(AG1011=3,"Lead calificado",IF(OR(AG1011=4,AG1011=5),"Tasación/visita",IF(OR(AG1011=6,AG1011=7),"Captación/oferta",IF(AG1011=8,"Cierre","")))),"")</f>
        <v/>
      </c>
      <c r="AE1011" s="32"/>
      <c r="AF1011" s="32"/>
      <c r="AG1011" s="37" t="n">
        <f aca="false">IF(R1011="",0,IFERROR(MATCH(R1011,Listas!$L$2:$L$50,0),0))</f>
        <v>0</v>
      </c>
    </row>
    <row r="1012" customFormat="false" ht="15" hidden="false" customHeight="false" outlineLevel="0" collapsed="false">
      <c r="A1012" s="30"/>
      <c r="B1012" s="31"/>
      <c r="C1012" s="32"/>
      <c r="D1012" s="32"/>
      <c r="E1012" s="33"/>
      <c r="F1012" s="32"/>
      <c r="G1012" s="32"/>
      <c r="H1012" s="32"/>
      <c r="I1012" s="32"/>
      <c r="J1012" s="32"/>
      <c r="K1012" s="32"/>
      <c r="L1012" s="32"/>
      <c r="M1012" s="30"/>
      <c r="N1012" s="32"/>
      <c r="O1012" s="34"/>
      <c r="P1012" s="32"/>
      <c r="Q1012" s="32"/>
      <c r="R1012" s="32"/>
      <c r="S1012" s="32"/>
      <c r="T1012" s="32"/>
      <c r="U1012" s="32"/>
      <c r="V1012" s="31"/>
      <c r="W1012" s="35" t="str">
        <f aca="true">IF(OR(V1012="",AG1012&gt;=8),"",IF(V1012&lt;TODAY(),"Vencida",IF(V1012=TODAY(),"Hoy","")))</f>
        <v/>
      </c>
      <c r="X1012" s="36" t="str">
        <f aca="false">IF(A1012="","",IF(COUNTIF(Seguimiento!$B$2:$B$5001,A1012)=0,"",_xlfn.MAXIFS(Seguimiento!$A$2:$A$5001,Seguimiento!$B$2:$B$5001,A1012)))</f>
        <v/>
      </c>
      <c r="Y1012" s="37" t="str">
        <f aca="true">IF(B1012="","",TODAY()-B1012)</f>
        <v/>
      </c>
      <c r="Z1012" s="38" t="str">
        <f aca="false">IF(OR(O1012="",G1012=""),"",O1012*IFERROR(INDEX(Listas!$B$2:$B$50,MATCH(G1012,Listas!$A$2:$A$50,0)),0))</f>
        <v/>
      </c>
      <c r="AA1012" s="32"/>
      <c r="AB1012" s="32"/>
      <c r="AC1012" s="32"/>
      <c r="AD1012" s="35" t="str">
        <f aca="false">IF(OR(LEFT(H1012,4)="Meta",LEFT(H1012,6)="Google"),IF(AG1012=3,"Lead calificado",IF(OR(AG1012=4,AG1012=5),"Tasación/visita",IF(OR(AG1012=6,AG1012=7),"Captación/oferta",IF(AG1012=8,"Cierre","")))),"")</f>
        <v/>
      </c>
      <c r="AE1012" s="32"/>
      <c r="AF1012" s="32"/>
      <c r="AG1012" s="37" t="n">
        <f aca="false">IF(R1012="",0,IFERROR(MATCH(R1012,Listas!$L$2:$L$50,0),0))</f>
        <v>0</v>
      </c>
    </row>
    <row r="1013" customFormat="false" ht="15" hidden="false" customHeight="false" outlineLevel="0" collapsed="false">
      <c r="A1013" s="30"/>
      <c r="B1013" s="31"/>
      <c r="C1013" s="32"/>
      <c r="D1013" s="32"/>
      <c r="E1013" s="33"/>
      <c r="F1013" s="32"/>
      <c r="G1013" s="32"/>
      <c r="H1013" s="32"/>
      <c r="I1013" s="32"/>
      <c r="J1013" s="32"/>
      <c r="K1013" s="32"/>
      <c r="L1013" s="32"/>
      <c r="M1013" s="30"/>
      <c r="N1013" s="32"/>
      <c r="O1013" s="34"/>
      <c r="P1013" s="32"/>
      <c r="Q1013" s="32"/>
      <c r="R1013" s="32"/>
      <c r="S1013" s="32"/>
      <c r="T1013" s="32"/>
      <c r="U1013" s="32"/>
      <c r="V1013" s="31"/>
      <c r="W1013" s="35" t="str">
        <f aca="true">IF(OR(V1013="",AG1013&gt;=8),"",IF(V1013&lt;TODAY(),"Vencida",IF(V1013=TODAY(),"Hoy","")))</f>
        <v/>
      </c>
      <c r="X1013" s="36" t="str">
        <f aca="false">IF(A1013="","",IF(COUNTIF(Seguimiento!$B$2:$B$5001,A1013)=0,"",_xlfn.MAXIFS(Seguimiento!$A$2:$A$5001,Seguimiento!$B$2:$B$5001,A1013)))</f>
        <v/>
      </c>
      <c r="Y1013" s="37" t="str">
        <f aca="true">IF(B1013="","",TODAY()-B1013)</f>
        <v/>
      </c>
      <c r="Z1013" s="38" t="str">
        <f aca="false">IF(OR(O1013="",G1013=""),"",O1013*IFERROR(INDEX(Listas!$B$2:$B$50,MATCH(G1013,Listas!$A$2:$A$50,0)),0))</f>
        <v/>
      </c>
      <c r="AA1013" s="32"/>
      <c r="AB1013" s="32"/>
      <c r="AC1013" s="32"/>
      <c r="AD1013" s="35" t="str">
        <f aca="false">IF(OR(LEFT(H1013,4)="Meta",LEFT(H1013,6)="Google"),IF(AG1013=3,"Lead calificado",IF(OR(AG1013=4,AG1013=5),"Tasación/visita",IF(OR(AG1013=6,AG1013=7),"Captación/oferta",IF(AG1013=8,"Cierre","")))),"")</f>
        <v/>
      </c>
      <c r="AE1013" s="32"/>
      <c r="AF1013" s="32"/>
      <c r="AG1013" s="37" t="n">
        <f aca="false">IF(R1013="",0,IFERROR(MATCH(R1013,Listas!$L$2:$L$50,0),0))</f>
        <v>0</v>
      </c>
    </row>
    <row r="1014" customFormat="false" ht="15" hidden="false" customHeight="false" outlineLevel="0" collapsed="false">
      <c r="A1014" s="30"/>
      <c r="B1014" s="31"/>
      <c r="C1014" s="32"/>
      <c r="D1014" s="32"/>
      <c r="E1014" s="33"/>
      <c r="F1014" s="32"/>
      <c r="G1014" s="32"/>
      <c r="H1014" s="32"/>
      <c r="I1014" s="32"/>
      <c r="J1014" s="32"/>
      <c r="K1014" s="32"/>
      <c r="L1014" s="32"/>
      <c r="M1014" s="30"/>
      <c r="N1014" s="32"/>
      <c r="O1014" s="34"/>
      <c r="P1014" s="32"/>
      <c r="Q1014" s="32"/>
      <c r="R1014" s="32"/>
      <c r="S1014" s="32"/>
      <c r="T1014" s="32"/>
      <c r="U1014" s="32"/>
      <c r="V1014" s="31"/>
      <c r="W1014" s="35" t="str">
        <f aca="true">IF(OR(V1014="",AG1014&gt;=8),"",IF(V1014&lt;TODAY(),"Vencida",IF(V1014=TODAY(),"Hoy","")))</f>
        <v/>
      </c>
      <c r="X1014" s="36" t="str">
        <f aca="false">IF(A1014="","",IF(COUNTIF(Seguimiento!$B$2:$B$5001,A1014)=0,"",_xlfn.MAXIFS(Seguimiento!$A$2:$A$5001,Seguimiento!$B$2:$B$5001,A1014)))</f>
        <v/>
      </c>
      <c r="Y1014" s="37" t="str">
        <f aca="true">IF(B1014="","",TODAY()-B1014)</f>
        <v/>
      </c>
      <c r="Z1014" s="38" t="str">
        <f aca="false">IF(OR(O1014="",G1014=""),"",O1014*IFERROR(INDEX(Listas!$B$2:$B$50,MATCH(G1014,Listas!$A$2:$A$50,0)),0))</f>
        <v/>
      </c>
      <c r="AA1014" s="32"/>
      <c r="AB1014" s="32"/>
      <c r="AC1014" s="32"/>
      <c r="AD1014" s="35" t="str">
        <f aca="false">IF(OR(LEFT(H1014,4)="Meta",LEFT(H1014,6)="Google"),IF(AG1014=3,"Lead calificado",IF(OR(AG1014=4,AG1014=5),"Tasación/visita",IF(OR(AG1014=6,AG1014=7),"Captación/oferta",IF(AG1014=8,"Cierre","")))),"")</f>
        <v/>
      </c>
      <c r="AE1014" s="32"/>
      <c r="AF1014" s="32"/>
      <c r="AG1014" s="37" t="n">
        <f aca="false">IF(R1014="",0,IFERROR(MATCH(R1014,Listas!$L$2:$L$50,0),0))</f>
        <v>0</v>
      </c>
    </row>
    <row r="1015" customFormat="false" ht="15" hidden="false" customHeight="false" outlineLevel="0" collapsed="false">
      <c r="A1015" s="30"/>
      <c r="B1015" s="31"/>
      <c r="C1015" s="32"/>
      <c r="D1015" s="32"/>
      <c r="E1015" s="33"/>
      <c r="F1015" s="32"/>
      <c r="G1015" s="32"/>
      <c r="H1015" s="32"/>
      <c r="I1015" s="32"/>
      <c r="J1015" s="32"/>
      <c r="K1015" s="32"/>
      <c r="L1015" s="32"/>
      <c r="M1015" s="30"/>
      <c r="N1015" s="32"/>
      <c r="O1015" s="34"/>
      <c r="P1015" s="32"/>
      <c r="Q1015" s="32"/>
      <c r="R1015" s="32"/>
      <c r="S1015" s="32"/>
      <c r="T1015" s="32"/>
      <c r="U1015" s="32"/>
      <c r="V1015" s="31"/>
      <c r="W1015" s="35" t="str">
        <f aca="true">IF(OR(V1015="",AG1015&gt;=8),"",IF(V1015&lt;TODAY(),"Vencida",IF(V1015=TODAY(),"Hoy","")))</f>
        <v/>
      </c>
      <c r="X1015" s="36" t="str">
        <f aca="false">IF(A1015="","",IF(COUNTIF(Seguimiento!$B$2:$B$5001,A1015)=0,"",_xlfn.MAXIFS(Seguimiento!$A$2:$A$5001,Seguimiento!$B$2:$B$5001,A1015)))</f>
        <v/>
      </c>
      <c r="Y1015" s="37" t="str">
        <f aca="true">IF(B1015="","",TODAY()-B1015)</f>
        <v/>
      </c>
      <c r="Z1015" s="38" t="str">
        <f aca="false">IF(OR(O1015="",G1015=""),"",O1015*IFERROR(INDEX(Listas!$B$2:$B$50,MATCH(G1015,Listas!$A$2:$A$50,0)),0))</f>
        <v/>
      </c>
      <c r="AA1015" s="32"/>
      <c r="AB1015" s="32"/>
      <c r="AC1015" s="32"/>
      <c r="AD1015" s="35" t="str">
        <f aca="false">IF(OR(LEFT(H1015,4)="Meta",LEFT(H1015,6)="Google"),IF(AG1015=3,"Lead calificado",IF(OR(AG1015=4,AG1015=5),"Tasación/visita",IF(OR(AG1015=6,AG1015=7),"Captación/oferta",IF(AG1015=8,"Cierre","")))),"")</f>
        <v/>
      </c>
      <c r="AE1015" s="32"/>
      <c r="AF1015" s="32"/>
      <c r="AG1015" s="37" t="n">
        <f aca="false">IF(R1015="",0,IFERROR(MATCH(R1015,Listas!$L$2:$L$50,0),0))</f>
        <v>0</v>
      </c>
    </row>
    <row r="1016" customFormat="false" ht="15" hidden="false" customHeight="false" outlineLevel="0" collapsed="false">
      <c r="A1016" s="30"/>
      <c r="B1016" s="31"/>
      <c r="C1016" s="32"/>
      <c r="D1016" s="32"/>
      <c r="E1016" s="33"/>
      <c r="F1016" s="32"/>
      <c r="G1016" s="32"/>
      <c r="H1016" s="32"/>
      <c r="I1016" s="32"/>
      <c r="J1016" s="32"/>
      <c r="K1016" s="32"/>
      <c r="L1016" s="32"/>
      <c r="M1016" s="30"/>
      <c r="N1016" s="32"/>
      <c r="O1016" s="34"/>
      <c r="P1016" s="32"/>
      <c r="Q1016" s="32"/>
      <c r="R1016" s="32"/>
      <c r="S1016" s="32"/>
      <c r="T1016" s="32"/>
      <c r="U1016" s="32"/>
      <c r="V1016" s="31"/>
      <c r="W1016" s="35" t="str">
        <f aca="true">IF(OR(V1016="",AG1016&gt;=8),"",IF(V1016&lt;TODAY(),"Vencida",IF(V1016=TODAY(),"Hoy","")))</f>
        <v/>
      </c>
      <c r="X1016" s="36" t="str">
        <f aca="false">IF(A1016="","",IF(COUNTIF(Seguimiento!$B$2:$B$5001,A1016)=0,"",_xlfn.MAXIFS(Seguimiento!$A$2:$A$5001,Seguimiento!$B$2:$B$5001,A1016)))</f>
        <v/>
      </c>
      <c r="Y1016" s="37" t="str">
        <f aca="true">IF(B1016="","",TODAY()-B1016)</f>
        <v/>
      </c>
      <c r="Z1016" s="38" t="str">
        <f aca="false">IF(OR(O1016="",G1016=""),"",O1016*IFERROR(INDEX(Listas!$B$2:$B$50,MATCH(G1016,Listas!$A$2:$A$50,0)),0))</f>
        <v/>
      </c>
      <c r="AA1016" s="32"/>
      <c r="AB1016" s="32"/>
      <c r="AC1016" s="32"/>
      <c r="AD1016" s="35" t="str">
        <f aca="false">IF(OR(LEFT(H1016,4)="Meta",LEFT(H1016,6)="Google"),IF(AG1016=3,"Lead calificado",IF(OR(AG1016=4,AG1016=5),"Tasación/visita",IF(OR(AG1016=6,AG1016=7),"Captación/oferta",IF(AG1016=8,"Cierre","")))),"")</f>
        <v/>
      </c>
      <c r="AE1016" s="32"/>
      <c r="AF1016" s="32"/>
      <c r="AG1016" s="37" t="n">
        <f aca="false">IF(R1016="",0,IFERROR(MATCH(R1016,Listas!$L$2:$L$50,0),0))</f>
        <v>0</v>
      </c>
    </row>
    <row r="1017" customFormat="false" ht="15" hidden="false" customHeight="false" outlineLevel="0" collapsed="false">
      <c r="A1017" s="30"/>
      <c r="B1017" s="31"/>
      <c r="C1017" s="32"/>
      <c r="D1017" s="32"/>
      <c r="E1017" s="33"/>
      <c r="F1017" s="32"/>
      <c r="G1017" s="32"/>
      <c r="H1017" s="32"/>
      <c r="I1017" s="32"/>
      <c r="J1017" s="32"/>
      <c r="K1017" s="32"/>
      <c r="L1017" s="32"/>
      <c r="M1017" s="30"/>
      <c r="N1017" s="32"/>
      <c r="O1017" s="34"/>
      <c r="P1017" s="32"/>
      <c r="Q1017" s="32"/>
      <c r="R1017" s="32"/>
      <c r="S1017" s="32"/>
      <c r="T1017" s="32"/>
      <c r="U1017" s="32"/>
      <c r="V1017" s="31"/>
      <c r="W1017" s="35" t="str">
        <f aca="true">IF(OR(V1017="",AG1017&gt;=8),"",IF(V1017&lt;TODAY(),"Vencida",IF(V1017=TODAY(),"Hoy","")))</f>
        <v/>
      </c>
      <c r="X1017" s="36" t="str">
        <f aca="false">IF(A1017="","",IF(COUNTIF(Seguimiento!$B$2:$B$5001,A1017)=0,"",_xlfn.MAXIFS(Seguimiento!$A$2:$A$5001,Seguimiento!$B$2:$B$5001,A1017)))</f>
        <v/>
      </c>
      <c r="Y1017" s="37" t="str">
        <f aca="true">IF(B1017="","",TODAY()-B1017)</f>
        <v/>
      </c>
      <c r="Z1017" s="38" t="str">
        <f aca="false">IF(OR(O1017="",G1017=""),"",O1017*IFERROR(INDEX(Listas!$B$2:$B$50,MATCH(G1017,Listas!$A$2:$A$50,0)),0))</f>
        <v/>
      </c>
      <c r="AA1017" s="32"/>
      <c r="AB1017" s="32"/>
      <c r="AC1017" s="32"/>
      <c r="AD1017" s="35" t="str">
        <f aca="false">IF(OR(LEFT(H1017,4)="Meta",LEFT(H1017,6)="Google"),IF(AG1017=3,"Lead calificado",IF(OR(AG1017=4,AG1017=5),"Tasación/visita",IF(OR(AG1017=6,AG1017=7),"Captación/oferta",IF(AG1017=8,"Cierre","")))),"")</f>
        <v/>
      </c>
      <c r="AE1017" s="32"/>
      <c r="AF1017" s="32"/>
      <c r="AG1017" s="37" t="n">
        <f aca="false">IF(R1017="",0,IFERROR(MATCH(R1017,Listas!$L$2:$L$50,0),0))</f>
        <v>0</v>
      </c>
    </row>
    <row r="1018" customFormat="false" ht="15" hidden="false" customHeight="false" outlineLevel="0" collapsed="false">
      <c r="A1018" s="30"/>
      <c r="B1018" s="31"/>
      <c r="C1018" s="32"/>
      <c r="D1018" s="32"/>
      <c r="E1018" s="33"/>
      <c r="F1018" s="32"/>
      <c r="G1018" s="32"/>
      <c r="H1018" s="32"/>
      <c r="I1018" s="32"/>
      <c r="J1018" s="32"/>
      <c r="K1018" s="32"/>
      <c r="L1018" s="32"/>
      <c r="M1018" s="30"/>
      <c r="N1018" s="32"/>
      <c r="O1018" s="34"/>
      <c r="P1018" s="32"/>
      <c r="Q1018" s="32"/>
      <c r="R1018" s="32"/>
      <c r="S1018" s="32"/>
      <c r="T1018" s="32"/>
      <c r="U1018" s="32"/>
      <c r="V1018" s="31"/>
      <c r="W1018" s="35" t="str">
        <f aca="true">IF(OR(V1018="",AG1018&gt;=8),"",IF(V1018&lt;TODAY(),"Vencida",IF(V1018=TODAY(),"Hoy","")))</f>
        <v/>
      </c>
      <c r="X1018" s="36" t="str">
        <f aca="false">IF(A1018="","",IF(COUNTIF(Seguimiento!$B$2:$B$5001,A1018)=0,"",_xlfn.MAXIFS(Seguimiento!$A$2:$A$5001,Seguimiento!$B$2:$B$5001,A1018)))</f>
        <v/>
      </c>
      <c r="Y1018" s="37" t="str">
        <f aca="true">IF(B1018="","",TODAY()-B1018)</f>
        <v/>
      </c>
      <c r="Z1018" s="38" t="str">
        <f aca="false">IF(OR(O1018="",G1018=""),"",O1018*IFERROR(INDEX(Listas!$B$2:$B$50,MATCH(G1018,Listas!$A$2:$A$50,0)),0))</f>
        <v/>
      </c>
      <c r="AA1018" s="32"/>
      <c r="AB1018" s="32"/>
      <c r="AC1018" s="32"/>
      <c r="AD1018" s="35" t="str">
        <f aca="false">IF(OR(LEFT(H1018,4)="Meta",LEFT(H1018,6)="Google"),IF(AG1018=3,"Lead calificado",IF(OR(AG1018=4,AG1018=5),"Tasación/visita",IF(OR(AG1018=6,AG1018=7),"Captación/oferta",IF(AG1018=8,"Cierre","")))),"")</f>
        <v/>
      </c>
      <c r="AE1018" s="32"/>
      <c r="AF1018" s="32"/>
      <c r="AG1018" s="37" t="n">
        <f aca="false">IF(R1018="",0,IFERROR(MATCH(R1018,Listas!$L$2:$L$50,0),0))</f>
        <v>0</v>
      </c>
    </row>
    <row r="1019" customFormat="false" ht="15" hidden="false" customHeight="false" outlineLevel="0" collapsed="false">
      <c r="A1019" s="30"/>
      <c r="B1019" s="31"/>
      <c r="C1019" s="32"/>
      <c r="D1019" s="32"/>
      <c r="E1019" s="33"/>
      <c r="F1019" s="32"/>
      <c r="G1019" s="32"/>
      <c r="H1019" s="32"/>
      <c r="I1019" s="32"/>
      <c r="J1019" s="32"/>
      <c r="K1019" s="32"/>
      <c r="L1019" s="32"/>
      <c r="M1019" s="30"/>
      <c r="N1019" s="32"/>
      <c r="O1019" s="34"/>
      <c r="P1019" s="32"/>
      <c r="Q1019" s="32"/>
      <c r="R1019" s="32"/>
      <c r="S1019" s="32"/>
      <c r="T1019" s="32"/>
      <c r="U1019" s="32"/>
      <c r="V1019" s="31"/>
      <c r="W1019" s="35" t="str">
        <f aca="true">IF(OR(V1019="",AG1019&gt;=8),"",IF(V1019&lt;TODAY(),"Vencida",IF(V1019=TODAY(),"Hoy","")))</f>
        <v/>
      </c>
      <c r="X1019" s="36" t="str">
        <f aca="false">IF(A1019="","",IF(COUNTIF(Seguimiento!$B$2:$B$5001,A1019)=0,"",_xlfn.MAXIFS(Seguimiento!$A$2:$A$5001,Seguimiento!$B$2:$B$5001,A1019)))</f>
        <v/>
      </c>
      <c r="Y1019" s="37" t="str">
        <f aca="true">IF(B1019="","",TODAY()-B1019)</f>
        <v/>
      </c>
      <c r="Z1019" s="38" t="str">
        <f aca="false">IF(OR(O1019="",G1019=""),"",O1019*IFERROR(INDEX(Listas!$B$2:$B$50,MATCH(G1019,Listas!$A$2:$A$50,0)),0))</f>
        <v/>
      </c>
      <c r="AA1019" s="32"/>
      <c r="AB1019" s="32"/>
      <c r="AC1019" s="32"/>
      <c r="AD1019" s="35" t="str">
        <f aca="false">IF(OR(LEFT(H1019,4)="Meta",LEFT(H1019,6)="Google"),IF(AG1019=3,"Lead calificado",IF(OR(AG1019=4,AG1019=5),"Tasación/visita",IF(OR(AG1019=6,AG1019=7),"Captación/oferta",IF(AG1019=8,"Cierre","")))),"")</f>
        <v/>
      </c>
      <c r="AE1019" s="32"/>
      <c r="AF1019" s="32"/>
      <c r="AG1019" s="37" t="n">
        <f aca="false">IF(R1019="",0,IFERROR(MATCH(R1019,Listas!$L$2:$L$50,0),0))</f>
        <v>0</v>
      </c>
    </row>
    <row r="1020" customFormat="false" ht="15" hidden="false" customHeight="false" outlineLevel="0" collapsed="false">
      <c r="A1020" s="30"/>
      <c r="B1020" s="31"/>
      <c r="C1020" s="32"/>
      <c r="D1020" s="32"/>
      <c r="E1020" s="33"/>
      <c r="F1020" s="32"/>
      <c r="G1020" s="32"/>
      <c r="H1020" s="32"/>
      <c r="I1020" s="32"/>
      <c r="J1020" s="32"/>
      <c r="K1020" s="32"/>
      <c r="L1020" s="32"/>
      <c r="M1020" s="30"/>
      <c r="N1020" s="32"/>
      <c r="O1020" s="34"/>
      <c r="P1020" s="32"/>
      <c r="Q1020" s="32"/>
      <c r="R1020" s="32"/>
      <c r="S1020" s="32"/>
      <c r="T1020" s="32"/>
      <c r="U1020" s="32"/>
      <c r="V1020" s="31"/>
      <c r="W1020" s="35" t="str">
        <f aca="true">IF(OR(V1020="",AG1020&gt;=8),"",IF(V1020&lt;TODAY(),"Vencida",IF(V1020=TODAY(),"Hoy","")))</f>
        <v/>
      </c>
      <c r="X1020" s="36" t="str">
        <f aca="false">IF(A1020="","",IF(COUNTIF(Seguimiento!$B$2:$B$5001,A1020)=0,"",_xlfn.MAXIFS(Seguimiento!$A$2:$A$5001,Seguimiento!$B$2:$B$5001,A1020)))</f>
        <v/>
      </c>
      <c r="Y1020" s="37" t="str">
        <f aca="true">IF(B1020="","",TODAY()-B1020)</f>
        <v/>
      </c>
      <c r="Z1020" s="38" t="str">
        <f aca="false">IF(OR(O1020="",G1020=""),"",O1020*IFERROR(INDEX(Listas!$B$2:$B$50,MATCH(G1020,Listas!$A$2:$A$50,0)),0))</f>
        <v/>
      </c>
      <c r="AA1020" s="32"/>
      <c r="AB1020" s="32"/>
      <c r="AC1020" s="32"/>
      <c r="AD1020" s="35" t="str">
        <f aca="false">IF(OR(LEFT(H1020,4)="Meta",LEFT(H1020,6)="Google"),IF(AG1020=3,"Lead calificado",IF(OR(AG1020=4,AG1020=5),"Tasación/visita",IF(OR(AG1020=6,AG1020=7),"Captación/oferta",IF(AG1020=8,"Cierre","")))),"")</f>
        <v/>
      </c>
      <c r="AE1020" s="32"/>
      <c r="AF1020" s="32"/>
      <c r="AG1020" s="37" t="n">
        <f aca="false">IF(R1020="",0,IFERROR(MATCH(R1020,Listas!$L$2:$L$50,0),0))</f>
        <v>0</v>
      </c>
    </row>
    <row r="1021" customFormat="false" ht="15" hidden="false" customHeight="false" outlineLevel="0" collapsed="false">
      <c r="A1021" s="30"/>
      <c r="B1021" s="31"/>
      <c r="C1021" s="32"/>
      <c r="D1021" s="32"/>
      <c r="E1021" s="33"/>
      <c r="F1021" s="32"/>
      <c r="G1021" s="32"/>
      <c r="H1021" s="32"/>
      <c r="I1021" s="32"/>
      <c r="J1021" s="32"/>
      <c r="K1021" s="32"/>
      <c r="L1021" s="32"/>
      <c r="M1021" s="30"/>
      <c r="N1021" s="32"/>
      <c r="O1021" s="34"/>
      <c r="P1021" s="32"/>
      <c r="Q1021" s="32"/>
      <c r="R1021" s="32"/>
      <c r="S1021" s="32"/>
      <c r="T1021" s="32"/>
      <c r="U1021" s="32"/>
      <c r="V1021" s="31"/>
      <c r="W1021" s="35" t="str">
        <f aca="true">IF(OR(V1021="",AG1021&gt;=8),"",IF(V1021&lt;TODAY(),"Vencida",IF(V1021=TODAY(),"Hoy","")))</f>
        <v/>
      </c>
      <c r="X1021" s="36" t="str">
        <f aca="false">IF(A1021="","",IF(COUNTIF(Seguimiento!$B$2:$B$5001,A1021)=0,"",_xlfn.MAXIFS(Seguimiento!$A$2:$A$5001,Seguimiento!$B$2:$B$5001,A1021)))</f>
        <v/>
      </c>
      <c r="Y1021" s="37" t="str">
        <f aca="true">IF(B1021="","",TODAY()-B1021)</f>
        <v/>
      </c>
      <c r="Z1021" s="38" t="str">
        <f aca="false">IF(OR(O1021="",G1021=""),"",O1021*IFERROR(INDEX(Listas!$B$2:$B$50,MATCH(G1021,Listas!$A$2:$A$50,0)),0))</f>
        <v/>
      </c>
      <c r="AA1021" s="32"/>
      <c r="AB1021" s="32"/>
      <c r="AC1021" s="32"/>
      <c r="AD1021" s="35" t="str">
        <f aca="false">IF(OR(LEFT(H1021,4)="Meta",LEFT(H1021,6)="Google"),IF(AG1021=3,"Lead calificado",IF(OR(AG1021=4,AG1021=5),"Tasación/visita",IF(OR(AG1021=6,AG1021=7),"Captación/oferta",IF(AG1021=8,"Cierre","")))),"")</f>
        <v/>
      </c>
      <c r="AE1021" s="32"/>
      <c r="AF1021" s="32"/>
      <c r="AG1021" s="37" t="n">
        <f aca="false">IF(R1021="",0,IFERROR(MATCH(R1021,Listas!$L$2:$L$50,0),0))</f>
        <v>0</v>
      </c>
    </row>
    <row r="1022" customFormat="false" ht="15" hidden="false" customHeight="false" outlineLevel="0" collapsed="false">
      <c r="A1022" s="30"/>
      <c r="B1022" s="31"/>
      <c r="C1022" s="32"/>
      <c r="D1022" s="32"/>
      <c r="E1022" s="33"/>
      <c r="F1022" s="32"/>
      <c r="G1022" s="32"/>
      <c r="H1022" s="32"/>
      <c r="I1022" s="32"/>
      <c r="J1022" s="32"/>
      <c r="K1022" s="32"/>
      <c r="L1022" s="32"/>
      <c r="M1022" s="30"/>
      <c r="N1022" s="32"/>
      <c r="O1022" s="34"/>
      <c r="P1022" s="32"/>
      <c r="Q1022" s="32"/>
      <c r="R1022" s="32"/>
      <c r="S1022" s="32"/>
      <c r="T1022" s="32"/>
      <c r="U1022" s="32"/>
      <c r="V1022" s="31"/>
      <c r="W1022" s="35" t="str">
        <f aca="true">IF(OR(V1022="",AG1022&gt;=8),"",IF(V1022&lt;TODAY(),"Vencida",IF(V1022=TODAY(),"Hoy","")))</f>
        <v/>
      </c>
      <c r="X1022" s="36" t="str">
        <f aca="false">IF(A1022="","",IF(COUNTIF(Seguimiento!$B$2:$B$5001,A1022)=0,"",_xlfn.MAXIFS(Seguimiento!$A$2:$A$5001,Seguimiento!$B$2:$B$5001,A1022)))</f>
        <v/>
      </c>
      <c r="Y1022" s="37" t="str">
        <f aca="true">IF(B1022="","",TODAY()-B1022)</f>
        <v/>
      </c>
      <c r="Z1022" s="38" t="str">
        <f aca="false">IF(OR(O1022="",G1022=""),"",O1022*IFERROR(INDEX(Listas!$B$2:$B$50,MATCH(G1022,Listas!$A$2:$A$50,0)),0))</f>
        <v/>
      </c>
      <c r="AA1022" s="32"/>
      <c r="AB1022" s="32"/>
      <c r="AC1022" s="32"/>
      <c r="AD1022" s="35" t="str">
        <f aca="false">IF(OR(LEFT(H1022,4)="Meta",LEFT(H1022,6)="Google"),IF(AG1022=3,"Lead calificado",IF(OR(AG1022=4,AG1022=5),"Tasación/visita",IF(OR(AG1022=6,AG1022=7),"Captación/oferta",IF(AG1022=8,"Cierre","")))),"")</f>
        <v/>
      </c>
      <c r="AE1022" s="32"/>
      <c r="AF1022" s="32"/>
      <c r="AG1022" s="37" t="n">
        <f aca="false">IF(R1022="",0,IFERROR(MATCH(R1022,Listas!$L$2:$L$50,0),0))</f>
        <v>0</v>
      </c>
    </row>
    <row r="1023" customFormat="false" ht="15" hidden="false" customHeight="false" outlineLevel="0" collapsed="false">
      <c r="A1023" s="30"/>
      <c r="B1023" s="31"/>
      <c r="C1023" s="32"/>
      <c r="D1023" s="32"/>
      <c r="E1023" s="33"/>
      <c r="F1023" s="32"/>
      <c r="G1023" s="32"/>
      <c r="H1023" s="32"/>
      <c r="I1023" s="32"/>
      <c r="J1023" s="32"/>
      <c r="K1023" s="32"/>
      <c r="L1023" s="32"/>
      <c r="M1023" s="30"/>
      <c r="N1023" s="32"/>
      <c r="O1023" s="34"/>
      <c r="P1023" s="32"/>
      <c r="Q1023" s="32"/>
      <c r="R1023" s="32"/>
      <c r="S1023" s="32"/>
      <c r="T1023" s="32"/>
      <c r="U1023" s="32"/>
      <c r="V1023" s="31"/>
      <c r="W1023" s="35" t="str">
        <f aca="true">IF(OR(V1023="",AG1023&gt;=8),"",IF(V1023&lt;TODAY(),"Vencida",IF(V1023=TODAY(),"Hoy","")))</f>
        <v/>
      </c>
      <c r="X1023" s="36" t="str">
        <f aca="false">IF(A1023="","",IF(COUNTIF(Seguimiento!$B$2:$B$5001,A1023)=0,"",_xlfn.MAXIFS(Seguimiento!$A$2:$A$5001,Seguimiento!$B$2:$B$5001,A1023)))</f>
        <v/>
      </c>
      <c r="Y1023" s="37" t="str">
        <f aca="true">IF(B1023="","",TODAY()-B1023)</f>
        <v/>
      </c>
      <c r="Z1023" s="38" t="str">
        <f aca="false">IF(OR(O1023="",G1023=""),"",O1023*IFERROR(INDEX(Listas!$B$2:$B$50,MATCH(G1023,Listas!$A$2:$A$50,0)),0))</f>
        <v/>
      </c>
      <c r="AA1023" s="32"/>
      <c r="AB1023" s="32"/>
      <c r="AC1023" s="32"/>
      <c r="AD1023" s="35" t="str">
        <f aca="false">IF(OR(LEFT(H1023,4)="Meta",LEFT(H1023,6)="Google"),IF(AG1023=3,"Lead calificado",IF(OR(AG1023=4,AG1023=5),"Tasación/visita",IF(OR(AG1023=6,AG1023=7),"Captación/oferta",IF(AG1023=8,"Cierre","")))),"")</f>
        <v/>
      </c>
      <c r="AE1023" s="32"/>
      <c r="AF1023" s="32"/>
      <c r="AG1023" s="37" t="n">
        <f aca="false">IF(R1023="",0,IFERROR(MATCH(R1023,Listas!$L$2:$L$50,0),0))</f>
        <v>0</v>
      </c>
    </row>
    <row r="1024" customFormat="false" ht="15" hidden="false" customHeight="false" outlineLevel="0" collapsed="false">
      <c r="A1024" s="30"/>
      <c r="B1024" s="31"/>
      <c r="C1024" s="32"/>
      <c r="D1024" s="32"/>
      <c r="E1024" s="33"/>
      <c r="F1024" s="32"/>
      <c r="G1024" s="32"/>
      <c r="H1024" s="32"/>
      <c r="I1024" s="32"/>
      <c r="J1024" s="32"/>
      <c r="K1024" s="32"/>
      <c r="L1024" s="32"/>
      <c r="M1024" s="30"/>
      <c r="N1024" s="32"/>
      <c r="O1024" s="34"/>
      <c r="P1024" s="32"/>
      <c r="Q1024" s="32"/>
      <c r="R1024" s="32"/>
      <c r="S1024" s="32"/>
      <c r="T1024" s="32"/>
      <c r="U1024" s="32"/>
      <c r="V1024" s="31"/>
      <c r="W1024" s="35" t="str">
        <f aca="true">IF(OR(V1024="",AG1024&gt;=8),"",IF(V1024&lt;TODAY(),"Vencida",IF(V1024=TODAY(),"Hoy","")))</f>
        <v/>
      </c>
      <c r="X1024" s="36" t="str">
        <f aca="false">IF(A1024="","",IF(COUNTIF(Seguimiento!$B$2:$B$5001,A1024)=0,"",_xlfn.MAXIFS(Seguimiento!$A$2:$A$5001,Seguimiento!$B$2:$B$5001,A1024)))</f>
        <v/>
      </c>
      <c r="Y1024" s="37" t="str">
        <f aca="true">IF(B1024="","",TODAY()-B1024)</f>
        <v/>
      </c>
      <c r="Z1024" s="38" t="str">
        <f aca="false">IF(OR(O1024="",G1024=""),"",O1024*IFERROR(INDEX(Listas!$B$2:$B$50,MATCH(G1024,Listas!$A$2:$A$50,0)),0))</f>
        <v/>
      </c>
      <c r="AA1024" s="32"/>
      <c r="AB1024" s="32"/>
      <c r="AC1024" s="32"/>
      <c r="AD1024" s="35" t="str">
        <f aca="false">IF(OR(LEFT(H1024,4)="Meta",LEFT(H1024,6)="Google"),IF(AG1024=3,"Lead calificado",IF(OR(AG1024=4,AG1024=5),"Tasación/visita",IF(OR(AG1024=6,AG1024=7),"Captación/oferta",IF(AG1024=8,"Cierre","")))),"")</f>
        <v/>
      </c>
      <c r="AE1024" s="32"/>
      <c r="AF1024" s="32"/>
      <c r="AG1024" s="37" t="n">
        <f aca="false">IF(R1024="",0,IFERROR(MATCH(R1024,Listas!$L$2:$L$50,0),0))</f>
        <v>0</v>
      </c>
    </row>
    <row r="1025" customFormat="false" ht="15" hidden="false" customHeight="false" outlineLevel="0" collapsed="false">
      <c r="A1025" s="30"/>
      <c r="B1025" s="31"/>
      <c r="C1025" s="32"/>
      <c r="D1025" s="32"/>
      <c r="E1025" s="33"/>
      <c r="F1025" s="32"/>
      <c r="G1025" s="32"/>
      <c r="H1025" s="32"/>
      <c r="I1025" s="32"/>
      <c r="J1025" s="32"/>
      <c r="K1025" s="32"/>
      <c r="L1025" s="32"/>
      <c r="M1025" s="30"/>
      <c r="N1025" s="32"/>
      <c r="O1025" s="34"/>
      <c r="P1025" s="32"/>
      <c r="Q1025" s="32"/>
      <c r="R1025" s="32"/>
      <c r="S1025" s="32"/>
      <c r="T1025" s="32"/>
      <c r="U1025" s="32"/>
      <c r="V1025" s="31"/>
      <c r="W1025" s="35" t="str">
        <f aca="true">IF(OR(V1025="",AG1025&gt;=8),"",IF(V1025&lt;TODAY(),"Vencida",IF(V1025=TODAY(),"Hoy","")))</f>
        <v/>
      </c>
      <c r="X1025" s="36" t="str">
        <f aca="false">IF(A1025="","",IF(COUNTIF(Seguimiento!$B$2:$B$5001,A1025)=0,"",_xlfn.MAXIFS(Seguimiento!$A$2:$A$5001,Seguimiento!$B$2:$B$5001,A1025)))</f>
        <v/>
      </c>
      <c r="Y1025" s="37" t="str">
        <f aca="true">IF(B1025="","",TODAY()-B1025)</f>
        <v/>
      </c>
      <c r="Z1025" s="38" t="str">
        <f aca="false">IF(OR(O1025="",G1025=""),"",O1025*IFERROR(INDEX(Listas!$B$2:$B$50,MATCH(G1025,Listas!$A$2:$A$50,0)),0))</f>
        <v/>
      </c>
      <c r="AA1025" s="32"/>
      <c r="AB1025" s="32"/>
      <c r="AC1025" s="32"/>
      <c r="AD1025" s="35" t="str">
        <f aca="false">IF(OR(LEFT(H1025,4)="Meta",LEFT(H1025,6)="Google"),IF(AG1025=3,"Lead calificado",IF(OR(AG1025=4,AG1025=5),"Tasación/visita",IF(OR(AG1025=6,AG1025=7),"Captación/oferta",IF(AG1025=8,"Cierre","")))),"")</f>
        <v/>
      </c>
      <c r="AE1025" s="32"/>
      <c r="AF1025" s="32"/>
      <c r="AG1025" s="37" t="n">
        <f aca="false">IF(R1025="",0,IFERROR(MATCH(R1025,Listas!$L$2:$L$50,0),0))</f>
        <v>0</v>
      </c>
    </row>
    <row r="1026" customFormat="false" ht="15" hidden="false" customHeight="false" outlineLevel="0" collapsed="false">
      <c r="A1026" s="30"/>
      <c r="B1026" s="31"/>
      <c r="C1026" s="32"/>
      <c r="D1026" s="32"/>
      <c r="E1026" s="33"/>
      <c r="F1026" s="32"/>
      <c r="G1026" s="32"/>
      <c r="H1026" s="32"/>
      <c r="I1026" s="32"/>
      <c r="J1026" s="32"/>
      <c r="K1026" s="32"/>
      <c r="L1026" s="32"/>
      <c r="M1026" s="30"/>
      <c r="N1026" s="32"/>
      <c r="O1026" s="34"/>
      <c r="P1026" s="32"/>
      <c r="Q1026" s="32"/>
      <c r="R1026" s="32"/>
      <c r="S1026" s="32"/>
      <c r="T1026" s="32"/>
      <c r="U1026" s="32"/>
      <c r="V1026" s="31"/>
      <c r="W1026" s="35" t="str">
        <f aca="true">IF(OR(V1026="",AG1026&gt;=8),"",IF(V1026&lt;TODAY(),"Vencida",IF(V1026=TODAY(),"Hoy","")))</f>
        <v/>
      </c>
      <c r="X1026" s="36" t="str">
        <f aca="false">IF(A1026="","",IF(COUNTIF(Seguimiento!$B$2:$B$5001,A1026)=0,"",_xlfn.MAXIFS(Seguimiento!$A$2:$A$5001,Seguimiento!$B$2:$B$5001,A1026)))</f>
        <v/>
      </c>
      <c r="Y1026" s="37" t="str">
        <f aca="true">IF(B1026="","",TODAY()-B1026)</f>
        <v/>
      </c>
      <c r="Z1026" s="38" t="str">
        <f aca="false">IF(OR(O1026="",G1026=""),"",O1026*IFERROR(INDEX(Listas!$B$2:$B$50,MATCH(G1026,Listas!$A$2:$A$50,0)),0))</f>
        <v/>
      </c>
      <c r="AA1026" s="32"/>
      <c r="AB1026" s="32"/>
      <c r="AC1026" s="32"/>
      <c r="AD1026" s="35" t="str">
        <f aca="false">IF(OR(LEFT(H1026,4)="Meta",LEFT(H1026,6)="Google"),IF(AG1026=3,"Lead calificado",IF(OR(AG1026=4,AG1026=5),"Tasación/visita",IF(OR(AG1026=6,AG1026=7),"Captación/oferta",IF(AG1026=8,"Cierre","")))),"")</f>
        <v/>
      </c>
      <c r="AE1026" s="32"/>
      <c r="AF1026" s="32"/>
      <c r="AG1026" s="37" t="n">
        <f aca="false">IF(R1026="",0,IFERROR(MATCH(R1026,Listas!$L$2:$L$50,0),0))</f>
        <v>0</v>
      </c>
    </row>
    <row r="1027" customFormat="false" ht="15" hidden="false" customHeight="false" outlineLevel="0" collapsed="false">
      <c r="A1027" s="30"/>
      <c r="B1027" s="31"/>
      <c r="C1027" s="32"/>
      <c r="D1027" s="32"/>
      <c r="E1027" s="33"/>
      <c r="F1027" s="32"/>
      <c r="G1027" s="32"/>
      <c r="H1027" s="32"/>
      <c r="I1027" s="32"/>
      <c r="J1027" s="32"/>
      <c r="K1027" s="32"/>
      <c r="L1027" s="32"/>
      <c r="M1027" s="30"/>
      <c r="N1027" s="32"/>
      <c r="O1027" s="34"/>
      <c r="P1027" s="32"/>
      <c r="Q1027" s="32"/>
      <c r="R1027" s="32"/>
      <c r="S1027" s="32"/>
      <c r="T1027" s="32"/>
      <c r="U1027" s="32"/>
      <c r="V1027" s="31"/>
      <c r="W1027" s="35" t="str">
        <f aca="true">IF(OR(V1027="",AG1027&gt;=8),"",IF(V1027&lt;TODAY(),"Vencida",IF(V1027=TODAY(),"Hoy","")))</f>
        <v/>
      </c>
      <c r="X1027" s="36" t="str">
        <f aca="false">IF(A1027="","",IF(COUNTIF(Seguimiento!$B$2:$B$5001,A1027)=0,"",_xlfn.MAXIFS(Seguimiento!$A$2:$A$5001,Seguimiento!$B$2:$B$5001,A1027)))</f>
        <v/>
      </c>
      <c r="Y1027" s="37" t="str">
        <f aca="true">IF(B1027="","",TODAY()-B1027)</f>
        <v/>
      </c>
      <c r="Z1027" s="38" t="str">
        <f aca="false">IF(OR(O1027="",G1027=""),"",O1027*IFERROR(INDEX(Listas!$B$2:$B$50,MATCH(G1027,Listas!$A$2:$A$50,0)),0))</f>
        <v/>
      </c>
      <c r="AA1027" s="32"/>
      <c r="AB1027" s="32"/>
      <c r="AC1027" s="32"/>
      <c r="AD1027" s="35" t="str">
        <f aca="false">IF(OR(LEFT(H1027,4)="Meta",LEFT(H1027,6)="Google"),IF(AG1027=3,"Lead calificado",IF(OR(AG1027=4,AG1027=5),"Tasación/visita",IF(OR(AG1027=6,AG1027=7),"Captación/oferta",IF(AG1027=8,"Cierre","")))),"")</f>
        <v/>
      </c>
      <c r="AE1027" s="32"/>
      <c r="AF1027" s="32"/>
      <c r="AG1027" s="37" t="n">
        <f aca="false">IF(R1027="",0,IFERROR(MATCH(R1027,Listas!$L$2:$L$50,0),0))</f>
        <v>0</v>
      </c>
    </row>
    <row r="1028" customFormat="false" ht="15" hidden="false" customHeight="false" outlineLevel="0" collapsed="false">
      <c r="A1028" s="30"/>
      <c r="B1028" s="31"/>
      <c r="C1028" s="32"/>
      <c r="D1028" s="32"/>
      <c r="E1028" s="33"/>
      <c r="F1028" s="32"/>
      <c r="G1028" s="32"/>
      <c r="H1028" s="32"/>
      <c r="I1028" s="32"/>
      <c r="J1028" s="32"/>
      <c r="K1028" s="32"/>
      <c r="L1028" s="32"/>
      <c r="M1028" s="30"/>
      <c r="N1028" s="32"/>
      <c r="O1028" s="34"/>
      <c r="P1028" s="32"/>
      <c r="Q1028" s="32"/>
      <c r="R1028" s="32"/>
      <c r="S1028" s="32"/>
      <c r="T1028" s="32"/>
      <c r="U1028" s="32"/>
      <c r="V1028" s="31"/>
      <c r="W1028" s="35" t="str">
        <f aca="true">IF(OR(V1028="",AG1028&gt;=8),"",IF(V1028&lt;TODAY(),"Vencida",IF(V1028=TODAY(),"Hoy","")))</f>
        <v/>
      </c>
      <c r="X1028" s="36" t="str">
        <f aca="false">IF(A1028="","",IF(COUNTIF(Seguimiento!$B$2:$B$5001,A1028)=0,"",_xlfn.MAXIFS(Seguimiento!$A$2:$A$5001,Seguimiento!$B$2:$B$5001,A1028)))</f>
        <v/>
      </c>
      <c r="Y1028" s="37" t="str">
        <f aca="true">IF(B1028="","",TODAY()-B1028)</f>
        <v/>
      </c>
      <c r="Z1028" s="38" t="str">
        <f aca="false">IF(OR(O1028="",G1028=""),"",O1028*IFERROR(INDEX(Listas!$B$2:$B$50,MATCH(G1028,Listas!$A$2:$A$50,0)),0))</f>
        <v/>
      </c>
      <c r="AA1028" s="32"/>
      <c r="AB1028" s="32"/>
      <c r="AC1028" s="32"/>
      <c r="AD1028" s="35" t="str">
        <f aca="false">IF(OR(LEFT(H1028,4)="Meta",LEFT(H1028,6)="Google"),IF(AG1028=3,"Lead calificado",IF(OR(AG1028=4,AG1028=5),"Tasación/visita",IF(OR(AG1028=6,AG1028=7),"Captación/oferta",IF(AG1028=8,"Cierre","")))),"")</f>
        <v/>
      </c>
      <c r="AE1028" s="32"/>
      <c r="AF1028" s="32"/>
      <c r="AG1028" s="37" t="n">
        <f aca="false">IF(R1028="",0,IFERROR(MATCH(R1028,Listas!$L$2:$L$50,0),0))</f>
        <v>0</v>
      </c>
    </row>
    <row r="1029" customFormat="false" ht="15" hidden="false" customHeight="false" outlineLevel="0" collapsed="false">
      <c r="A1029" s="30"/>
      <c r="B1029" s="31"/>
      <c r="C1029" s="32"/>
      <c r="D1029" s="32"/>
      <c r="E1029" s="33"/>
      <c r="F1029" s="32"/>
      <c r="G1029" s="32"/>
      <c r="H1029" s="32"/>
      <c r="I1029" s="32"/>
      <c r="J1029" s="32"/>
      <c r="K1029" s="32"/>
      <c r="L1029" s="32"/>
      <c r="M1029" s="30"/>
      <c r="N1029" s="32"/>
      <c r="O1029" s="34"/>
      <c r="P1029" s="32"/>
      <c r="Q1029" s="32"/>
      <c r="R1029" s="32"/>
      <c r="S1029" s="32"/>
      <c r="T1029" s="32"/>
      <c r="U1029" s="32"/>
      <c r="V1029" s="31"/>
      <c r="W1029" s="35" t="str">
        <f aca="true">IF(OR(V1029="",AG1029&gt;=8),"",IF(V1029&lt;TODAY(),"Vencida",IF(V1029=TODAY(),"Hoy","")))</f>
        <v/>
      </c>
      <c r="X1029" s="36" t="str">
        <f aca="false">IF(A1029="","",IF(COUNTIF(Seguimiento!$B$2:$B$5001,A1029)=0,"",_xlfn.MAXIFS(Seguimiento!$A$2:$A$5001,Seguimiento!$B$2:$B$5001,A1029)))</f>
        <v/>
      </c>
      <c r="Y1029" s="37" t="str">
        <f aca="true">IF(B1029="","",TODAY()-B1029)</f>
        <v/>
      </c>
      <c r="Z1029" s="38" t="str">
        <f aca="false">IF(OR(O1029="",G1029=""),"",O1029*IFERROR(INDEX(Listas!$B$2:$B$50,MATCH(G1029,Listas!$A$2:$A$50,0)),0))</f>
        <v/>
      </c>
      <c r="AA1029" s="32"/>
      <c r="AB1029" s="32"/>
      <c r="AC1029" s="32"/>
      <c r="AD1029" s="35" t="str">
        <f aca="false">IF(OR(LEFT(H1029,4)="Meta",LEFT(H1029,6)="Google"),IF(AG1029=3,"Lead calificado",IF(OR(AG1029=4,AG1029=5),"Tasación/visita",IF(OR(AG1029=6,AG1029=7),"Captación/oferta",IF(AG1029=8,"Cierre","")))),"")</f>
        <v/>
      </c>
      <c r="AE1029" s="32"/>
      <c r="AF1029" s="32"/>
      <c r="AG1029" s="37" t="n">
        <f aca="false">IF(R1029="",0,IFERROR(MATCH(R1029,Listas!$L$2:$L$50,0),0))</f>
        <v>0</v>
      </c>
    </row>
    <row r="1030" customFormat="false" ht="15" hidden="false" customHeight="false" outlineLevel="0" collapsed="false">
      <c r="A1030" s="30"/>
      <c r="B1030" s="31"/>
      <c r="C1030" s="32"/>
      <c r="D1030" s="32"/>
      <c r="E1030" s="33"/>
      <c r="F1030" s="32"/>
      <c r="G1030" s="32"/>
      <c r="H1030" s="32"/>
      <c r="I1030" s="32"/>
      <c r="J1030" s="32"/>
      <c r="K1030" s="32"/>
      <c r="L1030" s="32"/>
      <c r="M1030" s="30"/>
      <c r="N1030" s="32"/>
      <c r="O1030" s="34"/>
      <c r="P1030" s="32"/>
      <c r="Q1030" s="32"/>
      <c r="R1030" s="32"/>
      <c r="S1030" s="32"/>
      <c r="T1030" s="32"/>
      <c r="U1030" s="32"/>
      <c r="V1030" s="31"/>
      <c r="W1030" s="35" t="str">
        <f aca="true">IF(OR(V1030="",AG1030&gt;=8),"",IF(V1030&lt;TODAY(),"Vencida",IF(V1030=TODAY(),"Hoy","")))</f>
        <v/>
      </c>
      <c r="X1030" s="36" t="str">
        <f aca="false">IF(A1030="","",IF(COUNTIF(Seguimiento!$B$2:$B$5001,A1030)=0,"",_xlfn.MAXIFS(Seguimiento!$A$2:$A$5001,Seguimiento!$B$2:$B$5001,A1030)))</f>
        <v/>
      </c>
      <c r="Y1030" s="37" t="str">
        <f aca="true">IF(B1030="","",TODAY()-B1030)</f>
        <v/>
      </c>
      <c r="Z1030" s="38" t="str">
        <f aca="false">IF(OR(O1030="",G1030=""),"",O1030*IFERROR(INDEX(Listas!$B$2:$B$50,MATCH(G1030,Listas!$A$2:$A$50,0)),0))</f>
        <v/>
      </c>
      <c r="AA1030" s="32"/>
      <c r="AB1030" s="32"/>
      <c r="AC1030" s="32"/>
      <c r="AD1030" s="35" t="str">
        <f aca="false">IF(OR(LEFT(H1030,4)="Meta",LEFT(H1030,6)="Google"),IF(AG1030=3,"Lead calificado",IF(OR(AG1030=4,AG1030=5),"Tasación/visita",IF(OR(AG1030=6,AG1030=7),"Captación/oferta",IF(AG1030=8,"Cierre","")))),"")</f>
        <v/>
      </c>
      <c r="AE1030" s="32"/>
      <c r="AF1030" s="32"/>
      <c r="AG1030" s="37" t="n">
        <f aca="false">IF(R1030="",0,IFERROR(MATCH(R1030,Listas!$L$2:$L$50,0),0))</f>
        <v>0</v>
      </c>
    </row>
    <row r="1031" customFormat="false" ht="15" hidden="false" customHeight="false" outlineLevel="0" collapsed="false">
      <c r="A1031" s="30"/>
      <c r="B1031" s="31"/>
      <c r="C1031" s="32"/>
      <c r="D1031" s="32"/>
      <c r="E1031" s="33"/>
      <c r="F1031" s="32"/>
      <c r="G1031" s="32"/>
      <c r="H1031" s="32"/>
      <c r="I1031" s="32"/>
      <c r="J1031" s="32"/>
      <c r="K1031" s="32"/>
      <c r="L1031" s="32"/>
      <c r="M1031" s="30"/>
      <c r="N1031" s="32"/>
      <c r="O1031" s="34"/>
      <c r="P1031" s="32"/>
      <c r="Q1031" s="32"/>
      <c r="R1031" s="32"/>
      <c r="S1031" s="32"/>
      <c r="T1031" s="32"/>
      <c r="U1031" s="32"/>
      <c r="V1031" s="31"/>
      <c r="W1031" s="35" t="str">
        <f aca="true">IF(OR(V1031="",AG1031&gt;=8),"",IF(V1031&lt;TODAY(),"Vencida",IF(V1031=TODAY(),"Hoy","")))</f>
        <v/>
      </c>
      <c r="X1031" s="36" t="str">
        <f aca="false">IF(A1031="","",IF(COUNTIF(Seguimiento!$B$2:$B$5001,A1031)=0,"",_xlfn.MAXIFS(Seguimiento!$A$2:$A$5001,Seguimiento!$B$2:$B$5001,A1031)))</f>
        <v/>
      </c>
      <c r="Y1031" s="37" t="str">
        <f aca="true">IF(B1031="","",TODAY()-B1031)</f>
        <v/>
      </c>
      <c r="Z1031" s="38" t="str">
        <f aca="false">IF(OR(O1031="",G1031=""),"",O1031*IFERROR(INDEX(Listas!$B$2:$B$50,MATCH(G1031,Listas!$A$2:$A$50,0)),0))</f>
        <v/>
      </c>
      <c r="AA1031" s="32"/>
      <c r="AB1031" s="32"/>
      <c r="AC1031" s="32"/>
      <c r="AD1031" s="35" t="str">
        <f aca="false">IF(OR(LEFT(H1031,4)="Meta",LEFT(H1031,6)="Google"),IF(AG1031=3,"Lead calificado",IF(OR(AG1031=4,AG1031=5),"Tasación/visita",IF(OR(AG1031=6,AG1031=7),"Captación/oferta",IF(AG1031=8,"Cierre","")))),"")</f>
        <v/>
      </c>
      <c r="AE1031" s="32"/>
      <c r="AF1031" s="32"/>
      <c r="AG1031" s="37" t="n">
        <f aca="false">IF(R1031="",0,IFERROR(MATCH(R1031,Listas!$L$2:$L$50,0),0))</f>
        <v>0</v>
      </c>
    </row>
    <row r="1032" customFormat="false" ht="15" hidden="false" customHeight="false" outlineLevel="0" collapsed="false">
      <c r="A1032" s="30"/>
      <c r="B1032" s="31"/>
      <c r="C1032" s="32"/>
      <c r="D1032" s="32"/>
      <c r="E1032" s="33"/>
      <c r="F1032" s="32"/>
      <c r="G1032" s="32"/>
      <c r="H1032" s="32"/>
      <c r="I1032" s="32"/>
      <c r="J1032" s="32"/>
      <c r="K1032" s="32"/>
      <c r="L1032" s="32"/>
      <c r="M1032" s="30"/>
      <c r="N1032" s="32"/>
      <c r="O1032" s="34"/>
      <c r="P1032" s="32"/>
      <c r="Q1032" s="32"/>
      <c r="R1032" s="32"/>
      <c r="S1032" s="32"/>
      <c r="T1032" s="32"/>
      <c r="U1032" s="32"/>
      <c r="V1032" s="31"/>
      <c r="W1032" s="35" t="str">
        <f aca="true">IF(OR(V1032="",AG1032&gt;=8),"",IF(V1032&lt;TODAY(),"Vencida",IF(V1032=TODAY(),"Hoy","")))</f>
        <v/>
      </c>
      <c r="X1032" s="36" t="str">
        <f aca="false">IF(A1032="","",IF(COUNTIF(Seguimiento!$B$2:$B$5001,A1032)=0,"",_xlfn.MAXIFS(Seguimiento!$A$2:$A$5001,Seguimiento!$B$2:$B$5001,A1032)))</f>
        <v/>
      </c>
      <c r="Y1032" s="37" t="str">
        <f aca="true">IF(B1032="","",TODAY()-B1032)</f>
        <v/>
      </c>
      <c r="Z1032" s="38" t="str">
        <f aca="false">IF(OR(O1032="",G1032=""),"",O1032*IFERROR(INDEX(Listas!$B$2:$B$50,MATCH(G1032,Listas!$A$2:$A$50,0)),0))</f>
        <v/>
      </c>
      <c r="AA1032" s="32"/>
      <c r="AB1032" s="32"/>
      <c r="AC1032" s="32"/>
      <c r="AD1032" s="35" t="str">
        <f aca="false">IF(OR(LEFT(H1032,4)="Meta",LEFT(H1032,6)="Google"),IF(AG1032=3,"Lead calificado",IF(OR(AG1032=4,AG1032=5),"Tasación/visita",IF(OR(AG1032=6,AG1032=7),"Captación/oferta",IF(AG1032=8,"Cierre","")))),"")</f>
        <v/>
      </c>
      <c r="AE1032" s="32"/>
      <c r="AF1032" s="32"/>
      <c r="AG1032" s="37" t="n">
        <f aca="false">IF(R1032="",0,IFERROR(MATCH(R1032,Listas!$L$2:$L$50,0),0))</f>
        <v>0</v>
      </c>
    </row>
    <row r="1033" customFormat="false" ht="15" hidden="false" customHeight="false" outlineLevel="0" collapsed="false">
      <c r="A1033" s="30"/>
      <c r="B1033" s="31"/>
      <c r="C1033" s="32"/>
      <c r="D1033" s="32"/>
      <c r="E1033" s="33"/>
      <c r="F1033" s="32"/>
      <c r="G1033" s="32"/>
      <c r="H1033" s="32"/>
      <c r="I1033" s="32"/>
      <c r="J1033" s="32"/>
      <c r="K1033" s="32"/>
      <c r="L1033" s="32"/>
      <c r="M1033" s="30"/>
      <c r="N1033" s="32"/>
      <c r="O1033" s="34"/>
      <c r="P1033" s="32"/>
      <c r="Q1033" s="32"/>
      <c r="R1033" s="32"/>
      <c r="S1033" s="32"/>
      <c r="T1033" s="32"/>
      <c r="U1033" s="32"/>
      <c r="V1033" s="31"/>
      <c r="W1033" s="35" t="str">
        <f aca="true">IF(OR(V1033="",AG1033&gt;=8),"",IF(V1033&lt;TODAY(),"Vencida",IF(V1033=TODAY(),"Hoy","")))</f>
        <v/>
      </c>
      <c r="X1033" s="36" t="str">
        <f aca="false">IF(A1033="","",IF(COUNTIF(Seguimiento!$B$2:$B$5001,A1033)=0,"",_xlfn.MAXIFS(Seguimiento!$A$2:$A$5001,Seguimiento!$B$2:$B$5001,A1033)))</f>
        <v/>
      </c>
      <c r="Y1033" s="37" t="str">
        <f aca="true">IF(B1033="","",TODAY()-B1033)</f>
        <v/>
      </c>
      <c r="Z1033" s="38" t="str">
        <f aca="false">IF(OR(O1033="",G1033=""),"",O1033*IFERROR(INDEX(Listas!$B$2:$B$50,MATCH(G1033,Listas!$A$2:$A$50,0)),0))</f>
        <v/>
      </c>
      <c r="AA1033" s="32"/>
      <c r="AB1033" s="32"/>
      <c r="AC1033" s="32"/>
      <c r="AD1033" s="35" t="str">
        <f aca="false">IF(OR(LEFT(H1033,4)="Meta",LEFT(H1033,6)="Google"),IF(AG1033=3,"Lead calificado",IF(OR(AG1033=4,AG1033=5),"Tasación/visita",IF(OR(AG1033=6,AG1033=7),"Captación/oferta",IF(AG1033=8,"Cierre","")))),"")</f>
        <v/>
      </c>
      <c r="AE1033" s="32"/>
      <c r="AF1033" s="32"/>
      <c r="AG1033" s="37" t="n">
        <f aca="false">IF(R1033="",0,IFERROR(MATCH(R1033,Listas!$L$2:$L$50,0),0))</f>
        <v>0</v>
      </c>
    </row>
    <row r="1034" customFormat="false" ht="15" hidden="false" customHeight="false" outlineLevel="0" collapsed="false">
      <c r="A1034" s="30"/>
      <c r="B1034" s="31"/>
      <c r="C1034" s="32"/>
      <c r="D1034" s="32"/>
      <c r="E1034" s="33"/>
      <c r="F1034" s="32"/>
      <c r="G1034" s="32"/>
      <c r="H1034" s="32"/>
      <c r="I1034" s="32"/>
      <c r="J1034" s="32"/>
      <c r="K1034" s="32"/>
      <c r="L1034" s="32"/>
      <c r="M1034" s="30"/>
      <c r="N1034" s="32"/>
      <c r="O1034" s="34"/>
      <c r="P1034" s="32"/>
      <c r="Q1034" s="32"/>
      <c r="R1034" s="32"/>
      <c r="S1034" s="32"/>
      <c r="T1034" s="32"/>
      <c r="U1034" s="32"/>
      <c r="V1034" s="31"/>
      <c r="W1034" s="35" t="str">
        <f aca="true">IF(OR(V1034="",AG1034&gt;=8),"",IF(V1034&lt;TODAY(),"Vencida",IF(V1034=TODAY(),"Hoy","")))</f>
        <v/>
      </c>
      <c r="X1034" s="36" t="str">
        <f aca="false">IF(A1034="","",IF(COUNTIF(Seguimiento!$B$2:$B$5001,A1034)=0,"",_xlfn.MAXIFS(Seguimiento!$A$2:$A$5001,Seguimiento!$B$2:$B$5001,A1034)))</f>
        <v/>
      </c>
      <c r="Y1034" s="37" t="str">
        <f aca="true">IF(B1034="","",TODAY()-B1034)</f>
        <v/>
      </c>
      <c r="Z1034" s="38" t="str">
        <f aca="false">IF(OR(O1034="",G1034=""),"",O1034*IFERROR(INDEX(Listas!$B$2:$B$50,MATCH(G1034,Listas!$A$2:$A$50,0)),0))</f>
        <v/>
      </c>
      <c r="AA1034" s="32"/>
      <c r="AB1034" s="32"/>
      <c r="AC1034" s="32"/>
      <c r="AD1034" s="35" t="str">
        <f aca="false">IF(OR(LEFT(H1034,4)="Meta",LEFT(H1034,6)="Google"),IF(AG1034=3,"Lead calificado",IF(OR(AG1034=4,AG1034=5),"Tasación/visita",IF(OR(AG1034=6,AG1034=7),"Captación/oferta",IF(AG1034=8,"Cierre","")))),"")</f>
        <v/>
      </c>
      <c r="AE1034" s="32"/>
      <c r="AF1034" s="32"/>
      <c r="AG1034" s="37" t="n">
        <f aca="false">IF(R1034="",0,IFERROR(MATCH(R1034,Listas!$L$2:$L$50,0),0))</f>
        <v>0</v>
      </c>
    </row>
    <row r="1035" customFormat="false" ht="15" hidden="false" customHeight="false" outlineLevel="0" collapsed="false">
      <c r="A1035" s="30"/>
      <c r="B1035" s="31"/>
      <c r="C1035" s="32"/>
      <c r="D1035" s="32"/>
      <c r="E1035" s="33"/>
      <c r="F1035" s="32"/>
      <c r="G1035" s="32"/>
      <c r="H1035" s="32"/>
      <c r="I1035" s="32"/>
      <c r="J1035" s="32"/>
      <c r="K1035" s="32"/>
      <c r="L1035" s="32"/>
      <c r="M1035" s="30"/>
      <c r="N1035" s="32"/>
      <c r="O1035" s="34"/>
      <c r="P1035" s="32"/>
      <c r="Q1035" s="32"/>
      <c r="R1035" s="32"/>
      <c r="S1035" s="32"/>
      <c r="T1035" s="32"/>
      <c r="U1035" s="32"/>
      <c r="V1035" s="31"/>
      <c r="W1035" s="35" t="str">
        <f aca="true">IF(OR(V1035="",AG1035&gt;=8),"",IF(V1035&lt;TODAY(),"Vencida",IF(V1035=TODAY(),"Hoy","")))</f>
        <v/>
      </c>
      <c r="X1035" s="36" t="str">
        <f aca="false">IF(A1035="","",IF(COUNTIF(Seguimiento!$B$2:$B$5001,A1035)=0,"",_xlfn.MAXIFS(Seguimiento!$A$2:$A$5001,Seguimiento!$B$2:$B$5001,A1035)))</f>
        <v/>
      </c>
      <c r="Y1035" s="37" t="str">
        <f aca="true">IF(B1035="","",TODAY()-B1035)</f>
        <v/>
      </c>
      <c r="Z1035" s="38" t="str">
        <f aca="false">IF(OR(O1035="",G1035=""),"",O1035*IFERROR(INDEX(Listas!$B$2:$B$50,MATCH(G1035,Listas!$A$2:$A$50,0)),0))</f>
        <v/>
      </c>
      <c r="AA1035" s="32"/>
      <c r="AB1035" s="32"/>
      <c r="AC1035" s="32"/>
      <c r="AD1035" s="35" t="str">
        <f aca="false">IF(OR(LEFT(H1035,4)="Meta",LEFT(H1035,6)="Google"),IF(AG1035=3,"Lead calificado",IF(OR(AG1035=4,AG1035=5),"Tasación/visita",IF(OR(AG1035=6,AG1035=7),"Captación/oferta",IF(AG1035=8,"Cierre","")))),"")</f>
        <v/>
      </c>
      <c r="AE1035" s="32"/>
      <c r="AF1035" s="32"/>
      <c r="AG1035" s="37" t="n">
        <f aca="false">IF(R1035="",0,IFERROR(MATCH(R1035,Listas!$L$2:$L$50,0),0))</f>
        <v>0</v>
      </c>
    </row>
    <row r="1036" customFormat="false" ht="15" hidden="false" customHeight="false" outlineLevel="0" collapsed="false">
      <c r="A1036" s="30"/>
      <c r="B1036" s="31"/>
      <c r="C1036" s="32"/>
      <c r="D1036" s="32"/>
      <c r="E1036" s="33"/>
      <c r="F1036" s="32"/>
      <c r="G1036" s="32"/>
      <c r="H1036" s="32"/>
      <c r="I1036" s="32"/>
      <c r="J1036" s="32"/>
      <c r="K1036" s="32"/>
      <c r="L1036" s="32"/>
      <c r="M1036" s="30"/>
      <c r="N1036" s="32"/>
      <c r="O1036" s="34"/>
      <c r="P1036" s="32"/>
      <c r="Q1036" s="32"/>
      <c r="R1036" s="32"/>
      <c r="S1036" s="32"/>
      <c r="T1036" s="32"/>
      <c r="U1036" s="32"/>
      <c r="V1036" s="31"/>
      <c r="W1036" s="35" t="str">
        <f aca="true">IF(OR(V1036="",AG1036&gt;=8),"",IF(V1036&lt;TODAY(),"Vencida",IF(V1036=TODAY(),"Hoy","")))</f>
        <v/>
      </c>
      <c r="X1036" s="36" t="str">
        <f aca="false">IF(A1036="","",IF(COUNTIF(Seguimiento!$B$2:$B$5001,A1036)=0,"",_xlfn.MAXIFS(Seguimiento!$A$2:$A$5001,Seguimiento!$B$2:$B$5001,A1036)))</f>
        <v/>
      </c>
      <c r="Y1036" s="37" t="str">
        <f aca="true">IF(B1036="","",TODAY()-B1036)</f>
        <v/>
      </c>
      <c r="Z1036" s="38" t="str">
        <f aca="false">IF(OR(O1036="",G1036=""),"",O1036*IFERROR(INDEX(Listas!$B$2:$B$50,MATCH(G1036,Listas!$A$2:$A$50,0)),0))</f>
        <v/>
      </c>
      <c r="AA1036" s="32"/>
      <c r="AB1036" s="32"/>
      <c r="AC1036" s="32"/>
      <c r="AD1036" s="35" t="str">
        <f aca="false">IF(OR(LEFT(H1036,4)="Meta",LEFT(H1036,6)="Google"),IF(AG1036=3,"Lead calificado",IF(OR(AG1036=4,AG1036=5),"Tasación/visita",IF(OR(AG1036=6,AG1036=7),"Captación/oferta",IF(AG1036=8,"Cierre","")))),"")</f>
        <v/>
      </c>
      <c r="AE1036" s="32"/>
      <c r="AF1036" s="32"/>
      <c r="AG1036" s="37" t="n">
        <f aca="false">IF(R1036="",0,IFERROR(MATCH(R1036,Listas!$L$2:$L$50,0),0))</f>
        <v>0</v>
      </c>
    </row>
    <row r="1037" customFormat="false" ht="15" hidden="false" customHeight="false" outlineLevel="0" collapsed="false">
      <c r="A1037" s="30"/>
      <c r="B1037" s="31"/>
      <c r="C1037" s="32"/>
      <c r="D1037" s="32"/>
      <c r="E1037" s="33"/>
      <c r="F1037" s="32"/>
      <c r="G1037" s="32"/>
      <c r="H1037" s="32"/>
      <c r="I1037" s="32"/>
      <c r="J1037" s="32"/>
      <c r="K1037" s="32"/>
      <c r="L1037" s="32"/>
      <c r="M1037" s="30"/>
      <c r="N1037" s="32"/>
      <c r="O1037" s="34"/>
      <c r="P1037" s="32"/>
      <c r="Q1037" s="32"/>
      <c r="R1037" s="32"/>
      <c r="S1037" s="32"/>
      <c r="T1037" s="32"/>
      <c r="U1037" s="32"/>
      <c r="V1037" s="31"/>
      <c r="W1037" s="35" t="str">
        <f aca="true">IF(OR(V1037="",AG1037&gt;=8),"",IF(V1037&lt;TODAY(),"Vencida",IF(V1037=TODAY(),"Hoy","")))</f>
        <v/>
      </c>
      <c r="X1037" s="36" t="str">
        <f aca="false">IF(A1037="","",IF(COUNTIF(Seguimiento!$B$2:$B$5001,A1037)=0,"",_xlfn.MAXIFS(Seguimiento!$A$2:$A$5001,Seguimiento!$B$2:$B$5001,A1037)))</f>
        <v/>
      </c>
      <c r="Y1037" s="37" t="str">
        <f aca="true">IF(B1037="","",TODAY()-B1037)</f>
        <v/>
      </c>
      <c r="Z1037" s="38" t="str">
        <f aca="false">IF(OR(O1037="",G1037=""),"",O1037*IFERROR(INDEX(Listas!$B$2:$B$50,MATCH(G1037,Listas!$A$2:$A$50,0)),0))</f>
        <v/>
      </c>
      <c r="AA1037" s="32"/>
      <c r="AB1037" s="32"/>
      <c r="AC1037" s="32"/>
      <c r="AD1037" s="35" t="str">
        <f aca="false">IF(OR(LEFT(H1037,4)="Meta",LEFT(H1037,6)="Google"),IF(AG1037=3,"Lead calificado",IF(OR(AG1037=4,AG1037=5),"Tasación/visita",IF(OR(AG1037=6,AG1037=7),"Captación/oferta",IF(AG1037=8,"Cierre","")))),"")</f>
        <v/>
      </c>
      <c r="AE1037" s="32"/>
      <c r="AF1037" s="32"/>
      <c r="AG1037" s="37" t="n">
        <f aca="false">IF(R1037="",0,IFERROR(MATCH(R1037,Listas!$L$2:$L$50,0),0))</f>
        <v>0</v>
      </c>
    </row>
    <row r="1038" customFormat="false" ht="15" hidden="false" customHeight="false" outlineLevel="0" collapsed="false">
      <c r="A1038" s="30"/>
      <c r="B1038" s="31"/>
      <c r="C1038" s="32"/>
      <c r="D1038" s="32"/>
      <c r="E1038" s="33"/>
      <c r="F1038" s="32"/>
      <c r="G1038" s="32"/>
      <c r="H1038" s="32"/>
      <c r="I1038" s="32"/>
      <c r="J1038" s="32"/>
      <c r="K1038" s="32"/>
      <c r="L1038" s="32"/>
      <c r="M1038" s="30"/>
      <c r="N1038" s="32"/>
      <c r="O1038" s="34"/>
      <c r="P1038" s="32"/>
      <c r="Q1038" s="32"/>
      <c r="R1038" s="32"/>
      <c r="S1038" s="32"/>
      <c r="T1038" s="32"/>
      <c r="U1038" s="32"/>
      <c r="V1038" s="31"/>
      <c r="W1038" s="35" t="str">
        <f aca="true">IF(OR(V1038="",AG1038&gt;=8),"",IF(V1038&lt;TODAY(),"Vencida",IF(V1038=TODAY(),"Hoy","")))</f>
        <v/>
      </c>
      <c r="X1038" s="36" t="str">
        <f aca="false">IF(A1038="","",IF(COUNTIF(Seguimiento!$B$2:$B$5001,A1038)=0,"",_xlfn.MAXIFS(Seguimiento!$A$2:$A$5001,Seguimiento!$B$2:$B$5001,A1038)))</f>
        <v/>
      </c>
      <c r="Y1038" s="37" t="str">
        <f aca="true">IF(B1038="","",TODAY()-B1038)</f>
        <v/>
      </c>
      <c r="Z1038" s="38" t="str">
        <f aca="false">IF(OR(O1038="",G1038=""),"",O1038*IFERROR(INDEX(Listas!$B$2:$B$50,MATCH(G1038,Listas!$A$2:$A$50,0)),0))</f>
        <v/>
      </c>
      <c r="AA1038" s="32"/>
      <c r="AB1038" s="32"/>
      <c r="AC1038" s="32"/>
      <c r="AD1038" s="35" t="str">
        <f aca="false">IF(OR(LEFT(H1038,4)="Meta",LEFT(H1038,6)="Google"),IF(AG1038=3,"Lead calificado",IF(OR(AG1038=4,AG1038=5),"Tasación/visita",IF(OR(AG1038=6,AG1038=7),"Captación/oferta",IF(AG1038=8,"Cierre","")))),"")</f>
        <v/>
      </c>
      <c r="AE1038" s="32"/>
      <c r="AF1038" s="32"/>
      <c r="AG1038" s="37" t="n">
        <f aca="false">IF(R1038="",0,IFERROR(MATCH(R1038,Listas!$L$2:$L$50,0),0))</f>
        <v>0</v>
      </c>
    </row>
    <row r="1039" customFormat="false" ht="15" hidden="false" customHeight="false" outlineLevel="0" collapsed="false">
      <c r="A1039" s="30"/>
      <c r="B1039" s="31"/>
      <c r="C1039" s="32"/>
      <c r="D1039" s="32"/>
      <c r="E1039" s="33"/>
      <c r="F1039" s="32"/>
      <c r="G1039" s="32"/>
      <c r="H1039" s="32"/>
      <c r="I1039" s="32"/>
      <c r="J1039" s="32"/>
      <c r="K1039" s="32"/>
      <c r="L1039" s="32"/>
      <c r="M1039" s="30"/>
      <c r="N1039" s="32"/>
      <c r="O1039" s="34"/>
      <c r="P1039" s="32"/>
      <c r="Q1039" s="32"/>
      <c r="R1039" s="32"/>
      <c r="S1039" s="32"/>
      <c r="T1039" s="32"/>
      <c r="U1039" s="32"/>
      <c r="V1039" s="31"/>
      <c r="W1039" s="35" t="str">
        <f aca="true">IF(OR(V1039="",AG1039&gt;=8),"",IF(V1039&lt;TODAY(),"Vencida",IF(V1039=TODAY(),"Hoy","")))</f>
        <v/>
      </c>
      <c r="X1039" s="36" t="str">
        <f aca="false">IF(A1039="","",IF(COUNTIF(Seguimiento!$B$2:$B$5001,A1039)=0,"",_xlfn.MAXIFS(Seguimiento!$A$2:$A$5001,Seguimiento!$B$2:$B$5001,A1039)))</f>
        <v/>
      </c>
      <c r="Y1039" s="37" t="str">
        <f aca="true">IF(B1039="","",TODAY()-B1039)</f>
        <v/>
      </c>
      <c r="Z1039" s="38" t="str">
        <f aca="false">IF(OR(O1039="",G1039=""),"",O1039*IFERROR(INDEX(Listas!$B$2:$B$50,MATCH(G1039,Listas!$A$2:$A$50,0)),0))</f>
        <v/>
      </c>
      <c r="AA1039" s="32"/>
      <c r="AB1039" s="32"/>
      <c r="AC1039" s="32"/>
      <c r="AD1039" s="35" t="str">
        <f aca="false">IF(OR(LEFT(H1039,4)="Meta",LEFT(H1039,6)="Google"),IF(AG1039=3,"Lead calificado",IF(OR(AG1039=4,AG1039=5),"Tasación/visita",IF(OR(AG1039=6,AG1039=7),"Captación/oferta",IF(AG1039=8,"Cierre","")))),"")</f>
        <v/>
      </c>
      <c r="AE1039" s="32"/>
      <c r="AF1039" s="32"/>
      <c r="AG1039" s="37" t="n">
        <f aca="false">IF(R1039="",0,IFERROR(MATCH(R1039,Listas!$L$2:$L$50,0),0))</f>
        <v>0</v>
      </c>
    </row>
    <row r="1040" customFormat="false" ht="15" hidden="false" customHeight="false" outlineLevel="0" collapsed="false">
      <c r="A1040" s="30"/>
      <c r="B1040" s="31"/>
      <c r="C1040" s="32"/>
      <c r="D1040" s="32"/>
      <c r="E1040" s="33"/>
      <c r="F1040" s="32"/>
      <c r="G1040" s="32"/>
      <c r="H1040" s="32"/>
      <c r="I1040" s="32"/>
      <c r="J1040" s="32"/>
      <c r="K1040" s="32"/>
      <c r="L1040" s="32"/>
      <c r="M1040" s="30"/>
      <c r="N1040" s="32"/>
      <c r="O1040" s="34"/>
      <c r="P1040" s="32"/>
      <c r="Q1040" s="32"/>
      <c r="R1040" s="32"/>
      <c r="S1040" s="32"/>
      <c r="T1040" s="32"/>
      <c r="U1040" s="32"/>
      <c r="V1040" s="31"/>
      <c r="W1040" s="35" t="str">
        <f aca="true">IF(OR(V1040="",AG1040&gt;=8),"",IF(V1040&lt;TODAY(),"Vencida",IF(V1040=TODAY(),"Hoy","")))</f>
        <v/>
      </c>
      <c r="X1040" s="36" t="str">
        <f aca="false">IF(A1040="","",IF(COUNTIF(Seguimiento!$B$2:$B$5001,A1040)=0,"",_xlfn.MAXIFS(Seguimiento!$A$2:$A$5001,Seguimiento!$B$2:$B$5001,A1040)))</f>
        <v/>
      </c>
      <c r="Y1040" s="37" t="str">
        <f aca="true">IF(B1040="","",TODAY()-B1040)</f>
        <v/>
      </c>
      <c r="Z1040" s="38" t="str">
        <f aca="false">IF(OR(O1040="",G1040=""),"",O1040*IFERROR(INDEX(Listas!$B$2:$B$50,MATCH(G1040,Listas!$A$2:$A$50,0)),0))</f>
        <v/>
      </c>
      <c r="AA1040" s="32"/>
      <c r="AB1040" s="32"/>
      <c r="AC1040" s="32"/>
      <c r="AD1040" s="35" t="str">
        <f aca="false">IF(OR(LEFT(H1040,4)="Meta",LEFT(H1040,6)="Google"),IF(AG1040=3,"Lead calificado",IF(OR(AG1040=4,AG1040=5),"Tasación/visita",IF(OR(AG1040=6,AG1040=7),"Captación/oferta",IF(AG1040=8,"Cierre","")))),"")</f>
        <v/>
      </c>
      <c r="AE1040" s="32"/>
      <c r="AF1040" s="32"/>
      <c r="AG1040" s="37" t="n">
        <f aca="false">IF(R1040="",0,IFERROR(MATCH(R1040,Listas!$L$2:$L$50,0),0))</f>
        <v>0</v>
      </c>
    </row>
    <row r="1041" customFormat="false" ht="15" hidden="false" customHeight="false" outlineLevel="0" collapsed="false">
      <c r="A1041" s="30"/>
      <c r="B1041" s="31"/>
      <c r="C1041" s="32"/>
      <c r="D1041" s="32"/>
      <c r="E1041" s="33"/>
      <c r="F1041" s="32"/>
      <c r="G1041" s="32"/>
      <c r="H1041" s="32"/>
      <c r="I1041" s="32"/>
      <c r="J1041" s="32"/>
      <c r="K1041" s="32"/>
      <c r="L1041" s="32"/>
      <c r="M1041" s="30"/>
      <c r="N1041" s="32"/>
      <c r="O1041" s="34"/>
      <c r="P1041" s="32"/>
      <c r="Q1041" s="32"/>
      <c r="R1041" s="32"/>
      <c r="S1041" s="32"/>
      <c r="T1041" s="32"/>
      <c r="U1041" s="32"/>
      <c r="V1041" s="31"/>
      <c r="W1041" s="35" t="str">
        <f aca="true">IF(OR(V1041="",AG1041&gt;=8),"",IF(V1041&lt;TODAY(),"Vencida",IF(V1041=TODAY(),"Hoy","")))</f>
        <v/>
      </c>
      <c r="X1041" s="36" t="str">
        <f aca="false">IF(A1041="","",IF(COUNTIF(Seguimiento!$B$2:$B$5001,A1041)=0,"",_xlfn.MAXIFS(Seguimiento!$A$2:$A$5001,Seguimiento!$B$2:$B$5001,A1041)))</f>
        <v/>
      </c>
      <c r="Y1041" s="37" t="str">
        <f aca="true">IF(B1041="","",TODAY()-B1041)</f>
        <v/>
      </c>
      <c r="Z1041" s="38" t="str">
        <f aca="false">IF(OR(O1041="",G1041=""),"",O1041*IFERROR(INDEX(Listas!$B$2:$B$50,MATCH(G1041,Listas!$A$2:$A$50,0)),0))</f>
        <v/>
      </c>
      <c r="AA1041" s="32"/>
      <c r="AB1041" s="32"/>
      <c r="AC1041" s="32"/>
      <c r="AD1041" s="35" t="str">
        <f aca="false">IF(OR(LEFT(H1041,4)="Meta",LEFT(H1041,6)="Google"),IF(AG1041=3,"Lead calificado",IF(OR(AG1041=4,AG1041=5),"Tasación/visita",IF(OR(AG1041=6,AG1041=7),"Captación/oferta",IF(AG1041=8,"Cierre","")))),"")</f>
        <v/>
      </c>
      <c r="AE1041" s="32"/>
      <c r="AF1041" s="32"/>
      <c r="AG1041" s="37" t="n">
        <f aca="false">IF(R1041="",0,IFERROR(MATCH(R1041,Listas!$L$2:$L$50,0),0))</f>
        <v>0</v>
      </c>
    </row>
    <row r="1042" customFormat="false" ht="15" hidden="false" customHeight="false" outlineLevel="0" collapsed="false">
      <c r="A1042" s="30"/>
      <c r="B1042" s="31"/>
      <c r="C1042" s="32"/>
      <c r="D1042" s="32"/>
      <c r="E1042" s="33"/>
      <c r="F1042" s="32"/>
      <c r="G1042" s="32"/>
      <c r="H1042" s="32"/>
      <c r="I1042" s="32"/>
      <c r="J1042" s="32"/>
      <c r="K1042" s="32"/>
      <c r="L1042" s="32"/>
      <c r="M1042" s="30"/>
      <c r="N1042" s="32"/>
      <c r="O1042" s="34"/>
      <c r="P1042" s="32"/>
      <c r="Q1042" s="32"/>
      <c r="R1042" s="32"/>
      <c r="S1042" s="32"/>
      <c r="T1042" s="32"/>
      <c r="U1042" s="32"/>
      <c r="V1042" s="31"/>
      <c r="W1042" s="35" t="str">
        <f aca="true">IF(OR(V1042="",AG1042&gt;=8),"",IF(V1042&lt;TODAY(),"Vencida",IF(V1042=TODAY(),"Hoy","")))</f>
        <v/>
      </c>
      <c r="X1042" s="36" t="str">
        <f aca="false">IF(A1042="","",IF(COUNTIF(Seguimiento!$B$2:$B$5001,A1042)=0,"",_xlfn.MAXIFS(Seguimiento!$A$2:$A$5001,Seguimiento!$B$2:$B$5001,A1042)))</f>
        <v/>
      </c>
      <c r="Y1042" s="37" t="str">
        <f aca="true">IF(B1042="","",TODAY()-B1042)</f>
        <v/>
      </c>
      <c r="Z1042" s="38" t="str">
        <f aca="false">IF(OR(O1042="",G1042=""),"",O1042*IFERROR(INDEX(Listas!$B$2:$B$50,MATCH(G1042,Listas!$A$2:$A$50,0)),0))</f>
        <v/>
      </c>
      <c r="AA1042" s="32"/>
      <c r="AB1042" s="32"/>
      <c r="AC1042" s="32"/>
      <c r="AD1042" s="35" t="str">
        <f aca="false">IF(OR(LEFT(H1042,4)="Meta",LEFT(H1042,6)="Google"),IF(AG1042=3,"Lead calificado",IF(OR(AG1042=4,AG1042=5),"Tasación/visita",IF(OR(AG1042=6,AG1042=7),"Captación/oferta",IF(AG1042=8,"Cierre","")))),"")</f>
        <v/>
      </c>
      <c r="AE1042" s="32"/>
      <c r="AF1042" s="32"/>
      <c r="AG1042" s="37" t="n">
        <f aca="false">IF(R1042="",0,IFERROR(MATCH(R1042,Listas!$L$2:$L$50,0),0))</f>
        <v>0</v>
      </c>
    </row>
    <row r="1043" customFormat="false" ht="15" hidden="false" customHeight="false" outlineLevel="0" collapsed="false">
      <c r="A1043" s="30"/>
      <c r="B1043" s="31"/>
      <c r="C1043" s="32"/>
      <c r="D1043" s="32"/>
      <c r="E1043" s="33"/>
      <c r="F1043" s="32"/>
      <c r="G1043" s="32"/>
      <c r="H1043" s="32"/>
      <c r="I1043" s="32"/>
      <c r="J1043" s="32"/>
      <c r="K1043" s="32"/>
      <c r="L1043" s="32"/>
      <c r="M1043" s="30"/>
      <c r="N1043" s="32"/>
      <c r="O1043" s="34"/>
      <c r="P1043" s="32"/>
      <c r="Q1043" s="32"/>
      <c r="R1043" s="32"/>
      <c r="S1043" s="32"/>
      <c r="T1043" s="32"/>
      <c r="U1043" s="32"/>
      <c r="V1043" s="31"/>
      <c r="W1043" s="35" t="str">
        <f aca="true">IF(OR(V1043="",AG1043&gt;=8),"",IF(V1043&lt;TODAY(),"Vencida",IF(V1043=TODAY(),"Hoy","")))</f>
        <v/>
      </c>
      <c r="X1043" s="36" t="str">
        <f aca="false">IF(A1043="","",IF(COUNTIF(Seguimiento!$B$2:$B$5001,A1043)=0,"",_xlfn.MAXIFS(Seguimiento!$A$2:$A$5001,Seguimiento!$B$2:$B$5001,A1043)))</f>
        <v/>
      </c>
      <c r="Y1043" s="37" t="str">
        <f aca="true">IF(B1043="","",TODAY()-B1043)</f>
        <v/>
      </c>
      <c r="Z1043" s="38" t="str">
        <f aca="false">IF(OR(O1043="",G1043=""),"",O1043*IFERROR(INDEX(Listas!$B$2:$B$50,MATCH(G1043,Listas!$A$2:$A$50,0)),0))</f>
        <v/>
      </c>
      <c r="AA1043" s="32"/>
      <c r="AB1043" s="32"/>
      <c r="AC1043" s="32"/>
      <c r="AD1043" s="35" t="str">
        <f aca="false">IF(OR(LEFT(H1043,4)="Meta",LEFT(H1043,6)="Google"),IF(AG1043=3,"Lead calificado",IF(OR(AG1043=4,AG1043=5),"Tasación/visita",IF(OR(AG1043=6,AG1043=7),"Captación/oferta",IF(AG1043=8,"Cierre","")))),"")</f>
        <v/>
      </c>
      <c r="AE1043" s="32"/>
      <c r="AF1043" s="32"/>
      <c r="AG1043" s="37" t="n">
        <f aca="false">IF(R1043="",0,IFERROR(MATCH(R1043,Listas!$L$2:$L$50,0),0))</f>
        <v>0</v>
      </c>
    </row>
    <row r="1044" customFormat="false" ht="15" hidden="false" customHeight="false" outlineLevel="0" collapsed="false">
      <c r="A1044" s="30"/>
      <c r="B1044" s="31"/>
      <c r="C1044" s="32"/>
      <c r="D1044" s="32"/>
      <c r="E1044" s="33"/>
      <c r="F1044" s="32"/>
      <c r="G1044" s="32"/>
      <c r="H1044" s="32"/>
      <c r="I1044" s="32"/>
      <c r="J1044" s="32"/>
      <c r="K1044" s="32"/>
      <c r="L1044" s="32"/>
      <c r="M1044" s="30"/>
      <c r="N1044" s="32"/>
      <c r="O1044" s="34"/>
      <c r="P1044" s="32"/>
      <c r="Q1044" s="32"/>
      <c r="R1044" s="32"/>
      <c r="S1044" s="32"/>
      <c r="T1044" s="32"/>
      <c r="U1044" s="32"/>
      <c r="V1044" s="31"/>
      <c r="W1044" s="35" t="str">
        <f aca="true">IF(OR(V1044="",AG1044&gt;=8),"",IF(V1044&lt;TODAY(),"Vencida",IF(V1044=TODAY(),"Hoy","")))</f>
        <v/>
      </c>
      <c r="X1044" s="36" t="str">
        <f aca="false">IF(A1044="","",IF(COUNTIF(Seguimiento!$B$2:$B$5001,A1044)=0,"",_xlfn.MAXIFS(Seguimiento!$A$2:$A$5001,Seguimiento!$B$2:$B$5001,A1044)))</f>
        <v/>
      </c>
      <c r="Y1044" s="37" t="str">
        <f aca="true">IF(B1044="","",TODAY()-B1044)</f>
        <v/>
      </c>
      <c r="Z1044" s="38" t="str">
        <f aca="false">IF(OR(O1044="",G1044=""),"",O1044*IFERROR(INDEX(Listas!$B$2:$B$50,MATCH(G1044,Listas!$A$2:$A$50,0)),0))</f>
        <v/>
      </c>
      <c r="AA1044" s="32"/>
      <c r="AB1044" s="32"/>
      <c r="AC1044" s="32"/>
      <c r="AD1044" s="35" t="str">
        <f aca="false">IF(OR(LEFT(H1044,4)="Meta",LEFT(H1044,6)="Google"),IF(AG1044=3,"Lead calificado",IF(OR(AG1044=4,AG1044=5),"Tasación/visita",IF(OR(AG1044=6,AG1044=7),"Captación/oferta",IF(AG1044=8,"Cierre","")))),"")</f>
        <v/>
      </c>
      <c r="AE1044" s="32"/>
      <c r="AF1044" s="32"/>
      <c r="AG1044" s="37" t="n">
        <f aca="false">IF(R1044="",0,IFERROR(MATCH(R1044,Listas!$L$2:$L$50,0),0))</f>
        <v>0</v>
      </c>
    </row>
    <row r="1045" customFormat="false" ht="15" hidden="false" customHeight="false" outlineLevel="0" collapsed="false">
      <c r="A1045" s="30"/>
      <c r="B1045" s="31"/>
      <c r="C1045" s="32"/>
      <c r="D1045" s="32"/>
      <c r="E1045" s="33"/>
      <c r="F1045" s="32"/>
      <c r="G1045" s="32"/>
      <c r="H1045" s="32"/>
      <c r="I1045" s="32"/>
      <c r="J1045" s="32"/>
      <c r="K1045" s="32"/>
      <c r="L1045" s="32"/>
      <c r="M1045" s="30"/>
      <c r="N1045" s="32"/>
      <c r="O1045" s="34"/>
      <c r="P1045" s="32"/>
      <c r="Q1045" s="32"/>
      <c r="R1045" s="32"/>
      <c r="S1045" s="32"/>
      <c r="T1045" s="32"/>
      <c r="U1045" s="32"/>
      <c r="V1045" s="31"/>
      <c r="W1045" s="35" t="str">
        <f aca="true">IF(OR(V1045="",AG1045&gt;=8),"",IF(V1045&lt;TODAY(),"Vencida",IF(V1045=TODAY(),"Hoy","")))</f>
        <v/>
      </c>
      <c r="X1045" s="36" t="str">
        <f aca="false">IF(A1045="","",IF(COUNTIF(Seguimiento!$B$2:$B$5001,A1045)=0,"",_xlfn.MAXIFS(Seguimiento!$A$2:$A$5001,Seguimiento!$B$2:$B$5001,A1045)))</f>
        <v/>
      </c>
      <c r="Y1045" s="37" t="str">
        <f aca="true">IF(B1045="","",TODAY()-B1045)</f>
        <v/>
      </c>
      <c r="Z1045" s="38" t="str">
        <f aca="false">IF(OR(O1045="",G1045=""),"",O1045*IFERROR(INDEX(Listas!$B$2:$B$50,MATCH(G1045,Listas!$A$2:$A$50,0)),0))</f>
        <v/>
      </c>
      <c r="AA1045" s="32"/>
      <c r="AB1045" s="32"/>
      <c r="AC1045" s="32"/>
      <c r="AD1045" s="35" t="str">
        <f aca="false">IF(OR(LEFT(H1045,4)="Meta",LEFT(H1045,6)="Google"),IF(AG1045=3,"Lead calificado",IF(OR(AG1045=4,AG1045=5),"Tasación/visita",IF(OR(AG1045=6,AG1045=7),"Captación/oferta",IF(AG1045=8,"Cierre","")))),"")</f>
        <v/>
      </c>
      <c r="AE1045" s="32"/>
      <c r="AF1045" s="32"/>
      <c r="AG1045" s="37" t="n">
        <f aca="false">IF(R1045="",0,IFERROR(MATCH(R1045,Listas!$L$2:$L$50,0),0))</f>
        <v>0</v>
      </c>
    </row>
    <row r="1046" customFormat="false" ht="15" hidden="false" customHeight="false" outlineLevel="0" collapsed="false">
      <c r="A1046" s="30"/>
      <c r="B1046" s="31"/>
      <c r="C1046" s="32"/>
      <c r="D1046" s="32"/>
      <c r="E1046" s="33"/>
      <c r="F1046" s="32"/>
      <c r="G1046" s="32"/>
      <c r="H1046" s="32"/>
      <c r="I1046" s="32"/>
      <c r="J1046" s="32"/>
      <c r="K1046" s="32"/>
      <c r="L1046" s="32"/>
      <c r="M1046" s="30"/>
      <c r="N1046" s="32"/>
      <c r="O1046" s="34"/>
      <c r="P1046" s="32"/>
      <c r="Q1046" s="32"/>
      <c r="R1046" s="32"/>
      <c r="S1046" s="32"/>
      <c r="T1046" s="32"/>
      <c r="U1046" s="32"/>
      <c r="V1046" s="31"/>
      <c r="W1046" s="35" t="str">
        <f aca="true">IF(OR(V1046="",AG1046&gt;=8),"",IF(V1046&lt;TODAY(),"Vencida",IF(V1046=TODAY(),"Hoy","")))</f>
        <v/>
      </c>
      <c r="X1046" s="36" t="str">
        <f aca="false">IF(A1046="","",IF(COUNTIF(Seguimiento!$B$2:$B$5001,A1046)=0,"",_xlfn.MAXIFS(Seguimiento!$A$2:$A$5001,Seguimiento!$B$2:$B$5001,A1046)))</f>
        <v/>
      </c>
      <c r="Y1046" s="37" t="str">
        <f aca="true">IF(B1046="","",TODAY()-B1046)</f>
        <v/>
      </c>
      <c r="Z1046" s="38" t="str">
        <f aca="false">IF(OR(O1046="",G1046=""),"",O1046*IFERROR(INDEX(Listas!$B$2:$B$50,MATCH(G1046,Listas!$A$2:$A$50,0)),0))</f>
        <v/>
      </c>
      <c r="AA1046" s="32"/>
      <c r="AB1046" s="32"/>
      <c r="AC1046" s="32"/>
      <c r="AD1046" s="35" t="str">
        <f aca="false">IF(OR(LEFT(H1046,4)="Meta",LEFT(H1046,6)="Google"),IF(AG1046=3,"Lead calificado",IF(OR(AG1046=4,AG1046=5),"Tasación/visita",IF(OR(AG1046=6,AG1046=7),"Captación/oferta",IF(AG1046=8,"Cierre","")))),"")</f>
        <v/>
      </c>
      <c r="AE1046" s="32"/>
      <c r="AF1046" s="32"/>
      <c r="AG1046" s="37" t="n">
        <f aca="false">IF(R1046="",0,IFERROR(MATCH(R1046,Listas!$L$2:$L$50,0),0))</f>
        <v>0</v>
      </c>
    </row>
    <row r="1047" customFormat="false" ht="15" hidden="false" customHeight="false" outlineLevel="0" collapsed="false">
      <c r="A1047" s="30"/>
      <c r="B1047" s="31"/>
      <c r="C1047" s="32"/>
      <c r="D1047" s="32"/>
      <c r="E1047" s="33"/>
      <c r="F1047" s="32"/>
      <c r="G1047" s="32"/>
      <c r="H1047" s="32"/>
      <c r="I1047" s="32"/>
      <c r="J1047" s="32"/>
      <c r="K1047" s="32"/>
      <c r="L1047" s="32"/>
      <c r="M1047" s="30"/>
      <c r="N1047" s="32"/>
      <c r="O1047" s="34"/>
      <c r="P1047" s="32"/>
      <c r="Q1047" s="32"/>
      <c r="R1047" s="32"/>
      <c r="S1047" s="32"/>
      <c r="T1047" s="32"/>
      <c r="U1047" s="32"/>
      <c r="V1047" s="31"/>
      <c r="W1047" s="35" t="str">
        <f aca="true">IF(OR(V1047="",AG1047&gt;=8),"",IF(V1047&lt;TODAY(),"Vencida",IF(V1047=TODAY(),"Hoy","")))</f>
        <v/>
      </c>
      <c r="X1047" s="36" t="str">
        <f aca="false">IF(A1047="","",IF(COUNTIF(Seguimiento!$B$2:$B$5001,A1047)=0,"",_xlfn.MAXIFS(Seguimiento!$A$2:$A$5001,Seguimiento!$B$2:$B$5001,A1047)))</f>
        <v/>
      </c>
      <c r="Y1047" s="37" t="str">
        <f aca="true">IF(B1047="","",TODAY()-B1047)</f>
        <v/>
      </c>
      <c r="Z1047" s="38" t="str">
        <f aca="false">IF(OR(O1047="",G1047=""),"",O1047*IFERROR(INDEX(Listas!$B$2:$B$50,MATCH(G1047,Listas!$A$2:$A$50,0)),0))</f>
        <v/>
      </c>
      <c r="AA1047" s="32"/>
      <c r="AB1047" s="32"/>
      <c r="AC1047" s="32"/>
      <c r="AD1047" s="35" t="str">
        <f aca="false">IF(OR(LEFT(H1047,4)="Meta",LEFT(H1047,6)="Google"),IF(AG1047=3,"Lead calificado",IF(OR(AG1047=4,AG1047=5),"Tasación/visita",IF(OR(AG1047=6,AG1047=7),"Captación/oferta",IF(AG1047=8,"Cierre","")))),"")</f>
        <v/>
      </c>
      <c r="AE1047" s="32"/>
      <c r="AF1047" s="32"/>
      <c r="AG1047" s="37" t="n">
        <f aca="false">IF(R1047="",0,IFERROR(MATCH(R1047,Listas!$L$2:$L$50,0),0))</f>
        <v>0</v>
      </c>
    </row>
    <row r="1048" customFormat="false" ht="15" hidden="false" customHeight="false" outlineLevel="0" collapsed="false">
      <c r="A1048" s="30"/>
      <c r="B1048" s="31"/>
      <c r="C1048" s="32"/>
      <c r="D1048" s="32"/>
      <c r="E1048" s="33"/>
      <c r="F1048" s="32"/>
      <c r="G1048" s="32"/>
      <c r="H1048" s="32"/>
      <c r="I1048" s="32"/>
      <c r="J1048" s="32"/>
      <c r="K1048" s="32"/>
      <c r="L1048" s="32"/>
      <c r="M1048" s="30"/>
      <c r="N1048" s="32"/>
      <c r="O1048" s="34"/>
      <c r="P1048" s="32"/>
      <c r="Q1048" s="32"/>
      <c r="R1048" s="32"/>
      <c r="S1048" s="32"/>
      <c r="T1048" s="32"/>
      <c r="U1048" s="32"/>
      <c r="V1048" s="31"/>
      <c r="W1048" s="35" t="str">
        <f aca="true">IF(OR(V1048="",AG1048&gt;=8),"",IF(V1048&lt;TODAY(),"Vencida",IF(V1048=TODAY(),"Hoy","")))</f>
        <v/>
      </c>
      <c r="X1048" s="36" t="str">
        <f aca="false">IF(A1048="","",IF(COUNTIF(Seguimiento!$B$2:$B$5001,A1048)=0,"",_xlfn.MAXIFS(Seguimiento!$A$2:$A$5001,Seguimiento!$B$2:$B$5001,A1048)))</f>
        <v/>
      </c>
      <c r="Y1048" s="37" t="str">
        <f aca="true">IF(B1048="","",TODAY()-B1048)</f>
        <v/>
      </c>
      <c r="Z1048" s="38" t="str">
        <f aca="false">IF(OR(O1048="",G1048=""),"",O1048*IFERROR(INDEX(Listas!$B$2:$B$50,MATCH(G1048,Listas!$A$2:$A$50,0)),0))</f>
        <v/>
      </c>
      <c r="AA1048" s="32"/>
      <c r="AB1048" s="32"/>
      <c r="AC1048" s="32"/>
      <c r="AD1048" s="35" t="str">
        <f aca="false">IF(OR(LEFT(H1048,4)="Meta",LEFT(H1048,6)="Google"),IF(AG1048=3,"Lead calificado",IF(OR(AG1048=4,AG1048=5),"Tasación/visita",IF(OR(AG1048=6,AG1048=7),"Captación/oferta",IF(AG1048=8,"Cierre","")))),"")</f>
        <v/>
      </c>
      <c r="AE1048" s="32"/>
      <c r="AF1048" s="32"/>
      <c r="AG1048" s="37" t="n">
        <f aca="false">IF(R1048="",0,IFERROR(MATCH(R1048,Listas!$L$2:$L$50,0),0))</f>
        <v>0</v>
      </c>
    </row>
    <row r="1049" customFormat="false" ht="15" hidden="false" customHeight="false" outlineLevel="0" collapsed="false">
      <c r="A1049" s="30"/>
      <c r="B1049" s="31"/>
      <c r="C1049" s="32"/>
      <c r="D1049" s="32"/>
      <c r="E1049" s="33"/>
      <c r="F1049" s="32"/>
      <c r="G1049" s="32"/>
      <c r="H1049" s="32"/>
      <c r="I1049" s="32"/>
      <c r="J1049" s="32"/>
      <c r="K1049" s="32"/>
      <c r="L1049" s="32"/>
      <c r="M1049" s="30"/>
      <c r="N1049" s="32"/>
      <c r="O1049" s="34"/>
      <c r="P1049" s="32"/>
      <c r="Q1049" s="32"/>
      <c r="R1049" s="32"/>
      <c r="S1049" s="32"/>
      <c r="T1049" s="32"/>
      <c r="U1049" s="32"/>
      <c r="V1049" s="31"/>
      <c r="W1049" s="35" t="str">
        <f aca="true">IF(OR(V1049="",AG1049&gt;=8),"",IF(V1049&lt;TODAY(),"Vencida",IF(V1049=TODAY(),"Hoy","")))</f>
        <v/>
      </c>
      <c r="X1049" s="36" t="str">
        <f aca="false">IF(A1049="","",IF(COUNTIF(Seguimiento!$B$2:$B$5001,A1049)=0,"",_xlfn.MAXIFS(Seguimiento!$A$2:$A$5001,Seguimiento!$B$2:$B$5001,A1049)))</f>
        <v/>
      </c>
      <c r="Y1049" s="37" t="str">
        <f aca="true">IF(B1049="","",TODAY()-B1049)</f>
        <v/>
      </c>
      <c r="Z1049" s="38" t="str">
        <f aca="false">IF(OR(O1049="",G1049=""),"",O1049*IFERROR(INDEX(Listas!$B$2:$B$50,MATCH(G1049,Listas!$A$2:$A$50,0)),0))</f>
        <v/>
      </c>
      <c r="AA1049" s="32"/>
      <c r="AB1049" s="32"/>
      <c r="AC1049" s="32"/>
      <c r="AD1049" s="35" t="str">
        <f aca="false">IF(OR(LEFT(H1049,4)="Meta",LEFT(H1049,6)="Google"),IF(AG1049=3,"Lead calificado",IF(OR(AG1049=4,AG1049=5),"Tasación/visita",IF(OR(AG1049=6,AG1049=7),"Captación/oferta",IF(AG1049=8,"Cierre","")))),"")</f>
        <v/>
      </c>
      <c r="AE1049" s="32"/>
      <c r="AF1049" s="32"/>
      <c r="AG1049" s="37" t="n">
        <f aca="false">IF(R1049="",0,IFERROR(MATCH(R1049,Listas!$L$2:$L$50,0),0))</f>
        <v>0</v>
      </c>
    </row>
    <row r="1050" customFormat="false" ht="15" hidden="false" customHeight="false" outlineLevel="0" collapsed="false">
      <c r="A1050" s="30"/>
      <c r="B1050" s="31"/>
      <c r="C1050" s="32"/>
      <c r="D1050" s="32"/>
      <c r="E1050" s="33"/>
      <c r="F1050" s="32"/>
      <c r="G1050" s="32"/>
      <c r="H1050" s="32"/>
      <c r="I1050" s="32"/>
      <c r="J1050" s="32"/>
      <c r="K1050" s="32"/>
      <c r="L1050" s="32"/>
      <c r="M1050" s="30"/>
      <c r="N1050" s="32"/>
      <c r="O1050" s="34"/>
      <c r="P1050" s="32"/>
      <c r="Q1050" s="32"/>
      <c r="R1050" s="32"/>
      <c r="S1050" s="32"/>
      <c r="T1050" s="32"/>
      <c r="U1050" s="32"/>
      <c r="V1050" s="31"/>
      <c r="W1050" s="35" t="str">
        <f aca="true">IF(OR(V1050="",AG1050&gt;=8),"",IF(V1050&lt;TODAY(),"Vencida",IF(V1050=TODAY(),"Hoy","")))</f>
        <v/>
      </c>
      <c r="X1050" s="36" t="str">
        <f aca="false">IF(A1050="","",IF(COUNTIF(Seguimiento!$B$2:$B$5001,A1050)=0,"",_xlfn.MAXIFS(Seguimiento!$A$2:$A$5001,Seguimiento!$B$2:$B$5001,A1050)))</f>
        <v/>
      </c>
      <c r="Y1050" s="37" t="str">
        <f aca="true">IF(B1050="","",TODAY()-B1050)</f>
        <v/>
      </c>
      <c r="Z1050" s="38" t="str">
        <f aca="false">IF(OR(O1050="",G1050=""),"",O1050*IFERROR(INDEX(Listas!$B$2:$B$50,MATCH(G1050,Listas!$A$2:$A$50,0)),0))</f>
        <v/>
      </c>
      <c r="AA1050" s="32"/>
      <c r="AB1050" s="32"/>
      <c r="AC1050" s="32"/>
      <c r="AD1050" s="35" t="str">
        <f aca="false">IF(OR(LEFT(H1050,4)="Meta",LEFT(H1050,6)="Google"),IF(AG1050=3,"Lead calificado",IF(OR(AG1050=4,AG1050=5),"Tasación/visita",IF(OR(AG1050=6,AG1050=7),"Captación/oferta",IF(AG1050=8,"Cierre","")))),"")</f>
        <v/>
      </c>
      <c r="AE1050" s="32"/>
      <c r="AF1050" s="32"/>
      <c r="AG1050" s="37" t="n">
        <f aca="false">IF(R1050="",0,IFERROR(MATCH(R1050,Listas!$L$2:$L$50,0),0))</f>
        <v>0</v>
      </c>
    </row>
    <row r="1051" customFormat="false" ht="15" hidden="false" customHeight="false" outlineLevel="0" collapsed="false">
      <c r="A1051" s="30"/>
      <c r="B1051" s="31"/>
      <c r="C1051" s="32"/>
      <c r="D1051" s="32"/>
      <c r="E1051" s="33"/>
      <c r="F1051" s="32"/>
      <c r="G1051" s="32"/>
      <c r="H1051" s="32"/>
      <c r="I1051" s="32"/>
      <c r="J1051" s="32"/>
      <c r="K1051" s="32"/>
      <c r="L1051" s="32"/>
      <c r="M1051" s="30"/>
      <c r="N1051" s="32"/>
      <c r="O1051" s="34"/>
      <c r="P1051" s="32"/>
      <c r="Q1051" s="32"/>
      <c r="R1051" s="32"/>
      <c r="S1051" s="32"/>
      <c r="T1051" s="32"/>
      <c r="U1051" s="32"/>
      <c r="V1051" s="31"/>
      <c r="W1051" s="35" t="str">
        <f aca="true">IF(OR(V1051="",AG1051&gt;=8),"",IF(V1051&lt;TODAY(),"Vencida",IF(V1051=TODAY(),"Hoy","")))</f>
        <v/>
      </c>
      <c r="X1051" s="36" t="str">
        <f aca="false">IF(A1051="","",IF(COUNTIF(Seguimiento!$B$2:$B$5001,A1051)=0,"",_xlfn.MAXIFS(Seguimiento!$A$2:$A$5001,Seguimiento!$B$2:$B$5001,A1051)))</f>
        <v/>
      </c>
      <c r="Y1051" s="37" t="str">
        <f aca="true">IF(B1051="","",TODAY()-B1051)</f>
        <v/>
      </c>
      <c r="Z1051" s="38" t="str">
        <f aca="false">IF(OR(O1051="",G1051=""),"",O1051*IFERROR(INDEX(Listas!$B$2:$B$50,MATCH(G1051,Listas!$A$2:$A$50,0)),0))</f>
        <v/>
      </c>
      <c r="AA1051" s="32"/>
      <c r="AB1051" s="32"/>
      <c r="AC1051" s="32"/>
      <c r="AD1051" s="35" t="str">
        <f aca="false">IF(OR(LEFT(H1051,4)="Meta",LEFT(H1051,6)="Google"),IF(AG1051=3,"Lead calificado",IF(OR(AG1051=4,AG1051=5),"Tasación/visita",IF(OR(AG1051=6,AG1051=7),"Captación/oferta",IF(AG1051=8,"Cierre","")))),"")</f>
        <v/>
      </c>
      <c r="AE1051" s="32"/>
      <c r="AF1051" s="32"/>
      <c r="AG1051" s="37" t="n">
        <f aca="false">IF(R1051="",0,IFERROR(MATCH(R1051,Listas!$L$2:$L$50,0),0))</f>
        <v>0</v>
      </c>
    </row>
    <row r="1052" customFormat="false" ht="15" hidden="false" customHeight="false" outlineLevel="0" collapsed="false">
      <c r="A1052" s="30"/>
      <c r="B1052" s="31"/>
      <c r="C1052" s="32"/>
      <c r="D1052" s="32"/>
      <c r="E1052" s="33"/>
      <c r="F1052" s="32"/>
      <c r="G1052" s="32"/>
      <c r="H1052" s="32"/>
      <c r="I1052" s="32"/>
      <c r="J1052" s="32"/>
      <c r="K1052" s="32"/>
      <c r="L1052" s="32"/>
      <c r="M1052" s="30"/>
      <c r="N1052" s="32"/>
      <c r="O1052" s="34"/>
      <c r="P1052" s="32"/>
      <c r="Q1052" s="32"/>
      <c r="R1052" s="32"/>
      <c r="S1052" s="32"/>
      <c r="T1052" s="32"/>
      <c r="U1052" s="32"/>
      <c r="V1052" s="31"/>
      <c r="W1052" s="35" t="str">
        <f aca="true">IF(OR(V1052="",AG1052&gt;=8),"",IF(V1052&lt;TODAY(),"Vencida",IF(V1052=TODAY(),"Hoy","")))</f>
        <v/>
      </c>
      <c r="X1052" s="36" t="str">
        <f aca="false">IF(A1052="","",IF(COUNTIF(Seguimiento!$B$2:$B$5001,A1052)=0,"",_xlfn.MAXIFS(Seguimiento!$A$2:$A$5001,Seguimiento!$B$2:$B$5001,A1052)))</f>
        <v/>
      </c>
      <c r="Y1052" s="37" t="str">
        <f aca="true">IF(B1052="","",TODAY()-B1052)</f>
        <v/>
      </c>
      <c r="Z1052" s="38" t="str">
        <f aca="false">IF(OR(O1052="",G1052=""),"",O1052*IFERROR(INDEX(Listas!$B$2:$B$50,MATCH(G1052,Listas!$A$2:$A$50,0)),0))</f>
        <v/>
      </c>
      <c r="AA1052" s="32"/>
      <c r="AB1052" s="32"/>
      <c r="AC1052" s="32"/>
      <c r="AD1052" s="35" t="str">
        <f aca="false">IF(OR(LEFT(H1052,4)="Meta",LEFT(H1052,6)="Google"),IF(AG1052=3,"Lead calificado",IF(OR(AG1052=4,AG1052=5),"Tasación/visita",IF(OR(AG1052=6,AG1052=7),"Captación/oferta",IF(AG1052=8,"Cierre","")))),"")</f>
        <v/>
      </c>
      <c r="AE1052" s="32"/>
      <c r="AF1052" s="32"/>
      <c r="AG1052" s="37" t="n">
        <f aca="false">IF(R1052="",0,IFERROR(MATCH(R1052,Listas!$L$2:$L$50,0),0))</f>
        <v>0</v>
      </c>
    </row>
    <row r="1053" customFormat="false" ht="15" hidden="false" customHeight="false" outlineLevel="0" collapsed="false">
      <c r="A1053" s="30"/>
      <c r="B1053" s="31"/>
      <c r="C1053" s="32"/>
      <c r="D1053" s="32"/>
      <c r="E1053" s="33"/>
      <c r="F1053" s="32"/>
      <c r="G1053" s="32"/>
      <c r="H1053" s="32"/>
      <c r="I1053" s="32"/>
      <c r="J1053" s="32"/>
      <c r="K1053" s="32"/>
      <c r="L1053" s="32"/>
      <c r="M1053" s="30"/>
      <c r="N1053" s="32"/>
      <c r="O1053" s="34"/>
      <c r="P1053" s="32"/>
      <c r="Q1053" s="32"/>
      <c r="R1053" s="32"/>
      <c r="S1053" s="32"/>
      <c r="T1053" s="32"/>
      <c r="U1053" s="32"/>
      <c r="V1053" s="31"/>
      <c r="W1053" s="35" t="str">
        <f aca="true">IF(OR(V1053="",AG1053&gt;=8),"",IF(V1053&lt;TODAY(),"Vencida",IF(V1053=TODAY(),"Hoy","")))</f>
        <v/>
      </c>
      <c r="X1053" s="36" t="str">
        <f aca="false">IF(A1053="","",IF(COUNTIF(Seguimiento!$B$2:$B$5001,A1053)=0,"",_xlfn.MAXIFS(Seguimiento!$A$2:$A$5001,Seguimiento!$B$2:$B$5001,A1053)))</f>
        <v/>
      </c>
      <c r="Y1053" s="37" t="str">
        <f aca="true">IF(B1053="","",TODAY()-B1053)</f>
        <v/>
      </c>
      <c r="Z1053" s="38" t="str">
        <f aca="false">IF(OR(O1053="",G1053=""),"",O1053*IFERROR(INDEX(Listas!$B$2:$B$50,MATCH(G1053,Listas!$A$2:$A$50,0)),0))</f>
        <v/>
      </c>
      <c r="AA1053" s="32"/>
      <c r="AB1053" s="32"/>
      <c r="AC1053" s="32"/>
      <c r="AD1053" s="35" t="str">
        <f aca="false">IF(OR(LEFT(H1053,4)="Meta",LEFT(H1053,6)="Google"),IF(AG1053=3,"Lead calificado",IF(OR(AG1053=4,AG1053=5),"Tasación/visita",IF(OR(AG1053=6,AG1053=7),"Captación/oferta",IF(AG1053=8,"Cierre","")))),"")</f>
        <v/>
      </c>
      <c r="AE1053" s="32"/>
      <c r="AF1053" s="32"/>
      <c r="AG1053" s="37" t="n">
        <f aca="false">IF(R1053="",0,IFERROR(MATCH(R1053,Listas!$L$2:$L$50,0),0))</f>
        <v>0</v>
      </c>
    </row>
    <row r="1054" customFormat="false" ht="15" hidden="false" customHeight="false" outlineLevel="0" collapsed="false">
      <c r="A1054" s="30"/>
      <c r="B1054" s="31"/>
      <c r="C1054" s="32"/>
      <c r="D1054" s="32"/>
      <c r="E1054" s="33"/>
      <c r="F1054" s="32"/>
      <c r="G1054" s="32"/>
      <c r="H1054" s="32"/>
      <c r="I1054" s="32"/>
      <c r="J1054" s="32"/>
      <c r="K1054" s="32"/>
      <c r="L1054" s="32"/>
      <c r="M1054" s="30"/>
      <c r="N1054" s="32"/>
      <c r="O1054" s="34"/>
      <c r="P1054" s="32"/>
      <c r="Q1054" s="32"/>
      <c r="R1054" s="32"/>
      <c r="S1054" s="32"/>
      <c r="T1054" s="32"/>
      <c r="U1054" s="32"/>
      <c r="V1054" s="31"/>
      <c r="W1054" s="35" t="str">
        <f aca="true">IF(OR(V1054="",AG1054&gt;=8),"",IF(V1054&lt;TODAY(),"Vencida",IF(V1054=TODAY(),"Hoy","")))</f>
        <v/>
      </c>
      <c r="X1054" s="36" t="str">
        <f aca="false">IF(A1054="","",IF(COUNTIF(Seguimiento!$B$2:$B$5001,A1054)=0,"",_xlfn.MAXIFS(Seguimiento!$A$2:$A$5001,Seguimiento!$B$2:$B$5001,A1054)))</f>
        <v/>
      </c>
      <c r="Y1054" s="37" t="str">
        <f aca="true">IF(B1054="","",TODAY()-B1054)</f>
        <v/>
      </c>
      <c r="Z1054" s="38" t="str">
        <f aca="false">IF(OR(O1054="",G1054=""),"",O1054*IFERROR(INDEX(Listas!$B$2:$B$50,MATCH(G1054,Listas!$A$2:$A$50,0)),0))</f>
        <v/>
      </c>
      <c r="AA1054" s="32"/>
      <c r="AB1054" s="32"/>
      <c r="AC1054" s="32"/>
      <c r="AD1054" s="35" t="str">
        <f aca="false">IF(OR(LEFT(H1054,4)="Meta",LEFT(H1054,6)="Google"),IF(AG1054=3,"Lead calificado",IF(OR(AG1054=4,AG1054=5),"Tasación/visita",IF(OR(AG1054=6,AG1054=7),"Captación/oferta",IF(AG1054=8,"Cierre","")))),"")</f>
        <v/>
      </c>
      <c r="AE1054" s="32"/>
      <c r="AF1054" s="32"/>
      <c r="AG1054" s="37" t="n">
        <f aca="false">IF(R1054="",0,IFERROR(MATCH(R1054,Listas!$L$2:$L$50,0),0))</f>
        <v>0</v>
      </c>
    </row>
    <row r="1055" customFormat="false" ht="15" hidden="false" customHeight="false" outlineLevel="0" collapsed="false">
      <c r="A1055" s="30"/>
      <c r="B1055" s="31"/>
      <c r="C1055" s="32"/>
      <c r="D1055" s="32"/>
      <c r="E1055" s="33"/>
      <c r="F1055" s="32"/>
      <c r="G1055" s="32"/>
      <c r="H1055" s="32"/>
      <c r="I1055" s="32"/>
      <c r="J1055" s="32"/>
      <c r="K1055" s="32"/>
      <c r="L1055" s="32"/>
      <c r="M1055" s="30"/>
      <c r="N1055" s="32"/>
      <c r="O1055" s="34"/>
      <c r="P1055" s="32"/>
      <c r="Q1055" s="32"/>
      <c r="R1055" s="32"/>
      <c r="S1055" s="32"/>
      <c r="T1055" s="32"/>
      <c r="U1055" s="32"/>
      <c r="V1055" s="31"/>
      <c r="W1055" s="35" t="str">
        <f aca="true">IF(OR(V1055="",AG1055&gt;=8),"",IF(V1055&lt;TODAY(),"Vencida",IF(V1055=TODAY(),"Hoy","")))</f>
        <v/>
      </c>
      <c r="X1055" s="36" t="str">
        <f aca="false">IF(A1055="","",IF(COUNTIF(Seguimiento!$B$2:$B$5001,A1055)=0,"",_xlfn.MAXIFS(Seguimiento!$A$2:$A$5001,Seguimiento!$B$2:$B$5001,A1055)))</f>
        <v/>
      </c>
      <c r="Y1055" s="37" t="str">
        <f aca="true">IF(B1055="","",TODAY()-B1055)</f>
        <v/>
      </c>
      <c r="Z1055" s="38" t="str">
        <f aca="false">IF(OR(O1055="",G1055=""),"",O1055*IFERROR(INDEX(Listas!$B$2:$B$50,MATCH(G1055,Listas!$A$2:$A$50,0)),0))</f>
        <v/>
      </c>
      <c r="AA1055" s="32"/>
      <c r="AB1055" s="32"/>
      <c r="AC1055" s="32"/>
      <c r="AD1055" s="35" t="str">
        <f aca="false">IF(OR(LEFT(H1055,4)="Meta",LEFT(H1055,6)="Google"),IF(AG1055=3,"Lead calificado",IF(OR(AG1055=4,AG1055=5),"Tasación/visita",IF(OR(AG1055=6,AG1055=7),"Captación/oferta",IF(AG1055=8,"Cierre","")))),"")</f>
        <v/>
      </c>
      <c r="AE1055" s="32"/>
      <c r="AF1055" s="32"/>
      <c r="AG1055" s="37" t="n">
        <f aca="false">IF(R1055="",0,IFERROR(MATCH(R1055,Listas!$L$2:$L$50,0),0))</f>
        <v>0</v>
      </c>
    </row>
    <row r="1056" customFormat="false" ht="15" hidden="false" customHeight="false" outlineLevel="0" collapsed="false">
      <c r="A1056" s="30"/>
      <c r="B1056" s="31"/>
      <c r="C1056" s="32"/>
      <c r="D1056" s="32"/>
      <c r="E1056" s="33"/>
      <c r="F1056" s="32"/>
      <c r="G1056" s="32"/>
      <c r="H1056" s="32"/>
      <c r="I1056" s="32"/>
      <c r="J1056" s="32"/>
      <c r="K1056" s="32"/>
      <c r="L1056" s="32"/>
      <c r="M1056" s="30"/>
      <c r="N1056" s="32"/>
      <c r="O1056" s="34"/>
      <c r="P1056" s="32"/>
      <c r="Q1056" s="32"/>
      <c r="R1056" s="32"/>
      <c r="S1056" s="32"/>
      <c r="T1056" s="32"/>
      <c r="U1056" s="32"/>
      <c r="V1056" s="31"/>
      <c r="W1056" s="35" t="str">
        <f aca="true">IF(OR(V1056="",AG1056&gt;=8),"",IF(V1056&lt;TODAY(),"Vencida",IF(V1056=TODAY(),"Hoy","")))</f>
        <v/>
      </c>
      <c r="X1056" s="36" t="str">
        <f aca="false">IF(A1056="","",IF(COUNTIF(Seguimiento!$B$2:$B$5001,A1056)=0,"",_xlfn.MAXIFS(Seguimiento!$A$2:$A$5001,Seguimiento!$B$2:$B$5001,A1056)))</f>
        <v/>
      </c>
      <c r="Y1056" s="37" t="str">
        <f aca="true">IF(B1056="","",TODAY()-B1056)</f>
        <v/>
      </c>
      <c r="Z1056" s="38" t="str">
        <f aca="false">IF(OR(O1056="",G1056=""),"",O1056*IFERROR(INDEX(Listas!$B$2:$B$50,MATCH(G1056,Listas!$A$2:$A$50,0)),0))</f>
        <v/>
      </c>
      <c r="AA1056" s="32"/>
      <c r="AB1056" s="32"/>
      <c r="AC1056" s="32"/>
      <c r="AD1056" s="35" t="str">
        <f aca="false">IF(OR(LEFT(H1056,4)="Meta",LEFT(H1056,6)="Google"),IF(AG1056=3,"Lead calificado",IF(OR(AG1056=4,AG1056=5),"Tasación/visita",IF(OR(AG1056=6,AG1056=7),"Captación/oferta",IF(AG1056=8,"Cierre","")))),"")</f>
        <v/>
      </c>
      <c r="AE1056" s="32"/>
      <c r="AF1056" s="32"/>
      <c r="AG1056" s="37" t="n">
        <f aca="false">IF(R1056="",0,IFERROR(MATCH(R1056,Listas!$L$2:$L$50,0),0))</f>
        <v>0</v>
      </c>
    </row>
    <row r="1057" customFormat="false" ht="15" hidden="false" customHeight="false" outlineLevel="0" collapsed="false">
      <c r="A1057" s="30"/>
      <c r="B1057" s="31"/>
      <c r="C1057" s="32"/>
      <c r="D1057" s="32"/>
      <c r="E1057" s="33"/>
      <c r="F1057" s="32"/>
      <c r="G1057" s="32"/>
      <c r="H1057" s="32"/>
      <c r="I1057" s="32"/>
      <c r="J1057" s="32"/>
      <c r="K1057" s="32"/>
      <c r="L1057" s="32"/>
      <c r="M1057" s="30"/>
      <c r="N1057" s="32"/>
      <c r="O1057" s="34"/>
      <c r="P1057" s="32"/>
      <c r="Q1057" s="32"/>
      <c r="R1057" s="32"/>
      <c r="S1057" s="32"/>
      <c r="T1057" s="32"/>
      <c r="U1057" s="32"/>
      <c r="V1057" s="31"/>
      <c r="W1057" s="35" t="str">
        <f aca="true">IF(OR(V1057="",AG1057&gt;=8),"",IF(V1057&lt;TODAY(),"Vencida",IF(V1057=TODAY(),"Hoy","")))</f>
        <v/>
      </c>
      <c r="X1057" s="36" t="str">
        <f aca="false">IF(A1057="","",IF(COUNTIF(Seguimiento!$B$2:$B$5001,A1057)=0,"",_xlfn.MAXIFS(Seguimiento!$A$2:$A$5001,Seguimiento!$B$2:$B$5001,A1057)))</f>
        <v/>
      </c>
      <c r="Y1057" s="37" t="str">
        <f aca="true">IF(B1057="","",TODAY()-B1057)</f>
        <v/>
      </c>
      <c r="Z1057" s="38" t="str">
        <f aca="false">IF(OR(O1057="",G1057=""),"",O1057*IFERROR(INDEX(Listas!$B$2:$B$50,MATCH(G1057,Listas!$A$2:$A$50,0)),0))</f>
        <v/>
      </c>
      <c r="AA1057" s="32"/>
      <c r="AB1057" s="32"/>
      <c r="AC1057" s="32"/>
      <c r="AD1057" s="35" t="str">
        <f aca="false">IF(OR(LEFT(H1057,4)="Meta",LEFT(H1057,6)="Google"),IF(AG1057=3,"Lead calificado",IF(OR(AG1057=4,AG1057=5),"Tasación/visita",IF(OR(AG1057=6,AG1057=7),"Captación/oferta",IF(AG1057=8,"Cierre","")))),"")</f>
        <v/>
      </c>
      <c r="AE1057" s="32"/>
      <c r="AF1057" s="32"/>
      <c r="AG1057" s="37" t="n">
        <f aca="false">IF(R1057="",0,IFERROR(MATCH(R1057,Listas!$L$2:$L$50,0),0))</f>
        <v>0</v>
      </c>
    </row>
    <row r="1058" customFormat="false" ht="15" hidden="false" customHeight="false" outlineLevel="0" collapsed="false">
      <c r="A1058" s="30"/>
      <c r="B1058" s="31"/>
      <c r="C1058" s="32"/>
      <c r="D1058" s="32"/>
      <c r="E1058" s="33"/>
      <c r="F1058" s="32"/>
      <c r="G1058" s="32"/>
      <c r="H1058" s="32"/>
      <c r="I1058" s="32"/>
      <c r="J1058" s="32"/>
      <c r="K1058" s="32"/>
      <c r="L1058" s="32"/>
      <c r="M1058" s="30"/>
      <c r="N1058" s="32"/>
      <c r="O1058" s="34"/>
      <c r="P1058" s="32"/>
      <c r="Q1058" s="32"/>
      <c r="R1058" s="32"/>
      <c r="S1058" s="32"/>
      <c r="T1058" s="32"/>
      <c r="U1058" s="32"/>
      <c r="V1058" s="31"/>
      <c r="W1058" s="35" t="str">
        <f aca="true">IF(OR(V1058="",AG1058&gt;=8),"",IF(V1058&lt;TODAY(),"Vencida",IF(V1058=TODAY(),"Hoy","")))</f>
        <v/>
      </c>
      <c r="X1058" s="36" t="str">
        <f aca="false">IF(A1058="","",IF(COUNTIF(Seguimiento!$B$2:$B$5001,A1058)=0,"",_xlfn.MAXIFS(Seguimiento!$A$2:$A$5001,Seguimiento!$B$2:$B$5001,A1058)))</f>
        <v/>
      </c>
      <c r="Y1058" s="37" t="str">
        <f aca="true">IF(B1058="","",TODAY()-B1058)</f>
        <v/>
      </c>
      <c r="Z1058" s="38" t="str">
        <f aca="false">IF(OR(O1058="",G1058=""),"",O1058*IFERROR(INDEX(Listas!$B$2:$B$50,MATCH(G1058,Listas!$A$2:$A$50,0)),0))</f>
        <v/>
      </c>
      <c r="AA1058" s="32"/>
      <c r="AB1058" s="32"/>
      <c r="AC1058" s="32"/>
      <c r="AD1058" s="35" t="str">
        <f aca="false">IF(OR(LEFT(H1058,4)="Meta",LEFT(H1058,6)="Google"),IF(AG1058=3,"Lead calificado",IF(OR(AG1058=4,AG1058=5),"Tasación/visita",IF(OR(AG1058=6,AG1058=7),"Captación/oferta",IF(AG1058=8,"Cierre","")))),"")</f>
        <v/>
      </c>
      <c r="AE1058" s="32"/>
      <c r="AF1058" s="32"/>
      <c r="AG1058" s="37" t="n">
        <f aca="false">IF(R1058="",0,IFERROR(MATCH(R1058,Listas!$L$2:$L$50,0),0))</f>
        <v>0</v>
      </c>
    </row>
    <row r="1059" customFormat="false" ht="15" hidden="false" customHeight="false" outlineLevel="0" collapsed="false">
      <c r="A1059" s="30"/>
      <c r="B1059" s="31"/>
      <c r="C1059" s="32"/>
      <c r="D1059" s="32"/>
      <c r="E1059" s="33"/>
      <c r="F1059" s="32"/>
      <c r="G1059" s="32"/>
      <c r="H1059" s="32"/>
      <c r="I1059" s="32"/>
      <c r="J1059" s="32"/>
      <c r="K1059" s="32"/>
      <c r="L1059" s="32"/>
      <c r="M1059" s="30"/>
      <c r="N1059" s="32"/>
      <c r="O1059" s="34"/>
      <c r="P1059" s="32"/>
      <c r="Q1059" s="32"/>
      <c r="R1059" s="32"/>
      <c r="S1059" s="32"/>
      <c r="T1059" s="32"/>
      <c r="U1059" s="32"/>
      <c r="V1059" s="31"/>
      <c r="W1059" s="35" t="str">
        <f aca="true">IF(OR(V1059="",AG1059&gt;=8),"",IF(V1059&lt;TODAY(),"Vencida",IF(V1059=TODAY(),"Hoy","")))</f>
        <v/>
      </c>
      <c r="X1059" s="36" t="str">
        <f aca="false">IF(A1059="","",IF(COUNTIF(Seguimiento!$B$2:$B$5001,A1059)=0,"",_xlfn.MAXIFS(Seguimiento!$A$2:$A$5001,Seguimiento!$B$2:$B$5001,A1059)))</f>
        <v/>
      </c>
      <c r="Y1059" s="37" t="str">
        <f aca="true">IF(B1059="","",TODAY()-B1059)</f>
        <v/>
      </c>
      <c r="Z1059" s="38" t="str">
        <f aca="false">IF(OR(O1059="",G1059=""),"",O1059*IFERROR(INDEX(Listas!$B$2:$B$50,MATCH(G1059,Listas!$A$2:$A$50,0)),0))</f>
        <v/>
      </c>
      <c r="AA1059" s="32"/>
      <c r="AB1059" s="32"/>
      <c r="AC1059" s="32"/>
      <c r="AD1059" s="35" t="str">
        <f aca="false">IF(OR(LEFT(H1059,4)="Meta",LEFT(H1059,6)="Google"),IF(AG1059=3,"Lead calificado",IF(OR(AG1059=4,AG1059=5),"Tasación/visita",IF(OR(AG1059=6,AG1059=7),"Captación/oferta",IF(AG1059=8,"Cierre","")))),"")</f>
        <v/>
      </c>
      <c r="AE1059" s="32"/>
      <c r="AF1059" s="32"/>
      <c r="AG1059" s="37" t="n">
        <f aca="false">IF(R1059="",0,IFERROR(MATCH(R1059,Listas!$L$2:$L$50,0),0))</f>
        <v>0</v>
      </c>
    </row>
    <row r="1060" customFormat="false" ht="15" hidden="false" customHeight="false" outlineLevel="0" collapsed="false">
      <c r="A1060" s="30"/>
      <c r="B1060" s="31"/>
      <c r="C1060" s="32"/>
      <c r="D1060" s="32"/>
      <c r="E1060" s="33"/>
      <c r="F1060" s="32"/>
      <c r="G1060" s="32"/>
      <c r="H1060" s="32"/>
      <c r="I1060" s="32"/>
      <c r="J1060" s="32"/>
      <c r="K1060" s="32"/>
      <c r="L1060" s="32"/>
      <c r="M1060" s="30"/>
      <c r="N1060" s="32"/>
      <c r="O1060" s="34"/>
      <c r="P1060" s="32"/>
      <c r="Q1060" s="32"/>
      <c r="R1060" s="32"/>
      <c r="S1060" s="32"/>
      <c r="T1060" s="32"/>
      <c r="U1060" s="32"/>
      <c r="V1060" s="31"/>
      <c r="W1060" s="35" t="str">
        <f aca="true">IF(OR(V1060="",AG1060&gt;=8),"",IF(V1060&lt;TODAY(),"Vencida",IF(V1060=TODAY(),"Hoy","")))</f>
        <v/>
      </c>
      <c r="X1060" s="36" t="str">
        <f aca="false">IF(A1060="","",IF(COUNTIF(Seguimiento!$B$2:$B$5001,A1060)=0,"",_xlfn.MAXIFS(Seguimiento!$A$2:$A$5001,Seguimiento!$B$2:$B$5001,A1060)))</f>
        <v/>
      </c>
      <c r="Y1060" s="37" t="str">
        <f aca="true">IF(B1060="","",TODAY()-B1060)</f>
        <v/>
      </c>
      <c r="Z1060" s="38" t="str">
        <f aca="false">IF(OR(O1060="",G1060=""),"",O1060*IFERROR(INDEX(Listas!$B$2:$B$50,MATCH(G1060,Listas!$A$2:$A$50,0)),0))</f>
        <v/>
      </c>
      <c r="AA1060" s="32"/>
      <c r="AB1060" s="32"/>
      <c r="AC1060" s="32"/>
      <c r="AD1060" s="35" t="str">
        <f aca="false">IF(OR(LEFT(H1060,4)="Meta",LEFT(H1060,6)="Google"),IF(AG1060=3,"Lead calificado",IF(OR(AG1060=4,AG1060=5),"Tasación/visita",IF(OR(AG1060=6,AG1060=7),"Captación/oferta",IF(AG1060=8,"Cierre","")))),"")</f>
        <v/>
      </c>
      <c r="AE1060" s="32"/>
      <c r="AF1060" s="32"/>
      <c r="AG1060" s="37" t="n">
        <f aca="false">IF(R1060="",0,IFERROR(MATCH(R1060,Listas!$L$2:$L$50,0),0))</f>
        <v>0</v>
      </c>
    </row>
    <row r="1061" customFormat="false" ht="15" hidden="false" customHeight="false" outlineLevel="0" collapsed="false">
      <c r="A1061" s="30"/>
      <c r="B1061" s="31"/>
      <c r="C1061" s="32"/>
      <c r="D1061" s="32"/>
      <c r="E1061" s="33"/>
      <c r="F1061" s="32"/>
      <c r="G1061" s="32"/>
      <c r="H1061" s="32"/>
      <c r="I1061" s="32"/>
      <c r="J1061" s="32"/>
      <c r="K1061" s="32"/>
      <c r="L1061" s="32"/>
      <c r="M1061" s="30"/>
      <c r="N1061" s="32"/>
      <c r="O1061" s="34"/>
      <c r="P1061" s="32"/>
      <c r="Q1061" s="32"/>
      <c r="R1061" s="32"/>
      <c r="S1061" s="32"/>
      <c r="T1061" s="32"/>
      <c r="U1061" s="32"/>
      <c r="V1061" s="31"/>
      <c r="W1061" s="35" t="str">
        <f aca="true">IF(OR(V1061="",AG1061&gt;=8),"",IF(V1061&lt;TODAY(),"Vencida",IF(V1061=TODAY(),"Hoy","")))</f>
        <v/>
      </c>
      <c r="X1061" s="36" t="str">
        <f aca="false">IF(A1061="","",IF(COUNTIF(Seguimiento!$B$2:$B$5001,A1061)=0,"",_xlfn.MAXIFS(Seguimiento!$A$2:$A$5001,Seguimiento!$B$2:$B$5001,A1061)))</f>
        <v/>
      </c>
      <c r="Y1061" s="37" t="str">
        <f aca="true">IF(B1061="","",TODAY()-B1061)</f>
        <v/>
      </c>
      <c r="Z1061" s="38" t="str">
        <f aca="false">IF(OR(O1061="",G1061=""),"",O1061*IFERROR(INDEX(Listas!$B$2:$B$50,MATCH(G1061,Listas!$A$2:$A$50,0)),0))</f>
        <v/>
      </c>
      <c r="AA1061" s="32"/>
      <c r="AB1061" s="32"/>
      <c r="AC1061" s="32"/>
      <c r="AD1061" s="35" t="str">
        <f aca="false">IF(OR(LEFT(H1061,4)="Meta",LEFT(H1061,6)="Google"),IF(AG1061=3,"Lead calificado",IF(OR(AG1061=4,AG1061=5),"Tasación/visita",IF(OR(AG1061=6,AG1061=7),"Captación/oferta",IF(AG1061=8,"Cierre","")))),"")</f>
        <v/>
      </c>
      <c r="AE1061" s="32"/>
      <c r="AF1061" s="32"/>
      <c r="AG1061" s="37" t="n">
        <f aca="false">IF(R1061="",0,IFERROR(MATCH(R1061,Listas!$L$2:$L$50,0),0))</f>
        <v>0</v>
      </c>
    </row>
    <row r="1062" customFormat="false" ht="15" hidden="false" customHeight="false" outlineLevel="0" collapsed="false">
      <c r="A1062" s="30"/>
      <c r="B1062" s="31"/>
      <c r="C1062" s="32"/>
      <c r="D1062" s="32"/>
      <c r="E1062" s="33"/>
      <c r="F1062" s="32"/>
      <c r="G1062" s="32"/>
      <c r="H1062" s="32"/>
      <c r="I1062" s="32"/>
      <c r="J1062" s="32"/>
      <c r="K1062" s="32"/>
      <c r="L1062" s="32"/>
      <c r="M1062" s="30"/>
      <c r="N1062" s="32"/>
      <c r="O1062" s="34"/>
      <c r="P1062" s="32"/>
      <c r="Q1062" s="32"/>
      <c r="R1062" s="32"/>
      <c r="S1062" s="32"/>
      <c r="T1062" s="32"/>
      <c r="U1062" s="32"/>
      <c r="V1062" s="31"/>
      <c r="W1062" s="35" t="str">
        <f aca="true">IF(OR(V1062="",AG1062&gt;=8),"",IF(V1062&lt;TODAY(),"Vencida",IF(V1062=TODAY(),"Hoy","")))</f>
        <v/>
      </c>
      <c r="X1062" s="36" t="str">
        <f aca="false">IF(A1062="","",IF(COUNTIF(Seguimiento!$B$2:$B$5001,A1062)=0,"",_xlfn.MAXIFS(Seguimiento!$A$2:$A$5001,Seguimiento!$B$2:$B$5001,A1062)))</f>
        <v/>
      </c>
      <c r="Y1062" s="37" t="str">
        <f aca="true">IF(B1062="","",TODAY()-B1062)</f>
        <v/>
      </c>
      <c r="Z1062" s="38" t="str">
        <f aca="false">IF(OR(O1062="",G1062=""),"",O1062*IFERROR(INDEX(Listas!$B$2:$B$50,MATCH(G1062,Listas!$A$2:$A$50,0)),0))</f>
        <v/>
      </c>
      <c r="AA1062" s="32"/>
      <c r="AB1062" s="32"/>
      <c r="AC1062" s="32"/>
      <c r="AD1062" s="35" t="str">
        <f aca="false">IF(OR(LEFT(H1062,4)="Meta",LEFT(H1062,6)="Google"),IF(AG1062=3,"Lead calificado",IF(OR(AG1062=4,AG1062=5),"Tasación/visita",IF(OR(AG1062=6,AG1062=7),"Captación/oferta",IF(AG1062=8,"Cierre","")))),"")</f>
        <v/>
      </c>
      <c r="AE1062" s="32"/>
      <c r="AF1062" s="32"/>
      <c r="AG1062" s="37" t="n">
        <f aca="false">IF(R1062="",0,IFERROR(MATCH(R1062,Listas!$L$2:$L$50,0),0))</f>
        <v>0</v>
      </c>
    </row>
    <row r="1063" customFormat="false" ht="15" hidden="false" customHeight="false" outlineLevel="0" collapsed="false">
      <c r="A1063" s="30"/>
      <c r="B1063" s="31"/>
      <c r="C1063" s="32"/>
      <c r="D1063" s="32"/>
      <c r="E1063" s="33"/>
      <c r="F1063" s="32"/>
      <c r="G1063" s="32"/>
      <c r="H1063" s="32"/>
      <c r="I1063" s="32"/>
      <c r="J1063" s="32"/>
      <c r="K1063" s="32"/>
      <c r="L1063" s="32"/>
      <c r="M1063" s="30"/>
      <c r="N1063" s="32"/>
      <c r="O1063" s="34"/>
      <c r="P1063" s="32"/>
      <c r="Q1063" s="32"/>
      <c r="R1063" s="32"/>
      <c r="S1063" s="32"/>
      <c r="T1063" s="32"/>
      <c r="U1063" s="32"/>
      <c r="V1063" s="31"/>
      <c r="W1063" s="35" t="str">
        <f aca="true">IF(OR(V1063="",AG1063&gt;=8),"",IF(V1063&lt;TODAY(),"Vencida",IF(V1063=TODAY(),"Hoy","")))</f>
        <v/>
      </c>
      <c r="X1063" s="36" t="str">
        <f aca="false">IF(A1063="","",IF(COUNTIF(Seguimiento!$B$2:$B$5001,A1063)=0,"",_xlfn.MAXIFS(Seguimiento!$A$2:$A$5001,Seguimiento!$B$2:$B$5001,A1063)))</f>
        <v/>
      </c>
      <c r="Y1063" s="37" t="str">
        <f aca="true">IF(B1063="","",TODAY()-B1063)</f>
        <v/>
      </c>
      <c r="Z1063" s="38" t="str">
        <f aca="false">IF(OR(O1063="",G1063=""),"",O1063*IFERROR(INDEX(Listas!$B$2:$B$50,MATCH(G1063,Listas!$A$2:$A$50,0)),0))</f>
        <v/>
      </c>
      <c r="AA1063" s="32"/>
      <c r="AB1063" s="32"/>
      <c r="AC1063" s="32"/>
      <c r="AD1063" s="35" t="str">
        <f aca="false">IF(OR(LEFT(H1063,4)="Meta",LEFT(H1063,6)="Google"),IF(AG1063=3,"Lead calificado",IF(OR(AG1063=4,AG1063=5),"Tasación/visita",IF(OR(AG1063=6,AG1063=7),"Captación/oferta",IF(AG1063=8,"Cierre","")))),"")</f>
        <v/>
      </c>
      <c r="AE1063" s="32"/>
      <c r="AF1063" s="32"/>
      <c r="AG1063" s="37" t="n">
        <f aca="false">IF(R1063="",0,IFERROR(MATCH(R1063,Listas!$L$2:$L$50,0),0))</f>
        <v>0</v>
      </c>
    </row>
    <row r="1064" customFormat="false" ht="15" hidden="false" customHeight="false" outlineLevel="0" collapsed="false">
      <c r="A1064" s="30"/>
      <c r="B1064" s="31"/>
      <c r="C1064" s="32"/>
      <c r="D1064" s="32"/>
      <c r="E1064" s="33"/>
      <c r="F1064" s="32"/>
      <c r="G1064" s="32"/>
      <c r="H1064" s="32"/>
      <c r="I1064" s="32"/>
      <c r="J1064" s="32"/>
      <c r="K1064" s="32"/>
      <c r="L1064" s="32"/>
      <c r="M1064" s="30"/>
      <c r="N1064" s="32"/>
      <c r="O1064" s="34"/>
      <c r="P1064" s="32"/>
      <c r="Q1064" s="32"/>
      <c r="R1064" s="32"/>
      <c r="S1064" s="32"/>
      <c r="T1064" s="32"/>
      <c r="U1064" s="32"/>
      <c r="V1064" s="31"/>
      <c r="W1064" s="35" t="str">
        <f aca="true">IF(OR(V1064="",AG1064&gt;=8),"",IF(V1064&lt;TODAY(),"Vencida",IF(V1064=TODAY(),"Hoy","")))</f>
        <v/>
      </c>
      <c r="X1064" s="36" t="str">
        <f aca="false">IF(A1064="","",IF(COUNTIF(Seguimiento!$B$2:$B$5001,A1064)=0,"",_xlfn.MAXIFS(Seguimiento!$A$2:$A$5001,Seguimiento!$B$2:$B$5001,A1064)))</f>
        <v/>
      </c>
      <c r="Y1064" s="37" t="str">
        <f aca="true">IF(B1064="","",TODAY()-B1064)</f>
        <v/>
      </c>
      <c r="Z1064" s="38" t="str">
        <f aca="false">IF(OR(O1064="",G1064=""),"",O1064*IFERROR(INDEX(Listas!$B$2:$B$50,MATCH(G1064,Listas!$A$2:$A$50,0)),0))</f>
        <v/>
      </c>
      <c r="AA1064" s="32"/>
      <c r="AB1064" s="32"/>
      <c r="AC1064" s="32"/>
      <c r="AD1064" s="35" t="str">
        <f aca="false">IF(OR(LEFT(H1064,4)="Meta",LEFT(H1064,6)="Google"),IF(AG1064=3,"Lead calificado",IF(OR(AG1064=4,AG1064=5),"Tasación/visita",IF(OR(AG1064=6,AG1064=7),"Captación/oferta",IF(AG1064=8,"Cierre","")))),"")</f>
        <v/>
      </c>
      <c r="AE1064" s="32"/>
      <c r="AF1064" s="32"/>
      <c r="AG1064" s="37" t="n">
        <f aca="false">IF(R1064="",0,IFERROR(MATCH(R1064,Listas!$L$2:$L$50,0),0))</f>
        <v>0</v>
      </c>
    </row>
    <row r="1065" customFormat="false" ht="15" hidden="false" customHeight="false" outlineLevel="0" collapsed="false">
      <c r="A1065" s="30"/>
      <c r="B1065" s="31"/>
      <c r="C1065" s="32"/>
      <c r="D1065" s="32"/>
      <c r="E1065" s="33"/>
      <c r="F1065" s="32"/>
      <c r="G1065" s="32"/>
      <c r="H1065" s="32"/>
      <c r="I1065" s="32"/>
      <c r="J1065" s="32"/>
      <c r="K1065" s="32"/>
      <c r="L1065" s="32"/>
      <c r="M1065" s="30"/>
      <c r="N1065" s="32"/>
      <c r="O1065" s="34"/>
      <c r="P1065" s="32"/>
      <c r="Q1065" s="32"/>
      <c r="R1065" s="32"/>
      <c r="S1065" s="32"/>
      <c r="T1065" s="32"/>
      <c r="U1065" s="32"/>
      <c r="V1065" s="31"/>
      <c r="W1065" s="35" t="str">
        <f aca="true">IF(OR(V1065="",AG1065&gt;=8),"",IF(V1065&lt;TODAY(),"Vencida",IF(V1065=TODAY(),"Hoy","")))</f>
        <v/>
      </c>
      <c r="X1065" s="36" t="str">
        <f aca="false">IF(A1065="","",IF(COUNTIF(Seguimiento!$B$2:$B$5001,A1065)=0,"",_xlfn.MAXIFS(Seguimiento!$A$2:$A$5001,Seguimiento!$B$2:$B$5001,A1065)))</f>
        <v/>
      </c>
      <c r="Y1065" s="37" t="str">
        <f aca="true">IF(B1065="","",TODAY()-B1065)</f>
        <v/>
      </c>
      <c r="Z1065" s="38" t="str">
        <f aca="false">IF(OR(O1065="",G1065=""),"",O1065*IFERROR(INDEX(Listas!$B$2:$B$50,MATCH(G1065,Listas!$A$2:$A$50,0)),0))</f>
        <v/>
      </c>
      <c r="AA1065" s="32"/>
      <c r="AB1065" s="32"/>
      <c r="AC1065" s="32"/>
      <c r="AD1065" s="35" t="str">
        <f aca="false">IF(OR(LEFT(H1065,4)="Meta",LEFT(H1065,6)="Google"),IF(AG1065=3,"Lead calificado",IF(OR(AG1065=4,AG1065=5),"Tasación/visita",IF(OR(AG1065=6,AG1065=7),"Captación/oferta",IF(AG1065=8,"Cierre","")))),"")</f>
        <v/>
      </c>
      <c r="AE1065" s="32"/>
      <c r="AF1065" s="32"/>
      <c r="AG1065" s="37" t="n">
        <f aca="false">IF(R1065="",0,IFERROR(MATCH(R1065,Listas!$L$2:$L$50,0),0))</f>
        <v>0</v>
      </c>
    </row>
    <row r="1066" customFormat="false" ht="15" hidden="false" customHeight="false" outlineLevel="0" collapsed="false">
      <c r="A1066" s="30"/>
      <c r="B1066" s="31"/>
      <c r="C1066" s="32"/>
      <c r="D1066" s="32"/>
      <c r="E1066" s="33"/>
      <c r="F1066" s="32"/>
      <c r="G1066" s="32"/>
      <c r="H1066" s="32"/>
      <c r="I1066" s="32"/>
      <c r="J1066" s="32"/>
      <c r="K1066" s="32"/>
      <c r="L1066" s="32"/>
      <c r="M1066" s="30"/>
      <c r="N1066" s="32"/>
      <c r="O1066" s="34"/>
      <c r="P1066" s="32"/>
      <c r="Q1066" s="32"/>
      <c r="R1066" s="32"/>
      <c r="S1066" s="32"/>
      <c r="T1066" s="32"/>
      <c r="U1066" s="32"/>
      <c r="V1066" s="31"/>
      <c r="W1066" s="35" t="str">
        <f aca="true">IF(OR(V1066="",AG1066&gt;=8),"",IF(V1066&lt;TODAY(),"Vencida",IF(V1066=TODAY(),"Hoy","")))</f>
        <v/>
      </c>
      <c r="X1066" s="36" t="str">
        <f aca="false">IF(A1066="","",IF(COUNTIF(Seguimiento!$B$2:$B$5001,A1066)=0,"",_xlfn.MAXIFS(Seguimiento!$A$2:$A$5001,Seguimiento!$B$2:$B$5001,A1066)))</f>
        <v/>
      </c>
      <c r="Y1066" s="37" t="str">
        <f aca="true">IF(B1066="","",TODAY()-B1066)</f>
        <v/>
      </c>
      <c r="Z1066" s="38" t="str">
        <f aca="false">IF(OR(O1066="",G1066=""),"",O1066*IFERROR(INDEX(Listas!$B$2:$B$50,MATCH(G1066,Listas!$A$2:$A$50,0)),0))</f>
        <v/>
      </c>
      <c r="AA1066" s="32"/>
      <c r="AB1066" s="32"/>
      <c r="AC1066" s="32"/>
      <c r="AD1066" s="35" t="str">
        <f aca="false">IF(OR(LEFT(H1066,4)="Meta",LEFT(H1066,6)="Google"),IF(AG1066=3,"Lead calificado",IF(OR(AG1066=4,AG1066=5),"Tasación/visita",IF(OR(AG1066=6,AG1066=7),"Captación/oferta",IF(AG1066=8,"Cierre","")))),"")</f>
        <v/>
      </c>
      <c r="AE1066" s="32"/>
      <c r="AF1066" s="32"/>
      <c r="AG1066" s="37" t="n">
        <f aca="false">IF(R1066="",0,IFERROR(MATCH(R1066,Listas!$L$2:$L$50,0),0))</f>
        <v>0</v>
      </c>
    </row>
    <row r="1067" customFormat="false" ht="15" hidden="false" customHeight="false" outlineLevel="0" collapsed="false">
      <c r="A1067" s="30"/>
      <c r="B1067" s="31"/>
      <c r="C1067" s="32"/>
      <c r="D1067" s="32"/>
      <c r="E1067" s="33"/>
      <c r="F1067" s="32"/>
      <c r="G1067" s="32"/>
      <c r="H1067" s="32"/>
      <c r="I1067" s="32"/>
      <c r="J1067" s="32"/>
      <c r="K1067" s="32"/>
      <c r="L1067" s="32"/>
      <c r="M1067" s="30"/>
      <c r="N1067" s="32"/>
      <c r="O1067" s="34"/>
      <c r="P1067" s="32"/>
      <c r="Q1067" s="32"/>
      <c r="R1067" s="32"/>
      <c r="S1067" s="32"/>
      <c r="T1067" s="32"/>
      <c r="U1067" s="32"/>
      <c r="V1067" s="31"/>
      <c r="W1067" s="35" t="str">
        <f aca="true">IF(OR(V1067="",AG1067&gt;=8),"",IF(V1067&lt;TODAY(),"Vencida",IF(V1067=TODAY(),"Hoy","")))</f>
        <v/>
      </c>
      <c r="X1067" s="36" t="str">
        <f aca="false">IF(A1067="","",IF(COUNTIF(Seguimiento!$B$2:$B$5001,A1067)=0,"",_xlfn.MAXIFS(Seguimiento!$A$2:$A$5001,Seguimiento!$B$2:$B$5001,A1067)))</f>
        <v/>
      </c>
      <c r="Y1067" s="37" t="str">
        <f aca="true">IF(B1067="","",TODAY()-B1067)</f>
        <v/>
      </c>
      <c r="Z1067" s="38" t="str">
        <f aca="false">IF(OR(O1067="",G1067=""),"",O1067*IFERROR(INDEX(Listas!$B$2:$B$50,MATCH(G1067,Listas!$A$2:$A$50,0)),0))</f>
        <v/>
      </c>
      <c r="AA1067" s="32"/>
      <c r="AB1067" s="32"/>
      <c r="AC1067" s="32"/>
      <c r="AD1067" s="35" t="str">
        <f aca="false">IF(OR(LEFT(H1067,4)="Meta",LEFT(H1067,6)="Google"),IF(AG1067=3,"Lead calificado",IF(OR(AG1067=4,AG1067=5),"Tasación/visita",IF(OR(AG1067=6,AG1067=7),"Captación/oferta",IF(AG1067=8,"Cierre","")))),"")</f>
        <v/>
      </c>
      <c r="AE1067" s="32"/>
      <c r="AF1067" s="32"/>
      <c r="AG1067" s="37" t="n">
        <f aca="false">IF(R1067="",0,IFERROR(MATCH(R1067,Listas!$L$2:$L$50,0),0))</f>
        <v>0</v>
      </c>
    </row>
    <row r="1068" customFormat="false" ht="15" hidden="false" customHeight="false" outlineLevel="0" collapsed="false">
      <c r="A1068" s="30"/>
      <c r="B1068" s="31"/>
      <c r="C1068" s="32"/>
      <c r="D1068" s="32"/>
      <c r="E1068" s="33"/>
      <c r="F1068" s="32"/>
      <c r="G1068" s="32"/>
      <c r="H1068" s="32"/>
      <c r="I1068" s="32"/>
      <c r="J1068" s="32"/>
      <c r="K1068" s="32"/>
      <c r="L1068" s="32"/>
      <c r="M1068" s="30"/>
      <c r="N1068" s="32"/>
      <c r="O1068" s="34"/>
      <c r="P1068" s="32"/>
      <c r="Q1068" s="32"/>
      <c r="R1068" s="32"/>
      <c r="S1068" s="32"/>
      <c r="T1068" s="32"/>
      <c r="U1068" s="32"/>
      <c r="V1068" s="31"/>
      <c r="W1068" s="35" t="str">
        <f aca="true">IF(OR(V1068="",AG1068&gt;=8),"",IF(V1068&lt;TODAY(),"Vencida",IF(V1068=TODAY(),"Hoy","")))</f>
        <v/>
      </c>
      <c r="X1068" s="36" t="str">
        <f aca="false">IF(A1068="","",IF(COUNTIF(Seguimiento!$B$2:$B$5001,A1068)=0,"",_xlfn.MAXIFS(Seguimiento!$A$2:$A$5001,Seguimiento!$B$2:$B$5001,A1068)))</f>
        <v/>
      </c>
      <c r="Y1068" s="37" t="str">
        <f aca="true">IF(B1068="","",TODAY()-B1068)</f>
        <v/>
      </c>
      <c r="Z1068" s="38" t="str">
        <f aca="false">IF(OR(O1068="",G1068=""),"",O1068*IFERROR(INDEX(Listas!$B$2:$B$50,MATCH(G1068,Listas!$A$2:$A$50,0)),0))</f>
        <v/>
      </c>
      <c r="AA1068" s="32"/>
      <c r="AB1068" s="32"/>
      <c r="AC1068" s="32"/>
      <c r="AD1068" s="35" t="str">
        <f aca="false">IF(OR(LEFT(H1068,4)="Meta",LEFT(H1068,6)="Google"),IF(AG1068=3,"Lead calificado",IF(OR(AG1068=4,AG1068=5),"Tasación/visita",IF(OR(AG1068=6,AG1068=7),"Captación/oferta",IF(AG1068=8,"Cierre","")))),"")</f>
        <v/>
      </c>
      <c r="AE1068" s="32"/>
      <c r="AF1068" s="32"/>
      <c r="AG1068" s="37" t="n">
        <f aca="false">IF(R1068="",0,IFERROR(MATCH(R1068,Listas!$L$2:$L$50,0),0))</f>
        <v>0</v>
      </c>
    </row>
    <row r="1069" customFormat="false" ht="15" hidden="false" customHeight="false" outlineLevel="0" collapsed="false">
      <c r="A1069" s="30"/>
      <c r="B1069" s="31"/>
      <c r="C1069" s="32"/>
      <c r="D1069" s="32"/>
      <c r="E1069" s="33"/>
      <c r="F1069" s="32"/>
      <c r="G1069" s="32"/>
      <c r="H1069" s="32"/>
      <c r="I1069" s="32"/>
      <c r="J1069" s="32"/>
      <c r="K1069" s="32"/>
      <c r="L1069" s="32"/>
      <c r="M1069" s="30"/>
      <c r="N1069" s="32"/>
      <c r="O1069" s="34"/>
      <c r="P1069" s="32"/>
      <c r="Q1069" s="32"/>
      <c r="R1069" s="32"/>
      <c r="S1069" s="32"/>
      <c r="T1069" s="32"/>
      <c r="U1069" s="32"/>
      <c r="V1069" s="31"/>
      <c r="W1069" s="35" t="str">
        <f aca="true">IF(OR(V1069="",AG1069&gt;=8),"",IF(V1069&lt;TODAY(),"Vencida",IF(V1069=TODAY(),"Hoy","")))</f>
        <v/>
      </c>
      <c r="X1069" s="36" t="str">
        <f aca="false">IF(A1069="","",IF(COUNTIF(Seguimiento!$B$2:$B$5001,A1069)=0,"",_xlfn.MAXIFS(Seguimiento!$A$2:$A$5001,Seguimiento!$B$2:$B$5001,A1069)))</f>
        <v/>
      </c>
      <c r="Y1069" s="37" t="str">
        <f aca="true">IF(B1069="","",TODAY()-B1069)</f>
        <v/>
      </c>
      <c r="Z1069" s="38" t="str">
        <f aca="false">IF(OR(O1069="",G1069=""),"",O1069*IFERROR(INDEX(Listas!$B$2:$B$50,MATCH(G1069,Listas!$A$2:$A$50,0)),0))</f>
        <v/>
      </c>
      <c r="AA1069" s="32"/>
      <c r="AB1069" s="32"/>
      <c r="AC1069" s="32"/>
      <c r="AD1069" s="35" t="str">
        <f aca="false">IF(OR(LEFT(H1069,4)="Meta",LEFT(H1069,6)="Google"),IF(AG1069=3,"Lead calificado",IF(OR(AG1069=4,AG1069=5),"Tasación/visita",IF(OR(AG1069=6,AG1069=7),"Captación/oferta",IF(AG1069=8,"Cierre","")))),"")</f>
        <v/>
      </c>
      <c r="AE1069" s="32"/>
      <c r="AF1069" s="32"/>
      <c r="AG1069" s="37" t="n">
        <f aca="false">IF(R1069="",0,IFERROR(MATCH(R1069,Listas!$L$2:$L$50,0),0))</f>
        <v>0</v>
      </c>
    </row>
    <row r="1070" customFormat="false" ht="15" hidden="false" customHeight="false" outlineLevel="0" collapsed="false">
      <c r="A1070" s="30"/>
      <c r="B1070" s="31"/>
      <c r="C1070" s="32"/>
      <c r="D1070" s="32"/>
      <c r="E1070" s="33"/>
      <c r="F1070" s="32"/>
      <c r="G1070" s="32"/>
      <c r="H1070" s="32"/>
      <c r="I1070" s="32"/>
      <c r="J1070" s="32"/>
      <c r="K1070" s="32"/>
      <c r="L1070" s="32"/>
      <c r="M1070" s="30"/>
      <c r="N1070" s="32"/>
      <c r="O1070" s="34"/>
      <c r="P1070" s="32"/>
      <c r="Q1070" s="32"/>
      <c r="R1070" s="32"/>
      <c r="S1070" s="32"/>
      <c r="T1070" s="32"/>
      <c r="U1070" s="32"/>
      <c r="V1070" s="31"/>
      <c r="W1070" s="35" t="str">
        <f aca="true">IF(OR(V1070="",AG1070&gt;=8),"",IF(V1070&lt;TODAY(),"Vencida",IF(V1070=TODAY(),"Hoy","")))</f>
        <v/>
      </c>
      <c r="X1070" s="36" t="str">
        <f aca="false">IF(A1070="","",IF(COUNTIF(Seguimiento!$B$2:$B$5001,A1070)=0,"",_xlfn.MAXIFS(Seguimiento!$A$2:$A$5001,Seguimiento!$B$2:$B$5001,A1070)))</f>
        <v/>
      </c>
      <c r="Y1070" s="37" t="str">
        <f aca="true">IF(B1070="","",TODAY()-B1070)</f>
        <v/>
      </c>
      <c r="Z1070" s="38" t="str">
        <f aca="false">IF(OR(O1070="",G1070=""),"",O1070*IFERROR(INDEX(Listas!$B$2:$B$50,MATCH(G1070,Listas!$A$2:$A$50,0)),0))</f>
        <v/>
      </c>
      <c r="AA1070" s="32"/>
      <c r="AB1070" s="32"/>
      <c r="AC1070" s="32"/>
      <c r="AD1070" s="35" t="str">
        <f aca="false">IF(OR(LEFT(H1070,4)="Meta",LEFT(H1070,6)="Google"),IF(AG1070=3,"Lead calificado",IF(OR(AG1070=4,AG1070=5),"Tasación/visita",IF(OR(AG1070=6,AG1070=7),"Captación/oferta",IF(AG1070=8,"Cierre","")))),"")</f>
        <v/>
      </c>
      <c r="AE1070" s="32"/>
      <c r="AF1070" s="32"/>
      <c r="AG1070" s="37" t="n">
        <f aca="false">IF(R1070="",0,IFERROR(MATCH(R1070,Listas!$L$2:$L$50,0),0))</f>
        <v>0</v>
      </c>
    </row>
    <row r="1071" customFormat="false" ht="15" hidden="false" customHeight="false" outlineLevel="0" collapsed="false">
      <c r="A1071" s="30"/>
      <c r="B1071" s="31"/>
      <c r="C1071" s="32"/>
      <c r="D1071" s="32"/>
      <c r="E1071" s="33"/>
      <c r="F1071" s="32"/>
      <c r="G1071" s="32"/>
      <c r="H1071" s="32"/>
      <c r="I1071" s="32"/>
      <c r="J1071" s="32"/>
      <c r="K1071" s="32"/>
      <c r="L1071" s="32"/>
      <c r="M1071" s="30"/>
      <c r="N1071" s="32"/>
      <c r="O1071" s="34"/>
      <c r="P1071" s="32"/>
      <c r="Q1071" s="32"/>
      <c r="R1071" s="32"/>
      <c r="S1071" s="32"/>
      <c r="T1071" s="32"/>
      <c r="U1071" s="32"/>
      <c r="V1071" s="31"/>
      <c r="W1071" s="35" t="str">
        <f aca="true">IF(OR(V1071="",AG1071&gt;=8),"",IF(V1071&lt;TODAY(),"Vencida",IF(V1071=TODAY(),"Hoy","")))</f>
        <v/>
      </c>
      <c r="X1071" s="36" t="str">
        <f aca="false">IF(A1071="","",IF(COUNTIF(Seguimiento!$B$2:$B$5001,A1071)=0,"",_xlfn.MAXIFS(Seguimiento!$A$2:$A$5001,Seguimiento!$B$2:$B$5001,A1071)))</f>
        <v/>
      </c>
      <c r="Y1071" s="37" t="str">
        <f aca="true">IF(B1071="","",TODAY()-B1071)</f>
        <v/>
      </c>
      <c r="Z1071" s="38" t="str">
        <f aca="false">IF(OR(O1071="",G1071=""),"",O1071*IFERROR(INDEX(Listas!$B$2:$B$50,MATCH(G1071,Listas!$A$2:$A$50,0)),0))</f>
        <v/>
      </c>
      <c r="AA1071" s="32"/>
      <c r="AB1071" s="32"/>
      <c r="AC1071" s="32"/>
      <c r="AD1071" s="35" t="str">
        <f aca="false">IF(OR(LEFT(H1071,4)="Meta",LEFT(H1071,6)="Google"),IF(AG1071=3,"Lead calificado",IF(OR(AG1071=4,AG1071=5),"Tasación/visita",IF(OR(AG1071=6,AG1071=7),"Captación/oferta",IF(AG1071=8,"Cierre","")))),"")</f>
        <v/>
      </c>
      <c r="AE1071" s="32"/>
      <c r="AF1071" s="32"/>
      <c r="AG1071" s="37" t="n">
        <f aca="false">IF(R1071="",0,IFERROR(MATCH(R1071,Listas!$L$2:$L$50,0),0))</f>
        <v>0</v>
      </c>
    </row>
    <row r="1072" customFormat="false" ht="15" hidden="false" customHeight="false" outlineLevel="0" collapsed="false">
      <c r="A1072" s="30"/>
      <c r="B1072" s="31"/>
      <c r="C1072" s="32"/>
      <c r="D1072" s="32"/>
      <c r="E1072" s="33"/>
      <c r="F1072" s="32"/>
      <c r="G1072" s="32"/>
      <c r="H1072" s="32"/>
      <c r="I1072" s="32"/>
      <c r="J1072" s="32"/>
      <c r="K1072" s="32"/>
      <c r="L1072" s="32"/>
      <c r="M1072" s="30"/>
      <c r="N1072" s="32"/>
      <c r="O1072" s="34"/>
      <c r="P1072" s="32"/>
      <c r="Q1072" s="32"/>
      <c r="R1072" s="32"/>
      <c r="S1072" s="32"/>
      <c r="T1072" s="32"/>
      <c r="U1072" s="32"/>
      <c r="V1072" s="31"/>
      <c r="W1072" s="35" t="str">
        <f aca="true">IF(OR(V1072="",AG1072&gt;=8),"",IF(V1072&lt;TODAY(),"Vencida",IF(V1072=TODAY(),"Hoy","")))</f>
        <v/>
      </c>
      <c r="X1072" s="36" t="str">
        <f aca="false">IF(A1072="","",IF(COUNTIF(Seguimiento!$B$2:$B$5001,A1072)=0,"",_xlfn.MAXIFS(Seguimiento!$A$2:$A$5001,Seguimiento!$B$2:$B$5001,A1072)))</f>
        <v/>
      </c>
      <c r="Y1072" s="37" t="str">
        <f aca="true">IF(B1072="","",TODAY()-B1072)</f>
        <v/>
      </c>
      <c r="Z1072" s="38" t="str">
        <f aca="false">IF(OR(O1072="",G1072=""),"",O1072*IFERROR(INDEX(Listas!$B$2:$B$50,MATCH(G1072,Listas!$A$2:$A$50,0)),0))</f>
        <v/>
      </c>
      <c r="AA1072" s="32"/>
      <c r="AB1072" s="32"/>
      <c r="AC1072" s="32"/>
      <c r="AD1072" s="35" t="str">
        <f aca="false">IF(OR(LEFT(H1072,4)="Meta",LEFT(H1072,6)="Google"),IF(AG1072=3,"Lead calificado",IF(OR(AG1072=4,AG1072=5),"Tasación/visita",IF(OR(AG1072=6,AG1072=7),"Captación/oferta",IF(AG1072=8,"Cierre","")))),"")</f>
        <v/>
      </c>
      <c r="AE1072" s="32"/>
      <c r="AF1072" s="32"/>
      <c r="AG1072" s="37" t="n">
        <f aca="false">IF(R1072="",0,IFERROR(MATCH(R1072,Listas!$L$2:$L$50,0),0))</f>
        <v>0</v>
      </c>
    </row>
    <row r="1073" customFormat="false" ht="15" hidden="false" customHeight="false" outlineLevel="0" collapsed="false">
      <c r="A1073" s="30"/>
      <c r="B1073" s="31"/>
      <c r="C1073" s="32"/>
      <c r="D1073" s="32"/>
      <c r="E1073" s="33"/>
      <c r="F1073" s="32"/>
      <c r="G1073" s="32"/>
      <c r="H1073" s="32"/>
      <c r="I1073" s="32"/>
      <c r="J1073" s="32"/>
      <c r="K1073" s="32"/>
      <c r="L1073" s="32"/>
      <c r="M1073" s="30"/>
      <c r="N1073" s="32"/>
      <c r="O1073" s="34"/>
      <c r="P1073" s="32"/>
      <c r="Q1073" s="32"/>
      <c r="R1073" s="32"/>
      <c r="S1073" s="32"/>
      <c r="T1073" s="32"/>
      <c r="U1073" s="32"/>
      <c r="V1073" s="31"/>
      <c r="W1073" s="35" t="str">
        <f aca="true">IF(OR(V1073="",AG1073&gt;=8),"",IF(V1073&lt;TODAY(),"Vencida",IF(V1073=TODAY(),"Hoy","")))</f>
        <v/>
      </c>
      <c r="X1073" s="36" t="str">
        <f aca="false">IF(A1073="","",IF(COUNTIF(Seguimiento!$B$2:$B$5001,A1073)=0,"",_xlfn.MAXIFS(Seguimiento!$A$2:$A$5001,Seguimiento!$B$2:$B$5001,A1073)))</f>
        <v/>
      </c>
      <c r="Y1073" s="37" t="str">
        <f aca="true">IF(B1073="","",TODAY()-B1073)</f>
        <v/>
      </c>
      <c r="Z1073" s="38" t="str">
        <f aca="false">IF(OR(O1073="",G1073=""),"",O1073*IFERROR(INDEX(Listas!$B$2:$B$50,MATCH(G1073,Listas!$A$2:$A$50,0)),0))</f>
        <v/>
      </c>
      <c r="AA1073" s="32"/>
      <c r="AB1073" s="32"/>
      <c r="AC1073" s="32"/>
      <c r="AD1073" s="35" t="str">
        <f aca="false">IF(OR(LEFT(H1073,4)="Meta",LEFT(H1073,6)="Google"),IF(AG1073=3,"Lead calificado",IF(OR(AG1073=4,AG1073=5),"Tasación/visita",IF(OR(AG1073=6,AG1073=7),"Captación/oferta",IF(AG1073=8,"Cierre","")))),"")</f>
        <v/>
      </c>
      <c r="AE1073" s="32"/>
      <c r="AF1073" s="32"/>
      <c r="AG1073" s="37" t="n">
        <f aca="false">IF(R1073="",0,IFERROR(MATCH(R1073,Listas!$L$2:$L$50,0),0))</f>
        <v>0</v>
      </c>
    </row>
    <row r="1074" customFormat="false" ht="15" hidden="false" customHeight="false" outlineLevel="0" collapsed="false">
      <c r="A1074" s="30"/>
      <c r="B1074" s="31"/>
      <c r="C1074" s="32"/>
      <c r="D1074" s="32"/>
      <c r="E1074" s="33"/>
      <c r="F1074" s="32"/>
      <c r="G1074" s="32"/>
      <c r="H1074" s="32"/>
      <c r="I1074" s="32"/>
      <c r="J1074" s="32"/>
      <c r="K1074" s="32"/>
      <c r="L1074" s="32"/>
      <c r="M1074" s="30"/>
      <c r="N1074" s="32"/>
      <c r="O1074" s="34"/>
      <c r="P1074" s="32"/>
      <c r="Q1074" s="32"/>
      <c r="R1074" s="32"/>
      <c r="S1074" s="32"/>
      <c r="T1074" s="32"/>
      <c r="U1074" s="32"/>
      <c r="V1074" s="31"/>
      <c r="W1074" s="35" t="str">
        <f aca="true">IF(OR(V1074="",AG1074&gt;=8),"",IF(V1074&lt;TODAY(),"Vencida",IF(V1074=TODAY(),"Hoy","")))</f>
        <v/>
      </c>
      <c r="X1074" s="36" t="str">
        <f aca="false">IF(A1074="","",IF(COUNTIF(Seguimiento!$B$2:$B$5001,A1074)=0,"",_xlfn.MAXIFS(Seguimiento!$A$2:$A$5001,Seguimiento!$B$2:$B$5001,A1074)))</f>
        <v/>
      </c>
      <c r="Y1074" s="37" t="str">
        <f aca="true">IF(B1074="","",TODAY()-B1074)</f>
        <v/>
      </c>
      <c r="Z1074" s="38" t="str">
        <f aca="false">IF(OR(O1074="",G1074=""),"",O1074*IFERROR(INDEX(Listas!$B$2:$B$50,MATCH(G1074,Listas!$A$2:$A$50,0)),0))</f>
        <v/>
      </c>
      <c r="AA1074" s="32"/>
      <c r="AB1074" s="32"/>
      <c r="AC1074" s="32"/>
      <c r="AD1074" s="35" t="str">
        <f aca="false">IF(OR(LEFT(H1074,4)="Meta",LEFT(H1074,6)="Google"),IF(AG1074=3,"Lead calificado",IF(OR(AG1074=4,AG1074=5),"Tasación/visita",IF(OR(AG1074=6,AG1074=7),"Captación/oferta",IF(AG1074=8,"Cierre","")))),"")</f>
        <v/>
      </c>
      <c r="AE1074" s="32"/>
      <c r="AF1074" s="32"/>
      <c r="AG1074" s="37" t="n">
        <f aca="false">IF(R1074="",0,IFERROR(MATCH(R1074,Listas!$L$2:$L$50,0),0))</f>
        <v>0</v>
      </c>
    </row>
    <row r="1075" customFormat="false" ht="15" hidden="false" customHeight="false" outlineLevel="0" collapsed="false">
      <c r="A1075" s="30"/>
      <c r="B1075" s="31"/>
      <c r="C1075" s="32"/>
      <c r="D1075" s="32"/>
      <c r="E1075" s="33"/>
      <c r="F1075" s="32"/>
      <c r="G1075" s="32"/>
      <c r="H1075" s="32"/>
      <c r="I1075" s="32"/>
      <c r="J1075" s="32"/>
      <c r="K1075" s="32"/>
      <c r="L1075" s="32"/>
      <c r="M1075" s="30"/>
      <c r="N1075" s="32"/>
      <c r="O1075" s="34"/>
      <c r="P1075" s="32"/>
      <c r="Q1075" s="32"/>
      <c r="R1075" s="32"/>
      <c r="S1075" s="32"/>
      <c r="T1075" s="32"/>
      <c r="U1075" s="32"/>
      <c r="V1075" s="31"/>
      <c r="W1075" s="35" t="str">
        <f aca="true">IF(OR(V1075="",AG1075&gt;=8),"",IF(V1075&lt;TODAY(),"Vencida",IF(V1075=TODAY(),"Hoy","")))</f>
        <v/>
      </c>
      <c r="X1075" s="36" t="str">
        <f aca="false">IF(A1075="","",IF(COUNTIF(Seguimiento!$B$2:$B$5001,A1075)=0,"",_xlfn.MAXIFS(Seguimiento!$A$2:$A$5001,Seguimiento!$B$2:$B$5001,A1075)))</f>
        <v/>
      </c>
      <c r="Y1075" s="37" t="str">
        <f aca="true">IF(B1075="","",TODAY()-B1075)</f>
        <v/>
      </c>
      <c r="Z1075" s="38" t="str">
        <f aca="false">IF(OR(O1075="",G1075=""),"",O1075*IFERROR(INDEX(Listas!$B$2:$B$50,MATCH(G1075,Listas!$A$2:$A$50,0)),0))</f>
        <v/>
      </c>
      <c r="AA1075" s="32"/>
      <c r="AB1075" s="32"/>
      <c r="AC1075" s="32"/>
      <c r="AD1075" s="35" t="str">
        <f aca="false">IF(OR(LEFT(H1075,4)="Meta",LEFT(H1075,6)="Google"),IF(AG1075=3,"Lead calificado",IF(OR(AG1075=4,AG1075=5),"Tasación/visita",IF(OR(AG1075=6,AG1075=7),"Captación/oferta",IF(AG1075=8,"Cierre","")))),"")</f>
        <v/>
      </c>
      <c r="AE1075" s="32"/>
      <c r="AF1075" s="32"/>
      <c r="AG1075" s="37" t="n">
        <f aca="false">IF(R1075="",0,IFERROR(MATCH(R1075,Listas!$L$2:$L$50,0),0))</f>
        <v>0</v>
      </c>
    </row>
    <row r="1076" customFormat="false" ht="15" hidden="false" customHeight="false" outlineLevel="0" collapsed="false">
      <c r="A1076" s="30"/>
      <c r="B1076" s="31"/>
      <c r="C1076" s="32"/>
      <c r="D1076" s="32"/>
      <c r="E1076" s="33"/>
      <c r="F1076" s="32"/>
      <c r="G1076" s="32"/>
      <c r="H1076" s="32"/>
      <c r="I1076" s="32"/>
      <c r="J1076" s="32"/>
      <c r="K1076" s="32"/>
      <c r="L1076" s="32"/>
      <c r="M1076" s="30"/>
      <c r="N1076" s="32"/>
      <c r="O1076" s="34"/>
      <c r="P1076" s="32"/>
      <c r="Q1076" s="32"/>
      <c r="R1076" s="32"/>
      <c r="S1076" s="32"/>
      <c r="T1076" s="32"/>
      <c r="U1076" s="32"/>
      <c r="V1076" s="31"/>
      <c r="W1076" s="35" t="str">
        <f aca="true">IF(OR(V1076="",AG1076&gt;=8),"",IF(V1076&lt;TODAY(),"Vencida",IF(V1076=TODAY(),"Hoy","")))</f>
        <v/>
      </c>
      <c r="X1076" s="36" t="str">
        <f aca="false">IF(A1076="","",IF(COUNTIF(Seguimiento!$B$2:$B$5001,A1076)=0,"",_xlfn.MAXIFS(Seguimiento!$A$2:$A$5001,Seguimiento!$B$2:$B$5001,A1076)))</f>
        <v/>
      </c>
      <c r="Y1076" s="37" t="str">
        <f aca="true">IF(B1076="","",TODAY()-B1076)</f>
        <v/>
      </c>
      <c r="Z1076" s="38" t="str">
        <f aca="false">IF(OR(O1076="",G1076=""),"",O1076*IFERROR(INDEX(Listas!$B$2:$B$50,MATCH(G1076,Listas!$A$2:$A$50,0)),0))</f>
        <v/>
      </c>
      <c r="AA1076" s="32"/>
      <c r="AB1076" s="32"/>
      <c r="AC1076" s="32"/>
      <c r="AD1076" s="35" t="str">
        <f aca="false">IF(OR(LEFT(H1076,4)="Meta",LEFT(H1076,6)="Google"),IF(AG1076=3,"Lead calificado",IF(OR(AG1076=4,AG1076=5),"Tasación/visita",IF(OR(AG1076=6,AG1076=7),"Captación/oferta",IF(AG1076=8,"Cierre","")))),"")</f>
        <v/>
      </c>
      <c r="AE1076" s="32"/>
      <c r="AF1076" s="32"/>
      <c r="AG1076" s="37" t="n">
        <f aca="false">IF(R1076="",0,IFERROR(MATCH(R1076,Listas!$L$2:$L$50,0),0))</f>
        <v>0</v>
      </c>
    </row>
    <row r="1077" customFormat="false" ht="15" hidden="false" customHeight="false" outlineLevel="0" collapsed="false">
      <c r="A1077" s="30"/>
      <c r="B1077" s="31"/>
      <c r="C1077" s="32"/>
      <c r="D1077" s="32"/>
      <c r="E1077" s="33"/>
      <c r="F1077" s="32"/>
      <c r="G1077" s="32"/>
      <c r="H1077" s="32"/>
      <c r="I1077" s="32"/>
      <c r="J1077" s="32"/>
      <c r="K1077" s="32"/>
      <c r="L1077" s="32"/>
      <c r="M1077" s="30"/>
      <c r="N1077" s="32"/>
      <c r="O1077" s="34"/>
      <c r="P1077" s="32"/>
      <c r="Q1077" s="32"/>
      <c r="R1077" s="32"/>
      <c r="S1077" s="32"/>
      <c r="T1077" s="32"/>
      <c r="U1077" s="32"/>
      <c r="V1077" s="31"/>
      <c r="W1077" s="35" t="str">
        <f aca="true">IF(OR(V1077="",AG1077&gt;=8),"",IF(V1077&lt;TODAY(),"Vencida",IF(V1077=TODAY(),"Hoy","")))</f>
        <v/>
      </c>
      <c r="X1077" s="36" t="str">
        <f aca="false">IF(A1077="","",IF(COUNTIF(Seguimiento!$B$2:$B$5001,A1077)=0,"",_xlfn.MAXIFS(Seguimiento!$A$2:$A$5001,Seguimiento!$B$2:$B$5001,A1077)))</f>
        <v/>
      </c>
      <c r="Y1077" s="37" t="str">
        <f aca="true">IF(B1077="","",TODAY()-B1077)</f>
        <v/>
      </c>
      <c r="Z1077" s="38" t="str">
        <f aca="false">IF(OR(O1077="",G1077=""),"",O1077*IFERROR(INDEX(Listas!$B$2:$B$50,MATCH(G1077,Listas!$A$2:$A$50,0)),0))</f>
        <v/>
      </c>
      <c r="AA1077" s="32"/>
      <c r="AB1077" s="32"/>
      <c r="AC1077" s="32"/>
      <c r="AD1077" s="35" t="str">
        <f aca="false">IF(OR(LEFT(H1077,4)="Meta",LEFT(H1077,6)="Google"),IF(AG1077=3,"Lead calificado",IF(OR(AG1077=4,AG1077=5),"Tasación/visita",IF(OR(AG1077=6,AG1077=7),"Captación/oferta",IF(AG1077=8,"Cierre","")))),"")</f>
        <v/>
      </c>
      <c r="AE1077" s="32"/>
      <c r="AF1077" s="32"/>
      <c r="AG1077" s="37" t="n">
        <f aca="false">IF(R1077="",0,IFERROR(MATCH(R1077,Listas!$L$2:$L$50,0),0))</f>
        <v>0</v>
      </c>
    </row>
    <row r="1078" customFormat="false" ht="15" hidden="false" customHeight="false" outlineLevel="0" collapsed="false">
      <c r="A1078" s="30"/>
      <c r="B1078" s="31"/>
      <c r="C1078" s="32"/>
      <c r="D1078" s="32"/>
      <c r="E1078" s="33"/>
      <c r="F1078" s="32"/>
      <c r="G1078" s="32"/>
      <c r="H1078" s="32"/>
      <c r="I1078" s="32"/>
      <c r="J1078" s="32"/>
      <c r="K1078" s="32"/>
      <c r="L1078" s="32"/>
      <c r="M1078" s="30"/>
      <c r="N1078" s="32"/>
      <c r="O1078" s="34"/>
      <c r="P1078" s="32"/>
      <c r="Q1078" s="32"/>
      <c r="R1078" s="32"/>
      <c r="S1078" s="32"/>
      <c r="T1078" s="32"/>
      <c r="U1078" s="32"/>
      <c r="V1078" s="31"/>
      <c r="W1078" s="35" t="str">
        <f aca="true">IF(OR(V1078="",AG1078&gt;=8),"",IF(V1078&lt;TODAY(),"Vencida",IF(V1078=TODAY(),"Hoy","")))</f>
        <v/>
      </c>
      <c r="X1078" s="36" t="str">
        <f aca="false">IF(A1078="","",IF(COUNTIF(Seguimiento!$B$2:$B$5001,A1078)=0,"",_xlfn.MAXIFS(Seguimiento!$A$2:$A$5001,Seguimiento!$B$2:$B$5001,A1078)))</f>
        <v/>
      </c>
      <c r="Y1078" s="37" t="str">
        <f aca="true">IF(B1078="","",TODAY()-B1078)</f>
        <v/>
      </c>
      <c r="Z1078" s="38" t="str">
        <f aca="false">IF(OR(O1078="",G1078=""),"",O1078*IFERROR(INDEX(Listas!$B$2:$B$50,MATCH(G1078,Listas!$A$2:$A$50,0)),0))</f>
        <v/>
      </c>
      <c r="AA1078" s="32"/>
      <c r="AB1078" s="32"/>
      <c r="AC1078" s="32"/>
      <c r="AD1078" s="35" t="str">
        <f aca="false">IF(OR(LEFT(H1078,4)="Meta",LEFT(H1078,6)="Google"),IF(AG1078=3,"Lead calificado",IF(OR(AG1078=4,AG1078=5),"Tasación/visita",IF(OR(AG1078=6,AG1078=7),"Captación/oferta",IF(AG1078=8,"Cierre","")))),"")</f>
        <v/>
      </c>
      <c r="AE1078" s="32"/>
      <c r="AF1078" s="32"/>
      <c r="AG1078" s="37" t="n">
        <f aca="false">IF(R1078="",0,IFERROR(MATCH(R1078,Listas!$L$2:$L$50,0),0))</f>
        <v>0</v>
      </c>
    </row>
    <row r="1079" customFormat="false" ht="15" hidden="false" customHeight="false" outlineLevel="0" collapsed="false">
      <c r="A1079" s="30"/>
      <c r="B1079" s="31"/>
      <c r="C1079" s="32"/>
      <c r="D1079" s="32"/>
      <c r="E1079" s="33"/>
      <c r="F1079" s="32"/>
      <c r="G1079" s="32"/>
      <c r="H1079" s="32"/>
      <c r="I1079" s="32"/>
      <c r="J1079" s="32"/>
      <c r="K1079" s="32"/>
      <c r="L1079" s="32"/>
      <c r="M1079" s="30"/>
      <c r="N1079" s="32"/>
      <c r="O1079" s="34"/>
      <c r="P1079" s="32"/>
      <c r="Q1079" s="32"/>
      <c r="R1079" s="32"/>
      <c r="S1079" s="32"/>
      <c r="T1079" s="32"/>
      <c r="U1079" s="32"/>
      <c r="V1079" s="31"/>
      <c r="W1079" s="35" t="str">
        <f aca="true">IF(OR(V1079="",AG1079&gt;=8),"",IF(V1079&lt;TODAY(),"Vencida",IF(V1079=TODAY(),"Hoy","")))</f>
        <v/>
      </c>
      <c r="X1079" s="36" t="str">
        <f aca="false">IF(A1079="","",IF(COUNTIF(Seguimiento!$B$2:$B$5001,A1079)=0,"",_xlfn.MAXIFS(Seguimiento!$A$2:$A$5001,Seguimiento!$B$2:$B$5001,A1079)))</f>
        <v/>
      </c>
      <c r="Y1079" s="37" t="str">
        <f aca="true">IF(B1079="","",TODAY()-B1079)</f>
        <v/>
      </c>
      <c r="Z1079" s="38" t="str">
        <f aca="false">IF(OR(O1079="",G1079=""),"",O1079*IFERROR(INDEX(Listas!$B$2:$B$50,MATCH(G1079,Listas!$A$2:$A$50,0)),0))</f>
        <v/>
      </c>
      <c r="AA1079" s="32"/>
      <c r="AB1079" s="32"/>
      <c r="AC1079" s="32"/>
      <c r="AD1079" s="35" t="str">
        <f aca="false">IF(OR(LEFT(H1079,4)="Meta",LEFT(H1079,6)="Google"),IF(AG1079=3,"Lead calificado",IF(OR(AG1079=4,AG1079=5),"Tasación/visita",IF(OR(AG1079=6,AG1079=7),"Captación/oferta",IF(AG1079=8,"Cierre","")))),"")</f>
        <v/>
      </c>
      <c r="AE1079" s="32"/>
      <c r="AF1079" s="32"/>
      <c r="AG1079" s="37" t="n">
        <f aca="false">IF(R1079="",0,IFERROR(MATCH(R1079,Listas!$L$2:$L$50,0),0))</f>
        <v>0</v>
      </c>
    </row>
    <row r="1080" customFormat="false" ht="15" hidden="false" customHeight="false" outlineLevel="0" collapsed="false">
      <c r="A1080" s="30"/>
      <c r="B1080" s="31"/>
      <c r="C1080" s="32"/>
      <c r="D1080" s="32"/>
      <c r="E1080" s="33"/>
      <c r="F1080" s="32"/>
      <c r="G1080" s="32"/>
      <c r="H1080" s="32"/>
      <c r="I1080" s="32"/>
      <c r="J1080" s="32"/>
      <c r="K1080" s="32"/>
      <c r="L1080" s="32"/>
      <c r="M1080" s="30"/>
      <c r="N1080" s="32"/>
      <c r="O1080" s="34"/>
      <c r="P1080" s="32"/>
      <c r="Q1080" s="32"/>
      <c r="R1080" s="32"/>
      <c r="S1080" s="32"/>
      <c r="T1080" s="32"/>
      <c r="U1080" s="32"/>
      <c r="V1080" s="31"/>
      <c r="W1080" s="35" t="str">
        <f aca="true">IF(OR(V1080="",AG1080&gt;=8),"",IF(V1080&lt;TODAY(),"Vencida",IF(V1080=TODAY(),"Hoy","")))</f>
        <v/>
      </c>
      <c r="X1080" s="36" t="str">
        <f aca="false">IF(A1080="","",IF(COUNTIF(Seguimiento!$B$2:$B$5001,A1080)=0,"",_xlfn.MAXIFS(Seguimiento!$A$2:$A$5001,Seguimiento!$B$2:$B$5001,A1080)))</f>
        <v/>
      </c>
      <c r="Y1080" s="37" t="str">
        <f aca="true">IF(B1080="","",TODAY()-B1080)</f>
        <v/>
      </c>
      <c r="Z1080" s="38" t="str">
        <f aca="false">IF(OR(O1080="",G1080=""),"",O1080*IFERROR(INDEX(Listas!$B$2:$B$50,MATCH(G1080,Listas!$A$2:$A$50,0)),0))</f>
        <v/>
      </c>
      <c r="AA1080" s="32"/>
      <c r="AB1080" s="32"/>
      <c r="AC1080" s="32"/>
      <c r="AD1080" s="35" t="str">
        <f aca="false">IF(OR(LEFT(H1080,4)="Meta",LEFT(H1080,6)="Google"),IF(AG1080=3,"Lead calificado",IF(OR(AG1080=4,AG1080=5),"Tasación/visita",IF(OR(AG1080=6,AG1080=7),"Captación/oferta",IF(AG1080=8,"Cierre","")))),"")</f>
        <v/>
      </c>
      <c r="AE1080" s="32"/>
      <c r="AF1080" s="32"/>
      <c r="AG1080" s="37" t="n">
        <f aca="false">IF(R1080="",0,IFERROR(MATCH(R1080,Listas!$L$2:$L$50,0),0))</f>
        <v>0</v>
      </c>
    </row>
    <row r="1081" customFormat="false" ht="15" hidden="false" customHeight="false" outlineLevel="0" collapsed="false">
      <c r="A1081" s="30"/>
      <c r="B1081" s="31"/>
      <c r="C1081" s="32"/>
      <c r="D1081" s="32"/>
      <c r="E1081" s="33"/>
      <c r="F1081" s="32"/>
      <c r="G1081" s="32"/>
      <c r="H1081" s="32"/>
      <c r="I1081" s="32"/>
      <c r="J1081" s="32"/>
      <c r="K1081" s="32"/>
      <c r="L1081" s="32"/>
      <c r="M1081" s="30"/>
      <c r="N1081" s="32"/>
      <c r="O1081" s="34"/>
      <c r="P1081" s="32"/>
      <c r="Q1081" s="32"/>
      <c r="R1081" s="32"/>
      <c r="S1081" s="32"/>
      <c r="T1081" s="32"/>
      <c r="U1081" s="32"/>
      <c r="V1081" s="31"/>
      <c r="W1081" s="35" t="str">
        <f aca="true">IF(OR(V1081="",AG1081&gt;=8),"",IF(V1081&lt;TODAY(),"Vencida",IF(V1081=TODAY(),"Hoy","")))</f>
        <v/>
      </c>
      <c r="X1081" s="36" t="str">
        <f aca="false">IF(A1081="","",IF(COUNTIF(Seguimiento!$B$2:$B$5001,A1081)=0,"",_xlfn.MAXIFS(Seguimiento!$A$2:$A$5001,Seguimiento!$B$2:$B$5001,A1081)))</f>
        <v/>
      </c>
      <c r="Y1081" s="37" t="str">
        <f aca="true">IF(B1081="","",TODAY()-B1081)</f>
        <v/>
      </c>
      <c r="Z1081" s="38" t="str">
        <f aca="false">IF(OR(O1081="",G1081=""),"",O1081*IFERROR(INDEX(Listas!$B$2:$B$50,MATCH(G1081,Listas!$A$2:$A$50,0)),0))</f>
        <v/>
      </c>
      <c r="AA1081" s="32"/>
      <c r="AB1081" s="32"/>
      <c r="AC1081" s="32"/>
      <c r="AD1081" s="35" t="str">
        <f aca="false">IF(OR(LEFT(H1081,4)="Meta",LEFT(H1081,6)="Google"),IF(AG1081=3,"Lead calificado",IF(OR(AG1081=4,AG1081=5),"Tasación/visita",IF(OR(AG1081=6,AG1081=7),"Captación/oferta",IF(AG1081=8,"Cierre","")))),"")</f>
        <v/>
      </c>
      <c r="AE1081" s="32"/>
      <c r="AF1081" s="32"/>
      <c r="AG1081" s="37" t="n">
        <f aca="false">IF(R1081="",0,IFERROR(MATCH(R1081,Listas!$L$2:$L$50,0),0))</f>
        <v>0</v>
      </c>
    </row>
    <row r="1082" customFormat="false" ht="15" hidden="false" customHeight="false" outlineLevel="0" collapsed="false">
      <c r="A1082" s="30"/>
      <c r="B1082" s="31"/>
      <c r="C1082" s="32"/>
      <c r="D1082" s="32"/>
      <c r="E1082" s="33"/>
      <c r="F1082" s="32"/>
      <c r="G1082" s="32"/>
      <c r="H1082" s="32"/>
      <c r="I1082" s="32"/>
      <c r="J1082" s="32"/>
      <c r="K1082" s="32"/>
      <c r="L1082" s="32"/>
      <c r="M1082" s="30"/>
      <c r="N1082" s="32"/>
      <c r="O1082" s="34"/>
      <c r="P1082" s="32"/>
      <c r="Q1082" s="32"/>
      <c r="R1082" s="32"/>
      <c r="S1082" s="32"/>
      <c r="T1082" s="32"/>
      <c r="U1082" s="32"/>
      <c r="V1082" s="31"/>
      <c r="W1082" s="35" t="str">
        <f aca="true">IF(OR(V1082="",AG1082&gt;=8),"",IF(V1082&lt;TODAY(),"Vencida",IF(V1082=TODAY(),"Hoy","")))</f>
        <v/>
      </c>
      <c r="X1082" s="36" t="str">
        <f aca="false">IF(A1082="","",IF(COUNTIF(Seguimiento!$B$2:$B$5001,A1082)=0,"",_xlfn.MAXIFS(Seguimiento!$A$2:$A$5001,Seguimiento!$B$2:$B$5001,A1082)))</f>
        <v/>
      </c>
      <c r="Y1082" s="37" t="str">
        <f aca="true">IF(B1082="","",TODAY()-B1082)</f>
        <v/>
      </c>
      <c r="Z1082" s="38" t="str">
        <f aca="false">IF(OR(O1082="",G1082=""),"",O1082*IFERROR(INDEX(Listas!$B$2:$B$50,MATCH(G1082,Listas!$A$2:$A$50,0)),0))</f>
        <v/>
      </c>
      <c r="AA1082" s="32"/>
      <c r="AB1082" s="32"/>
      <c r="AC1082" s="32"/>
      <c r="AD1082" s="35" t="str">
        <f aca="false">IF(OR(LEFT(H1082,4)="Meta",LEFT(H1082,6)="Google"),IF(AG1082=3,"Lead calificado",IF(OR(AG1082=4,AG1082=5),"Tasación/visita",IF(OR(AG1082=6,AG1082=7),"Captación/oferta",IF(AG1082=8,"Cierre","")))),"")</f>
        <v/>
      </c>
      <c r="AE1082" s="32"/>
      <c r="AF1082" s="32"/>
      <c r="AG1082" s="37" t="n">
        <f aca="false">IF(R1082="",0,IFERROR(MATCH(R1082,Listas!$L$2:$L$50,0),0))</f>
        <v>0</v>
      </c>
    </row>
    <row r="1083" customFormat="false" ht="15" hidden="false" customHeight="false" outlineLevel="0" collapsed="false">
      <c r="A1083" s="30"/>
      <c r="B1083" s="31"/>
      <c r="C1083" s="32"/>
      <c r="D1083" s="32"/>
      <c r="E1083" s="33"/>
      <c r="F1083" s="32"/>
      <c r="G1083" s="32"/>
      <c r="H1083" s="32"/>
      <c r="I1083" s="32"/>
      <c r="J1083" s="32"/>
      <c r="K1083" s="32"/>
      <c r="L1083" s="32"/>
      <c r="M1083" s="30"/>
      <c r="N1083" s="32"/>
      <c r="O1083" s="34"/>
      <c r="P1083" s="32"/>
      <c r="Q1083" s="32"/>
      <c r="R1083" s="32"/>
      <c r="S1083" s="32"/>
      <c r="T1083" s="32"/>
      <c r="U1083" s="32"/>
      <c r="V1083" s="31"/>
      <c r="W1083" s="35" t="str">
        <f aca="true">IF(OR(V1083="",AG1083&gt;=8),"",IF(V1083&lt;TODAY(),"Vencida",IF(V1083=TODAY(),"Hoy","")))</f>
        <v/>
      </c>
      <c r="X1083" s="36" t="str">
        <f aca="false">IF(A1083="","",IF(COUNTIF(Seguimiento!$B$2:$B$5001,A1083)=0,"",_xlfn.MAXIFS(Seguimiento!$A$2:$A$5001,Seguimiento!$B$2:$B$5001,A1083)))</f>
        <v/>
      </c>
      <c r="Y1083" s="37" t="str">
        <f aca="true">IF(B1083="","",TODAY()-B1083)</f>
        <v/>
      </c>
      <c r="Z1083" s="38" t="str">
        <f aca="false">IF(OR(O1083="",G1083=""),"",O1083*IFERROR(INDEX(Listas!$B$2:$B$50,MATCH(G1083,Listas!$A$2:$A$50,0)),0))</f>
        <v/>
      </c>
      <c r="AA1083" s="32"/>
      <c r="AB1083" s="32"/>
      <c r="AC1083" s="32"/>
      <c r="AD1083" s="35" t="str">
        <f aca="false">IF(OR(LEFT(H1083,4)="Meta",LEFT(H1083,6)="Google"),IF(AG1083=3,"Lead calificado",IF(OR(AG1083=4,AG1083=5),"Tasación/visita",IF(OR(AG1083=6,AG1083=7),"Captación/oferta",IF(AG1083=8,"Cierre","")))),"")</f>
        <v/>
      </c>
      <c r="AE1083" s="32"/>
      <c r="AF1083" s="32"/>
      <c r="AG1083" s="37" t="n">
        <f aca="false">IF(R1083="",0,IFERROR(MATCH(R1083,Listas!$L$2:$L$50,0),0))</f>
        <v>0</v>
      </c>
    </row>
    <row r="1084" customFormat="false" ht="15" hidden="false" customHeight="false" outlineLevel="0" collapsed="false">
      <c r="A1084" s="30"/>
      <c r="B1084" s="31"/>
      <c r="C1084" s="32"/>
      <c r="D1084" s="32"/>
      <c r="E1084" s="33"/>
      <c r="F1084" s="32"/>
      <c r="G1084" s="32"/>
      <c r="H1084" s="32"/>
      <c r="I1084" s="32"/>
      <c r="J1084" s="32"/>
      <c r="K1084" s="32"/>
      <c r="L1084" s="32"/>
      <c r="M1084" s="30"/>
      <c r="N1084" s="32"/>
      <c r="O1084" s="34"/>
      <c r="P1084" s="32"/>
      <c r="Q1084" s="32"/>
      <c r="R1084" s="32"/>
      <c r="S1084" s="32"/>
      <c r="T1084" s="32"/>
      <c r="U1084" s="32"/>
      <c r="V1084" s="31"/>
      <c r="W1084" s="35" t="str">
        <f aca="true">IF(OR(V1084="",AG1084&gt;=8),"",IF(V1084&lt;TODAY(),"Vencida",IF(V1084=TODAY(),"Hoy","")))</f>
        <v/>
      </c>
      <c r="X1084" s="36" t="str">
        <f aca="false">IF(A1084="","",IF(COUNTIF(Seguimiento!$B$2:$B$5001,A1084)=0,"",_xlfn.MAXIFS(Seguimiento!$A$2:$A$5001,Seguimiento!$B$2:$B$5001,A1084)))</f>
        <v/>
      </c>
      <c r="Y1084" s="37" t="str">
        <f aca="true">IF(B1084="","",TODAY()-B1084)</f>
        <v/>
      </c>
      <c r="Z1084" s="38" t="str">
        <f aca="false">IF(OR(O1084="",G1084=""),"",O1084*IFERROR(INDEX(Listas!$B$2:$B$50,MATCH(G1084,Listas!$A$2:$A$50,0)),0))</f>
        <v/>
      </c>
      <c r="AA1084" s="32"/>
      <c r="AB1084" s="32"/>
      <c r="AC1084" s="32"/>
      <c r="AD1084" s="35" t="str">
        <f aca="false">IF(OR(LEFT(H1084,4)="Meta",LEFT(H1084,6)="Google"),IF(AG1084=3,"Lead calificado",IF(OR(AG1084=4,AG1084=5),"Tasación/visita",IF(OR(AG1084=6,AG1084=7),"Captación/oferta",IF(AG1084=8,"Cierre","")))),"")</f>
        <v/>
      </c>
      <c r="AE1084" s="32"/>
      <c r="AF1084" s="32"/>
      <c r="AG1084" s="37" t="n">
        <f aca="false">IF(R1084="",0,IFERROR(MATCH(R1084,Listas!$L$2:$L$50,0),0))</f>
        <v>0</v>
      </c>
    </row>
    <row r="1085" customFormat="false" ht="15" hidden="false" customHeight="false" outlineLevel="0" collapsed="false">
      <c r="A1085" s="30"/>
      <c r="B1085" s="31"/>
      <c r="C1085" s="32"/>
      <c r="D1085" s="32"/>
      <c r="E1085" s="33"/>
      <c r="F1085" s="32"/>
      <c r="G1085" s="32"/>
      <c r="H1085" s="32"/>
      <c r="I1085" s="32"/>
      <c r="J1085" s="32"/>
      <c r="K1085" s="32"/>
      <c r="L1085" s="32"/>
      <c r="M1085" s="30"/>
      <c r="N1085" s="32"/>
      <c r="O1085" s="34"/>
      <c r="P1085" s="32"/>
      <c r="Q1085" s="32"/>
      <c r="R1085" s="32"/>
      <c r="S1085" s="32"/>
      <c r="T1085" s="32"/>
      <c r="U1085" s="32"/>
      <c r="V1085" s="31"/>
      <c r="W1085" s="35" t="str">
        <f aca="true">IF(OR(V1085="",AG1085&gt;=8),"",IF(V1085&lt;TODAY(),"Vencida",IF(V1085=TODAY(),"Hoy","")))</f>
        <v/>
      </c>
      <c r="X1085" s="36" t="str">
        <f aca="false">IF(A1085="","",IF(COUNTIF(Seguimiento!$B$2:$B$5001,A1085)=0,"",_xlfn.MAXIFS(Seguimiento!$A$2:$A$5001,Seguimiento!$B$2:$B$5001,A1085)))</f>
        <v/>
      </c>
      <c r="Y1085" s="37" t="str">
        <f aca="true">IF(B1085="","",TODAY()-B1085)</f>
        <v/>
      </c>
      <c r="Z1085" s="38" t="str">
        <f aca="false">IF(OR(O1085="",G1085=""),"",O1085*IFERROR(INDEX(Listas!$B$2:$B$50,MATCH(G1085,Listas!$A$2:$A$50,0)),0))</f>
        <v/>
      </c>
      <c r="AA1085" s="32"/>
      <c r="AB1085" s="32"/>
      <c r="AC1085" s="32"/>
      <c r="AD1085" s="35" t="str">
        <f aca="false">IF(OR(LEFT(H1085,4)="Meta",LEFT(H1085,6)="Google"),IF(AG1085=3,"Lead calificado",IF(OR(AG1085=4,AG1085=5),"Tasación/visita",IF(OR(AG1085=6,AG1085=7),"Captación/oferta",IF(AG1085=8,"Cierre","")))),"")</f>
        <v/>
      </c>
      <c r="AE1085" s="32"/>
      <c r="AF1085" s="32"/>
      <c r="AG1085" s="37" t="n">
        <f aca="false">IF(R1085="",0,IFERROR(MATCH(R1085,Listas!$L$2:$L$50,0),0))</f>
        <v>0</v>
      </c>
    </row>
    <row r="1086" customFormat="false" ht="15" hidden="false" customHeight="false" outlineLevel="0" collapsed="false">
      <c r="A1086" s="30"/>
      <c r="B1086" s="31"/>
      <c r="C1086" s="32"/>
      <c r="D1086" s="32"/>
      <c r="E1086" s="33"/>
      <c r="F1086" s="32"/>
      <c r="G1086" s="32"/>
      <c r="H1086" s="32"/>
      <c r="I1086" s="32"/>
      <c r="J1086" s="32"/>
      <c r="K1086" s="32"/>
      <c r="L1086" s="32"/>
      <c r="M1086" s="30"/>
      <c r="N1086" s="32"/>
      <c r="O1086" s="34"/>
      <c r="P1086" s="32"/>
      <c r="Q1086" s="32"/>
      <c r="R1086" s="32"/>
      <c r="S1086" s="32"/>
      <c r="T1086" s="32"/>
      <c r="U1086" s="32"/>
      <c r="V1086" s="31"/>
      <c r="W1086" s="35" t="str">
        <f aca="true">IF(OR(V1086="",AG1086&gt;=8),"",IF(V1086&lt;TODAY(),"Vencida",IF(V1086=TODAY(),"Hoy","")))</f>
        <v/>
      </c>
      <c r="X1086" s="36" t="str">
        <f aca="false">IF(A1086="","",IF(COUNTIF(Seguimiento!$B$2:$B$5001,A1086)=0,"",_xlfn.MAXIFS(Seguimiento!$A$2:$A$5001,Seguimiento!$B$2:$B$5001,A1086)))</f>
        <v/>
      </c>
      <c r="Y1086" s="37" t="str">
        <f aca="true">IF(B1086="","",TODAY()-B1086)</f>
        <v/>
      </c>
      <c r="Z1086" s="38" t="str">
        <f aca="false">IF(OR(O1086="",G1086=""),"",O1086*IFERROR(INDEX(Listas!$B$2:$B$50,MATCH(G1086,Listas!$A$2:$A$50,0)),0))</f>
        <v/>
      </c>
      <c r="AA1086" s="32"/>
      <c r="AB1086" s="32"/>
      <c r="AC1086" s="32"/>
      <c r="AD1086" s="35" t="str">
        <f aca="false">IF(OR(LEFT(H1086,4)="Meta",LEFT(H1086,6)="Google"),IF(AG1086=3,"Lead calificado",IF(OR(AG1086=4,AG1086=5),"Tasación/visita",IF(OR(AG1086=6,AG1086=7),"Captación/oferta",IF(AG1086=8,"Cierre","")))),"")</f>
        <v/>
      </c>
      <c r="AE1086" s="32"/>
      <c r="AF1086" s="32"/>
      <c r="AG1086" s="37" t="n">
        <f aca="false">IF(R1086="",0,IFERROR(MATCH(R1086,Listas!$L$2:$L$50,0),0))</f>
        <v>0</v>
      </c>
    </row>
    <row r="1087" customFormat="false" ht="15" hidden="false" customHeight="false" outlineLevel="0" collapsed="false">
      <c r="A1087" s="30"/>
      <c r="B1087" s="31"/>
      <c r="C1087" s="32"/>
      <c r="D1087" s="32"/>
      <c r="E1087" s="33"/>
      <c r="F1087" s="32"/>
      <c r="G1087" s="32"/>
      <c r="H1087" s="32"/>
      <c r="I1087" s="32"/>
      <c r="J1087" s="32"/>
      <c r="K1087" s="32"/>
      <c r="L1087" s="32"/>
      <c r="M1087" s="30"/>
      <c r="N1087" s="32"/>
      <c r="O1087" s="34"/>
      <c r="P1087" s="32"/>
      <c r="Q1087" s="32"/>
      <c r="R1087" s="32"/>
      <c r="S1087" s="32"/>
      <c r="T1087" s="32"/>
      <c r="U1087" s="32"/>
      <c r="V1087" s="31"/>
      <c r="W1087" s="35" t="str">
        <f aca="true">IF(OR(V1087="",AG1087&gt;=8),"",IF(V1087&lt;TODAY(),"Vencida",IF(V1087=TODAY(),"Hoy","")))</f>
        <v/>
      </c>
      <c r="X1087" s="36" t="str">
        <f aca="false">IF(A1087="","",IF(COUNTIF(Seguimiento!$B$2:$B$5001,A1087)=0,"",_xlfn.MAXIFS(Seguimiento!$A$2:$A$5001,Seguimiento!$B$2:$B$5001,A1087)))</f>
        <v/>
      </c>
      <c r="Y1087" s="37" t="str">
        <f aca="true">IF(B1087="","",TODAY()-B1087)</f>
        <v/>
      </c>
      <c r="Z1087" s="38" t="str">
        <f aca="false">IF(OR(O1087="",G1087=""),"",O1087*IFERROR(INDEX(Listas!$B$2:$B$50,MATCH(G1087,Listas!$A$2:$A$50,0)),0))</f>
        <v/>
      </c>
      <c r="AA1087" s="32"/>
      <c r="AB1087" s="32"/>
      <c r="AC1087" s="32"/>
      <c r="AD1087" s="35" t="str">
        <f aca="false">IF(OR(LEFT(H1087,4)="Meta",LEFT(H1087,6)="Google"),IF(AG1087=3,"Lead calificado",IF(OR(AG1087=4,AG1087=5),"Tasación/visita",IF(OR(AG1087=6,AG1087=7),"Captación/oferta",IF(AG1087=8,"Cierre","")))),"")</f>
        <v/>
      </c>
      <c r="AE1087" s="32"/>
      <c r="AF1087" s="32"/>
      <c r="AG1087" s="37" t="n">
        <f aca="false">IF(R1087="",0,IFERROR(MATCH(R1087,Listas!$L$2:$L$50,0),0))</f>
        <v>0</v>
      </c>
    </row>
    <row r="1088" customFormat="false" ht="15" hidden="false" customHeight="false" outlineLevel="0" collapsed="false">
      <c r="A1088" s="30"/>
      <c r="B1088" s="31"/>
      <c r="C1088" s="32"/>
      <c r="D1088" s="32"/>
      <c r="E1088" s="33"/>
      <c r="F1088" s="32"/>
      <c r="G1088" s="32"/>
      <c r="H1088" s="32"/>
      <c r="I1088" s="32"/>
      <c r="J1088" s="32"/>
      <c r="K1088" s="32"/>
      <c r="L1088" s="32"/>
      <c r="M1088" s="30"/>
      <c r="N1088" s="32"/>
      <c r="O1088" s="34"/>
      <c r="P1088" s="32"/>
      <c r="Q1088" s="32"/>
      <c r="R1088" s="32"/>
      <c r="S1088" s="32"/>
      <c r="T1088" s="32"/>
      <c r="U1088" s="32"/>
      <c r="V1088" s="31"/>
      <c r="W1088" s="35" t="str">
        <f aca="true">IF(OR(V1088="",AG1088&gt;=8),"",IF(V1088&lt;TODAY(),"Vencida",IF(V1088=TODAY(),"Hoy","")))</f>
        <v/>
      </c>
      <c r="X1088" s="36" t="str">
        <f aca="false">IF(A1088="","",IF(COUNTIF(Seguimiento!$B$2:$B$5001,A1088)=0,"",_xlfn.MAXIFS(Seguimiento!$A$2:$A$5001,Seguimiento!$B$2:$B$5001,A1088)))</f>
        <v/>
      </c>
      <c r="Y1088" s="37" t="str">
        <f aca="true">IF(B1088="","",TODAY()-B1088)</f>
        <v/>
      </c>
      <c r="Z1088" s="38" t="str">
        <f aca="false">IF(OR(O1088="",G1088=""),"",O1088*IFERROR(INDEX(Listas!$B$2:$B$50,MATCH(G1088,Listas!$A$2:$A$50,0)),0))</f>
        <v/>
      </c>
      <c r="AA1088" s="32"/>
      <c r="AB1088" s="32"/>
      <c r="AC1088" s="32"/>
      <c r="AD1088" s="35" t="str">
        <f aca="false">IF(OR(LEFT(H1088,4)="Meta",LEFT(H1088,6)="Google"),IF(AG1088=3,"Lead calificado",IF(OR(AG1088=4,AG1088=5),"Tasación/visita",IF(OR(AG1088=6,AG1088=7),"Captación/oferta",IF(AG1088=8,"Cierre","")))),"")</f>
        <v/>
      </c>
      <c r="AE1088" s="32"/>
      <c r="AF1088" s="32"/>
      <c r="AG1088" s="37" t="n">
        <f aca="false">IF(R1088="",0,IFERROR(MATCH(R1088,Listas!$L$2:$L$50,0),0))</f>
        <v>0</v>
      </c>
    </row>
    <row r="1089" customFormat="false" ht="15" hidden="false" customHeight="false" outlineLevel="0" collapsed="false">
      <c r="A1089" s="30"/>
      <c r="B1089" s="31"/>
      <c r="C1089" s="32"/>
      <c r="D1089" s="32"/>
      <c r="E1089" s="33"/>
      <c r="F1089" s="32"/>
      <c r="G1089" s="32"/>
      <c r="H1089" s="32"/>
      <c r="I1089" s="32"/>
      <c r="J1089" s="32"/>
      <c r="K1089" s="32"/>
      <c r="L1089" s="32"/>
      <c r="M1089" s="30"/>
      <c r="N1089" s="32"/>
      <c r="O1089" s="34"/>
      <c r="P1089" s="32"/>
      <c r="Q1089" s="32"/>
      <c r="R1089" s="32"/>
      <c r="S1089" s="32"/>
      <c r="T1089" s="32"/>
      <c r="U1089" s="32"/>
      <c r="V1089" s="31"/>
      <c r="W1089" s="35" t="str">
        <f aca="true">IF(OR(V1089="",AG1089&gt;=8),"",IF(V1089&lt;TODAY(),"Vencida",IF(V1089=TODAY(),"Hoy","")))</f>
        <v/>
      </c>
      <c r="X1089" s="36" t="str">
        <f aca="false">IF(A1089="","",IF(COUNTIF(Seguimiento!$B$2:$B$5001,A1089)=0,"",_xlfn.MAXIFS(Seguimiento!$A$2:$A$5001,Seguimiento!$B$2:$B$5001,A1089)))</f>
        <v/>
      </c>
      <c r="Y1089" s="37" t="str">
        <f aca="true">IF(B1089="","",TODAY()-B1089)</f>
        <v/>
      </c>
      <c r="Z1089" s="38" t="str">
        <f aca="false">IF(OR(O1089="",G1089=""),"",O1089*IFERROR(INDEX(Listas!$B$2:$B$50,MATCH(G1089,Listas!$A$2:$A$50,0)),0))</f>
        <v/>
      </c>
      <c r="AA1089" s="32"/>
      <c r="AB1089" s="32"/>
      <c r="AC1089" s="32"/>
      <c r="AD1089" s="35" t="str">
        <f aca="false">IF(OR(LEFT(H1089,4)="Meta",LEFT(H1089,6)="Google"),IF(AG1089=3,"Lead calificado",IF(OR(AG1089=4,AG1089=5),"Tasación/visita",IF(OR(AG1089=6,AG1089=7),"Captación/oferta",IF(AG1089=8,"Cierre","")))),"")</f>
        <v/>
      </c>
      <c r="AE1089" s="32"/>
      <c r="AF1089" s="32"/>
      <c r="AG1089" s="37" t="n">
        <f aca="false">IF(R1089="",0,IFERROR(MATCH(R1089,Listas!$L$2:$L$50,0),0))</f>
        <v>0</v>
      </c>
    </row>
    <row r="1090" customFormat="false" ht="15" hidden="false" customHeight="false" outlineLevel="0" collapsed="false">
      <c r="A1090" s="30"/>
      <c r="B1090" s="31"/>
      <c r="C1090" s="32"/>
      <c r="D1090" s="32"/>
      <c r="E1090" s="33"/>
      <c r="F1090" s="32"/>
      <c r="G1090" s="32"/>
      <c r="H1090" s="32"/>
      <c r="I1090" s="32"/>
      <c r="J1090" s="32"/>
      <c r="K1090" s="32"/>
      <c r="L1090" s="32"/>
      <c r="M1090" s="30"/>
      <c r="N1090" s="32"/>
      <c r="O1090" s="34"/>
      <c r="P1090" s="32"/>
      <c r="Q1090" s="32"/>
      <c r="R1090" s="32"/>
      <c r="S1090" s="32"/>
      <c r="T1090" s="32"/>
      <c r="U1090" s="32"/>
      <c r="V1090" s="31"/>
      <c r="W1090" s="35" t="str">
        <f aca="true">IF(OR(V1090="",AG1090&gt;=8),"",IF(V1090&lt;TODAY(),"Vencida",IF(V1090=TODAY(),"Hoy","")))</f>
        <v/>
      </c>
      <c r="X1090" s="36" t="str">
        <f aca="false">IF(A1090="","",IF(COUNTIF(Seguimiento!$B$2:$B$5001,A1090)=0,"",_xlfn.MAXIFS(Seguimiento!$A$2:$A$5001,Seguimiento!$B$2:$B$5001,A1090)))</f>
        <v/>
      </c>
      <c r="Y1090" s="37" t="str">
        <f aca="true">IF(B1090="","",TODAY()-B1090)</f>
        <v/>
      </c>
      <c r="Z1090" s="38" t="str">
        <f aca="false">IF(OR(O1090="",G1090=""),"",O1090*IFERROR(INDEX(Listas!$B$2:$B$50,MATCH(G1090,Listas!$A$2:$A$50,0)),0))</f>
        <v/>
      </c>
      <c r="AA1090" s="32"/>
      <c r="AB1090" s="32"/>
      <c r="AC1090" s="32"/>
      <c r="AD1090" s="35" t="str">
        <f aca="false">IF(OR(LEFT(H1090,4)="Meta",LEFT(H1090,6)="Google"),IF(AG1090=3,"Lead calificado",IF(OR(AG1090=4,AG1090=5),"Tasación/visita",IF(OR(AG1090=6,AG1090=7),"Captación/oferta",IF(AG1090=8,"Cierre","")))),"")</f>
        <v/>
      </c>
      <c r="AE1090" s="32"/>
      <c r="AF1090" s="32"/>
      <c r="AG1090" s="37" t="n">
        <f aca="false">IF(R1090="",0,IFERROR(MATCH(R1090,Listas!$L$2:$L$50,0),0))</f>
        <v>0</v>
      </c>
    </row>
    <row r="1091" customFormat="false" ht="15" hidden="false" customHeight="false" outlineLevel="0" collapsed="false">
      <c r="A1091" s="30"/>
      <c r="B1091" s="31"/>
      <c r="C1091" s="32"/>
      <c r="D1091" s="32"/>
      <c r="E1091" s="33"/>
      <c r="F1091" s="32"/>
      <c r="G1091" s="32"/>
      <c r="H1091" s="32"/>
      <c r="I1091" s="32"/>
      <c r="J1091" s="32"/>
      <c r="K1091" s="32"/>
      <c r="L1091" s="32"/>
      <c r="M1091" s="30"/>
      <c r="N1091" s="32"/>
      <c r="O1091" s="34"/>
      <c r="P1091" s="32"/>
      <c r="Q1091" s="32"/>
      <c r="R1091" s="32"/>
      <c r="S1091" s="32"/>
      <c r="T1091" s="32"/>
      <c r="U1091" s="32"/>
      <c r="V1091" s="31"/>
      <c r="W1091" s="35" t="str">
        <f aca="true">IF(OR(V1091="",AG1091&gt;=8),"",IF(V1091&lt;TODAY(),"Vencida",IF(V1091=TODAY(),"Hoy","")))</f>
        <v/>
      </c>
      <c r="X1091" s="36" t="str">
        <f aca="false">IF(A1091="","",IF(COUNTIF(Seguimiento!$B$2:$B$5001,A1091)=0,"",_xlfn.MAXIFS(Seguimiento!$A$2:$A$5001,Seguimiento!$B$2:$B$5001,A1091)))</f>
        <v/>
      </c>
      <c r="Y1091" s="37" t="str">
        <f aca="true">IF(B1091="","",TODAY()-B1091)</f>
        <v/>
      </c>
      <c r="Z1091" s="38" t="str">
        <f aca="false">IF(OR(O1091="",G1091=""),"",O1091*IFERROR(INDEX(Listas!$B$2:$B$50,MATCH(G1091,Listas!$A$2:$A$50,0)),0))</f>
        <v/>
      </c>
      <c r="AA1091" s="32"/>
      <c r="AB1091" s="32"/>
      <c r="AC1091" s="32"/>
      <c r="AD1091" s="35" t="str">
        <f aca="false">IF(OR(LEFT(H1091,4)="Meta",LEFT(H1091,6)="Google"),IF(AG1091=3,"Lead calificado",IF(OR(AG1091=4,AG1091=5),"Tasación/visita",IF(OR(AG1091=6,AG1091=7),"Captación/oferta",IF(AG1091=8,"Cierre","")))),"")</f>
        <v/>
      </c>
      <c r="AE1091" s="32"/>
      <c r="AF1091" s="32"/>
      <c r="AG1091" s="37" t="n">
        <f aca="false">IF(R1091="",0,IFERROR(MATCH(R1091,Listas!$L$2:$L$50,0),0))</f>
        <v>0</v>
      </c>
    </row>
    <row r="1092" customFormat="false" ht="15" hidden="false" customHeight="false" outlineLevel="0" collapsed="false">
      <c r="A1092" s="30"/>
      <c r="B1092" s="31"/>
      <c r="C1092" s="32"/>
      <c r="D1092" s="32"/>
      <c r="E1092" s="33"/>
      <c r="F1092" s="32"/>
      <c r="G1092" s="32"/>
      <c r="H1092" s="32"/>
      <c r="I1092" s="32"/>
      <c r="J1092" s="32"/>
      <c r="K1092" s="32"/>
      <c r="L1092" s="32"/>
      <c r="M1092" s="30"/>
      <c r="N1092" s="32"/>
      <c r="O1092" s="34"/>
      <c r="P1092" s="32"/>
      <c r="Q1092" s="32"/>
      <c r="R1092" s="32"/>
      <c r="S1092" s="32"/>
      <c r="T1092" s="32"/>
      <c r="U1092" s="32"/>
      <c r="V1092" s="31"/>
      <c r="W1092" s="35" t="str">
        <f aca="true">IF(OR(V1092="",AG1092&gt;=8),"",IF(V1092&lt;TODAY(),"Vencida",IF(V1092=TODAY(),"Hoy","")))</f>
        <v/>
      </c>
      <c r="X1092" s="36" t="str">
        <f aca="false">IF(A1092="","",IF(COUNTIF(Seguimiento!$B$2:$B$5001,A1092)=0,"",_xlfn.MAXIFS(Seguimiento!$A$2:$A$5001,Seguimiento!$B$2:$B$5001,A1092)))</f>
        <v/>
      </c>
      <c r="Y1092" s="37" t="str">
        <f aca="true">IF(B1092="","",TODAY()-B1092)</f>
        <v/>
      </c>
      <c r="Z1092" s="38" t="str">
        <f aca="false">IF(OR(O1092="",G1092=""),"",O1092*IFERROR(INDEX(Listas!$B$2:$B$50,MATCH(G1092,Listas!$A$2:$A$50,0)),0))</f>
        <v/>
      </c>
      <c r="AA1092" s="32"/>
      <c r="AB1092" s="32"/>
      <c r="AC1092" s="32"/>
      <c r="AD1092" s="35" t="str">
        <f aca="false">IF(OR(LEFT(H1092,4)="Meta",LEFT(H1092,6)="Google"),IF(AG1092=3,"Lead calificado",IF(OR(AG1092=4,AG1092=5),"Tasación/visita",IF(OR(AG1092=6,AG1092=7),"Captación/oferta",IF(AG1092=8,"Cierre","")))),"")</f>
        <v/>
      </c>
      <c r="AE1092" s="32"/>
      <c r="AF1092" s="32"/>
      <c r="AG1092" s="37" t="n">
        <f aca="false">IF(R1092="",0,IFERROR(MATCH(R1092,Listas!$L$2:$L$50,0),0))</f>
        <v>0</v>
      </c>
    </row>
    <row r="1093" customFormat="false" ht="15" hidden="false" customHeight="false" outlineLevel="0" collapsed="false">
      <c r="A1093" s="30"/>
      <c r="B1093" s="31"/>
      <c r="C1093" s="32"/>
      <c r="D1093" s="32"/>
      <c r="E1093" s="33"/>
      <c r="F1093" s="32"/>
      <c r="G1093" s="32"/>
      <c r="H1093" s="32"/>
      <c r="I1093" s="32"/>
      <c r="J1093" s="32"/>
      <c r="K1093" s="32"/>
      <c r="L1093" s="32"/>
      <c r="M1093" s="30"/>
      <c r="N1093" s="32"/>
      <c r="O1093" s="34"/>
      <c r="P1093" s="32"/>
      <c r="Q1093" s="32"/>
      <c r="R1093" s="32"/>
      <c r="S1093" s="32"/>
      <c r="T1093" s="32"/>
      <c r="U1093" s="32"/>
      <c r="V1093" s="31"/>
      <c r="W1093" s="35" t="str">
        <f aca="true">IF(OR(V1093="",AG1093&gt;=8),"",IF(V1093&lt;TODAY(),"Vencida",IF(V1093=TODAY(),"Hoy","")))</f>
        <v/>
      </c>
      <c r="X1093" s="36" t="str">
        <f aca="false">IF(A1093="","",IF(COUNTIF(Seguimiento!$B$2:$B$5001,A1093)=0,"",_xlfn.MAXIFS(Seguimiento!$A$2:$A$5001,Seguimiento!$B$2:$B$5001,A1093)))</f>
        <v/>
      </c>
      <c r="Y1093" s="37" t="str">
        <f aca="true">IF(B1093="","",TODAY()-B1093)</f>
        <v/>
      </c>
      <c r="Z1093" s="38" t="str">
        <f aca="false">IF(OR(O1093="",G1093=""),"",O1093*IFERROR(INDEX(Listas!$B$2:$B$50,MATCH(G1093,Listas!$A$2:$A$50,0)),0))</f>
        <v/>
      </c>
      <c r="AA1093" s="32"/>
      <c r="AB1093" s="32"/>
      <c r="AC1093" s="32"/>
      <c r="AD1093" s="35" t="str">
        <f aca="false">IF(OR(LEFT(H1093,4)="Meta",LEFT(H1093,6)="Google"),IF(AG1093=3,"Lead calificado",IF(OR(AG1093=4,AG1093=5),"Tasación/visita",IF(OR(AG1093=6,AG1093=7),"Captación/oferta",IF(AG1093=8,"Cierre","")))),"")</f>
        <v/>
      </c>
      <c r="AE1093" s="32"/>
      <c r="AF1093" s="32"/>
      <c r="AG1093" s="37" t="n">
        <f aca="false">IF(R1093="",0,IFERROR(MATCH(R1093,Listas!$L$2:$L$50,0),0))</f>
        <v>0</v>
      </c>
    </row>
    <row r="1094" customFormat="false" ht="15" hidden="false" customHeight="false" outlineLevel="0" collapsed="false">
      <c r="A1094" s="30"/>
      <c r="B1094" s="31"/>
      <c r="C1094" s="32"/>
      <c r="D1094" s="32"/>
      <c r="E1094" s="33"/>
      <c r="F1094" s="32"/>
      <c r="G1094" s="32"/>
      <c r="H1094" s="32"/>
      <c r="I1094" s="32"/>
      <c r="J1094" s="32"/>
      <c r="K1094" s="32"/>
      <c r="L1094" s="32"/>
      <c r="M1094" s="30"/>
      <c r="N1094" s="32"/>
      <c r="O1094" s="34"/>
      <c r="P1094" s="32"/>
      <c r="Q1094" s="32"/>
      <c r="R1094" s="32"/>
      <c r="S1094" s="32"/>
      <c r="T1094" s="32"/>
      <c r="U1094" s="32"/>
      <c r="V1094" s="31"/>
      <c r="W1094" s="35" t="str">
        <f aca="true">IF(OR(V1094="",AG1094&gt;=8),"",IF(V1094&lt;TODAY(),"Vencida",IF(V1094=TODAY(),"Hoy","")))</f>
        <v/>
      </c>
      <c r="X1094" s="36" t="str">
        <f aca="false">IF(A1094="","",IF(COUNTIF(Seguimiento!$B$2:$B$5001,A1094)=0,"",_xlfn.MAXIFS(Seguimiento!$A$2:$A$5001,Seguimiento!$B$2:$B$5001,A1094)))</f>
        <v/>
      </c>
      <c r="Y1094" s="37" t="str">
        <f aca="true">IF(B1094="","",TODAY()-B1094)</f>
        <v/>
      </c>
      <c r="Z1094" s="38" t="str">
        <f aca="false">IF(OR(O1094="",G1094=""),"",O1094*IFERROR(INDEX(Listas!$B$2:$B$50,MATCH(G1094,Listas!$A$2:$A$50,0)),0))</f>
        <v/>
      </c>
      <c r="AA1094" s="32"/>
      <c r="AB1094" s="32"/>
      <c r="AC1094" s="32"/>
      <c r="AD1094" s="35" t="str">
        <f aca="false">IF(OR(LEFT(H1094,4)="Meta",LEFT(H1094,6)="Google"),IF(AG1094=3,"Lead calificado",IF(OR(AG1094=4,AG1094=5),"Tasación/visita",IF(OR(AG1094=6,AG1094=7),"Captación/oferta",IF(AG1094=8,"Cierre","")))),"")</f>
        <v/>
      </c>
      <c r="AE1094" s="32"/>
      <c r="AF1094" s="32"/>
      <c r="AG1094" s="37" t="n">
        <f aca="false">IF(R1094="",0,IFERROR(MATCH(R1094,Listas!$L$2:$L$50,0),0))</f>
        <v>0</v>
      </c>
    </row>
    <row r="1095" customFormat="false" ht="15" hidden="false" customHeight="false" outlineLevel="0" collapsed="false">
      <c r="A1095" s="30"/>
      <c r="B1095" s="31"/>
      <c r="C1095" s="32"/>
      <c r="D1095" s="32"/>
      <c r="E1095" s="33"/>
      <c r="F1095" s="32"/>
      <c r="G1095" s="32"/>
      <c r="H1095" s="32"/>
      <c r="I1095" s="32"/>
      <c r="J1095" s="32"/>
      <c r="K1095" s="32"/>
      <c r="L1095" s="32"/>
      <c r="M1095" s="30"/>
      <c r="N1095" s="32"/>
      <c r="O1095" s="34"/>
      <c r="P1095" s="32"/>
      <c r="Q1095" s="32"/>
      <c r="R1095" s="32"/>
      <c r="S1095" s="32"/>
      <c r="T1095" s="32"/>
      <c r="U1095" s="32"/>
      <c r="V1095" s="31"/>
      <c r="W1095" s="35" t="str">
        <f aca="true">IF(OR(V1095="",AG1095&gt;=8),"",IF(V1095&lt;TODAY(),"Vencida",IF(V1095=TODAY(),"Hoy","")))</f>
        <v/>
      </c>
      <c r="X1095" s="36" t="str">
        <f aca="false">IF(A1095="","",IF(COUNTIF(Seguimiento!$B$2:$B$5001,A1095)=0,"",_xlfn.MAXIFS(Seguimiento!$A$2:$A$5001,Seguimiento!$B$2:$B$5001,A1095)))</f>
        <v/>
      </c>
      <c r="Y1095" s="37" t="str">
        <f aca="true">IF(B1095="","",TODAY()-B1095)</f>
        <v/>
      </c>
      <c r="Z1095" s="38" t="str">
        <f aca="false">IF(OR(O1095="",G1095=""),"",O1095*IFERROR(INDEX(Listas!$B$2:$B$50,MATCH(G1095,Listas!$A$2:$A$50,0)),0))</f>
        <v/>
      </c>
      <c r="AA1095" s="32"/>
      <c r="AB1095" s="32"/>
      <c r="AC1095" s="32"/>
      <c r="AD1095" s="35" t="str">
        <f aca="false">IF(OR(LEFT(H1095,4)="Meta",LEFT(H1095,6)="Google"),IF(AG1095=3,"Lead calificado",IF(OR(AG1095=4,AG1095=5),"Tasación/visita",IF(OR(AG1095=6,AG1095=7),"Captación/oferta",IF(AG1095=8,"Cierre","")))),"")</f>
        <v/>
      </c>
      <c r="AE1095" s="32"/>
      <c r="AF1095" s="32"/>
      <c r="AG1095" s="37" t="n">
        <f aca="false">IF(R1095="",0,IFERROR(MATCH(R1095,Listas!$L$2:$L$50,0),0))</f>
        <v>0</v>
      </c>
    </row>
    <row r="1096" customFormat="false" ht="15" hidden="false" customHeight="false" outlineLevel="0" collapsed="false">
      <c r="A1096" s="30"/>
      <c r="B1096" s="31"/>
      <c r="C1096" s="32"/>
      <c r="D1096" s="32"/>
      <c r="E1096" s="33"/>
      <c r="F1096" s="32"/>
      <c r="G1096" s="32"/>
      <c r="H1096" s="32"/>
      <c r="I1096" s="32"/>
      <c r="J1096" s="32"/>
      <c r="K1096" s="32"/>
      <c r="L1096" s="32"/>
      <c r="M1096" s="30"/>
      <c r="N1096" s="32"/>
      <c r="O1096" s="34"/>
      <c r="P1096" s="32"/>
      <c r="Q1096" s="32"/>
      <c r="R1096" s="32"/>
      <c r="S1096" s="32"/>
      <c r="T1096" s="32"/>
      <c r="U1096" s="32"/>
      <c r="V1096" s="31"/>
      <c r="W1096" s="35" t="str">
        <f aca="true">IF(OR(V1096="",AG1096&gt;=8),"",IF(V1096&lt;TODAY(),"Vencida",IF(V1096=TODAY(),"Hoy","")))</f>
        <v/>
      </c>
      <c r="X1096" s="36" t="str">
        <f aca="false">IF(A1096="","",IF(COUNTIF(Seguimiento!$B$2:$B$5001,A1096)=0,"",_xlfn.MAXIFS(Seguimiento!$A$2:$A$5001,Seguimiento!$B$2:$B$5001,A1096)))</f>
        <v/>
      </c>
      <c r="Y1096" s="37" t="str">
        <f aca="true">IF(B1096="","",TODAY()-B1096)</f>
        <v/>
      </c>
      <c r="Z1096" s="38" t="str">
        <f aca="false">IF(OR(O1096="",G1096=""),"",O1096*IFERROR(INDEX(Listas!$B$2:$B$50,MATCH(G1096,Listas!$A$2:$A$50,0)),0))</f>
        <v/>
      </c>
      <c r="AA1096" s="32"/>
      <c r="AB1096" s="32"/>
      <c r="AC1096" s="32"/>
      <c r="AD1096" s="35" t="str">
        <f aca="false">IF(OR(LEFT(H1096,4)="Meta",LEFT(H1096,6)="Google"),IF(AG1096=3,"Lead calificado",IF(OR(AG1096=4,AG1096=5),"Tasación/visita",IF(OR(AG1096=6,AG1096=7),"Captación/oferta",IF(AG1096=8,"Cierre","")))),"")</f>
        <v/>
      </c>
      <c r="AE1096" s="32"/>
      <c r="AF1096" s="32"/>
      <c r="AG1096" s="37" t="n">
        <f aca="false">IF(R1096="",0,IFERROR(MATCH(R1096,Listas!$L$2:$L$50,0),0))</f>
        <v>0</v>
      </c>
    </row>
    <row r="1097" customFormat="false" ht="15" hidden="false" customHeight="false" outlineLevel="0" collapsed="false">
      <c r="A1097" s="30"/>
      <c r="B1097" s="31"/>
      <c r="C1097" s="32"/>
      <c r="D1097" s="32"/>
      <c r="E1097" s="33"/>
      <c r="F1097" s="32"/>
      <c r="G1097" s="32"/>
      <c r="H1097" s="32"/>
      <c r="I1097" s="32"/>
      <c r="J1097" s="32"/>
      <c r="K1097" s="32"/>
      <c r="L1097" s="32"/>
      <c r="M1097" s="30"/>
      <c r="N1097" s="32"/>
      <c r="O1097" s="34"/>
      <c r="P1097" s="32"/>
      <c r="Q1097" s="32"/>
      <c r="R1097" s="32"/>
      <c r="S1097" s="32"/>
      <c r="T1097" s="32"/>
      <c r="U1097" s="32"/>
      <c r="V1097" s="31"/>
      <c r="W1097" s="35" t="str">
        <f aca="true">IF(OR(V1097="",AG1097&gt;=8),"",IF(V1097&lt;TODAY(),"Vencida",IF(V1097=TODAY(),"Hoy","")))</f>
        <v/>
      </c>
      <c r="X1097" s="36" t="str">
        <f aca="false">IF(A1097="","",IF(COUNTIF(Seguimiento!$B$2:$B$5001,A1097)=0,"",_xlfn.MAXIFS(Seguimiento!$A$2:$A$5001,Seguimiento!$B$2:$B$5001,A1097)))</f>
        <v/>
      </c>
      <c r="Y1097" s="37" t="str">
        <f aca="true">IF(B1097="","",TODAY()-B1097)</f>
        <v/>
      </c>
      <c r="Z1097" s="38" t="str">
        <f aca="false">IF(OR(O1097="",G1097=""),"",O1097*IFERROR(INDEX(Listas!$B$2:$B$50,MATCH(G1097,Listas!$A$2:$A$50,0)),0))</f>
        <v/>
      </c>
      <c r="AA1097" s="32"/>
      <c r="AB1097" s="32"/>
      <c r="AC1097" s="32"/>
      <c r="AD1097" s="35" t="str">
        <f aca="false">IF(OR(LEFT(H1097,4)="Meta",LEFT(H1097,6)="Google"),IF(AG1097=3,"Lead calificado",IF(OR(AG1097=4,AG1097=5),"Tasación/visita",IF(OR(AG1097=6,AG1097=7),"Captación/oferta",IF(AG1097=8,"Cierre","")))),"")</f>
        <v/>
      </c>
      <c r="AE1097" s="32"/>
      <c r="AF1097" s="32"/>
      <c r="AG1097" s="37" t="n">
        <f aca="false">IF(R1097="",0,IFERROR(MATCH(R1097,Listas!$L$2:$L$50,0),0))</f>
        <v>0</v>
      </c>
    </row>
    <row r="1098" customFormat="false" ht="15" hidden="false" customHeight="false" outlineLevel="0" collapsed="false">
      <c r="A1098" s="30"/>
      <c r="B1098" s="31"/>
      <c r="C1098" s="32"/>
      <c r="D1098" s="32"/>
      <c r="E1098" s="33"/>
      <c r="F1098" s="32"/>
      <c r="G1098" s="32"/>
      <c r="H1098" s="32"/>
      <c r="I1098" s="32"/>
      <c r="J1098" s="32"/>
      <c r="K1098" s="32"/>
      <c r="L1098" s="32"/>
      <c r="M1098" s="30"/>
      <c r="N1098" s="32"/>
      <c r="O1098" s="34"/>
      <c r="P1098" s="32"/>
      <c r="Q1098" s="32"/>
      <c r="R1098" s="32"/>
      <c r="S1098" s="32"/>
      <c r="T1098" s="32"/>
      <c r="U1098" s="32"/>
      <c r="V1098" s="31"/>
      <c r="W1098" s="35" t="str">
        <f aca="true">IF(OR(V1098="",AG1098&gt;=8),"",IF(V1098&lt;TODAY(),"Vencida",IF(V1098=TODAY(),"Hoy","")))</f>
        <v/>
      </c>
      <c r="X1098" s="36" t="str">
        <f aca="false">IF(A1098="","",IF(COUNTIF(Seguimiento!$B$2:$B$5001,A1098)=0,"",_xlfn.MAXIFS(Seguimiento!$A$2:$A$5001,Seguimiento!$B$2:$B$5001,A1098)))</f>
        <v/>
      </c>
      <c r="Y1098" s="37" t="str">
        <f aca="true">IF(B1098="","",TODAY()-B1098)</f>
        <v/>
      </c>
      <c r="Z1098" s="38" t="str">
        <f aca="false">IF(OR(O1098="",G1098=""),"",O1098*IFERROR(INDEX(Listas!$B$2:$B$50,MATCH(G1098,Listas!$A$2:$A$50,0)),0))</f>
        <v/>
      </c>
      <c r="AA1098" s="32"/>
      <c r="AB1098" s="32"/>
      <c r="AC1098" s="32"/>
      <c r="AD1098" s="35" t="str">
        <f aca="false">IF(OR(LEFT(H1098,4)="Meta",LEFT(H1098,6)="Google"),IF(AG1098=3,"Lead calificado",IF(OR(AG1098=4,AG1098=5),"Tasación/visita",IF(OR(AG1098=6,AG1098=7),"Captación/oferta",IF(AG1098=8,"Cierre","")))),"")</f>
        <v/>
      </c>
      <c r="AE1098" s="32"/>
      <c r="AF1098" s="32"/>
      <c r="AG1098" s="37" t="n">
        <f aca="false">IF(R1098="",0,IFERROR(MATCH(R1098,Listas!$L$2:$L$50,0),0))</f>
        <v>0</v>
      </c>
    </row>
    <row r="1099" customFormat="false" ht="15" hidden="false" customHeight="false" outlineLevel="0" collapsed="false">
      <c r="A1099" s="30"/>
      <c r="B1099" s="31"/>
      <c r="C1099" s="32"/>
      <c r="D1099" s="32"/>
      <c r="E1099" s="33"/>
      <c r="F1099" s="32"/>
      <c r="G1099" s="32"/>
      <c r="H1099" s="32"/>
      <c r="I1099" s="32"/>
      <c r="J1099" s="32"/>
      <c r="K1099" s="32"/>
      <c r="L1099" s="32"/>
      <c r="M1099" s="30"/>
      <c r="N1099" s="32"/>
      <c r="O1099" s="34"/>
      <c r="P1099" s="32"/>
      <c r="Q1099" s="32"/>
      <c r="R1099" s="32"/>
      <c r="S1099" s="32"/>
      <c r="T1099" s="32"/>
      <c r="U1099" s="32"/>
      <c r="V1099" s="31"/>
      <c r="W1099" s="35" t="str">
        <f aca="true">IF(OR(V1099="",AG1099&gt;=8),"",IF(V1099&lt;TODAY(),"Vencida",IF(V1099=TODAY(),"Hoy","")))</f>
        <v/>
      </c>
      <c r="X1099" s="36" t="str">
        <f aca="false">IF(A1099="","",IF(COUNTIF(Seguimiento!$B$2:$B$5001,A1099)=0,"",_xlfn.MAXIFS(Seguimiento!$A$2:$A$5001,Seguimiento!$B$2:$B$5001,A1099)))</f>
        <v/>
      </c>
      <c r="Y1099" s="37" t="str">
        <f aca="true">IF(B1099="","",TODAY()-B1099)</f>
        <v/>
      </c>
      <c r="Z1099" s="38" t="str">
        <f aca="false">IF(OR(O1099="",G1099=""),"",O1099*IFERROR(INDEX(Listas!$B$2:$B$50,MATCH(G1099,Listas!$A$2:$A$50,0)),0))</f>
        <v/>
      </c>
      <c r="AA1099" s="32"/>
      <c r="AB1099" s="32"/>
      <c r="AC1099" s="32"/>
      <c r="AD1099" s="35" t="str">
        <f aca="false">IF(OR(LEFT(H1099,4)="Meta",LEFT(H1099,6)="Google"),IF(AG1099=3,"Lead calificado",IF(OR(AG1099=4,AG1099=5),"Tasación/visita",IF(OR(AG1099=6,AG1099=7),"Captación/oferta",IF(AG1099=8,"Cierre","")))),"")</f>
        <v/>
      </c>
      <c r="AE1099" s="32"/>
      <c r="AF1099" s="32"/>
      <c r="AG1099" s="37" t="n">
        <f aca="false">IF(R1099="",0,IFERROR(MATCH(R1099,Listas!$L$2:$L$50,0),0))</f>
        <v>0</v>
      </c>
    </row>
    <row r="1100" customFormat="false" ht="15" hidden="false" customHeight="false" outlineLevel="0" collapsed="false">
      <c r="A1100" s="30"/>
      <c r="B1100" s="31"/>
      <c r="C1100" s="32"/>
      <c r="D1100" s="32"/>
      <c r="E1100" s="33"/>
      <c r="F1100" s="32"/>
      <c r="G1100" s="32"/>
      <c r="H1100" s="32"/>
      <c r="I1100" s="32"/>
      <c r="J1100" s="32"/>
      <c r="K1100" s="32"/>
      <c r="L1100" s="32"/>
      <c r="M1100" s="30"/>
      <c r="N1100" s="32"/>
      <c r="O1100" s="34"/>
      <c r="P1100" s="32"/>
      <c r="Q1100" s="32"/>
      <c r="R1100" s="32"/>
      <c r="S1100" s="32"/>
      <c r="T1100" s="32"/>
      <c r="U1100" s="32"/>
      <c r="V1100" s="31"/>
      <c r="W1100" s="35" t="str">
        <f aca="true">IF(OR(V1100="",AG1100&gt;=8),"",IF(V1100&lt;TODAY(),"Vencida",IF(V1100=TODAY(),"Hoy","")))</f>
        <v/>
      </c>
      <c r="X1100" s="36" t="str">
        <f aca="false">IF(A1100="","",IF(COUNTIF(Seguimiento!$B$2:$B$5001,A1100)=0,"",_xlfn.MAXIFS(Seguimiento!$A$2:$A$5001,Seguimiento!$B$2:$B$5001,A1100)))</f>
        <v/>
      </c>
      <c r="Y1100" s="37" t="str">
        <f aca="true">IF(B1100="","",TODAY()-B1100)</f>
        <v/>
      </c>
      <c r="Z1100" s="38" t="str">
        <f aca="false">IF(OR(O1100="",G1100=""),"",O1100*IFERROR(INDEX(Listas!$B$2:$B$50,MATCH(G1100,Listas!$A$2:$A$50,0)),0))</f>
        <v/>
      </c>
      <c r="AA1100" s="32"/>
      <c r="AB1100" s="32"/>
      <c r="AC1100" s="32"/>
      <c r="AD1100" s="35" t="str">
        <f aca="false">IF(OR(LEFT(H1100,4)="Meta",LEFT(H1100,6)="Google"),IF(AG1100=3,"Lead calificado",IF(OR(AG1100=4,AG1100=5),"Tasación/visita",IF(OR(AG1100=6,AG1100=7),"Captación/oferta",IF(AG1100=8,"Cierre","")))),"")</f>
        <v/>
      </c>
      <c r="AE1100" s="32"/>
      <c r="AF1100" s="32"/>
      <c r="AG1100" s="37" t="n">
        <f aca="false">IF(R1100="",0,IFERROR(MATCH(R1100,Listas!$L$2:$L$50,0),0))</f>
        <v>0</v>
      </c>
    </row>
    <row r="1101" customFormat="false" ht="15" hidden="false" customHeight="false" outlineLevel="0" collapsed="false">
      <c r="A1101" s="30"/>
      <c r="B1101" s="31"/>
      <c r="C1101" s="32"/>
      <c r="D1101" s="32"/>
      <c r="E1101" s="33"/>
      <c r="F1101" s="32"/>
      <c r="G1101" s="32"/>
      <c r="H1101" s="32"/>
      <c r="I1101" s="32"/>
      <c r="J1101" s="32"/>
      <c r="K1101" s="32"/>
      <c r="L1101" s="32"/>
      <c r="M1101" s="30"/>
      <c r="N1101" s="32"/>
      <c r="O1101" s="34"/>
      <c r="P1101" s="32"/>
      <c r="Q1101" s="32"/>
      <c r="R1101" s="32"/>
      <c r="S1101" s="32"/>
      <c r="T1101" s="32"/>
      <c r="U1101" s="32"/>
      <c r="V1101" s="31"/>
      <c r="W1101" s="35" t="str">
        <f aca="true">IF(OR(V1101="",AG1101&gt;=8),"",IF(V1101&lt;TODAY(),"Vencida",IF(V1101=TODAY(),"Hoy","")))</f>
        <v/>
      </c>
      <c r="X1101" s="36" t="str">
        <f aca="false">IF(A1101="","",IF(COUNTIF(Seguimiento!$B$2:$B$5001,A1101)=0,"",_xlfn.MAXIFS(Seguimiento!$A$2:$A$5001,Seguimiento!$B$2:$B$5001,A1101)))</f>
        <v/>
      </c>
      <c r="Y1101" s="37" t="str">
        <f aca="true">IF(B1101="","",TODAY()-B1101)</f>
        <v/>
      </c>
      <c r="Z1101" s="38" t="str">
        <f aca="false">IF(OR(O1101="",G1101=""),"",O1101*IFERROR(INDEX(Listas!$B$2:$B$50,MATCH(G1101,Listas!$A$2:$A$50,0)),0))</f>
        <v/>
      </c>
      <c r="AA1101" s="32"/>
      <c r="AB1101" s="32"/>
      <c r="AC1101" s="32"/>
      <c r="AD1101" s="35" t="str">
        <f aca="false">IF(OR(LEFT(H1101,4)="Meta",LEFT(H1101,6)="Google"),IF(AG1101=3,"Lead calificado",IF(OR(AG1101=4,AG1101=5),"Tasación/visita",IF(OR(AG1101=6,AG1101=7),"Captación/oferta",IF(AG1101=8,"Cierre","")))),"")</f>
        <v/>
      </c>
      <c r="AE1101" s="32"/>
      <c r="AF1101" s="32"/>
      <c r="AG1101" s="37" t="n">
        <f aca="false">IF(R1101="",0,IFERROR(MATCH(R1101,Listas!$L$2:$L$50,0),0))</f>
        <v>0</v>
      </c>
    </row>
    <row r="1102" customFormat="false" ht="15" hidden="false" customHeight="false" outlineLevel="0" collapsed="false">
      <c r="A1102" s="30"/>
      <c r="B1102" s="31"/>
      <c r="C1102" s="32"/>
      <c r="D1102" s="32"/>
      <c r="E1102" s="33"/>
      <c r="F1102" s="32"/>
      <c r="G1102" s="32"/>
      <c r="H1102" s="32"/>
      <c r="I1102" s="32"/>
      <c r="J1102" s="32"/>
      <c r="K1102" s="32"/>
      <c r="L1102" s="32"/>
      <c r="M1102" s="30"/>
      <c r="N1102" s="32"/>
      <c r="O1102" s="34"/>
      <c r="P1102" s="32"/>
      <c r="Q1102" s="32"/>
      <c r="R1102" s="32"/>
      <c r="S1102" s="32"/>
      <c r="T1102" s="32"/>
      <c r="U1102" s="32"/>
      <c r="V1102" s="31"/>
      <c r="W1102" s="35" t="str">
        <f aca="true">IF(OR(V1102="",AG1102&gt;=8),"",IF(V1102&lt;TODAY(),"Vencida",IF(V1102=TODAY(),"Hoy","")))</f>
        <v/>
      </c>
      <c r="X1102" s="36" t="str">
        <f aca="false">IF(A1102="","",IF(COUNTIF(Seguimiento!$B$2:$B$5001,A1102)=0,"",_xlfn.MAXIFS(Seguimiento!$A$2:$A$5001,Seguimiento!$B$2:$B$5001,A1102)))</f>
        <v/>
      </c>
      <c r="Y1102" s="37" t="str">
        <f aca="true">IF(B1102="","",TODAY()-B1102)</f>
        <v/>
      </c>
      <c r="Z1102" s="38" t="str">
        <f aca="false">IF(OR(O1102="",G1102=""),"",O1102*IFERROR(INDEX(Listas!$B$2:$B$50,MATCH(G1102,Listas!$A$2:$A$50,0)),0))</f>
        <v/>
      </c>
      <c r="AA1102" s="32"/>
      <c r="AB1102" s="32"/>
      <c r="AC1102" s="32"/>
      <c r="AD1102" s="35" t="str">
        <f aca="false">IF(OR(LEFT(H1102,4)="Meta",LEFT(H1102,6)="Google"),IF(AG1102=3,"Lead calificado",IF(OR(AG1102=4,AG1102=5),"Tasación/visita",IF(OR(AG1102=6,AG1102=7),"Captación/oferta",IF(AG1102=8,"Cierre","")))),"")</f>
        <v/>
      </c>
      <c r="AE1102" s="32"/>
      <c r="AF1102" s="32"/>
      <c r="AG1102" s="37" t="n">
        <f aca="false">IF(R1102="",0,IFERROR(MATCH(R1102,Listas!$L$2:$L$50,0),0))</f>
        <v>0</v>
      </c>
    </row>
    <row r="1103" customFormat="false" ht="15" hidden="false" customHeight="false" outlineLevel="0" collapsed="false">
      <c r="A1103" s="30"/>
      <c r="B1103" s="31"/>
      <c r="C1103" s="32"/>
      <c r="D1103" s="32"/>
      <c r="E1103" s="33"/>
      <c r="F1103" s="32"/>
      <c r="G1103" s="32"/>
      <c r="H1103" s="32"/>
      <c r="I1103" s="32"/>
      <c r="J1103" s="32"/>
      <c r="K1103" s="32"/>
      <c r="L1103" s="32"/>
      <c r="M1103" s="30"/>
      <c r="N1103" s="32"/>
      <c r="O1103" s="34"/>
      <c r="P1103" s="32"/>
      <c r="Q1103" s="32"/>
      <c r="R1103" s="32"/>
      <c r="S1103" s="32"/>
      <c r="T1103" s="32"/>
      <c r="U1103" s="32"/>
      <c r="V1103" s="31"/>
      <c r="W1103" s="35" t="str">
        <f aca="true">IF(OR(V1103="",AG1103&gt;=8),"",IF(V1103&lt;TODAY(),"Vencida",IF(V1103=TODAY(),"Hoy","")))</f>
        <v/>
      </c>
      <c r="X1103" s="36" t="str">
        <f aca="false">IF(A1103="","",IF(COUNTIF(Seguimiento!$B$2:$B$5001,A1103)=0,"",_xlfn.MAXIFS(Seguimiento!$A$2:$A$5001,Seguimiento!$B$2:$B$5001,A1103)))</f>
        <v/>
      </c>
      <c r="Y1103" s="37" t="str">
        <f aca="true">IF(B1103="","",TODAY()-B1103)</f>
        <v/>
      </c>
      <c r="Z1103" s="38" t="str">
        <f aca="false">IF(OR(O1103="",G1103=""),"",O1103*IFERROR(INDEX(Listas!$B$2:$B$50,MATCH(G1103,Listas!$A$2:$A$50,0)),0))</f>
        <v/>
      </c>
      <c r="AA1103" s="32"/>
      <c r="AB1103" s="32"/>
      <c r="AC1103" s="32"/>
      <c r="AD1103" s="35" t="str">
        <f aca="false">IF(OR(LEFT(H1103,4)="Meta",LEFT(H1103,6)="Google"),IF(AG1103=3,"Lead calificado",IF(OR(AG1103=4,AG1103=5),"Tasación/visita",IF(OR(AG1103=6,AG1103=7),"Captación/oferta",IF(AG1103=8,"Cierre","")))),"")</f>
        <v/>
      </c>
      <c r="AE1103" s="32"/>
      <c r="AF1103" s="32"/>
      <c r="AG1103" s="37" t="n">
        <f aca="false">IF(R1103="",0,IFERROR(MATCH(R1103,Listas!$L$2:$L$50,0),0))</f>
        <v>0</v>
      </c>
    </row>
    <row r="1104" customFormat="false" ht="15" hidden="false" customHeight="false" outlineLevel="0" collapsed="false">
      <c r="A1104" s="30"/>
      <c r="B1104" s="31"/>
      <c r="C1104" s="32"/>
      <c r="D1104" s="32"/>
      <c r="E1104" s="33"/>
      <c r="F1104" s="32"/>
      <c r="G1104" s="32"/>
      <c r="H1104" s="32"/>
      <c r="I1104" s="32"/>
      <c r="J1104" s="32"/>
      <c r="K1104" s="32"/>
      <c r="L1104" s="32"/>
      <c r="M1104" s="30"/>
      <c r="N1104" s="32"/>
      <c r="O1104" s="34"/>
      <c r="P1104" s="32"/>
      <c r="Q1104" s="32"/>
      <c r="R1104" s="32"/>
      <c r="S1104" s="32"/>
      <c r="T1104" s="32"/>
      <c r="U1104" s="32"/>
      <c r="V1104" s="31"/>
      <c r="W1104" s="35" t="str">
        <f aca="true">IF(OR(V1104="",AG1104&gt;=8),"",IF(V1104&lt;TODAY(),"Vencida",IF(V1104=TODAY(),"Hoy","")))</f>
        <v/>
      </c>
      <c r="X1104" s="36" t="str">
        <f aca="false">IF(A1104="","",IF(COUNTIF(Seguimiento!$B$2:$B$5001,A1104)=0,"",_xlfn.MAXIFS(Seguimiento!$A$2:$A$5001,Seguimiento!$B$2:$B$5001,A1104)))</f>
        <v/>
      </c>
      <c r="Y1104" s="37" t="str">
        <f aca="true">IF(B1104="","",TODAY()-B1104)</f>
        <v/>
      </c>
      <c r="Z1104" s="38" t="str">
        <f aca="false">IF(OR(O1104="",G1104=""),"",O1104*IFERROR(INDEX(Listas!$B$2:$B$50,MATCH(G1104,Listas!$A$2:$A$50,0)),0))</f>
        <v/>
      </c>
      <c r="AA1104" s="32"/>
      <c r="AB1104" s="32"/>
      <c r="AC1104" s="32"/>
      <c r="AD1104" s="35" t="str">
        <f aca="false">IF(OR(LEFT(H1104,4)="Meta",LEFT(H1104,6)="Google"),IF(AG1104=3,"Lead calificado",IF(OR(AG1104=4,AG1104=5),"Tasación/visita",IF(OR(AG1104=6,AG1104=7),"Captación/oferta",IF(AG1104=8,"Cierre","")))),"")</f>
        <v/>
      </c>
      <c r="AE1104" s="32"/>
      <c r="AF1104" s="32"/>
      <c r="AG1104" s="37" t="n">
        <f aca="false">IF(R1104="",0,IFERROR(MATCH(R1104,Listas!$L$2:$L$50,0),0))</f>
        <v>0</v>
      </c>
    </row>
    <row r="1105" customFormat="false" ht="15" hidden="false" customHeight="false" outlineLevel="0" collapsed="false">
      <c r="A1105" s="30"/>
      <c r="B1105" s="31"/>
      <c r="C1105" s="32"/>
      <c r="D1105" s="32"/>
      <c r="E1105" s="33"/>
      <c r="F1105" s="32"/>
      <c r="G1105" s="32"/>
      <c r="H1105" s="32"/>
      <c r="I1105" s="32"/>
      <c r="J1105" s="32"/>
      <c r="K1105" s="32"/>
      <c r="L1105" s="32"/>
      <c r="M1105" s="30"/>
      <c r="N1105" s="32"/>
      <c r="O1105" s="34"/>
      <c r="P1105" s="32"/>
      <c r="Q1105" s="32"/>
      <c r="R1105" s="32"/>
      <c r="S1105" s="32"/>
      <c r="T1105" s="32"/>
      <c r="U1105" s="32"/>
      <c r="V1105" s="31"/>
      <c r="W1105" s="35" t="str">
        <f aca="true">IF(OR(V1105="",AG1105&gt;=8),"",IF(V1105&lt;TODAY(),"Vencida",IF(V1105=TODAY(),"Hoy","")))</f>
        <v/>
      </c>
      <c r="X1105" s="36" t="str">
        <f aca="false">IF(A1105="","",IF(COUNTIF(Seguimiento!$B$2:$B$5001,A1105)=0,"",_xlfn.MAXIFS(Seguimiento!$A$2:$A$5001,Seguimiento!$B$2:$B$5001,A1105)))</f>
        <v/>
      </c>
      <c r="Y1105" s="37" t="str">
        <f aca="true">IF(B1105="","",TODAY()-B1105)</f>
        <v/>
      </c>
      <c r="Z1105" s="38" t="str">
        <f aca="false">IF(OR(O1105="",G1105=""),"",O1105*IFERROR(INDEX(Listas!$B$2:$B$50,MATCH(G1105,Listas!$A$2:$A$50,0)),0))</f>
        <v/>
      </c>
      <c r="AA1105" s="32"/>
      <c r="AB1105" s="32"/>
      <c r="AC1105" s="32"/>
      <c r="AD1105" s="35" t="str">
        <f aca="false">IF(OR(LEFT(H1105,4)="Meta",LEFT(H1105,6)="Google"),IF(AG1105=3,"Lead calificado",IF(OR(AG1105=4,AG1105=5),"Tasación/visita",IF(OR(AG1105=6,AG1105=7),"Captación/oferta",IF(AG1105=8,"Cierre","")))),"")</f>
        <v/>
      </c>
      <c r="AE1105" s="32"/>
      <c r="AF1105" s="32"/>
      <c r="AG1105" s="37" t="n">
        <f aca="false">IF(R1105="",0,IFERROR(MATCH(R1105,Listas!$L$2:$L$50,0),0))</f>
        <v>0</v>
      </c>
    </row>
    <row r="1106" customFormat="false" ht="15" hidden="false" customHeight="false" outlineLevel="0" collapsed="false">
      <c r="A1106" s="30"/>
      <c r="B1106" s="31"/>
      <c r="C1106" s="32"/>
      <c r="D1106" s="32"/>
      <c r="E1106" s="33"/>
      <c r="F1106" s="32"/>
      <c r="G1106" s="32"/>
      <c r="H1106" s="32"/>
      <c r="I1106" s="32"/>
      <c r="J1106" s="32"/>
      <c r="K1106" s="32"/>
      <c r="L1106" s="32"/>
      <c r="M1106" s="30"/>
      <c r="N1106" s="32"/>
      <c r="O1106" s="34"/>
      <c r="P1106" s="32"/>
      <c r="Q1106" s="32"/>
      <c r="R1106" s="32"/>
      <c r="S1106" s="32"/>
      <c r="T1106" s="32"/>
      <c r="U1106" s="32"/>
      <c r="V1106" s="31"/>
      <c r="W1106" s="35" t="str">
        <f aca="true">IF(OR(V1106="",AG1106&gt;=8),"",IF(V1106&lt;TODAY(),"Vencida",IF(V1106=TODAY(),"Hoy","")))</f>
        <v/>
      </c>
      <c r="X1106" s="36" t="str">
        <f aca="false">IF(A1106="","",IF(COUNTIF(Seguimiento!$B$2:$B$5001,A1106)=0,"",_xlfn.MAXIFS(Seguimiento!$A$2:$A$5001,Seguimiento!$B$2:$B$5001,A1106)))</f>
        <v/>
      </c>
      <c r="Y1106" s="37" t="str">
        <f aca="true">IF(B1106="","",TODAY()-B1106)</f>
        <v/>
      </c>
      <c r="Z1106" s="38" t="str">
        <f aca="false">IF(OR(O1106="",G1106=""),"",O1106*IFERROR(INDEX(Listas!$B$2:$B$50,MATCH(G1106,Listas!$A$2:$A$50,0)),0))</f>
        <v/>
      </c>
      <c r="AA1106" s="32"/>
      <c r="AB1106" s="32"/>
      <c r="AC1106" s="32"/>
      <c r="AD1106" s="35" t="str">
        <f aca="false">IF(OR(LEFT(H1106,4)="Meta",LEFT(H1106,6)="Google"),IF(AG1106=3,"Lead calificado",IF(OR(AG1106=4,AG1106=5),"Tasación/visita",IF(OR(AG1106=6,AG1106=7),"Captación/oferta",IF(AG1106=8,"Cierre","")))),"")</f>
        <v/>
      </c>
      <c r="AE1106" s="32"/>
      <c r="AF1106" s="32"/>
      <c r="AG1106" s="37" t="n">
        <f aca="false">IF(R1106="",0,IFERROR(MATCH(R1106,Listas!$L$2:$L$50,0),0))</f>
        <v>0</v>
      </c>
    </row>
    <row r="1107" customFormat="false" ht="15" hidden="false" customHeight="false" outlineLevel="0" collapsed="false">
      <c r="A1107" s="30"/>
      <c r="B1107" s="31"/>
      <c r="C1107" s="32"/>
      <c r="D1107" s="32"/>
      <c r="E1107" s="33"/>
      <c r="F1107" s="32"/>
      <c r="G1107" s="32"/>
      <c r="H1107" s="32"/>
      <c r="I1107" s="32"/>
      <c r="J1107" s="32"/>
      <c r="K1107" s="32"/>
      <c r="L1107" s="32"/>
      <c r="M1107" s="30"/>
      <c r="N1107" s="32"/>
      <c r="O1107" s="34"/>
      <c r="P1107" s="32"/>
      <c r="Q1107" s="32"/>
      <c r="R1107" s="32"/>
      <c r="S1107" s="32"/>
      <c r="T1107" s="32"/>
      <c r="U1107" s="32"/>
      <c r="V1107" s="31"/>
      <c r="W1107" s="35" t="str">
        <f aca="true">IF(OR(V1107="",AG1107&gt;=8),"",IF(V1107&lt;TODAY(),"Vencida",IF(V1107=TODAY(),"Hoy","")))</f>
        <v/>
      </c>
      <c r="X1107" s="36" t="str">
        <f aca="false">IF(A1107="","",IF(COUNTIF(Seguimiento!$B$2:$B$5001,A1107)=0,"",_xlfn.MAXIFS(Seguimiento!$A$2:$A$5001,Seguimiento!$B$2:$B$5001,A1107)))</f>
        <v/>
      </c>
      <c r="Y1107" s="37" t="str">
        <f aca="true">IF(B1107="","",TODAY()-B1107)</f>
        <v/>
      </c>
      <c r="Z1107" s="38" t="str">
        <f aca="false">IF(OR(O1107="",G1107=""),"",O1107*IFERROR(INDEX(Listas!$B$2:$B$50,MATCH(G1107,Listas!$A$2:$A$50,0)),0))</f>
        <v/>
      </c>
      <c r="AA1107" s="32"/>
      <c r="AB1107" s="32"/>
      <c r="AC1107" s="32"/>
      <c r="AD1107" s="35" t="str">
        <f aca="false">IF(OR(LEFT(H1107,4)="Meta",LEFT(H1107,6)="Google"),IF(AG1107=3,"Lead calificado",IF(OR(AG1107=4,AG1107=5),"Tasación/visita",IF(OR(AG1107=6,AG1107=7),"Captación/oferta",IF(AG1107=8,"Cierre","")))),"")</f>
        <v/>
      </c>
      <c r="AE1107" s="32"/>
      <c r="AF1107" s="32"/>
      <c r="AG1107" s="37" t="n">
        <f aca="false">IF(R1107="",0,IFERROR(MATCH(R1107,Listas!$L$2:$L$50,0),0))</f>
        <v>0</v>
      </c>
    </row>
    <row r="1108" customFormat="false" ht="15" hidden="false" customHeight="false" outlineLevel="0" collapsed="false">
      <c r="A1108" s="30"/>
      <c r="B1108" s="31"/>
      <c r="C1108" s="32"/>
      <c r="D1108" s="32"/>
      <c r="E1108" s="33"/>
      <c r="F1108" s="32"/>
      <c r="G1108" s="32"/>
      <c r="H1108" s="32"/>
      <c r="I1108" s="32"/>
      <c r="J1108" s="32"/>
      <c r="K1108" s="32"/>
      <c r="L1108" s="32"/>
      <c r="M1108" s="30"/>
      <c r="N1108" s="32"/>
      <c r="O1108" s="34"/>
      <c r="P1108" s="32"/>
      <c r="Q1108" s="32"/>
      <c r="R1108" s="32"/>
      <c r="S1108" s="32"/>
      <c r="T1108" s="32"/>
      <c r="U1108" s="32"/>
      <c r="V1108" s="31"/>
      <c r="W1108" s="35" t="str">
        <f aca="true">IF(OR(V1108="",AG1108&gt;=8),"",IF(V1108&lt;TODAY(),"Vencida",IF(V1108=TODAY(),"Hoy","")))</f>
        <v/>
      </c>
      <c r="X1108" s="36" t="str">
        <f aca="false">IF(A1108="","",IF(COUNTIF(Seguimiento!$B$2:$B$5001,A1108)=0,"",_xlfn.MAXIFS(Seguimiento!$A$2:$A$5001,Seguimiento!$B$2:$B$5001,A1108)))</f>
        <v/>
      </c>
      <c r="Y1108" s="37" t="str">
        <f aca="true">IF(B1108="","",TODAY()-B1108)</f>
        <v/>
      </c>
      <c r="Z1108" s="38" t="str">
        <f aca="false">IF(OR(O1108="",G1108=""),"",O1108*IFERROR(INDEX(Listas!$B$2:$B$50,MATCH(G1108,Listas!$A$2:$A$50,0)),0))</f>
        <v/>
      </c>
      <c r="AA1108" s="32"/>
      <c r="AB1108" s="32"/>
      <c r="AC1108" s="32"/>
      <c r="AD1108" s="35" t="str">
        <f aca="false">IF(OR(LEFT(H1108,4)="Meta",LEFT(H1108,6)="Google"),IF(AG1108=3,"Lead calificado",IF(OR(AG1108=4,AG1108=5),"Tasación/visita",IF(OR(AG1108=6,AG1108=7),"Captación/oferta",IF(AG1108=8,"Cierre","")))),"")</f>
        <v/>
      </c>
      <c r="AE1108" s="32"/>
      <c r="AF1108" s="32"/>
      <c r="AG1108" s="37" t="n">
        <f aca="false">IF(R1108="",0,IFERROR(MATCH(R1108,Listas!$L$2:$L$50,0),0))</f>
        <v>0</v>
      </c>
    </row>
    <row r="1109" customFormat="false" ht="15" hidden="false" customHeight="false" outlineLevel="0" collapsed="false">
      <c r="A1109" s="30"/>
      <c r="B1109" s="31"/>
      <c r="C1109" s="32"/>
      <c r="D1109" s="32"/>
      <c r="E1109" s="33"/>
      <c r="F1109" s="32"/>
      <c r="G1109" s="32"/>
      <c r="H1109" s="32"/>
      <c r="I1109" s="32"/>
      <c r="J1109" s="32"/>
      <c r="K1109" s="32"/>
      <c r="L1109" s="32"/>
      <c r="M1109" s="30"/>
      <c r="N1109" s="32"/>
      <c r="O1109" s="34"/>
      <c r="P1109" s="32"/>
      <c r="Q1109" s="32"/>
      <c r="R1109" s="32"/>
      <c r="S1109" s="32"/>
      <c r="T1109" s="32"/>
      <c r="U1109" s="32"/>
      <c r="V1109" s="31"/>
      <c r="W1109" s="35" t="str">
        <f aca="true">IF(OR(V1109="",AG1109&gt;=8),"",IF(V1109&lt;TODAY(),"Vencida",IF(V1109=TODAY(),"Hoy","")))</f>
        <v/>
      </c>
      <c r="X1109" s="36" t="str">
        <f aca="false">IF(A1109="","",IF(COUNTIF(Seguimiento!$B$2:$B$5001,A1109)=0,"",_xlfn.MAXIFS(Seguimiento!$A$2:$A$5001,Seguimiento!$B$2:$B$5001,A1109)))</f>
        <v/>
      </c>
      <c r="Y1109" s="37" t="str">
        <f aca="true">IF(B1109="","",TODAY()-B1109)</f>
        <v/>
      </c>
      <c r="Z1109" s="38" t="str">
        <f aca="false">IF(OR(O1109="",G1109=""),"",O1109*IFERROR(INDEX(Listas!$B$2:$B$50,MATCH(G1109,Listas!$A$2:$A$50,0)),0))</f>
        <v/>
      </c>
      <c r="AA1109" s="32"/>
      <c r="AB1109" s="32"/>
      <c r="AC1109" s="32"/>
      <c r="AD1109" s="35" t="str">
        <f aca="false">IF(OR(LEFT(H1109,4)="Meta",LEFT(H1109,6)="Google"),IF(AG1109=3,"Lead calificado",IF(OR(AG1109=4,AG1109=5),"Tasación/visita",IF(OR(AG1109=6,AG1109=7),"Captación/oferta",IF(AG1109=8,"Cierre","")))),"")</f>
        <v/>
      </c>
      <c r="AE1109" s="32"/>
      <c r="AF1109" s="32"/>
      <c r="AG1109" s="37" t="n">
        <f aca="false">IF(R1109="",0,IFERROR(MATCH(R1109,Listas!$L$2:$L$50,0),0))</f>
        <v>0</v>
      </c>
    </row>
    <row r="1110" customFormat="false" ht="15" hidden="false" customHeight="false" outlineLevel="0" collapsed="false">
      <c r="A1110" s="30"/>
      <c r="B1110" s="31"/>
      <c r="C1110" s="32"/>
      <c r="D1110" s="32"/>
      <c r="E1110" s="33"/>
      <c r="F1110" s="32"/>
      <c r="G1110" s="32"/>
      <c r="H1110" s="32"/>
      <c r="I1110" s="32"/>
      <c r="J1110" s="32"/>
      <c r="K1110" s="32"/>
      <c r="L1110" s="32"/>
      <c r="M1110" s="30"/>
      <c r="N1110" s="32"/>
      <c r="O1110" s="34"/>
      <c r="P1110" s="32"/>
      <c r="Q1110" s="32"/>
      <c r="R1110" s="32"/>
      <c r="S1110" s="32"/>
      <c r="T1110" s="32"/>
      <c r="U1110" s="32"/>
      <c r="V1110" s="31"/>
      <c r="W1110" s="35" t="str">
        <f aca="true">IF(OR(V1110="",AG1110&gt;=8),"",IF(V1110&lt;TODAY(),"Vencida",IF(V1110=TODAY(),"Hoy","")))</f>
        <v/>
      </c>
      <c r="X1110" s="36" t="str">
        <f aca="false">IF(A1110="","",IF(COUNTIF(Seguimiento!$B$2:$B$5001,A1110)=0,"",_xlfn.MAXIFS(Seguimiento!$A$2:$A$5001,Seguimiento!$B$2:$B$5001,A1110)))</f>
        <v/>
      </c>
      <c r="Y1110" s="37" t="str">
        <f aca="true">IF(B1110="","",TODAY()-B1110)</f>
        <v/>
      </c>
      <c r="Z1110" s="38" t="str">
        <f aca="false">IF(OR(O1110="",G1110=""),"",O1110*IFERROR(INDEX(Listas!$B$2:$B$50,MATCH(G1110,Listas!$A$2:$A$50,0)),0))</f>
        <v/>
      </c>
      <c r="AA1110" s="32"/>
      <c r="AB1110" s="32"/>
      <c r="AC1110" s="32"/>
      <c r="AD1110" s="35" t="str">
        <f aca="false">IF(OR(LEFT(H1110,4)="Meta",LEFT(H1110,6)="Google"),IF(AG1110=3,"Lead calificado",IF(OR(AG1110=4,AG1110=5),"Tasación/visita",IF(OR(AG1110=6,AG1110=7),"Captación/oferta",IF(AG1110=8,"Cierre","")))),"")</f>
        <v/>
      </c>
      <c r="AE1110" s="32"/>
      <c r="AF1110" s="32"/>
      <c r="AG1110" s="37" t="n">
        <f aca="false">IF(R1110="",0,IFERROR(MATCH(R1110,Listas!$L$2:$L$50,0),0))</f>
        <v>0</v>
      </c>
    </row>
    <row r="1111" customFormat="false" ht="15" hidden="false" customHeight="false" outlineLevel="0" collapsed="false">
      <c r="A1111" s="30"/>
      <c r="B1111" s="31"/>
      <c r="C1111" s="32"/>
      <c r="D1111" s="32"/>
      <c r="E1111" s="33"/>
      <c r="F1111" s="32"/>
      <c r="G1111" s="32"/>
      <c r="H1111" s="32"/>
      <c r="I1111" s="32"/>
      <c r="J1111" s="32"/>
      <c r="K1111" s="32"/>
      <c r="L1111" s="32"/>
      <c r="M1111" s="30"/>
      <c r="N1111" s="32"/>
      <c r="O1111" s="34"/>
      <c r="P1111" s="32"/>
      <c r="Q1111" s="32"/>
      <c r="R1111" s="32"/>
      <c r="S1111" s="32"/>
      <c r="T1111" s="32"/>
      <c r="U1111" s="32"/>
      <c r="V1111" s="31"/>
      <c r="W1111" s="35" t="str">
        <f aca="true">IF(OR(V1111="",AG1111&gt;=8),"",IF(V1111&lt;TODAY(),"Vencida",IF(V1111=TODAY(),"Hoy","")))</f>
        <v/>
      </c>
      <c r="X1111" s="36" t="str">
        <f aca="false">IF(A1111="","",IF(COUNTIF(Seguimiento!$B$2:$B$5001,A1111)=0,"",_xlfn.MAXIFS(Seguimiento!$A$2:$A$5001,Seguimiento!$B$2:$B$5001,A1111)))</f>
        <v/>
      </c>
      <c r="Y1111" s="37" t="str">
        <f aca="true">IF(B1111="","",TODAY()-B1111)</f>
        <v/>
      </c>
      <c r="Z1111" s="38" t="str">
        <f aca="false">IF(OR(O1111="",G1111=""),"",O1111*IFERROR(INDEX(Listas!$B$2:$B$50,MATCH(G1111,Listas!$A$2:$A$50,0)),0))</f>
        <v/>
      </c>
      <c r="AA1111" s="32"/>
      <c r="AB1111" s="32"/>
      <c r="AC1111" s="32"/>
      <c r="AD1111" s="35" t="str">
        <f aca="false">IF(OR(LEFT(H1111,4)="Meta",LEFT(H1111,6)="Google"),IF(AG1111=3,"Lead calificado",IF(OR(AG1111=4,AG1111=5),"Tasación/visita",IF(OR(AG1111=6,AG1111=7),"Captación/oferta",IF(AG1111=8,"Cierre","")))),"")</f>
        <v/>
      </c>
      <c r="AE1111" s="32"/>
      <c r="AF1111" s="32"/>
      <c r="AG1111" s="37" t="n">
        <f aca="false">IF(R1111="",0,IFERROR(MATCH(R1111,Listas!$L$2:$L$50,0),0))</f>
        <v>0</v>
      </c>
    </row>
    <row r="1112" customFormat="false" ht="15" hidden="false" customHeight="false" outlineLevel="0" collapsed="false">
      <c r="A1112" s="30"/>
      <c r="B1112" s="31"/>
      <c r="C1112" s="32"/>
      <c r="D1112" s="32"/>
      <c r="E1112" s="33"/>
      <c r="F1112" s="32"/>
      <c r="G1112" s="32"/>
      <c r="H1112" s="32"/>
      <c r="I1112" s="32"/>
      <c r="J1112" s="32"/>
      <c r="K1112" s="32"/>
      <c r="L1112" s="32"/>
      <c r="M1112" s="30"/>
      <c r="N1112" s="32"/>
      <c r="O1112" s="34"/>
      <c r="P1112" s="32"/>
      <c r="Q1112" s="32"/>
      <c r="R1112" s="32"/>
      <c r="S1112" s="32"/>
      <c r="T1112" s="32"/>
      <c r="U1112" s="32"/>
      <c r="V1112" s="31"/>
      <c r="W1112" s="35" t="str">
        <f aca="true">IF(OR(V1112="",AG1112&gt;=8),"",IF(V1112&lt;TODAY(),"Vencida",IF(V1112=TODAY(),"Hoy","")))</f>
        <v/>
      </c>
      <c r="X1112" s="36" t="str">
        <f aca="false">IF(A1112="","",IF(COUNTIF(Seguimiento!$B$2:$B$5001,A1112)=0,"",_xlfn.MAXIFS(Seguimiento!$A$2:$A$5001,Seguimiento!$B$2:$B$5001,A1112)))</f>
        <v/>
      </c>
      <c r="Y1112" s="37" t="str">
        <f aca="true">IF(B1112="","",TODAY()-B1112)</f>
        <v/>
      </c>
      <c r="Z1112" s="38" t="str">
        <f aca="false">IF(OR(O1112="",G1112=""),"",O1112*IFERROR(INDEX(Listas!$B$2:$B$50,MATCH(G1112,Listas!$A$2:$A$50,0)),0))</f>
        <v/>
      </c>
      <c r="AA1112" s="32"/>
      <c r="AB1112" s="32"/>
      <c r="AC1112" s="32"/>
      <c r="AD1112" s="35" t="str">
        <f aca="false">IF(OR(LEFT(H1112,4)="Meta",LEFT(H1112,6)="Google"),IF(AG1112=3,"Lead calificado",IF(OR(AG1112=4,AG1112=5),"Tasación/visita",IF(OR(AG1112=6,AG1112=7),"Captación/oferta",IF(AG1112=8,"Cierre","")))),"")</f>
        <v/>
      </c>
      <c r="AE1112" s="32"/>
      <c r="AF1112" s="32"/>
      <c r="AG1112" s="37" t="n">
        <f aca="false">IF(R1112="",0,IFERROR(MATCH(R1112,Listas!$L$2:$L$50,0),0))</f>
        <v>0</v>
      </c>
    </row>
    <row r="1113" customFormat="false" ht="15" hidden="false" customHeight="false" outlineLevel="0" collapsed="false">
      <c r="A1113" s="30"/>
      <c r="B1113" s="31"/>
      <c r="C1113" s="32"/>
      <c r="D1113" s="32"/>
      <c r="E1113" s="33"/>
      <c r="F1113" s="32"/>
      <c r="G1113" s="32"/>
      <c r="H1113" s="32"/>
      <c r="I1113" s="32"/>
      <c r="J1113" s="32"/>
      <c r="K1113" s="32"/>
      <c r="L1113" s="32"/>
      <c r="M1113" s="30"/>
      <c r="N1113" s="32"/>
      <c r="O1113" s="34"/>
      <c r="P1113" s="32"/>
      <c r="Q1113" s="32"/>
      <c r="R1113" s="32"/>
      <c r="S1113" s="32"/>
      <c r="T1113" s="32"/>
      <c r="U1113" s="32"/>
      <c r="V1113" s="31"/>
      <c r="W1113" s="35" t="str">
        <f aca="true">IF(OR(V1113="",AG1113&gt;=8),"",IF(V1113&lt;TODAY(),"Vencida",IF(V1113=TODAY(),"Hoy","")))</f>
        <v/>
      </c>
      <c r="X1113" s="36" t="str">
        <f aca="false">IF(A1113="","",IF(COUNTIF(Seguimiento!$B$2:$B$5001,A1113)=0,"",_xlfn.MAXIFS(Seguimiento!$A$2:$A$5001,Seguimiento!$B$2:$B$5001,A1113)))</f>
        <v/>
      </c>
      <c r="Y1113" s="37" t="str">
        <f aca="true">IF(B1113="","",TODAY()-B1113)</f>
        <v/>
      </c>
      <c r="Z1113" s="38" t="str">
        <f aca="false">IF(OR(O1113="",G1113=""),"",O1113*IFERROR(INDEX(Listas!$B$2:$B$50,MATCH(G1113,Listas!$A$2:$A$50,0)),0))</f>
        <v/>
      </c>
      <c r="AA1113" s="32"/>
      <c r="AB1113" s="32"/>
      <c r="AC1113" s="32"/>
      <c r="AD1113" s="35" t="str">
        <f aca="false">IF(OR(LEFT(H1113,4)="Meta",LEFT(H1113,6)="Google"),IF(AG1113=3,"Lead calificado",IF(OR(AG1113=4,AG1113=5),"Tasación/visita",IF(OR(AG1113=6,AG1113=7),"Captación/oferta",IF(AG1113=8,"Cierre","")))),"")</f>
        <v/>
      </c>
      <c r="AE1113" s="32"/>
      <c r="AF1113" s="32"/>
      <c r="AG1113" s="37" t="n">
        <f aca="false">IF(R1113="",0,IFERROR(MATCH(R1113,Listas!$L$2:$L$50,0),0))</f>
        <v>0</v>
      </c>
    </row>
    <row r="1114" customFormat="false" ht="15" hidden="false" customHeight="false" outlineLevel="0" collapsed="false">
      <c r="A1114" s="30"/>
      <c r="B1114" s="31"/>
      <c r="C1114" s="32"/>
      <c r="D1114" s="32"/>
      <c r="E1114" s="33"/>
      <c r="F1114" s="32"/>
      <c r="G1114" s="32"/>
      <c r="H1114" s="32"/>
      <c r="I1114" s="32"/>
      <c r="J1114" s="32"/>
      <c r="K1114" s="32"/>
      <c r="L1114" s="32"/>
      <c r="M1114" s="30"/>
      <c r="N1114" s="32"/>
      <c r="O1114" s="34"/>
      <c r="P1114" s="32"/>
      <c r="Q1114" s="32"/>
      <c r="R1114" s="32"/>
      <c r="S1114" s="32"/>
      <c r="T1114" s="32"/>
      <c r="U1114" s="32"/>
      <c r="V1114" s="31"/>
      <c r="W1114" s="35" t="str">
        <f aca="true">IF(OR(V1114="",AG1114&gt;=8),"",IF(V1114&lt;TODAY(),"Vencida",IF(V1114=TODAY(),"Hoy","")))</f>
        <v/>
      </c>
      <c r="X1114" s="36" t="str">
        <f aca="false">IF(A1114="","",IF(COUNTIF(Seguimiento!$B$2:$B$5001,A1114)=0,"",_xlfn.MAXIFS(Seguimiento!$A$2:$A$5001,Seguimiento!$B$2:$B$5001,A1114)))</f>
        <v/>
      </c>
      <c r="Y1114" s="37" t="str">
        <f aca="true">IF(B1114="","",TODAY()-B1114)</f>
        <v/>
      </c>
      <c r="Z1114" s="38" t="str">
        <f aca="false">IF(OR(O1114="",G1114=""),"",O1114*IFERROR(INDEX(Listas!$B$2:$B$50,MATCH(G1114,Listas!$A$2:$A$50,0)),0))</f>
        <v/>
      </c>
      <c r="AA1114" s="32"/>
      <c r="AB1114" s="32"/>
      <c r="AC1114" s="32"/>
      <c r="AD1114" s="35" t="str">
        <f aca="false">IF(OR(LEFT(H1114,4)="Meta",LEFT(H1114,6)="Google"),IF(AG1114=3,"Lead calificado",IF(OR(AG1114=4,AG1114=5),"Tasación/visita",IF(OR(AG1114=6,AG1114=7),"Captación/oferta",IF(AG1114=8,"Cierre","")))),"")</f>
        <v/>
      </c>
      <c r="AE1114" s="32"/>
      <c r="AF1114" s="32"/>
      <c r="AG1114" s="37" t="n">
        <f aca="false">IF(R1114="",0,IFERROR(MATCH(R1114,Listas!$L$2:$L$50,0),0))</f>
        <v>0</v>
      </c>
    </row>
    <row r="1115" customFormat="false" ht="15" hidden="false" customHeight="false" outlineLevel="0" collapsed="false">
      <c r="A1115" s="30"/>
      <c r="B1115" s="31"/>
      <c r="C1115" s="32"/>
      <c r="D1115" s="32"/>
      <c r="E1115" s="33"/>
      <c r="F1115" s="32"/>
      <c r="G1115" s="32"/>
      <c r="H1115" s="32"/>
      <c r="I1115" s="32"/>
      <c r="J1115" s="32"/>
      <c r="K1115" s="32"/>
      <c r="L1115" s="32"/>
      <c r="M1115" s="30"/>
      <c r="N1115" s="32"/>
      <c r="O1115" s="34"/>
      <c r="P1115" s="32"/>
      <c r="Q1115" s="32"/>
      <c r="R1115" s="32"/>
      <c r="S1115" s="32"/>
      <c r="T1115" s="32"/>
      <c r="U1115" s="32"/>
      <c r="V1115" s="31"/>
      <c r="W1115" s="35" t="str">
        <f aca="true">IF(OR(V1115="",AG1115&gt;=8),"",IF(V1115&lt;TODAY(),"Vencida",IF(V1115=TODAY(),"Hoy","")))</f>
        <v/>
      </c>
      <c r="X1115" s="36" t="str">
        <f aca="false">IF(A1115="","",IF(COUNTIF(Seguimiento!$B$2:$B$5001,A1115)=0,"",_xlfn.MAXIFS(Seguimiento!$A$2:$A$5001,Seguimiento!$B$2:$B$5001,A1115)))</f>
        <v/>
      </c>
      <c r="Y1115" s="37" t="str">
        <f aca="true">IF(B1115="","",TODAY()-B1115)</f>
        <v/>
      </c>
      <c r="Z1115" s="38" t="str">
        <f aca="false">IF(OR(O1115="",G1115=""),"",O1115*IFERROR(INDEX(Listas!$B$2:$B$50,MATCH(G1115,Listas!$A$2:$A$50,0)),0))</f>
        <v/>
      </c>
      <c r="AA1115" s="32"/>
      <c r="AB1115" s="32"/>
      <c r="AC1115" s="32"/>
      <c r="AD1115" s="35" t="str">
        <f aca="false">IF(OR(LEFT(H1115,4)="Meta",LEFT(H1115,6)="Google"),IF(AG1115=3,"Lead calificado",IF(OR(AG1115=4,AG1115=5),"Tasación/visita",IF(OR(AG1115=6,AG1115=7),"Captación/oferta",IF(AG1115=8,"Cierre","")))),"")</f>
        <v/>
      </c>
      <c r="AE1115" s="32"/>
      <c r="AF1115" s="32"/>
      <c r="AG1115" s="37" t="n">
        <f aca="false">IF(R1115="",0,IFERROR(MATCH(R1115,Listas!$L$2:$L$50,0),0))</f>
        <v>0</v>
      </c>
    </row>
    <row r="1116" customFormat="false" ht="15" hidden="false" customHeight="false" outlineLevel="0" collapsed="false">
      <c r="A1116" s="30"/>
      <c r="B1116" s="31"/>
      <c r="C1116" s="32"/>
      <c r="D1116" s="32"/>
      <c r="E1116" s="33"/>
      <c r="F1116" s="32"/>
      <c r="G1116" s="32"/>
      <c r="H1116" s="32"/>
      <c r="I1116" s="32"/>
      <c r="J1116" s="32"/>
      <c r="K1116" s="32"/>
      <c r="L1116" s="32"/>
      <c r="M1116" s="30"/>
      <c r="N1116" s="32"/>
      <c r="O1116" s="34"/>
      <c r="P1116" s="32"/>
      <c r="Q1116" s="32"/>
      <c r="R1116" s="32"/>
      <c r="S1116" s="32"/>
      <c r="T1116" s="32"/>
      <c r="U1116" s="32"/>
      <c r="V1116" s="31"/>
      <c r="W1116" s="35" t="str">
        <f aca="true">IF(OR(V1116="",AG1116&gt;=8),"",IF(V1116&lt;TODAY(),"Vencida",IF(V1116=TODAY(),"Hoy","")))</f>
        <v/>
      </c>
      <c r="X1116" s="36" t="str">
        <f aca="false">IF(A1116="","",IF(COUNTIF(Seguimiento!$B$2:$B$5001,A1116)=0,"",_xlfn.MAXIFS(Seguimiento!$A$2:$A$5001,Seguimiento!$B$2:$B$5001,A1116)))</f>
        <v/>
      </c>
      <c r="Y1116" s="37" t="str">
        <f aca="true">IF(B1116="","",TODAY()-B1116)</f>
        <v/>
      </c>
      <c r="Z1116" s="38" t="str">
        <f aca="false">IF(OR(O1116="",G1116=""),"",O1116*IFERROR(INDEX(Listas!$B$2:$B$50,MATCH(G1116,Listas!$A$2:$A$50,0)),0))</f>
        <v/>
      </c>
      <c r="AA1116" s="32"/>
      <c r="AB1116" s="32"/>
      <c r="AC1116" s="32"/>
      <c r="AD1116" s="35" t="str">
        <f aca="false">IF(OR(LEFT(H1116,4)="Meta",LEFT(H1116,6)="Google"),IF(AG1116=3,"Lead calificado",IF(OR(AG1116=4,AG1116=5),"Tasación/visita",IF(OR(AG1116=6,AG1116=7),"Captación/oferta",IF(AG1116=8,"Cierre","")))),"")</f>
        <v/>
      </c>
      <c r="AE1116" s="32"/>
      <c r="AF1116" s="32"/>
      <c r="AG1116" s="37" t="n">
        <f aca="false">IF(R1116="",0,IFERROR(MATCH(R1116,Listas!$L$2:$L$50,0),0))</f>
        <v>0</v>
      </c>
    </row>
    <row r="1117" customFormat="false" ht="15" hidden="false" customHeight="false" outlineLevel="0" collapsed="false">
      <c r="A1117" s="30"/>
      <c r="B1117" s="31"/>
      <c r="C1117" s="32"/>
      <c r="D1117" s="32"/>
      <c r="E1117" s="33"/>
      <c r="F1117" s="32"/>
      <c r="G1117" s="32"/>
      <c r="H1117" s="32"/>
      <c r="I1117" s="32"/>
      <c r="J1117" s="32"/>
      <c r="K1117" s="32"/>
      <c r="L1117" s="32"/>
      <c r="M1117" s="30"/>
      <c r="N1117" s="32"/>
      <c r="O1117" s="34"/>
      <c r="P1117" s="32"/>
      <c r="Q1117" s="32"/>
      <c r="R1117" s="32"/>
      <c r="S1117" s="32"/>
      <c r="T1117" s="32"/>
      <c r="U1117" s="32"/>
      <c r="V1117" s="31"/>
      <c r="W1117" s="35" t="str">
        <f aca="true">IF(OR(V1117="",AG1117&gt;=8),"",IF(V1117&lt;TODAY(),"Vencida",IF(V1117=TODAY(),"Hoy","")))</f>
        <v/>
      </c>
      <c r="X1117" s="36" t="str">
        <f aca="false">IF(A1117="","",IF(COUNTIF(Seguimiento!$B$2:$B$5001,A1117)=0,"",_xlfn.MAXIFS(Seguimiento!$A$2:$A$5001,Seguimiento!$B$2:$B$5001,A1117)))</f>
        <v/>
      </c>
      <c r="Y1117" s="37" t="str">
        <f aca="true">IF(B1117="","",TODAY()-B1117)</f>
        <v/>
      </c>
      <c r="Z1117" s="38" t="str">
        <f aca="false">IF(OR(O1117="",G1117=""),"",O1117*IFERROR(INDEX(Listas!$B$2:$B$50,MATCH(G1117,Listas!$A$2:$A$50,0)),0))</f>
        <v/>
      </c>
      <c r="AA1117" s="32"/>
      <c r="AB1117" s="32"/>
      <c r="AC1117" s="32"/>
      <c r="AD1117" s="35" t="str">
        <f aca="false">IF(OR(LEFT(H1117,4)="Meta",LEFT(H1117,6)="Google"),IF(AG1117=3,"Lead calificado",IF(OR(AG1117=4,AG1117=5),"Tasación/visita",IF(OR(AG1117=6,AG1117=7),"Captación/oferta",IF(AG1117=8,"Cierre","")))),"")</f>
        <v/>
      </c>
      <c r="AE1117" s="32"/>
      <c r="AF1117" s="32"/>
      <c r="AG1117" s="37" t="n">
        <f aca="false">IF(R1117="",0,IFERROR(MATCH(R1117,Listas!$L$2:$L$50,0),0))</f>
        <v>0</v>
      </c>
    </row>
    <row r="1118" customFormat="false" ht="15" hidden="false" customHeight="false" outlineLevel="0" collapsed="false">
      <c r="A1118" s="30"/>
      <c r="B1118" s="31"/>
      <c r="C1118" s="32"/>
      <c r="D1118" s="32"/>
      <c r="E1118" s="33"/>
      <c r="F1118" s="32"/>
      <c r="G1118" s="32"/>
      <c r="H1118" s="32"/>
      <c r="I1118" s="32"/>
      <c r="J1118" s="32"/>
      <c r="K1118" s="32"/>
      <c r="L1118" s="32"/>
      <c r="M1118" s="30"/>
      <c r="N1118" s="32"/>
      <c r="O1118" s="34"/>
      <c r="P1118" s="32"/>
      <c r="Q1118" s="32"/>
      <c r="R1118" s="32"/>
      <c r="S1118" s="32"/>
      <c r="T1118" s="32"/>
      <c r="U1118" s="32"/>
      <c r="V1118" s="31"/>
      <c r="W1118" s="35" t="str">
        <f aca="true">IF(OR(V1118="",AG1118&gt;=8),"",IF(V1118&lt;TODAY(),"Vencida",IF(V1118=TODAY(),"Hoy","")))</f>
        <v/>
      </c>
      <c r="X1118" s="36" t="str">
        <f aca="false">IF(A1118="","",IF(COUNTIF(Seguimiento!$B$2:$B$5001,A1118)=0,"",_xlfn.MAXIFS(Seguimiento!$A$2:$A$5001,Seguimiento!$B$2:$B$5001,A1118)))</f>
        <v/>
      </c>
      <c r="Y1118" s="37" t="str">
        <f aca="true">IF(B1118="","",TODAY()-B1118)</f>
        <v/>
      </c>
      <c r="Z1118" s="38" t="str">
        <f aca="false">IF(OR(O1118="",G1118=""),"",O1118*IFERROR(INDEX(Listas!$B$2:$B$50,MATCH(G1118,Listas!$A$2:$A$50,0)),0))</f>
        <v/>
      </c>
      <c r="AA1118" s="32"/>
      <c r="AB1118" s="32"/>
      <c r="AC1118" s="32"/>
      <c r="AD1118" s="35" t="str">
        <f aca="false">IF(OR(LEFT(H1118,4)="Meta",LEFT(H1118,6)="Google"),IF(AG1118=3,"Lead calificado",IF(OR(AG1118=4,AG1118=5),"Tasación/visita",IF(OR(AG1118=6,AG1118=7),"Captación/oferta",IF(AG1118=8,"Cierre","")))),"")</f>
        <v/>
      </c>
      <c r="AE1118" s="32"/>
      <c r="AF1118" s="32"/>
      <c r="AG1118" s="37" t="n">
        <f aca="false">IF(R1118="",0,IFERROR(MATCH(R1118,Listas!$L$2:$L$50,0),0))</f>
        <v>0</v>
      </c>
    </row>
    <row r="1119" customFormat="false" ht="15" hidden="false" customHeight="false" outlineLevel="0" collapsed="false">
      <c r="A1119" s="30"/>
      <c r="B1119" s="31"/>
      <c r="C1119" s="32"/>
      <c r="D1119" s="32"/>
      <c r="E1119" s="33"/>
      <c r="F1119" s="32"/>
      <c r="G1119" s="32"/>
      <c r="H1119" s="32"/>
      <c r="I1119" s="32"/>
      <c r="J1119" s="32"/>
      <c r="K1119" s="32"/>
      <c r="L1119" s="32"/>
      <c r="M1119" s="30"/>
      <c r="N1119" s="32"/>
      <c r="O1119" s="34"/>
      <c r="P1119" s="32"/>
      <c r="Q1119" s="32"/>
      <c r="R1119" s="32"/>
      <c r="S1119" s="32"/>
      <c r="T1119" s="32"/>
      <c r="U1119" s="32"/>
      <c r="V1119" s="31"/>
      <c r="W1119" s="35" t="str">
        <f aca="true">IF(OR(V1119="",AG1119&gt;=8),"",IF(V1119&lt;TODAY(),"Vencida",IF(V1119=TODAY(),"Hoy","")))</f>
        <v/>
      </c>
      <c r="X1119" s="36" t="str">
        <f aca="false">IF(A1119="","",IF(COUNTIF(Seguimiento!$B$2:$B$5001,A1119)=0,"",_xlfn.MAXIFS(Seguimiento!$A$2:$A$5001,Seguimiento!$B$2:$B$5001,A1119)))</f>
        <v/>
      </c>
      <c r="Y1119" s="37" t="str">
        <f aca="true">IF(B1119="","",TODAY()-B1119)</f>
        <v/>
      </c>
      <c r="Z1119" s="38" t="str">
        <f aca="false">IF(OR(O1119="",G1119=""),"",O1119*IFERROR(INDEX(Listas!$B$2:$B$50,MATCH(G1119,Listas!$A$2:$A$50,0)),0))</f>
        <v/>
      </c>
      <c r="AA1119" s="32"/>
      <c r="AB1119" s="32"/>
      <c r="AC1119" s="32"/>
      <c r="AD1119" s="35" t="str">
        <f aca="false">IF(OR(LEFT(H1119,4)="Meta",LEFT(H1119,6)="Google"),IF(AG1119=3,"Lead calificado",IF(OR(AG1119=4,AG1119=5),"Tasación/visita",IF(OR(AG1119=6,AG1119=7),"Captación/oferta",IF(AG1119=8,"Cierre","")))),"")</f>
        <v/>
      </c>
      <c r="AE1119" s="32"/>
      <c r="AF1119" s="32"/>
      <c r="AG1119" s="37" t="n">
        <f aca="false">IF(R1119="",0,IFERROR(MATCH(R1119,Listas!$L$2:$L$50,0),0))</f>
        <v>0</v>
      </c>
    </row>
    <row r="1120" customFormat="false" ht="15" hidden="false" customHeight="false" outlineLevel="0" collapsed="false">
      <c r="A1120" s="30"/>
      <c r="B1120" s="31"/>
      <c r="C1120" s="32"/>
      <c r="D1120" s="32"/>
      <c r="E1120" s="33"/>
      <c r="F1120" s="32"/>
      <c r="G1120" s="32"/>
      <c r="H1120" s="32"/>
      <c r="I1120" s="32"/>
      <c r="J1120" s="32"/>
      <c r="K1120" s="32"/>
      <c r="L1120" s="32"/>
      <c r="M1120" s="30"/>
      <c r="N1120" s="32"/>
      <c r="O1120" s="34"/>
      <c r="P1120" s="32"/>
      <c r="Q1120" s="32"/>
      <c r="R1120" s="32"/>
      <c r="S1120" s="32"/>
      <c r="T1120" s="32"/>
      <c r="U1120" s="32"/>
      <c r="V1120" s="31"/>
      <c r="W1120" s="35" t="str">
        <f aca="true">IF(OR(V1120="",AG1120&gt;=8),"",IF(V1120&lt;TODAY(),"Vencida",IF(V1120=TODAY(),"Hoy","")))</f>
        <v/>
      </c>
      <c r="X1120" s="36" t="str">
        <f aca="false">IF(A1120="","",IF(COUNTIF(Seguimiento!$B$2:$B$5001,A1120)=0,"",_xlfn.MAXIFS(Seguimiento!$A$2:$A$5001,Seguimiento!$B$2:$B$5001,A1120)))</f>
        <v/>
      </c>
      <c r="Y1120" s="37" t="str">
        <f aca="true">IF(B1120="","",TODAY()-B1120)</f>
        <v/>
      </c>
      <c r="Z1120" s="38" t="str">
        <f aca="false">IF(OR(O1120="",G1120=""),"",O1120*IFERROR(INDEX(Listas!$B$2:$B$50,MATCH(G1120,Listas!$A$2:$A$50,0)),0))</f>
        <v/>
      </c>
      <c r="AA1120" s="32"/>
      <c r="AB1120" s="32"/>
      <c r="AC1120" s="32"/>
      <c r="AD1120" s="35" t="str">
        <f aca="false">IF(OR(LEFT(H1120,4)="Meta",LEFT(H1120,6)="Google"),IF(AG1120=3,"Lead calificado",IF(OR(AG1120=4,AG1120=5),"Tasación/visita",IF(OR(AG1120=6,AG1120=7),"Captación/oferta",IF(AG1120=8,"Cierre","")))),"")</f>
        <v/>
      </c>
      <c r="AE1120" s="32"/>
      <c r="AF1120" s="32"/>
      <c r="AG1120" s="37" t="n">
        <f aca="false">IF(R1120="",0,IFERROR(MATCH(R1120,Listas!$L$2:$L$50,0),0))</f>
        <v>0</v>
      </c>
    </row>
    <row r="1121" customFormat="false" ht="15" hidden="false" customHeight="false" outlineLevel="0" collapsed="false">
      <c r="A1121" s="30"/>
      <c r="B1121" s="31"/>
      <c r="C1121" s="32"/>
      <c r="D1121" s="32"/>
      <c r="E1121" s="33"/>
      <c r="F1121" s="32"/>
      <c r="G1121" s="32"/>
      <c r="H1121" s="32"/>
      <c r="I1121" s="32"/>
      <c r="J1121" s="32"/>
      <c r="K1121" s="32"/>
      <c r="L1121" s="32"/>
      <c r="M1121" s="30"/>
      <c r="N1121" s="32"/>
      <c r="O1121" s="34"/>
      <c r="P1121" s="32"/>
      <c r="Q1121" s="32"/>
      <c r="R1121" s="32"/>
      <c r="S1121" s="32"/>
      <c r="T1121" s="32"/>
      <c r="U1121" s="32"/>
      <c r="V1121" s="31"/>
      <c r="W1121" s="35" t="str">
        <f aca="true">IF(OR(V1121="",AG1121&gt;=8),"",IF(V1121&lt;TODAY(),"Vencida",IF(V1121=TODAY(),"Hoy","")))</f>
        <v/>
      </c>
      <c r="X1121" s="36" t="str">
        <f aca="false">IF(A1121="","",IF(COUNTIF(Seguimiento!$B$2:$B$5001,A1121)=0,"",_xlfn.MAXIFS(Seguimiento!$A$2:$A$5001,Seguimiento!$B$2:$B$5001,A1121)))</f>
        <v/>
      </c>
      <c r="Y1121" s="37" t="str">
        <f aca="true">IF(B1121="","",TODAY()-B1121)</f>
        <v/>
      </c>
      <c r="Z1121" s="38" t="str">
        <f aca="false">IF(OR(O1121="",G1121=""),"",O1121*IFERROR(INDEX(Listas!$B$2:$B$50,MATCH(G1121,Listas!$A$2:$A$50,0)),0))</f>
        <v/>
      </c>
      <c r="AA1121" s="32"/>
      <c r="AB1121" s="32"/>
      <c r="AC1121" s="32"/>
      <c r="AD1121" s="35" t="str">
        <f aca="false">IF(OR(LEFT(H1121,4)="Meta",LEFT(H1121,6)="Google"),IF(AG1121=3,"Lead calificado",IF(OR(AG1121=4,AG1121=5),"Tasación/visita",IF(OR(AG1121=6,AG1121=7),"Captación/oferta",IF(AG1121=8,"Cierre","")))),"")</f>
        <v/>
      </c>
      <c r="AE1121" s="32"/>
      <c r="AF1121" s="32"/>
      <c r="AG1121" s="37" t="n">
        <f aca="false">IF(R1121="",0,IFERROR(MATCH(R1121,Listas!$L$2:$L$50,0),0))</f>
        <v>0</v>
      </c>
    </row>
    <row r="1122" customFormat="false" ht="15" hidden="false" customHeight="false" outlineLevel="0" collapsed="false">
      <c r="A1122" s="30"/>
      <c r="B1122" s="31"/>
      <c r="C1122" s="32"/>
      <c r="D1122" s="32"/>
      <c r="E1122" s="33"/>
      <c r="F1122" s="32"/>
      <c r="G1122" s="32"/>
      <c r="H1122" s="32"/>
      <c r="I1122" s="32"/>
      <c r="J1122" s="32"/>
      <c r="K1122" s="32"/>
      <c r="L1122" s="32"/>
      <c r="M1122" s="30"/>
      <c r="N1122" s="32"/>
      <c r="O1122" s="34"/>
      <c r="P1122" s="32"/>
      <c r="Q1122" s="32"/>
      <c r="R1122" s="32"/>
      <c r="S1122" s="32"/>
      <c r="T1122" s="32"/>
      <c r="U1122" s="32"/>
      <c r="V1122" s="31"/>
      <c r="W1122" s="35" t="str">
        <f aca="true">IF(OR(V1122="",AG1122&gt;=8),"",IF(V1122&lt;TODAY(),"Vencida",IF(V1122=TODAY(),"Hoy","")))</f>
        <v/>
      </c>
      <c r="X1122" s="36" t="str">
        <f aca="false">IF(A1122="","",IF(COUNTIF(Seguimiento!$B$2:$B$5001,A1122)=0,"",_xlfn.MAXIFS(Seguimiento!$A$2:$A$5001,Seguimiento!$B$2:$B$5001,A1122)))</f>
        <v/>
      </c>
      <c r="Y1122" s="37" t="str">
        <f aca="true">IF(B1122="","",TODAY()-B1122)</f>
        <v/>
      </c>
      <c r="Z1122" s="38" t="str">
        <f aca="false">IF(OR(O1122="",G1122=""),"",O1122*IFERROR(INDEX(Listas!$B$2:$B$50,MATCH(G1122,Listas!$A$2:$A$50,0)),0))</f>
        <v/>
      </c>
      <c r="AA1122" s="32"/>
      <c r="AB1122" s="32"/>
      <c r="AC1122" s="32"/>
      <c r="AD1122" s="35" t="str">
        <f aca="false">IF(OR(LEFT(H1122,4)="Meta",LEFT(H1122,6)="Google"),IF(AG1122=3,"Lead calificado",IF(OR(AG1122=4,AG1122=5),"Tasación/visita",IF(OR(AG1122=6,AG1122=7),"Captación/oferta",IF(AG1122=8,"Cierre","")))),"")</f>
        <v/>
      </c>
      <c r="AE1122" s="32"/>
      <c r="AF1122" s="32"/>
      <c r="AG1122" s="37" t="n">
        <f aca="false">IF(R1122="",0,IFERROR(MATCH(R1122,Listas!$L$2:$L$50,0),0))</f>
        <v>0</v>
      </c>
    </row>
    <row r="1123" customFormat="false" ht="15" hidden="false" customHeight="false" outlineLevel="0" collapsed="false">
      <c r="A1123" s="30"/>
      <c r="B1123" s="31"/>
      <c r="C1123" s="32"/>
      <c r="D1123" s="32"/>
      <c r="E1123" s="33"/>
      <c r="F1123" s="32"/>
      <c r="G1123" s="32"/>
      <c r="H1123" s="32"/>
      <c r="I1123" s="32"/>
      <c r="J1123" s="32"/>
      <c r="K1123" s="32"/>
      <c r="L1123" s="32"/>
      <c r="M1123" s="30"/>
      <c r="N1123" s="32"/>
      <c r="O1123" s="34"/>
      <c r="P1123" s="32"/>
      <c r="Q1123" s="32"/>
      <c r="R1123" s="32"/>
      <c r="S1123" s="32"/>
      <c r="T1123" s="32"/>
      <c r="U1123" s="32"/>
      <c r="V1123" s="31"/>
      <c r="W1123" s="35" t="str">
        <f aca="true">IF(OR(V1123="",AG1123&gt;=8),"",IF(V1123&lt;TODAY(),"Vencida",IF(V1123=TODAY(),"Hoy","")))</f>
        <v/>
      </c>
      <c r="X1123" s="36" t="str">
        <f aca="false">IF(A1123="","",IF(COUNTIF(Seguimiento!$B$2:$B$5001,A1123)=0,"",_xlfn.MAXIFS(Seguimiento!$A$2:$A$5001,Seguimiento!$B$2:$B$5001,A1123)))</f>
        <v/>
      </c>
      <c r="Y1123" s="37" t="str">
        <f aca="true">IF(B1123="","",TODAY()-B1123)</f>
        <v/>
      </c>
      <c r="Z1123" s="38" t="str">
        <f aca="false">IF(OR(O1123="",G1123=""),"",O1123*IFERROR(INDEX(Listas!$B$2:$B$50,MATCH(G1123,Listas!$A$2:$A$50,0)),0))</f>
        <v/>
      </c>
      <c r="AA1123" s="32"/>
      <c r="AB1123" s="32"/>
      <c r="AC1123" s="32"/>
      <c r="AD1123" s="35" t="str">
        <f aca="false">IF(OR(LEFT(H1123,4)="Meta",LEFT(H1123,6)="Google"),IF(AG1123=3,"Lead calificado",IF(OR(AG1123=4,AG1123=5),"Tasación/visita",IF(OR(AG1123=6,AG1123=7),"Captación/oferta",IF(AG1123=8,"Cierre","")))),"")</f>
        <v/>
      </c>
      <c r="AE1123" s="32"/>
      <c r="AF1123" s="32"/>
      <c r="AG1123" s="37" t="n">
        <f aca="false">IF(R1123="",0,IFERROR(MATCH(R1123,Listas!$L$2:$L$50,0),0))</f>
        <v>0</v>
      </c>
    </row>
    <row r="1124" customFormat="false" ht="15" hidden="false" customHeight="false" outlineLevel="0" collapsed="false">
      <c r="A1124" s="30"/>
      <c r="B1124" s="31"/>
      <c r="C1124" s="32"/>
      <c r="D1124" s="32"/>
      <c r="E1124" s="33"/>
      <c r="F1124" s="32"/>
      <c r="G1124" s="32"/>
      <c r="H1124" s="32"/>
      <c r="I1124" s="32"/>
      <c r="J1124" s="32"/>
      <c r="K1124" s="32"/>
      <c r="L1124" s="32"/>
      <c r="M1124" s="30"/>
      <c r="N1124" s="32"/>
      <c r="O1124" s="34"/>
      <c r="P1124" s="32"/>
      <c r="Q1124" s="32"/>
      <c r="R1124" s="32"/>
      <c r="S1124" s="32"/>
      <c r="T1124" s="32"/>
      <c r="U1124" s="32"/>
      <c r="V1124" s="31"/>
      <c r="W1124" s="35" t="str">
        <f aca="true">IF(OR(V1124="",AG1124&gt;=8),"",IF(V1124&lt;TODAY(),"Vencida",IF(V1124=TODAY(),"Hoy","")))</f>
        <v/>
      </c>
      <c r="X1124" s="36" t="str">
        <f aca="false">IF(A1124="","",IF(COUNTIF(Seguimiento!$B$2:$B$5001,A1124)=0,"",_xlfn.MAXIFS(Seguimiento!$A$2:$A$5001,Seguimiento!$B$2:$B$5001,A1124)))</f>
        <v/>
      </c>
      <c r="Y1124" s="37" t="str">
        <f aca="true">IF(B1124="","",TODAY()-B1124)</f>
        <v/>
      </c>
      <c r="Z1124" s="38" t="str">
        <f aca="false">IF(OR(O1124="",G1124=""),"",O1124*IFERROR(INDEX(Listas!$B$2:$B$50,MATCH(G1124,Listas!$A$2:$A$50,0)),0))</f>
        <v/>
      </c>
      <c r="AA1124" s="32"/>
      <c r="AB1124" s="32"/>
      <c r="AC1124" s="32"/>
      <c r="AD1124" s="35" t="str">
        <f aca="false">IF(OR(LEFT(H1124,4)="Meta",LEFT(H1124,6)="Google"),IF(AG1124=3,"Lead calificado",IF(OR(AG1124=4,AG1124=5),"Tasación/visita",IF(OR(AG1124=6,AG1124=7),"Captación/oferta",IF(AG1124=8,"Cierre","")))),"")</f>
        <v/>
      </c>
      <c r="AE1124" s="32"/>
      <c r="AF1124" s="32"/>
      <c r="AG1124" s="37" t="n">
        <f aca="false">IF(R1124="",0,IFERROR(MATCH(R1124,Listas!$L$2:$L$50,0),0))</f>
        <v>0</v>
      </c>
    </row>
    <row r="1125" customFormat="false" ht="15" hidden="false" customHeight="false" outlineLevel="0" collapsed="false">
      <c r="A1125" s="30"/>
      <c r="B1125" s="31"/>
      <c r="C1125" s="32"/>
      <c r="D1125" s="32"/>
      <c r="E1125" s="33"/>
      <c r="F1125" s="32"/>
      <c r="G1125" s="32"/>
      <c r="H1125" s="32"/>
      <c r="I1125" s="32"/>
      <c r="J1125" s="32"/>
      <c r="K1125" s="32"/>
      <c r="L1125" s="32"/>
      <c r="M1125" s="30"/>
      <c r="N1125" s="32"/>
      <c r="O1125" s="34"/>
      <c r="P1125" s="32"/>
      <c r="Q1125" s="32"/>
      <c r="R1125" s="32"/>
      <c r="S1125" s="32"/>
      <c r="T1125" s="32"/>
      <c r="U1125" s="32"/>
      <c r="V1125" s="31"/>
      <c r="W1125" s="35" t="str">
        <f aca="true">IF(OR(V1125="",AG1125&gt;=8),"",IF(V1125&lt;TODAY(),"Vencida",IF(V1125=TODAY(),"Hoy","")))</f>
        <v/>
      </c>
      <c r="X1125" s="36" t="str">
        <f aca="false">IF(A1125="","",IF(COUNTIF(Seguimiento!$B$2:$B$5001,A1125)=0,"",_xlfn.MAXIFS(Seguimiento!$A$2:$A$5001,Seguimiento!$B$2:$B$5001,A1125)))</f>
        <v/>
      </c>
      <c r="Y1125" s="37" t="str">
        <f aca="true">IF(B1125="","",TODAY()-B1125)</f>
        <v/>
      </c>
      <c r="Z1125" s="38" t="str">
        <f aca="false">IF(OR(O1125="",G1125=""),"",O1125*IFERROR(INDEX(Listas!$B$2:$B$50,MATCH(G1125,Listas!$A$2:$A$50,0)),0))</f>
        <v/>
      </c>
      <c r="AA1125" s="32"/>
      <c r="AB1125" s="32"/>
      <c r="AC1125" s="32"/>
      <c r="AD1125" s="35" t="str">
        <f aca="false">IF(OR(LEFT(H1125,4)="Meta",LEFT(H1125,6)="Google"),IF(AG1125=3,"Lead calificado",IF(OR(AG1125=4,AG1125=5),"Tasación/visita",IF(OR(AG1125=6,AG1125=7),"Captación/oferta",IF(AG1125=8,"Cierre","")))),"")</f>
        <v/>
      </c>
      <c r="AE1125" s="32"/>
      <c r="AF1125" s="32"/>
      <c r="AG1125" s="37" t="n">
        <f aca="false">IF(R1125="",0,IFERROR(MATCH(R1125,Listas!$L$2:$L$50,0),0))</f>
        <v>0</v>
      </c>
    </row>
    <row r="1126" customFormat="false" ht="15" hidden="false" customHeight="false" outlineLevel="0" collapsed="false">
      <c r="A1126" s="30"/>
      <c r="B1126" s="31"/>
      <c r="C1126" s="32"/>
      <c r="D1126" s="32"/>
      <c r="E1126" s="33"/>
      <c r="F1126" s="32"/>
      <c r="G1126" s="32"/>
      <c r="H1126" s="32"/>
      <c r="I1126" s="32"/>
      <c r="J1126" s="32"/>
      <c r="K1126" s="32"/>
      <c r="L1126" s="32"/>
      <c r="M1126" s="30"/>
      <c r="N1126" s="32"/>
      <c r="O1126" s="34"/>
      <c r="P1126" s="32"/>
      <c r="Q1126" s="32"/>
      <c r="R1126" s="32"/>
      <c r="S1126" s="32"/>
      <c r="T1126" s="32"/>
      <c r="U1126" s="32"/>
      <c r="V1126" s="31"/>
      <c r="W1126" s="35" t="str">
        <f aca="true">IF(OR(V1126="",AG1126&gt;=8),"",IF(V1126&lt;TODAY(),"Vencida",IF(V1126=TODAY(),"Hoy","")))</f>
        <v/>
      </c>
      <c r="X1126" s="36" t="str">
        <f aca="false">IF(A1126="","",IF(COUNTIF(Seguimiento!$B$2:$B$5001,A1126)=0,"",_xlfn.MAXIFS(Seguimiento!$A$2:$A$5001,Seguimiento!$B$2:$B$5001,A1126)))</f>
        <v/>
      </c>
      <c r="Y1126" s="37" t="str">
        <f aca="true">IF(B1126="","",TODAY()-B1126)</f>
        <v/>
      </c>
      <c r="Z1126" s="38" t="str">
        <f aca="false">IF(OR(O1126="",G1126=""),"",O1126*IFERROR(INDEX(Listas!$B$2:$B$50,MATCH(G1126,Listas!$A$2:$A$50,0)),0))</f>
        <v/>
      </c>
      <c r="AA1126" s="32"/>
      <c r="AB1126" s="32"/>
      <c r="AC1126" s="32"/>
      <c r="AD1126" s="35" t="str">
        <f aca="false">IF(OR(LEFT(H1126,4)="Meta",LEFT(H1126,6)="Google"),IF(AG1126=3,"Lead calificado",IF(OR(AG1126=4,AG1126=5),"Tasación/visita",IF(OR(AG1126=6,AG1126=7),"Captación/oferta",IF(AG1126=8,"Cierre","")))),"")</f>
        <v/>
      </c>
      <c r="AE1126" s="32"/>
      <c r="AF1126" s="32"/>
      <c r="AG1126" s="37" t="n">
        <f aca="false">IF(R1126="",0,IFERROR(MATCH(R1126,Listas!$L$2:$L$50,0),0))</f>
        <v>0</v>
      </c>
    </row>
    <row r="1127" customFormat="false" ht="15" hidden="false" customHeight="false" outlineLevel="0" collapsed="false">
      <c r="A1127" s="30"/>
      <c r="B1127" s="31"/>
      <c r="C1127" s="32"/>
      <c r="D1127" s="32"/>
      <c r="E1127" s="33"/>
      <c r="F1127" s="32"/>
      <c r="G1127" s="32"/>
      <c r="H1127" s="32"/>
      <c r="I1127" s="32"/>
      <c r="J1127" s="32"/>
      <c r="K1127" s="32"/>
      <c r="L1127" s="32"/>
      <c r="M1127" s="30"/>
      <c r="N1127" s="32"/>
      <c r="O1127" s="34"/>
      <c r="P1127" s="32"/>
      <c r="Q1127" s="32"/>
      <c r="R1127" s="32"/>
      <c r="S1127" s="32"/>
      <c r="T1127" s="32"/>
      <c r="U1127" s="32"/>
      <c r="V1127" s="31"/>
      <c r="W1127" s="35" t="str">
        <f aca="true">IF(OR(V1127="",AG1127&gt;=8),"",IF(V1127&lt;TODAY(),"Vencida",IF(V1127=TODAY(),"Hoy","")))</f>
        <v/>
      </c>
      <c r="X1127" s="36" t="str">
        <f aca="false">IF(A1127="","",IF(COUNTIF(Seguimiento!$B$2:$B$5001,A1127)=0,"",_xlfn.MAXIFS(Seguimiento!$A$2:$A$5001,Seguimiento!$B$2:$B$5001,A1127)))</f>
        <v/>
      </c>
      <c r="Y1127" s="37" t="str">
        <f aca="true">IF(B1127="","",TODAY()-B1127)</f>
        <v/>
      </c>
      <c r="Z1127" s="38" t="str">
        <f aca="false">IF(OR(O1127="",G1127=""),"",O1127*IFERROR(INDEX(Listas!$B$2:$B$50,MATCH(G1127,Listas!$A$2:$A$50,0)),0))</f>
        <v/>
      </c>
      <c r="AA1127" s="32"/>
      <c r="AB1127" s="32"/>
      <c r="AC1127" s="32"/>
      <c r="AD1127" s="35" t="str">
        <f aca="false">IF(OR(LEFT(H1127,4)="Meta",LEFT(H1127,6)="Google"),IF(AG1127=3,"Lead calificado",IF(OR(AG1127=4,AG1127=5),"Tasación/visita",IF(OR(AG1127=6,AG1127=7),"Captación/oferta",IF(AG1127=8,"Cierre","")))),"")</f>
        <v/>
      </c>
      <c r="AE1127" s="32"/>
      <c r="AF1127" s="32"/>
      <c r="AG1127" s="37" t="n">
        <f aca="false">IF(R1127="",0,IFERROR(MATCH(R1127,Listas!$L$2:$L$50,0),0))</f>
        <v>0</v>
      </c>
    </row>
    <row r="1128" customFormat="false" ht="15" hidden="false" customHeight="false" outlineLevel="0" collapsed="false">
      <c r="A1128" s="30"/>
      <c r="B1128" s="31"/>
      <c r="C1128" s="32"/>
      <c r="D1128" s="32"/>
      <c r="E1128" s="33"/>
      <c r="F1128" s="32"/>
      <c r="G1128" s="32"/>
      <c r="H1128" s="32"/>
      <c r="I1128" s="32"/>
      <c r="J1128" s="32"/>
      <c r="K1128" s="32"/>
      <c r="L1128" s="32"/>
      <c r="M1128" s="30"/>
      <c r="N1128" s="32"/>
      <c r="O1128" s="34"/>
      <c r="P1128" s="32"/>
      <c r="Q1128" s="32"/>
      <c r="R1128" s="32"/>
      <c r="S1128" s="32"/>
      <c r="T1128" s="32"/>
      <c r="U1128" s="32"/>
      <c r="V1128" s="31"/>
      <c r="W1128" s="35" t="str">
        <f aca="true">IF(OR(V1128="",AG1128&gt;=8),"",IF(V1128&lt;TODAY(),"Vencida",IF(V1128=TODAY(),"Hoy","")))</f>
        <v/>
      </c>
      <c r="X1128" s="36" t="str">
        <f aca="false">IF(A1128="","",IF(COUNTIF(Seguimiento!$B$2:$B$5001,A1128)=0,"",_xlfn.MAXIFS(Seguimiento!$A$2:$A$5001,Seguimiento!$B$2:$B$5001,A1128)))</f>
        <v/>
      </c>
      <c r="Y1128" s="37" t="str">
        <f aca="true">IF(B1128="","",TODAY()-B1128)</f>
        <v/>
      </c>
      <c r="Z1128" s="38" t="str">
        <f aca="false">IF(OR(O1128="",G1128=""),"",O1128*IFERROR(INDEX(Listas!$B$2:$B$50,MATCH(G1128,Listas!$A$2:$A$50,0)),0))</f>
        <v/>
      </c>
      <c r="AA1128" s="32"/>
      <c r="AB1128" s="32"/>
      <c r="AC1128" s="32"/>
      <c r="AD1128" s="35" t="str">
        <f aca="false">IF(OR(LEFT(H1128,4)="Meta",LEFT(H1128,6)="Google"),IF(AG1128=3,"Lead calificado",IF(OR(AG1128=4,AG1128=5),"Tasación/visita",IF(OR(AG1128=6,AG1128=7),"Captación/oferta",IF(AG1128=8,"Cierre","")))),"")</f>
        <v/>
      </c>
      <c r="AE1128" s="32"/>
      <c r="AF1128" s="32"/>
      <c r="AG1128" s="37" t="n">
        <f aca="false">IF(R1128="",0,IFERROR(MATCH(R1128,Listas!$L$2:$L$50,0),0))</f>
        <v>0</v>
      </c>
    </row>
    <row r="1129" customFormat="false" ht="15" hidden="false" customHeight="false" outlineLevel="0" collapsed="false">
      <c r="A1129" s="30"/>
      <c r="B1129" s="31"/>
      <c r="C1129" s="32"/>
      <c r="D1129" s="32"/>
      <c r="E1129" s="33"/>
      <c r="F1129" s="32"/>
      <c r="G1129" s="32"/>
      <c r="H1129" s="32"/>
      <c r="I1129" s="32"/>
      <c r="J1129" s="32"/>
      <c r="K1129" s="32"/>
      <c r="L1129" s="32"/>
      <c r="M1129" s="30"/>
      <c r="N1129" s="32"/>
      <c r="O1129" s="34"/>
      <c r="P1129" s="32"/>
      <c r="Q1129" s="32"/>
      <c r="R1129" s="32"/>
      <c r="S1129" s="32"/>
      <c r="T1129" s="32"/>
      <c r="U1129" s="32"/>
      <c r="V1129" s="31"/>
      <c r="W1129" s="35" t="str">
        <f aca="true">IF(OR(V1129="",AG1129&gt;=8),"",IF(V1129&lt;TODAY(),"Vencida",IF(V1129=TODAY(),"Hoy","")))</f>
        <v/>
      </c>
      <c r="X1129" s="36" t="str">
        <f aca="false">IF(A1129="","",IF(COUNTIF(Seguimiento!$B$2:$B$5001,A1129)=0,"",_xlfn.MAXIFS(Seguimiento!$A$2:$A$5001,Seguimiento!$B$2:$B$5001,A1129)))</f>
        <v/>
      </c>
      <c r="Y1129" s="37" t="str">
        <f aca="true">IF(B1129="","",TODAY()-B1129)</f>
        <v/>
      </c>
      <c r="Z1129" s="38" t="str">
        <f aca="false">IF(OR(O1129="",G1129=""),"",O1129*IFERROR(INDEX(Listas!$B$2:$B$50,MATCH(G1129,Listas!$A$2:$A$50,0)),0))</f>
        <v/>
      </c>
      <c r="AA1129" s="32"/>
      <c r="AB1129" s="32"/>
      <c r="AC1129" s="32"/>
      <c r="AD1129" s="35" t="str">
        <f aca="false">IF(OR(LEFT(H1129,4)="Meta",LEFT(H1129,6)="Google"),IF(AG1129=3,"Lead calificado",IF(OR(AG1129=4,AG1129=5),"Tasación/visita",IF(OR(AG1129=6,AG1129=7),"Captación/oferta",IF(AG1129=8,"Cierre","")))),"")</f>
        <v/>
      </c>
      <c r="AE1129" s="32"/>
      <c r="AF1129" s="32"/>
      <c r="AG1129" s="37" t="n">
        <f aca="false">IF(R1129="",0,IFERROR(MATCH(R1129,Listas!$L$2:$L$50,0),0))</f>
        <v>0</v>
      </c>
    </row>
    <row r="1130" customFormat="false" ht="15" hidden="false" customHeight="false" outlineLevel="0" collapsed="false">
      <c r="A1130" s="30"/>
      <c r="B1130" s="31"/>
      <c r="C1130" s="32"/>
      <c r="D1130" s="32"/>
      <c r="E1130" s="33"/>
      <c r="F1130" s="32"/>
      <c r="G1130" s="32"/>
      <c r="H1130" s="32"/>
      <c r="I1130" s="32"/>
      <c r="J1130" s="32"/>
      <c r="K1130" s="32"/>
      <c r="L1130" s="32"/>
      <c r="M1130" s="30"/>
      <c r="N1130" s="32"/>
      <c r="O1130" s="34"/>
      <c r="P1130" s="32"/>
      <c r="Q1130" s="32"/>
      <c r="R1130" s="32"/>
      <c r="S1130" s="32"/>
      <c r="T1130" s="32"/>
      <c r="U1130" s="32"/>
      <c r="V1130" s="31"/>
      <c r="W1130" s="35" t="str">
        <f aca="true">IF(OR(V1130="",AG1130&gt;=8),"",IF(V1130&lt;TODAY(),"Vencida",IF(V1130=TODAY(),"Hoy","")))</f>
        <v/>
      </c>
      <c r="X1130" s="36" t="str">
        <f aca="false">IF(A1130="","",IF(COUNTIF(Seguimiento!$B$2:$B$5001,A1130)=0,"",_xlfn.MAXIFS(Seguimiento!$A$2:$A$5001,Seguimiento!$B$2:$B$5001,A1130)))</f>
        <v/>
      </c>
      <c r="Y1130" s="37" t="str">
        <f aca="true">IF(B1130="","",TODAY()-B1130)</f>
        <v/>
      </c>
      <c r="Z1130" s="38" t="str">
        <f aca="false">IF(OR(O1130="",G1130=""),"",O1130*IFERROR(INDEX(Listas!$B$2:$B$50,MATCH(G1130,Listas!$A$2:$A$50,0)),0))</f>
        <v/>
      </c>
      <c r="AA1130" s="32"/>
      <c r="AB1130" s="32"/>
      <c r="AC1130" s="32"/>
      <c r="AD1130" s="35" t="str">
        <f aca="false">IF(OR(LEFT(H1130,4)="Meta",LEFT(H1130,6)="Google"),IF(AG1130=3,"Lead calificado",IF(OR(AG1130=4,AG1130=5),"Tasación/visita",IF(OR(AG1130=6,AG1130=7),"Captación/oferta",IF(AG1130=8,"Cierre","")))),"")</f>
        <v/>
      </c>
      <c r="AE1130" s="32"/>
      <c r="AF1130" s="32"/>
      <c r="AG1130" s="37" t="n">
        <f aca="false">IF(R1130="",0,IFERROR(MATCH(R1130,Listas!$L$2:$L$50,0),0))</f>
        <v>0</v>
      </c>
    </row>
    <row r="1131" customFormat="false" ht="15" hidden="false" customHeight="false" outlineLevel="0" collapsed="false">
      <c r="A1131" s="30"/>
      <c r="B1131" s="31"/>
      <c r="C1131" s="32"/>
      <c r="D1131" s="32"/>
      <c r="E1131" s="33"/>
      <c r="F1131" s="32"/>
      <c r="G1131" s="32"/>
      <c r="H1131" s="32"/>
      <c r="I1131" s="32"/>
      <c r="J1131" s="32"/>
      <c r="K1131" s="32"/>
      <c r="L1131" s="32"/>
      <c r="M1131" s="30"/>
      <c r="N1131" s="32"/>
      <c r="O1131" s="34"/>
      <c r="P1131" s="32"/>
      <c r="Q1131" s="32"/>
      <c r="R1131" s="32"/>
      <c r="S1131" s="32"/>
      <c r="T1131" s="32"/>
      <c r="U1131" s="32"/>
      <c r="V1131" s="31"/>
      <c r="W1131" s="35" t="str">
        <f aca="true">IF(OR(V1131="",AG1131&gt;=8),"",IF(V1131&lt;TODAY(),"Vencida",IF(V1131=TODAY(),"Hoy","")))</f>
        <v/>
      </c>
      <c r="X1131" s="36" t="str">
        <f aca="false">IF(A1131="","",IF(COUNTIF(Seguimiento!$B$2:$B$5001,A1131)=0,"",_xlfn.MAXIFS(Seguimiento!$A$2:$A$5001,Seguimiento!$B$2:$B$5001,A1131)))</f>
        <v/>
      </c>
      <c r="Y1131" s="37" t="str">
        <f aca="true">IF(B1131="","",TODAY()-B1131)</f>
        <v/>
      </c>
      <c r="Z1131" s="38" t="str">
        <f aca="false">IF(OR(O1131="",G1131=""),"",O1131*IFERROR(INDEX(Listas!$B$2:$B$50,MATCH(G1131,Listas!$A$2:$A$50,0)),0))</f>
        <v/>
      </c>
      <c r="AA1131" s="32"/>
      <c r="AB1131" s="32"/>
      <c r="AC1131" s="32"/>
      <c r="AD1131" s="35" t="str">
        <f aca="false">IF(OR(LEFT(H1131,4)="Meta",LEFT(H1131,6)="Google"),IF(AG1131=3,"Lead calificado",IF(OR(AG1131=4,AG1131=5),"Tasación/visita",IF(OR(AG1131=6,AG1131=7),"Captación/oferta",IF(AG1131=8,"Cierre","")))),"")</f>
        <v/>
      </c>
      <c r="AE1131" s="32"/>
      <c r="AF1131" s="32"/>
      <c r="AG1131" s="37" t="n">
        <f aca="false">IF(R1131="",0,IFERROR(MATCH(R1131,Listas!$L$2:$L$50,0),0))</f>
        <v>0</v>
      </c>
    </row>
    <row r="1132" customFormat="false" ht="15" hidden="false" customHeight="false" outlineLevel="0" collapsed="false">
      <c r="A1132" s="30"/>
      <c r="B1132" s="31"/>
      <c r="C1132" s="32"/>
      <c r="D1132" s="32"/>
      <c r="E1132" s="33"/>
      <c r="F1132" s="32"/>
      <c r="G1132" s="32"/>
      <c r="H1132" s="32"/>
      <c r="I1132" s="32"/>
      <c r="J1132" s="32"/>
      <c r="K1132" s="32"/>
      <c r="L1132" s="32"/>
      <c r="M1132" s="30"/>
      <c r="N1132" s="32"/>
      <c r="O1132" s="34"/>
      <c r="P1132" s="32"/>
      <c r="Q1132" s="32"/>
      <c r="R1132" s="32"/>
      <c r="S1132" s="32"/>
      <c r="T1132" s="32"/>
      <c r="U1132" s="32"/>
      <c r="V1132" s="31"/>
      <c r="W1132" s="35" t="str">
        <f aca="true">IF(OR(V1132="",AG1132&gt;=8),"",IF(V1132&lt;TODAY(),"Vencida",IF(V1132=TODAY(),"Hoy","")))</f>
        <v/>
      </c>
      <c r="X1132" s="36" t="str">
        <f aca="false">IF(A1132="","",IF(COUNTIF(Seguimiento!$B$2:$B$5001,A1132)=0,"",_xlfn.MAXIFS(Seguimiento!$A$2:$A$5001,Seguimiento!$B$2:$B$5001,A1132)))</f>
        <v/>
      </c>
      <c r="Y1132" s="37" t="str">
        <f aca="true">IF(B1132="","",TODAY()-B1132)</f>
        <v/>
      </c>
      <c r="Z1132" s="38" t="str">
        <f aca="false">IF(OR(O1132="",G1132=""),"",O1132*IFERROR(INDEX(Listas!$B$2:$B$50,MATCH(G1132,Listas!$A$2:$A$50,0)),0))</f>
        <v/>
      </c>
      <c r="AA1132" s="32"/>
      <c r="AB1132" s="32"/>
      <c r="AC1132" s="32"/>
      <c r="AD1132" s="35" t="str">
        <f aca="false">IF(OR(LEFT(H1132,4)="Meta",LEFT(H1132,6)="Google"),IF(AG1132=3,"Lead calificado",IF(OR(AG1132=4,AG1132=5),"Tasación/visita",IF(OR(AG1132=6,AG1132=7),"Captación/oferta",IF(AG1132=8,"Cierre","")))),"")</f>
        <v/>
      </c>
      <c r="AE1132" s="32"/>
      <c r="AF1132" s="32"/>
      <c r="AG1132" s="37" t="n">
        <f aca="false">IF(R1132="",0,IFERROR(MATCH(R1132,Listas!$L$2:$L$50,0),0))</f>
        <v>0</v>
      </c>
    </row>
    <row r="1133" customFormat="false" ht="15" hidden="false" customHeight="false" outlineLevel="0" collapsed="false">
      <c r="A1133" s="30"/>
      <c r="B1133" s="31"/>
      <c r="C1133" s="32"/>
      <c r="D1133" s="32"/>
      <c r="E1133" s="33"/>
      <c r="F1133" s="32"/>
      <c r="G1133" s="32"/>
      <c r="H1133" s="32"/>
      <c r="I1133" s="32"/>
      <c r="J1133" s="32"/>
      <c r="K1133" s="32"/>
      <c r="L1133" s="32"/>
      <c r="M1133" s="30"/>
      <c r="N1133" s="32"/>
      <c r="O1133" s="34"/>
      <c r="P1133" s="32"/>
      <c r="Q1133" s="32"/>
      <c r="R1133" s="32"/>
      <c r="S1133" s="32"/>
      <c r="T1133" s="32"/>
      <c r="U1133" s="32"/>
      <c r="V1133" s="31"/>
      <c r="W1133" s="35" t="str">
        <f aca="true">IF(OR(V1133="",AG1133&gt;=8),"",IF(V1133&lt;TODAY(),"Vencida",IF(V1133=TODAY(),"Hoy","")))</f>
        <v/>
      </c>
      <c r="X1133" s="36" t="str">
        <f aca="false">IF(A1133="","",IF(COUNTIF(Seguimiento!$B$2:$B$5001,A1133)=0,"",_xlfn.MAXIFS(Seguimiento!$A$2:$A$5001,Seguimiento!$B$2:$B$5001,A1133)))</f>
        <v/>
      </c>
      <c r="Y1133" s="37" t="str">
        <f aca="true">IF(B1133="","",TODAY()-B1133)</f>
        <v/>
      </c>
      <c r="Z1133" s="38" t="str">
        <f aca="false">IF(OR(O1133="",G1133=""),"",O1133*IFERROR(INDEX(Listas!$B$2:$B$50,MATCH(G1133,Listas!$A$2:$A$50,0)),0))</f>
        <v/>
      </c>
      <c r="AA1133" s="32"/>
      <c r="AB1133" s="32"/>
      <c r="AC1133" s="32"/>
      <c r="AD1133" s="35" t="str">
        <f aca="false">IF(OR(LEFT(H1133,4)="Meta",LEFT(H1133,6)="Google"),IF(AG1133=3,"Lead calificado",IF(OR(AG1133=4,AG1133=5),"Tasación/visita",IF(OR(AG1133=6,AG1133=7),"Captación/oferta",IF(AG1133=8,"Cierre","")))),"")</f>
        <v/>
      </c>
      <c r="AE1133" s="32"/>
      <c r="AF1133" s="32"/>
      <c r="AG1133" s="37" t="n">
        <f aca="false">IF(R1133="",0,IFERROR(MATCH(R1133,Listas!$L$2:$L$50,0),0))</f>
        <v>0</v>
      </c>
    </row>
    <row r="1134" customFormat="false" ht="15" hidden="false" customHeight="false" outlineLevel="0" collapsed="false">
      <c r="A1134" s="30"/>
      <c r="B1134" s="31"/>
      <c r="C1134" s="32"/>
      <c r="D1134" s="32"/>
      <c r="E1134" s="33"/>
      <c r="F1134" s="32"/>
      <c r="G1134" s="32"/>
      <c r="H1134" s="32"/>
      <c r="I1134" s="32"/>
      <c r="J1134" s="32"/>
      <c r="K1134" s="32"/>
      <c r="L1134" s="32"/>
      <c r="M1134" s="30"/>
      <c r="N1134" s="32"/>
      <c r="O1134" s="34"/>
      <c r="P1134" s="32"/>
      <c r="Q1134" s="32"/>
      <c r="R1134" s="32"/>
      <c r="S1134" s="32"/>
      <c r="T1134" s="32"/>
      <c r="U1134" s="32"/>
      <c r="V1134" s="31"/>
      <c r="W1134" s="35" t="str">
        <f aca="true">IF(OR(V1134="",AG1134&gt;=8),"",IF(V1134&lt;TODAY(),"Vencida",IF(V1134=TODAY(),"Hoy","")))</f>
        <v/>
      </c>
      <c r="X1134" s="36" t="str">
        <f aca="false">IF(A1134="","",IF(COUNTIF(Seguimiento!$B$2:$B$5001,A1134)=0,"",_xlfn.MAXIFS(Seguimiento!$A$2:$A$5001,Seguimiento!$B$2:$B$5001,A1134)))</f>
        <v/>
      </c>
      <c r="Y1134" s="37" t="str">
        <f aca="true">IF(B1134="","",TODAY()-B1134)</f>
        <v/>
      </c>
      <c r="Z1134" s="38" t="str">
        <f aca="false">IF(OR(O1134="",G1134=""),"",O1134*IFERROR(INDEX(Listas!$B$2:$B$50,MATCH(G1134,Listas!$A$2:$A$50,0)),0))</f>
        <v/>
      </c>
      <c r="AA1134" s="32"/>
      <c r="AB1134" s="32"/>
      <c r="AC1134" s="32"/>
      <c r="AD1134" s="35" t="str">
        <f aca="false">IF(OR(LEFT(H1134,4)="Meta",LEFT(H1134,6)="Google"),IF(AG1134=3,"Lead calificado",IF(OR(AG1134=4,AG1134=5),"Tasación/visita",IF(OR(AG1134=6,AG1134=7),"Captación/oferta",IF(AG1134=8,"Cierre","")))),"")</f>
        <v/>
      </c>
      <c r="AE1134" s="32"/>
      <c r="AF1134" s="32"/>
      <c r="AG1134" s="37" t="n">
        <f aca="false">IF(R1134="",0,IFERROR(MATCH(R1134,Listas!$L$2:$L$50,0),0))</f>
        <v>0</v>
      </c>
    </row>
    <row r="1135" customFormat="false" ht="15" hidden="false" customHeight="false" outlineLevel="0" collapsed="false">
      <c r="A1135" s="30"/>
      <c r="B1135" s="31"/>
      <c r="C1135" s="32"/>
      <c r="D1135" s="32"/>
      <c r="E1135" s="33"/>
      <c r="F1135" s="32"/>
      <c r="G1135" s="32"/>
      <c r="H1135" s="32"/>
      <c r="I1135" s="32"/>
      <c r="J1135" s="32"/>
      <c r="K1135" s="32"/>
      <c r="L1135" s="32"/>
      <c r="M1135" s="30"/>
      <c r="N1135" s="32"/>
      <c r="O1135" s="34"/>
      <c r="P1135" s="32"/>
      <c r="Q1135" s="32"/>
      <c r="R1135" s="32"/>
      <c r="S1135" s="32"/>
      <c r="T1135" s="32"/>
      <c r="U1135" s="32"/>
      <c r="V1135" s="31"/>
      <c r="W1135" s="35" t="str">
        <f aca="true">IF(OR(V1135="",AG1135&gt;=8),"",IF(V1135&lt;TODAY(),"Vencida",IF(V1135=TODAY(),"Hoy","")))</f>
        <v/>
      </c>
      <c r="X1135" s="36" t="str">
        <f aca="false">IF(A1135="","",IF(COUNTIF(Seguimiento!$B$2:$B$5001,A1135)=0,"",_xlfn.MAXIFS(Seguimiento!$A$2:$A$5001,Seguimiento!$B$2:$B$5001,A1135)))</f>
        <v/>
      </c>
      <c r="Y1135" s="37" t="str">
        <f aca="true">IF(B1135="","",TODAY()-B1135)</f>
        <v/>
      </c>
      <c r="Z1135" s="38" t="str">
        <f aca="false">IF(OR(O1135="",G1135=""),"",O1135*IFERROR(INDEX(Listas!$B$2:$B$50,MATCH(G1135,Listas!$A$2:$A$50,0)),0))</f>
        <v/>
      </c>
      <c r="AA1135" s="32"/>
      <c r="AB1135" s="32"/>
      <c r="AC1135" s="32"/>
      <c r="AD1135" s="35" t="str">
        <f aca="false">IF(OR(LEFT(H1135,4)="Meta",LEFT(H1135,6)="Google"),IF(AG1135=3,"Lead calificado",IF(OR(AG1135=4,AG1135=5),"Tasación/visita",IF(OR(AG1135=6,AG1135=7),"Captación/oferta",IF(AG1135=8,"Cierre","")))),"")</f>
        <v/>
      </c>
      <c r="AE1135" s="32"/>
      <c r="AF1135" s="32"/>
      <c r="AG1135" s="37" t="n">
        <f aca="false">IF(R1135="",0,IFERROR(MATCH(R1135,Listas!$L$2:$L$50,0),0))</f>
        <v>0</v>
      </c>
    </row>
    <row r="1136" customFormat="false" ht="15" hidden="false" customHeight="false" outlineLevel="0" collapsed="false">
      <c r="A1136" s="30"/>
      <c r="B1136" s="31"/>
      <c r="C1136" s="32"/>
      <c r="D1136" s="32"/>
      <c r="E1136" s="33"/>
      <c r="F1136" s="32"/>
      <c r="G1136" s="32"/>
      <c r="H1136" s="32"/>
      <c r="I1136" s="32"/>
      <c r="J1136" s="32"/>
      <c r="K1136" s="32"/>
      <c r="L1136" s="32"/>
      <c r="M1136" s="30"/>
      <c r="N1136" s="32"/>
      <c r="O1136" s="34"/>
      <c r="P1136" s="32"/>
      <c r="Q1136" s="32"/>
      <c r="R1136" s="32"/>
      <c r="S1136" s="32"/>
      <c r="T1136" s="32"/>
      <c r="U1136" s="32"/>
      <c r="V1136" s="31"/>
      <c r="W1136" s="35" t="str">
        <f aca="true">IF(OR(V1136="",AG1136&gt;=8),"",IF(V1136&lt;TODAY(),"Vencida",IF(V1136=TODAY(),"Hoy","")))</f>
        <v/>
      </c>
      <c r="X1136" s="36" t="str">
        <f aca="false">IF(A1136="","",IF(COUNTIF(Seguimiento!$B$2:$B$5001,A1136)=0,"",_xlfn.MAXIFS(Seguimiento!$A$2:$A$5001,Seguimiento!$B$2:$B$5001,A1136)))</f>
        <v/>
      </c>
      <c r="Y1136" s="37" t="str">
        <f aca="true">IF(B1136="","",TODAY()-B1136)</f>
        <v/>
      </c>
      <c r="Z1136" s="38" t="str">
        <f aca="false">IF(OR(O1136="",G1136=""),"",O1136*IFERROR(INDEX(Listas!$B$2:$B$50,MATCH(G1136,Listas!$A$2:$A$50,0)),0))</f>
        <v/>
      </c>
      <c r="AA1136" s="32"/>
      <c r="AB1136" s="32"/>
      <c r="AC1136" s="32"/>
      <c r="AD1136" s="35" t="str">
        <f aca="false">IF(OR(LEFT(H1136,4)="Meta",LEFT(H1136,6)="Google"),IF(AG1136=3,"Lead calificado",IF(OR(AG1136=4,AG1136=5),"Tasación/visita",IF(OR(AG1136=6,AG1136=7),"Captación/oferta",IF(AG1136=8,"Cierre","")))),"")</f>
        <v/>
      </c>
      <c r="AE1136" s="32"/>
      <c r="AF1136" s="32"/>
      <c r="AG1136" s="37" t="n">
        <f aca="false">IF(R1136="",0,IFERROR(MATCH(R1136,Listas!$L$2:$L$50,0),0))</f>
        <v>0</v>
      </c>
    </row>
    <row r="1137" customFormat="false" ht="15" hidden="false" customHeight="false" outlineLevel="0" collapsed="false">
      <c r="A1137" s="30"/>
      <c r="B1137" s="31"/>
      <c r="C1137" s="32"/>
      <c r="D1137" s="32"/>
      <c r="E1137" s="33"/>
      <c r="F1137" s="32"/>
      <c r="G1137" s="32"/>
      <c r="H1137" s="32"/>
      <c r="I1137" s="32"/>
      <c r="J1137" s="32"/>
      <c r="K1137" s="32"/>
      <c r="L1137" s="32"/>
      <c r="M1137" s="30"/>
      <c r="N1137" s="32"/>
      <c r="O1137" s="34"/>
      <c r="P1137" s="32"/>
      <c r="Q1137" s="32"/>
      <c r="R1137" s="32"/>
      <c r="S1137" s="32"/>
      <c r="T1137" s="32"/>
      <c r="U1137" s="32"/>
      <c r="V1137" s="31"/>
      <c r="W1137" s="35" t="str">
        <f aca="true">IF(OR(V1137="",AG1137&gt;=8),"",IF(V1137&lt;TODAY(),"Vencida",IF(V1137=TODAY(),"Hoy","")))</f>
        <v/>
      </c>
      <c r="X1137" s="36" t="str">
        <f aca="false">IF(A1137="","",IF(COUNTIF(Seguimiento!$B$2:$B$5001,A1137)=0,"",_xlfn.MAXIFS(Seguimiento!$A$2:$A$5001,Seguimiento!$B$2:$B$5001,A1137)))</f>
        <v/>
      </c>
      <c r="Y1137" s="37" t="str">
        <f aca="true">IF(B1137="","",TODAY()-B1137)</f>
        <v/>
      </c>
      <c r="Z1137" s="38" t="str">
        <f aca="false">IF(OR(O1137="",G1137=""),"",O1137*IFERROR(INDEX(Listas!$B$2:$B$50,MATCH(G1137,Listas!$A$2:$A$50,0)),0))</f>
        <v/>
      </c>
      <c r="AA1137" s="32"/>
      <c r="AB1137" s="32"/>
      <c r="AC1137" s="32"/>
      <c r="AD1137" s="35" t="str">
        <f aca="false">IF(OR(LEFT(H1137,4)="Meta",LEFT(H1137,6)="Google"),IF(AG1137=3,"Lead calificado",IF(OR(AG1137=4,AG1137=5),"Tasación/visita",IF(OR(AG1137=6,AG1137=7),"Captación/oferta",IF(AG1137=8,"Cierre","")))),"")</f>
        <v/>
      </c>
      <c r="AE1137" s="32"/>
      <c r="AF1137" s="32"/>
      <c r="AG1137" s="37" t="n">
        <f aca="false">IF(R1137="",0,IFERROR(MATCH(R1137,Listas!$L$2:$L$50,0),0))</f>
        <v>0</v>
      </c>
    </row>
    <row r="1138" customFormat="false" ht="15" hidden="false" customHeight="false" outlineLevel="0" collapsed="false">
      <c r="A1138" s="30"/>
      <c r="B1138" s="31"/>
      <c r="C1138" s="32"/>
      <c r="D1138" s="32"/>
      <c r="E1138" s="33"/>
      <c r="F1138" s="32"/>
      <c r="G1138" s="32"/>
      <c r="H1138" s="32"/>
      <c r="I1138" s="32"/>
      <c r="J1138" s="32"/>
      <c r="K1138" s="32"/>
      <c r="L1138" s="32"/>
      <c r="M1138" s="30"/>
      <c r="N1138" s="32"/>
      <c r="O1138" s="34"/>
      <c r="P1138" s="32"/>
      <c r="Q1138" s="32"/>
      <c r="R1138" s="32"/>
      <c r="S1138" s="32"/>
      <c r="T1138" s="32"/>
      <c r="U1138" s="32"/>
      <c r="V1138" s="31"/>
      <c r="W1138" s="35" t="str">
        <f aca="true">IF(OR(V1138="",AG1138&gt;=8),"",IF(V1138&lt;TODAY(),"Vencida",IF(V1138=TODAY(),"Hoy","")))</f>
        <v/>
      </c>
      <c r="X1138" s="36" t="str">
        <f aca="false">IF(A1138="","",IF(COUNTIF(Seguimiento!$B$2:$B$5001,A1138)=0,"",_xlfn.MAXIFS(Seguimiento!$A$2:$A$5001,Seguimiento!$B$2:$B$5001,A1138)))</f>
        <v/>
      </c>
      <c r="Y1138" s="37" t="str">
        <f aca="true">IF(B1138="","",TODAY()-B1138)</f>
        <v/>
      </c>
      <c r="Z1138" s="38" t="str">
        <f aca="false">IF(OR(O1138="",G1138=""),"",O1138*IFERROR(INDEX(Listas!$B$2:$B$50,MATCH(G1138,Listas!$A$2:$A$50,0)),0))</f>
        <v/>
      </c>
      <c r="AA1138" s="32"/>
      <c r="AB1138" s="32"/>
      <c r="AC1138" s="32"/>
      <c r="AD1138" s="35" t="str">
        <f aca="false">IF(OR(LEFT(H1138,4)="Meta",LEFT(H1138,6)="Google"),IF(AG1138=3,"Lead calificado",IF(OR(AG1138=4,AG1138=5),"Tasación/visita",IF(OR(AG1138=6,AG1138=7),"Captación/oferta",IF(AG1138=8,"Cierre","")))),"")</f>
        <v/>
      </c>
      <c r="AE1138" s="32"/>
      <c r="AF1138" s="32"/>
      <c r="AG1138" s="37" t="n">
        <f aca="false">IF(R1138="",0,IFERROR(MATCH(R1138,Listas!$L$2:$L$50,0),0))</f>
        <v>0</v>
      </c>
    </row>
    <row r="1139" customFormat="false" ht="15" hidden="false" customHeight="false" outlineLevel="0" collapsed="false">
      <c r="A1139" s="30"/>
      <c r="B1139" s="31"/>
      <c r="C1139" s="32"/>
      <c r="D1139" s="32"/>
      <c r="E1139" s="33"/>
      <c r="F1139" s="32"/>
      <c r="G1139" s="32"/>
      <c r="H1139" s="32"/>
      <c r="I1139" s="32"/>
      <c r="J1139" s="32"/>
      <c r="K1139" s="32"/>
      <c r="L1139" s="32"/>
      <c r="M1139" s="30"/>
      <c r="N1139" s="32"/>
      <c r="O1139" s="34"/>
      <c r="P1139" s="32"/>
      <c r="Q1139" s="32"/>
      <c r="R1139" s="32"/>
      <c r="S1139" s="32"/>
      <c r="T1139" s="32"/>
      <c r="U1139" s="32"/>
      <c r="V1139" s="31"/>
      <c r="W1139" s="35" t="str">
        <f aca="true">IF(OR(V1139="",AG1139&gt;=8),"",IF(V1139&lt;TODAY(),"Vencida",IF(V1139=TODAY(),"Hoy","")))</f>
        <v/>
      </c>
      <c r="X1139" s="36" t="str">
        <f aca="false">IF(A1139="","",IF(COUNTIF(Seguimiento!$B$2:$B$5001,A1139)=0,"",_xlfn.MAXIFS(Seguimiento!$A$2:$A$5001,Seguimiento!$B$2:$B$5001,A1139)))</f>
        <v/>
      </c>
      <c r="Y1139" s="37" t="str">
        <f aca="true">IF(B1139="","",TODAY()-B1139)</f>
        <v/>
      </c>
      <c r="Z1139" s="38" t="str">
        <f aca="false">IF(OR(O1139="",G1139=""),"",O1139*IFERROR(INDEX(Listas!$B$2:$B$50,MATCH(G1139,Listas!$A$2:$A$50,0)),0))</f>
        <v/>
      </c>
      <c r="AA1139" s="32"/>
      <c r="AB1139" s="32"/>
      <c r="AC1139" s="32"/>
      <c r="AD1139" s="35" t="str">
        <f aca="false">IF(OR(LEFT(H1139,4)="Meta",LEFT(H1139,6)="Google"),IF(AG1139=3,"Lead calificado",IF(OR(AG1139=4,AG1139=5),"Tasación/visita",IF(OR(AG1139=6,AG1139=7),"Captación/oferta",IF(AG1139=8,"Cierre","")))),"")</f>
        <v/>
      </c>
      <c r="AE1139" s="32"/>
      <c r="AF1139" s="32"/>
      <c r="AG1139" s="37" t="n">
        <f aca="false">IF(R1139="",0,IFERROR(MATCH(R1139,Listas!$L$2:$L$50,0),0))</f>
        <v>0</v>
      </c>
    </row>
    <row r="1140" customFormat="false" ht="15" hidden="false" customHeight="false" outlineLevel="0" collapsed="false">
      <c r="A1140" s="30"/>
      <c r="B1140" s="31"/>
      <c r="C1140" s="32"/>
      <c r="D1140" s="32"/>
      <c r="E1140" s="33"/>
      <c r="F1140" s="32"/>
      <c r="G1140" s="32"/>
      <c r="H1140" s="32"/>
      <c r="I1140" s="32"/>
      <c r="J1140" s="32"/>
      <c r="K1140" s="32"/>
      <c r="L1140" s="32"/>
      <c r="M1140" s="30"/>
      <c r="N1140" s="32"/>
      <c r="O1140" s="34"/>
      <c r="P1140" s="32"/>
      <c r="Q1140" s="32"/>
      <c r="R1140" s="32"/>
      <c r="S1140" s="32"/>
      <c r="T1140" s="32"/>
      <c r="U1140" s="32"/>
      <c r="V1140" s="31"/>
      <c r="W1140" s="35" t="str">
        <f aca="true">IF(OR(V1140="",AG1140&gt;=8),"",IF(V1140&lt;TODAY(),"Vencida",IF(V1140=TODAY(),"Hoy","")))</f>
        <v/>
      </c>
      <c r="X1140" s="36" t="str">
        <f aca="false">IF(A1140="","",IF(COUNTIF(Seguimiento!$B$2:$B$5001,A1140)=0,"",_xlfn.MAXIFS(Seguimiento!$A$2:$A$5001,Seguimiento!$B$2:$B$5001,A1140)))</f>
        <v/>
      </c>
      <c r="Y1140" s="37" t="str">
        <f aca="true">IF(B1140="","",TODAY()-B1140)</f>
        <v/>
      </c>
      <c r="Z1140" s="38" t="str">
        <f aca="false">IF(OR(O1140="",G1140=""),"",O1140*IFERROR(INDEX(Listas!$B$2:$B$50,MATCH(G1140,Listas!$A$2:$A$50,0)),0))</f>
        <v/>
      </c>
      <c r="AA1140" s="32"/>
      <c r="AB1140" s="32"/>
      <c r="AC1140" s="32"/>
      <c r="AD1140" s="35" t="str">
        <f aca="false">IF(OR(LEFT(H1140,4)="Meta",LEFT(H1140,6)="Google"),IF(AG1140=3,"Lead calificado",IF(OR(AG1140=4,AG1140=5),"Tasación/visita",IF(OR(AG1140=6,AG1140=7),"Captación/oferta",IF(AG1140=8,"Cierre","")))),"")</f>
        <v/>
      </c>
      <c r="AE1140" s="32"/>
      <c r="AF1140" s="32"/>
      <c r="AG1140" s="37" t="n">
        <f aca="false">IF(R1140="",0,IFERROR(MATCH(R1140,Listas!$L$2:$L$50,0),0))</f>
        <v>0</v>
      </c>
    </row>
    <row r="1141" customFormat="false" ht="15" hidden="false" customHeight="false" outlineLevel="0" collapsed="false">
      <c r="A1141" s="30"/>
      <c r="B1141" s="31"/>
      <c r="C1141" s="32"/>
      <c r="D1141" s="32"/>
      <c r="E1141" s="33"/>
      <c r="F1141" s="32"/>
      <c r="G1141" s="32"/>
      <c r="H1141" s="32"/>
      <c r="I1141" s="32"/>
      <c r="J1141" s="32"/>
      <c r="K1141" s="32"/>
      <c r="L1141" s="32"/>
      <c r="M1141" s="30"/>
      <c r="N1141" s="32"/>
      <c r="O1141" s="34"/>
      <c r="P1141" s="32"/>
      <c r="Q1141" s="32"/>
      <c r="R1141" s="32"/>
      <c r="S1141" s="32"/>
      <c r="T1141" s="32"/>
      <c r="U1141" s="32"/>
      <c r="V1141" s="31"/>
      <c r="W1141" s="35" t="str">
        <f aca="true">IF(OR(V1141="",AG1141&gt;=8),"",IF(V1141&lt;TODAY(),"Vencida",IF(V1141=TODAY(),"Hoy","")))</f>
        <v/>
      </c>
      <c r="X1141" s="36" t="str">
        <f aca="false">IF(A1141="","",IF(COUNTIF(Seguimiento!$B$2:$B$5001,A1141)=0,"",_xlfn.MAXIFS(Seguimiento!$A$2:$A$5001,Seguimiento!$B$2:$B$5001,A1141)))</f>
        <v/>
      </c>
      <c r="Y1141" s="37" t="str">
        <f aca="true">IF(B1141="","",TODAY()-B1141)</f>
        <v/>
      </c>
      <c r="Z1141" s="38" t="str">
        <f aca="false">IF(OR(O1141="",G1141=""),"",O1141*IFERROR(INDEX(Listas!$B$2:$B$50,MATCH(G1141,Listas!$A$2:$A$50,0)),0))</f>
        <v/>
      </c>
      <c r="AA1141" s="32"/>
      <c r="AB1141" s="32"/>
      <c r="AC1141" s="32"/>
      <c r="AD1141" s="35" t="str">
        <f aca="false">IF(OR(LEFT(H1141,4)="Meta",LEFT(H1141,6)="Google"),IF(AG1141=3,"Lead calificado",IF(OR(AG1141=4,AG1141=5),"Tasación/visita",IF(OR(AG1141=6,AG1141=7),"Captación/oferta",IF(AG1141=8,"Cierre","")))),"")</f>
        <v/>
      </c>
      <c r="AE1141" s="32"/>
      <c r="AF1141" s="32"/>
      <c r="AG1141" s="37" t="n">
        <f aca="false">IF(R1141="",0,IFERROR(MATCH(R1141,Listas!$L$2:$L$50,0),0))</f>
        <v>0</v>
      </c>
    </row>
    <row r="1142" customFormat="false" ht="15" hidden="false" customHeight="false" outlineLevel="0" collapsed="false">
      <c r="A1142" s="30"/>
      <c r="B1142" s="31"/>
      <c r="C1142" s="32"/>
      <c r="D1142" s="32"/>
      <c r="E1142" s="33"/>
      <c r="F1142" s="32"/>
      <c r="G1142" s="32"/>
      <c r="H1142" s="32"/>
      <c r="I1142" s="32"/>
      <c r="J1142" s="32"/>
      <c r="K1142" s="32"/>
      <c r="L1142" s="32"/>
      <c r="M1142" s="30"/>
      <c r="N1142" s="32"/>
      <c r="O1142" s="34"/>
      <c r="P1142" s="32"/>
      <c r="Q1142" s="32"/>
      <c r="R1142" s="32"/>
      <c r="S1142" s="32"/>
      <c r="T1142" s="32"/>
      <c r="U1142" s="32"/>
      <c r="V1142" s="31"/>
      <c r="W1142" s="35" t="str">
        <f aca="true">IF(OR(V1142="",AG1142&gt;=8),"",IF(V1142&lt;TODAY(),"Vencida",IF(V1142=TODAY(),"Hoy","")))</f>
        <v/>
      </c>
      <c r="X1142" s="36" t="str">
        <f aca="false">IF(A1142="","",IF(COUNTIF(Seguimiento!$B$2:$B$5001,A1142)=0,"",_xlfn.MAXIFS(Seguimiento!$A$2:$A$5001,Seguimiento!$B$2:$B$5001,A1142)))</f>
        <v/>
      </c>
      <c r="Y1142" s="37" t="str">
        <f aca="true">IF(B1142="","",TODAY()-B1142)</f>
        <v/>
      </c>
      <c r="Z1142" s="38" t="str">
        <f aca="false">IF(OR(O1142="",G1142=""),"",O1142*IFERROR(INDEX(Listas!$B$2:$B$50,MATCH(G1142,Listas!$A$2:$A$50,0)),0))</f>
        <v/>
      </c>
      <c r="AA1142" s="32"/>
      <c r="AB1142" s="32"/>
      <c r="AC1142" s="32"/>
      <c r="AD1142" s="35" t="str">
        <f aca="false">IF(OR(LEFT(H1142,4)="Meta",LEFT(H1142,6)="Google"),IF(AG1142=3,"Lead calificado",IF(OR(AG1142=4,AG1142=5),"Tasación/visita",IF(OR(AG1142=6,AG1142=7),"Captación/oferta",IF(AG1142=8,"Cierre","")))),"")</f>
        <v/>
      </c>
      <c r="AE1142" s="32"/>
      <c r="AF1142" s="32"/>
      <c r="AG1142" s="37" t="n">
        <f aca="false">IF(R1142="",0,IFERROR(MATCH(R1142,Listas!$L$2:$L$50,0),0))</f>
        <v>0</v>
      </c>
    </row>
    <row r="1143" customFormat="false" ht="15" hidden="false" customHeight="false" outlineLevel="0" collapsed="false">
      <c r="A1143" s="30"/>
      <c r="B1143" s="31"/>
      <c r="C1143" s="32"/>
      <c r="D1143" s="32"/>
      <c r="E1143" s="33"/>
      <c r="F1143" s="32"/>
      <c r="G1143" s="32"/>
      <c r="H1143" s="32"/>
      <c r="I1143" s="32"/>
      <c r="J1143" s="32"/>
      <c r="K1143" s="32"/>
      <c r="L1143" s="32"/>
      <c r="M1143" s="30"/>
      <c r="N1143" s="32"/>
      <c r="O1143" s="34"/>
      <c r="P1143" s="32"/>
      <c r="Q1143" s="32"/>
      <c r="R1143" s="32"/>
      <c r="S1143" s="32"/>
      <c r="T1143" s="32"/>
      <c r="U1143" s="32"/>
      <c r="V1143" s="31"/>
      <c r="W1143" s="35" t="str">
        <f aca="true">IF(OR(V1143="",AG1143&gt;=8),"",IF(V1143&lt;TODAY(),"Vencida",IF(V1143=TODAY(),"Hoy","")))</f>
        <v/>
      </c>
      <c r="X1143" s="36" t="str">
        <f aca="false">IF(A1143="","",IF(COUNTIF(Seguimiento!$B$2:$B$5001,A1143)=0,"",_xlfn.MAXIFS(Seguimiento!$A$2:$A$5001,Seguimiento!$B$2:$B$5001,A1143)))</f>
        <v/>
      </c>
      <c r="Y1143" s="37" t="str">
        <f aca="true">IF(B1143="","",TODAY()-B1143)</f>
        <v/>
      </c>
      <c r="Z1143" s="38" t="str">
        <f aca="false">IF(OR(O1143="",G1143=""),"",O1143*IFERROR(INDEX(Listas!$B$2:$B$50,MATCH(G1143,Listas!$A$2:$A$50,0)),0))</f>
        <v/>
      </c>
      <c r="AA1143" s="32"/>
      <c r="AB1143" s="32"/>
      <c r="AC1143" s="32"/>
      <c r="AD1143" s="35" t="str">
        <f aca="false">IF(OR(LEFT(H1143,4)="Meta",LEFT(H1143,6)="Google"),IF(AG1143=3,"Lead calificado",IF(OR(AG1143=4,AG1143=5),"Tasación/visita",IF(OR(AG1143=6,AG1143=7),"Captación/oferta",IF(AG1143=8,"Cierre","")))),"")</f>
        <v/>
      </c>
      <c r="AE1143" s="32"/>
      <c r="AF1143" s="32"/>
      <c r="AG1143" s="37" t="n">
        <f aca="false">IF(R1143="",0,IFERROR(MATCH(R1143,Listas!$L$2:$L$50,0),0))</f>
        <v>0</v>
      </c>
    </row>
    <row r="1144" customFormat="false" ht="15" hidden="false" customHeight="false" outlineLevel="0" collapsed="false">
      <c r="A1144" s="30"/>
      <c r="B1144" s="31"/>
      <c r="C1144" s="32"/>
      <c r="D1144" s="32"/>
      <c r="E1144" s="33"/>
      <c r="F1144" s="32"/>
      <c r="G1144" s="32"/>
      <c r="H1144" s="32"/>
      <c r="I1144" s="32"/>
      <c r="J1144" s="32"/>
      <c r="K1144" s="32"/>
      <c r="L1144" s="32"/>
      <c r="M1144" s="30"/>
      <c r="N1144" s="32"/>
      <c r="O1144" s="34"/>
      <c r="P1144" s="32"/>
      <c r="Q1144" s="32"/>
      <c r="R1144" s="32"/>
      <c r="S1144" s="32"/>
      <c r="T1144" s="32"/>
      <c r="U1144" s="32"/>
      <c r="V1144" s="31"/>
      <c r="W1144" s="35" t="str">
        <f aca="true">IF(OR(V1144="",AG1144&gt;=8),"",IF(V1144&lt;TODAY(),"Vencida",IF(V1144=TODAY(),"Hoy","")))</f>
        <v/>
      </c>
      <c r="X1144" s="36" t="str">
        <f aca="false">IF(A1144="","",IF(COUNTIF(Seguimiento!$B$2:$B$5001,A1144)=0,"",_xlfn.MAXIFS(Seguimiento!$A$2:$A$5001,Seguimiento!$B$2:$B$5001,A1144)))</f>
        <v/>
      </c>
      <c r="Y1144" s="37" t="str">
        <f aca="true">IF(B1144="","",TODAY()-B1144)</f>
        <v/>
      </c>
      <c r="Z1144" s="38" t="str">
        <f aca="false">IF(OR(O1144="",G1144=""),"",O1144*IFERROR(INDEX(Listas!$B$2:$B$50,MATCH(G1144,Listas!$A$2:$A$50,0)),0))</f>
        <v/>
      </c>
      <c r="AA1144" s="32"/>
      <c r="AB1144" s="32"/>
      <c r="AC1144" s="32"/>
      <c r="AD1144" s="35" t="str">
        <f aca="false">IF(OR(LEFT(H1144,4)="Meta",LEFT(H1144,6)="Google"),IF(AG1144=3,"Lead calificado",IF(OR(AG1144=4,AG1144=5),"Tasación/visita",IF(OR(AG1144=6,AG1144=7),"Captación/oferta",IF(AG1144=8,"Cierre","")))),"")</f>
        <v/>
      </c>
      <c r="AE1144" s="32"/>
      <c r="AF1144" s="32"/>
      <c r="AG1144" s="37" t="n">
        <f aca="false">IF(R1144="",0,IFERROR(MATCH(R1144,Listas!$L$2:$L$50,0),0))</f>
        <v>0</v>
      </c>
    </row>
    <row r="1145" customFormat="false" ht="15" hidden="false" customHeight="false" outlineLevel="0" collapsed="false">
      <c r="A1145" s="30"/>
      <c r="B1145" s="31"/>
      <c r="C1145" s="32"/>
      <c r="D1145" s="32"/>
      <c r="E1145" s="33"/>
      <c r="F1145" s="32"/>
      <c r="G1145" s="32"/>
      <c r="H1145" s="32"/>
      <c r="I1145" s="32"/>
      <c r="J1145" s="32"/>
      <c r="K1145" s="32"/>
      <c r="L1145" s="32"/>
      <c r="M1145" s="30"/>
      <c r="N1145" s="32"/>
      <c r="O1145" s="34"/>
      <c r="P1145" s="32"/>
      <c r="Q1145" s="32"/>
      <c r="R1145" s="32"/>
      <c r="S1145" s="32"/>
      <c r="T1145" s="32"/>
      <c r="U1145" s="32"/>
      <c r="V1145" s="31"/>
      <c r="W1145" s="35" t="str">
        <f aca="true">IF(OR(V1145="",AG1145&gt;=8),"",IF(V1145&lt;TODAY(),"Vencida",IF(V1145=TODAY(),"Hoy","")))</f>
        <v/>
      </c>
      <c r="X1145" s="36" t="str">
        <f aca="false">IF(A1145="","",IF(COUNTIF(Seguimiento!$B$2:$B$5001,A1145)=0,"",_xlfn.MAXIFS(Seguimiento!$A$2:$A$5001,Seguimiento!$B$2:$B$5001,A1145)))</f>
        <v/>
      </c>
      <c r="Y1145" s="37" t="str">
        <f aca="true">IF(B1145="","",TODAY()-B1145)</f>
        <v/>
      </c>
      <c r="Z1145" s="38" t="str">
        <f aca="false">IF(OR(O1145="",G1145=""),"",O1145*IFERROR(INDEX(Listas!$B$2:$B$50,MATCH(G1145,Listas!$A$2:$A$50,0)),0))</f>
        <v/>
      </c>
      <c r="AA1145" s="32"/>
      <c r="AB1145" s="32"/>
      <c r="AC1145" s="32"/>
      <c r="AD1145" s="35" t="str">
        <f aca="false">IF(OR(LEFT(H1145,4)="Meta",LEFT(H1145,6)="Google"),IF(AG1145=3,"Lead calificado",IF(OR(AG1145=4,AG1145=5),"Tasación/visita",IF(OR(AG1145=6,AG1145=7),"Captación/oferta",IF(AG1145=8,"Cierre","")))),"")</f>
        <v/>
      </c>
      <c r="AE1145" s="32"/>
      <c r="AF1145" s="32"/>
      <c r="AG1145" s="37" t="n">
        <f aca="false">IF(R1145="",0,IFERROR(MATCH(R1145,Listas!$L$2:$L$50,0),0))</f>
        <v>0</v>
      </c>
    </row>
    <row r="1146" customFormat="false" ht="15" hidden="false" customHeight="false" outlineLevel="0" collapsed="false">
      <c r="A1146" s="30"/>
      <c r="B1146" s="31"/>
      <c r="C1146" s="32"/>
      <c r="D1146" s="32"/>
      <c r="E1146" s="33"/>
      <c r="F1146" s="32"/>
      <c r="G1146" s="32"/>
      <c r="H1146" s="32"/>
      <c r="I1146" s="32"/>
      <c r="J1146" s="32"/>
      <c r="K1146" s="32"/>
      <c r="L1146" s="32"/>
      <c r="M1146" s="30"/>
      <c r="N1146" s="32"/>
      <c r="O1146" s="34"/>
      <c r="P1146" s="32"/>
      <c r="Q1146" s="32"/>
      <c r="R1146" s="32"/>
      <c r="S1146" s="32"/>
      <c r="T1146" s="32"/>
      <c r="U1146" s="32"/>
      <c r="V1146" s="31"/>
      <c r="W1146" s="35" t="str">
        <f aca="true">IF(OR(V1146="",AG1146&gt;=8),"",IF(V1146&lt;TODAY(),"Vencida",IF(V1146=TODAY(),"Hoy","")))</f>
        <v/>
      </c>
      <c r="X1146" s="36" t="str">
        <f aca="false">IF(A1146="","",IF(COUNTIF(Seguimiento!$B$2:$B$5001,A1146)=0,"",_xlfn.MAXIFS(Seguimiento!$A$2:$A$5001,Seguimiento!$B$2:$B$5001,A1146)))</f>
        <v/>
      </c>
      <c r="Y1146" s="37" t="str">
        <f aca="true">IF(B1146="","",TODAY()-B1146)</f>
        <v/>
      </c>
      <c r="Z1146" s="38" t="str">
        <f aca="false">IF(OR(O1146="",G1146=""),"",O1146*IFERROR(INDEX(Listas!$B$2:$B$50,MATCH(G1146,Listas!$A$2:$A$50,0)),0))</f>
        <v/>
      </c>
      <c r="AA1146" s="32"/>
      <c r="AB1146" s="32"/>
      <c r="AC1146" s="32"/>
      <c r="AD1146" s="35" t="str">
        <f aca="false">IF(OR(LEFT(H1146,4)="Meta",LEFT(H1146,6)="Google"),IF(AG1146=3,"Lead calificado",IF(OR(AG1146=4,AG1146=5),"Tasación/visita",IF(OR(AG1146=6,AG1146=7),"Captación/oferta",IF(AG1146=8,"Cierre","")))),"")</f>
        <v/>
      </c>
      <c r="AE1146" s="32"/>
      <c r="AF1146" s="32"/>
      <c r="AG1146" s="37" t="n">
        <f aca="false">IF(R1146="",0,IFERROR(MATCH(R1146,Listas!$L$2:$L$50,0),0))</f>
        <v>0</v>
      </c>
    </row>
    <row r="1147" customFormat="false" ht="15" hidden="false" customHeight="false" outlineLevel="0" collapsed="false">
      <c r="A1147" s="30"/>
      <c r="B1147" s="31"/>
      <c r="C1147" s="32"/>
      <c r="D1147" s="32"/>
      <c r="E1147" s="33"/>
      <c r="F1147" s="32"/>
      <c r="G1147" s="32"/>
      <c r="H1147" s="32"/>
      <c r="I1147" s="32"/>
      <c r="J1147" s="32"/>
      <c r="K1147" s="32"/>
      <c r="L1147" s="32"/>
      <c r="M1147" s="30"/>
      <c r="N1147" s="32"/>
      <c r="O1147" s="34"/>
      <c r="P1147" s="32"/>
      <c r="Q1147" s="32"/>
      <c r="R1147" s="32"/>
      <c r="S1147" s="32"/>
      <c r="T1147" s="32"/>
      <c r="U1147" s="32"/>
      <c r="V1147" s="31"/>
      <c r="W1147" s="35" t="str">
        <f aca="true">IF(OR(V1147="",AG1147&gt;=8),"",IF(V1147&lt;TODAY(),"Vencida",IF(V1147=TODAY(),"Hoy","")))</f>
        <v/>
      </c>
      <c r="X1147" s="36" t="str">
        <f aca="false">IF(A1147="","",IF(COUNTIF(Seguimiento!$B$2:$B$5001,A1147)=0,"",_xlfn.MAXIFS(Seguimiento!$A$2:$A$5001,Seguimiento!$B$2:$B$5001,A1147)))</f>
        <v/>
      </c>
      <c r="Y1147" s="37" t="str">
        <f aca="true">IF(B1147="","",TODAY()-B1147)</f>
        <v/>
      </c>
      <c r="Z1147" s="38" t="str">
        <f aca="false">IF(OR(O1147="",G1147=""),"",O1147*IFERROR(INDEX(Listas!$B$2:$B$50,MATCH(G1147,Listas!$A$2:$A$50,0)),0))</f>
        <v/>
      </c>
      <c r="AA1147" s="32"/>
      <c r="AB1147" s="32"/>
      <c r="AC1147" s="32"/>
      <c r="AD1147" s="35" t="str">
        <f aca="false">IF(OR(LEFT(H1147,4)="Meta",LEFT(H1147,6)="Google"),IF(AG1147=3,"Lead calificado",IF(OR(AG1147=4,AG1147=5),"Tasación/visita",IF(OR(AG1147=6,AG1147=7),"Captación/oferta",IF(AG1147=8,"Cierre","")))),"")</f>
        <v/>
      </c>
      <c r="AE1147" s="32"/>
      <c r="AF1147" s="32"/>
      <c r="AG1147" s="37" t="n">
        <f aca="false">IF(R1147="",0,IFERROR(MATCH(R1147,Listas!$L$2:$L$50,0),0))</f>
        <v>0</v>
      </c>
    </row>
    <row r="1148" customFormat="false" ht="15" hidden="false" customHeight="false" outlineLevel="0" collapsed="false">
      <c r="A1148" s="30"/>
      <c r="B1148" s="31"/>
      <c r="C1148" s="32"/>
      <c r="D1148" s="32"/>
      <c r="E1148" s="33"/>
      <c r="F1148" s="32"/>
      <c r="G1148" s="32"/>
      <c r="H1148" s="32"/>
      <c r="I1148" s="32"/>
      <c r="J1148" s="32"/>
      <c r="K1148" s="32"/>
      <c r="L1148" s="32"/>
      <c r="M1148" s="30"/>
      <c r="N1148" s="32"/>
      <c r="O1148" s="34"/>
      <c r="P1148" s="32"/>
      <c r="Q1148" s="32"/>
      <c r="R1148" s="32"/>
      <c r="S1148" s="32"/>
      <c r="T1148" s="32"/>
      <c r="U1148" s="32"/>
      <c r="V1148" s="31"/>
      <c r="W1148" s="35" t="str">
        <f aca="true">IF(OR(V1148="",AG1148&gt;=8),"",IF(V1148&lt;TODAY(),"Vencida",IF(V1148=TODAY(),"Hoy","")))</f>
        <v/>
      </c>
      <c r="X1148" s="36" t="str">
        <f aca="false">IF(A1148="","",IF(COUNTIF(Seguimiento!$B$2:$B$5001,A1148)=0,"",_xlfn.MAXIFS(Seguimiento!$A$2:$A$5001,Seguimiento!$B$2:$B$5001,A1148)))</f>
        <v/>
      </c>
      <c r="Y1148" s="37" t="str">
        <f aca="true">IF(B1148="","",TODAY()-B1148)</f>
        <v/>
      </c>
      <c r="Z1148" s="38" t="str">
        <f aca="false">IF(OR(O1148="",G1148=""),"",O1148*IFERROR(INDEX(Listas!$B$2:$B$50,MATCH(G1148,Listas!$A$2:$A$50,0)),0))</f>
        <v/>
      </c>
      <c r="AA1148" s="32"/>
      <c r="AB1148" s="32"/>
      <c r="AC1148" s="32"/>
      <c r="AD1148" s="35" t="str">
        <f aca="false">IF(OR(LEFT(H1148,4)="Meta",LEFT(H1148,6)="Google"),IF(AG1148=3,"Lead calificado",IF(OR(AG1148=4,AG1148=5),"Tasación/visita",IF(OR(AG1148=6,AG1148=7),"Captación/oferta",IF(AG1148=8,"Cierre","")))),"")</f>
        <v/>
      </c>
      <c r="AE1148" s="32"/>
      <c r="AF1148" s="32"/>
      <c r="AG1148" s="37" t="n">
        <f aca="false">IF(R1148="",0,IFERROR(MATCH(R1148,Listas!$L$2:$L$50,0),0))</f>
        <v>0</v>
      </c>
    </row>
    <row r="1149" customFormat="false" ht="15" hidden="false" customHeight="false" outlineLevel="0" collapsed="false">
      <c r="A1149" s="30"/>
      <c r="B1149" s="31"/>
      <c r="C1149" s="32"/>
      <c r="D1149" s="32"/>
      <c r="E1149" s="33"/>
      <c r="F1149" s="32"/>
      <c r="G1149" s="32"/>
      <c r="H1149" s="32"/>
      <c r="I1149" s="32"/>
      <c r="J1149" s="32"/>
      <c r="K1149" s="32"/>
      <c r="L1149" s="32"/>
      <c r="M1149" s="30"/>
      <c r="N1149" s="32"/>
      <c r="O1149" s="34"/>
      <c r="P1149" s="32"/>
      <c r="Q1149" s="32"/>
      <c r="R1149" s="32"/>
      <c r="S1149" s="32"/>
      <c r="T1149" s="32"/>
      <c r="U1149" s="32"/>
      <c r="V1149" s="31"/>
      <c r="W1149" s="35" t="str">
        <f aca="true">IF(OR(V1149="",AG1149&gt;=8),"",IF(V1149&lt;TODAY(),"Vencida",IF(V1149=TODAY(),"Hoy","")))</f>
        <v/>
      </c>
      <c r="X1149" s="36" t="str">
        <f aca="false">IF(A1149="","",IF(COUNTIF(Seguimiento!$B$2:$B$5001,A1149)=0,"",_xlfn.MAXIFS(Seguimiento!$A$2:$A$5001,Seguimiento!$B$2:$B$5001,A1149)))</f>
        <v/>
      </c>
      <c r="Y1149" s="37" t="str">
        <f aca="true">IF(B1149="","",TODAY()-B1149)</f>
        <v/>
      </c>
      <c r="Z1149" s="38" t="str">
        <f aca="false">IF(OR(O1149="",G1149=""),"",O1149*IFERROR(INDEX(Listas!$B$2:$B$50,MATCH(G1149,Listas!$A$2:$A$50,0)),0))</f>
        <v/>
      </c>
      <c r="AA1149" s="32"/>
      <c r="AB1149" s="32"/>
      <c r="AC1149" s="32"/>
      <c r="AD1149" s="35" t="str">
        <f aca="false">IF(OR(LEFT(H1149,4)="Meta",LEFT(H1149,6)="Google"),IF(AG1149=3,"Lead calificado",IF(OR(AG1149=4,AG1149=5),"Tasación/visita",IF(OR(AG1149=6,AG1149=7),"Captación/oferta",IF(AG1149=8,"Cierre","")))),"")</f>
        <v/>
      </c>
      <c r="AE1149" s="32"/>
      <c r="AF1149" s="32"/>
      <c r="AG1149" s="37" t="n">
        <f aca="false">IF(R1149="",0,IFERROR(MATCH(R1149,Listas!$L$2:$L$50,0),0))</f>
        <v>0</v>
      </c>
    </row>
    <row r="1150" customFormat="false" ht="15" hidden="false" customHeight="false" outlineLevel="0" collapsed="false">
      <c r="A1150" s="30"/>
      <c r="B1150" s="31"/>
      <c r="C1150" s="32"/>
      <c r="D1150" s="32"/>
      <c r="E1150" s="33"/>
      <c r="F1150" s="32"/>
      <c r="G1150" s="32"/>
      <c r="H1150" s="32"/>
      <c r="I1150" s="32"/>
      <c r="J1150" s="32"/>
      <c r="K1150" s="32"/>
      <c r="L1150" s="32"/>
      <c r="M1150" s="30"/>
      <c r="N1150" s="32"/>
      <c r="O1150" s="34"/>
      <c r="P1150" s="32"/>
      <c r="Q1150" s="32"/>
      <c r="R1150" s="32"/>
      <c r="S1150" s="32"/>
      <c r="T1150" s="32"/>
      <c r="U1150" s="32"/>
      <c r="V1150" s="31"/>
      <c r="W1150" s="35" t="str">
        <f aca="true">IF(OR(V1150="",AG1150&gt;=8),"",IF(V1150&lt;TODAY(),"Vencida",IF(V1150=TODAY(),"Hoy","")))</f>
        <v/>
      </c>
      <c r="X1150" s="36" t="str">
        <f aca="false">IF(A1150="","",IF(COUNTIF(Seguimiento!$B$2:$B$5001,A1150)=0,"",_xlfn.MAXIFS(Seguimiento!$A$2:$A$5001,Seguimiento!$B$2:$B$5001,A1150)))</f>
        <v/>
      </c>
      <c r="Y1150" s="37" t="str">
        <f aca="true">IF(B1150="","",TODAY()-B1150)</f>
        <v/>
      </c>
      <c r="Z1150" s="38" t="str">
        <f aca="false">IF(OR(O1150="",G1150=""),"",O1150*IFERROR(INDEX(Listas!$B$2:$B$50,MATCH(G1150,Listas!$A$2:$A$50,0)),0))</f>
        <v/>
      </c>
      <c r="AA1150" s="32"/>
      <c r="AB1150" s="32"/>
      <c r="AC1150" s="32"/>
      <c r="AD1150" s="35" t="str">
        <f aca="false">IF(OR(LEFT(H1150,4)="Meta",LEFT(H1150,6)="Google"),IF(AG1150=3,"Lead calificado",IF(OR(AG1150=4,AG1150=5),"Tasación/visita",IF(OR(AG1150=6,AG1150=7),"Captación/oferta",IF(AG1150=8,"Cierre","")))),"")</f>
        <v/>
      </c>
      <c r="AE1150" s="32"/>
      <c r="AF1150" s="32"/>
      <c r="AG1150" s="37" t="n">
        <f aca="false">IF(R1150="",0,IFERROR(MATCH(R1150,Listas!$L$2:$L$50,0),0))</f>
        <v>0</v>
      </c>
    </row>
    <row r="1151" customFormat="false" ht="15" hidden="false" customHeight="false" outlineLevel="0" collapsed="false">
      <c r="A1151" s="30"/>
      <c r="B1151" s="31"/>
      <c r="C1151" s="32"/>
      <c r="D1151" s="32"/>
      <c r="E1151" s="33"/>
      <c r="F1151" s="32"/>
      <c r="G1151" s="32"/>
      <c r="H1151" s="32"/>
      <c r="I1151" s="32"/>
      <c r="J1151" s="32"/>
      <c r="K1151" s="32"/>
      <c r="L1151" s="32"/>
      <c r="M1151" s="30"/>
      <c r="N1151" s="32"/>
      <c r="O1151" s="34"/>
      <c r="P1151" s="32"/>
      <c r="Q1151" s="32"/>
      <c r="R1151" s="32"/>
      <c r="S1151" s="32"/>
      <c r="T1151" s="32"/>
      <c r="U1151" s="32"/>
      <c r="V1151" s="31"/>
      <c r="W1151" s="35" t="str">
        <f aca="true">IF(OR(V1151="",AG1151&gt;=8),"",IF(V1151&lt;TODAY(),"Vencida",IF(V1151=TODAY(),"Hoy","")))</f>
        <v/>
      </c>
      <c r="X1151" s="36" t="str">
        <f aca="false">IF(A1151="","",IF(COUNTIF(Seguimiento!$B$2:$B$5001,A1151)=0,"",_xlfn.MAXIFS(Seguimiento!$A$2:$A$5001,Seguimiento!$B$2:$B$5001,A1151)))</f>
        <v/>
      </c>
      <c r="Y1151" s="37" t="str">
        <f aca="true">IF(B1151="","",TODAY()-B1151)</f>
        <v/>
      </c>
      <c r="Z1151" s="38" t="str">
        <f aca="false">IF(OR(O1151="",G1151=""),"",O1151*IFERROR(INDEX(Listas!$B$2:$B$50,MATCH(G1151,Listas!$A$2:$A$50,0)),0))</f>
        <v/>
      </c>
      <c r="AA1151" s="32"/>
      <c r="AB1151" s="32"/>
      <c r="AC1151" s="32"/>
      <c r="AD1151" s="35" t="str">
        <f aca="false">IF(OR(LEFT(H1151,4)="Meta",LEFT(H1151,6)="Google"),IF(AG1151=3,"Lead calificado",IF(OR(AG1151=4,AG1151=5),"Tasación/visita",IF(OR(AG1151=6,AG1151=7),"Captación/oferta",IF(AG1151=8,"Cierre","")))),"")</f>
        <v/>
      </c>
      <c r="AE1151" s="32"/>
      <c r="AF1151" s="32"/>
      <c r="AG1151" s="37" t="n">
        <f aca="false">IF(R1151="",0,IFERROR(MATCH(R1151,Listas!$L$2:$L$50,0),0))</f>
        <v>0</v>
      </c>
    </row>
    <row r="1152" customFormat="false" ht="15" hidden="false" customHeight="false" outlineLevel="0" collapsed="false">
      <c r="A1152" s="30"/>
      <c r="B1152" s="31"/>
      <c r="C1152" s="32"/>
      <c r="D1152" s="32"/>
      <c r="E1152" s="33"/>
      <c r="F1152" s="32"/>
      <c r="G1152" s="32"/>
      <c r="H1152" s="32"/>
      <c r="I1152" s="32"/>
      <c r="J1152" s="32"/>
      <c r="K1152" s="32"/>
      <c r="L1152" s="32"/>
      <c r="M1152" s="30"/>
      <c r="N1152" s="32"/>
      <c r="O1152" s="34"/>
      <c r="P1152" s="32"/>
      <c r="Q1152" s="32"/>
      <c r="R1152" s="32"/>
      <c r="S1152" s="32"/>
      <c r="T1152" s="32"/>
      <c r="U1152" s="32"/>
      <c r="V1152" s="31"/>
      <c r="W1152" s="35" t="str">
        <f aca="true">IF(OR(V1152="",AG1152&gt;=8),"",IF(V1152&lt;TODAY(),"Vencida",IF(V1152=TODAY(),"Hoy","")))</f>
        <v/>
      </c>
      <c r="X1152" s="36" t="str">
        <f aca="false">IF(A1152="","",IF(COUNTIF(Seguimiento!$B$2:$B$5001,A1152)=0,"",_xlfn.MAXIFS(Seguimiento!$A$2:$A$5001,Seguimiento!$B$2:$B$5001,A1152)))</f>
        <v/>
      </c>
      <c r="Y1152" s="37" t="str">
        <f aca="true">IF(B1152="","",TODAY()-B1152)</f>
        <v/>
      </c>
      <c r="Z1152" s="38" t="str">
        <f aca="false">IF(OR(O1152="",G1152=""),"",O1152*IFERROR(INDEX(Listas!$B$2:$B$50,MATCH(G1152,Listas!$A$2:$A$50,0)),0))</f>
        <v/>
      </c>
      <c r="AA1152" s="32"/>
      <c r="AB1152" s="32"/>
      <c r="AC1152" s="32"/>
      <c r="AD1152" s="35" t="str">
        <f aca="false">IF(OR(LEFT(H1152,4)="Meta",LEFT(H1152,6)="Google"),IF(AG1152=3,"Lead calificado",IF(OR(AG1152=4,AG1152=5),"Tasación/visita",IF(OR(AG1152=6,AG1152=7),"Captación/oferta",IF(AG1152=8,"Cierre","")))),"")</f>
        <v/>
      </c>
      <c r="AE1152" s="32"/>
      <c r="AF1152" s="32"/>
      <c r="AG1152" s="37" t="n">
        <f aca="false">IF(R1152="",0,IFERROR(MATCH(R1152,Listas!$L$2:$L$50,0),0))</f>
        <v>0</v>
      </c>
    </row>
    <row r="1153" customFormat="false" ht="15" hidden="false" customHeight="false" outlineLevel="0" collapsed="false">
      <c r="A1153" s="30"/>
      <c r="B1153" s="31"/>
      <c r="C1153" s="32"/>
      <c r="D1153" s="32"/>
      <c r="E1153" s="33"/>
      <c r="F1153" s="32"/>
      <c r="G1153" s="32"/>
      <c r="H1153" s="32"/>
      <c r="I1153" s="32"/>
      <c r="J1153" s="32"/>
      <c r="K1153" s="32"/>
      <c r="L1153" s="32"/>
      <c r="M1153" s="30"/>
      <c r="N1153" s="32"/>
      <c r="O1153" s="34"/>
      <c r="P1153" s="32"/>
      <c r="Q1153" s="32"/>
      <c r="R1153" s="32"/>
      <c r="S1153" s="32"/>
      <c r="T1153" s="32"/>
      <c r="U1153" s="32"/>
      <c r="V1153" s="31"/>
      <c r="W1153" s="35" t="str">
        <f aca="true">IF(OR(V1153="",AG1153&gt;=8),"",IF(V1153&lt;TODAY(),"Vencida",IF(V1153=TODAY(),"Hoy","")))</f>
        <v/>
      </c>
      <c r="X1153" s="36" t="str">
        <f aca="false">IF(A1153="","",IF(COUNTIF(Seguimiento!$B$2:$B$5001,A1153)=0,"",_xlfn.MAXIFS(Seguimiento!$A$2:$A$5001,Seguimiento!$B$2:$B$5001,A1153)))</f>
        <v/>
      </c>
      <c r="Y1153" s="37" t="str">
        <f aca="true">IF(B1153="","",TODAY()-B1153)</f>
        <v/>
      </c>
      <c r="Z1153" s="38" t="str">
        <f aca="false">IF(OR(O1153="",G1153=""),"",O1153*IFERROR(INDEX(Listas!$B$2:$B$50,MATCH(G1153,Listas!$A$2:$A$50,0)),0))</f>
        <v/>
      </c>
      <c r="AA1153" s="32"/>
      <c r="AB1153" s="32"/>
      <c r="AC1153" s="32"/>
      <c r="AD1153" s="35" t="str">
        <f aca="false">IF(OR(LEFT(H1153,4)="Meta",LEFT(H1153,6)="Google"),IF(AG1153=3,"Lead calificado",IF(OR(AG1153=4,AG1153=5),"Tasación/visita",IF(OR(AG1153=6,AG1153=7),"Captación/oferta",IF(AG1153=8,"Cierre","")))),"")</f>
        <v/>
      </c>
      <c r="AE1153" s="32"/>
      <c r="AF1153" s="32"/>
      <c r="AG1153" s="37" t="n">
        <f aca="false">IF(R1153="",0,IFERROR(MATCH(R1153,Listas!$L$2:$L$50,0),0))</f>
        <v>0</v>
      </c>
    </row>
    <row r="1154" customFormat="false" ht="15" hidden="false" customHeight="false" outlineLevel="0" collapsed="false">
      <c r="A1154" s="30"/>
      <c r="B1154" s="31"/>
      <c r="C1154" s="32"/>
      <c r="D1154" s="32"/>
      <c r="E1154" s="33"/>
      <c r="F1154" s="32"/>
      <c r="G1154" s="32"/>
      <c r="H1154" s="32"/>
      <c r="I1154" s="32"/>
      <c r="J1154" s="32"/>
      <c r="K1154" s="32"/>
      <c r="L1154" s="32"/>
      <c r="M1154" s="30"/>
      <c r="N1154" s="32"/>
      <c r="O1154" s="34"/>
      <c r="P1154" s="32"/>
      <c r="Q1154" s="32"/>
      <c r="R1154" s="32"/>
      <c r="S1154" s="32"/>
      <c r="T1154" s="32"/>
      <c r="U1154" s="32"/>
      <c r="V1154" s="31"/>
      <c r="W1154" s="35" t="str">
        <f aca="true">IF(OR(V1154="",AG1154&gt;=8),"",IF(V1154&lt;TODAY(),"Vencida",IF(V1154=TODAY(),"Hoy","")))</f>
        <v/>
      </c>
      <c r="X1154" s="36" t="str">
        <f aca="false">IF(A1154="","",IF(COUNTIF(Seguimiento!$B$2:$B$5001,A1154)=0,"",_xlfn.MAXIFS(Seguimiento!$A$2:$A$5001,Seguimiento!$B$2:$B$5001,A1154)))</f>
        <v/>
      </c>
      <c r="Y1154" s="37" t="str">
        <f aca="true">IF(B1154="","",TODAY()-B1154)</f>
        <v/>
      </c>
      <c r="Z1154" s="38" t="str">
        <f aca="false">IF(OR(O1154="",G1154=""),"",O1154*IFERROR(INDEX(Listas!$B$2:$B$50,MATCH(G1154,Listas!$A$2:$A$50,0)),0))</f>
        <v/>
      </c>
      <c r="AA1154" s="32"/>
      <c r="AB1154" s="32"/>
      <c r="AC1154" s="32"/>
      <c r="AD1154" s="35" t="str">
        <f aca="false">IF(OR(LEFT(H1154,4)="Meta",LEFT(H1154,6)="Google"),IF(AG1154=3,"Lead calificado",IF(OR(AG1154=4,AG1154=5),"Tasación/visita",IF(OR(AG1154=6,AG1154=7),"Captación/oferta",IF(AG1154=8,"Cierre","")))),"")</f>
        <v/>
      </c>
      <c r="AE1154" s="32"/>
      <c r="AF1154" s="32"/>
      <c r="AG1154" s="37" t="n">
        <f aca="false">IF(R1154="",0,IFERROR(MATCH(R1154,Listas!$L$2:$L$50,0),0))</f>
        <v>0</v>
      </c>
    </row>
    <row r="1155" customFormat="false" ht="15" hidden="false" customHeight="false" outlineLevel="0" collapsed="false">
      <c r="A1155" s="30"/>
      <c r="B1155" s="31"/>
      <c r="C1155" s="32"/>
      <c r="D1155" s="32"/>
      <c r="E1155" s="33"/>
      <c r="F1155" s="32"/>
      <c r="G1155" s="32"/>
      <c r="H1155" s="32"/>
      <c r="I1155" s="32"/>
      <c r="J1155" s="32"/>
      <c r="K1155" s="32"/>
      <c r="L1155" s="32"/>
      <c r="M1155" s="30"/>
      <c r="N1155" s="32"/>
      <c r="O1155" s="34"/>
      <c r="P1155" s="32"/>
      <c r="Q1155" s="32"/>
      <c r="R1155" s="32"/>
      <c r="S1155" s="32"/>
      <c r="T1155" s="32"/>
      <c r="U1155" s="32"/>
      <c r="V1155" s="31"/>
      <c r="W1155" s="35" t="str">
        <f aca="true">IF(OR(V1155="",AG1155&gt;=8),"",IF(V1155&lt;TODAY(),"Vencida",IF(V1155=TODAY(),"Hoy","")))</f>
        <v/>
      </c>
      <c r="X1155" s="36" t="str">
        <f aca="false">IF(A1155="","",IF(COUNTIF(Seguimiento!$B$2:$B$5001,A1155)=0,"",_xlfn.MAXIFS(Seguimiento!$A$2:$A$5001,Seguimiento!$B$2:$B$5001,A1155)))</f>
        <v/>
      </c>
      <c r="Y1155" s="37" t="str">
        <f aca="true">IF(B1155="","",TODAY()-B1155)</f>
        <v/>
      </c>
      <c r="Z1155" s="38" t="str">
        <f aca="false">IF(OR(O1155="",G1155=""),"",O1155*IFERROR(INDEX(Listas!$B$2:$B$50,MATCH(G1155,Listas!$A$2:$A$50,0)),0))</f>
        <v/>
      </c>
      <c r="AA1155" s="32"/>
      <c r="AB1155" s="32"/>
      <c r="AC1155" s="32"/>
      <c r="AD1155" s="35" t="str">
        <f aca="false">IF(OR(LEFT(H1155,4)="Meta",LEFT(H1155,6)="Google"),IF(AG1155=3,"Lead calificado",IF(OR(AG1155=4,AG1155=5),"Tasación/visita",IF(OR(AG1155=6,AG1155=7),"Captación/oferta",IF(AG1155=8,"Cierre","")))),"")</f>
        <v/>
      </c>
      <c r="AE1155" s="32"/>
      <c r="AF1155" s="32"/>
      <c r="AG1155" s="37" t="n">
        <f aca="false">IF(R1155="",0,IFERROR(MATCH(R1155,Listas!$L$2:$L$50,0),0))</f>
        <v>0</v>
      </c>
    </row>
    <row r="1156" customFormat="false" ht="15" hidden="false" customHeight="false" outlineLevel="0" collapsed="false">
      <c r="A1156" s="30"/>
      <c r="B1156" s="31"/>
      <c r="C1156" s="32"/>
      <c r="D1156" s="32"/>
      <c r="E1156" s="33"/>
      <c r="F1156" s="32"/>
      <c r="G1156" s="32"/>
      <c r="H1156" s="32"/>
      <c r="I1156" s="32"/>
      <c r="J1156" s="32"/>
      <c r="K1156" s="32"/>
      <c r="L1156" s="32"/>
      <c r="M1156" s="30"/>
      <c r="N1156" s="32"/>
      <c r="O1156" s="34"/>
      <c r="P1156" s="32"/>
      <c r="Q1156" s="32"/>
      <c r="R1156" s="32"/>
      <c r="S1156" s="32"/>
      <c r="T1156" s="32"/>
      <c r="U1156" s="32"/>
      <c r="V1156" s="31"/>
      <c r="W1156" s="35" t="str">
        <f aca="true">IF(OR(V1156="",AG1156&gt;=8),"",IF(V1156&lt;TODAY(),"Vencida",IF(V1156=TODAY(),"Hoy","")))</f>
        <v/>
      </c>
      <c r="X1156" s="36" t="str">
        <f aca="false">IF(A1156="","",IF(COUNTIF(Seguimiento!$B$2:$B$5001,A1156)=0,"",_xlfn.MAXIFS(Seguimiento!$A$2:$A$5001,Seguimiento!$B$2:$B$5001,A1156)))</f>
        <v/>
      </c>
      <c r="Y1156" s="37" t="str">
        <f aca="true">IF(B1156="","",TODAY()-B1156)</f>
        <v/>
      </c>
      <c r="Z1156" s="38" t="str">
        <f aca="false">IF(OR(O1156="",G1156=""),"",O1156*IFERROR(INDEX(Listas!$B$2:$B$50,MATCH(G1156,Listas!$A$2:$A$50,0)),0))</f>
        <v/>
      </c>
      <c r="AA1156" s="32"/>
      <c r="AB1156" s="32"/>
      <c r="AC1156" s="32"/>
      <c r="AD1156" s="35" t="str">
        <f aca="false">IF(OR(LEFT(H1156,4)="Meta",LEFT(H1156,6)="Google"),IF(AG1156=3,"Lead calificado",IF(OR(AG1156=4,AG1156=5),"Tasación/visita",IF(OR(AG1156=6,AG1156=7),"Captación/oferta",IF(AG1156=8,"Cierre","")))),"")</f>
        <v/>
      </c>
      <c r="AE1156" s="32"/>
      <c r="AF1156" s="32"/>
      <c r="AG1156" s="37" t="n">
        <f aca="false">IF(R1156="",0,IFERROR(MATCH(R1156,Listas!$L$2:$L$50,0),0))</f>
        <v>0</v>
      </c>
    </row>
    <row r="1157" customFormat="false" ht="15" hidden="false" customHeight="false" outlineLevel="0" collapsed="false">
      <c r="A1157" s="30"/>
      <c r="B1157" s="31"/>
      <c r="C1157" s="32"/>
      <c r="D1157" s="32"/>
      <c r="E1157" s="33"/>
      <c r="F1157" s="32"/>
      <c r="G1157" s="32"/>
      <c r="H1157" s="32"/>
      <c r="I1157" s="32"/>
      <c r="J1157" s="32"/>
      <c r="K1157" s="32"/>
      <c r="L1157" s="32"/>
      <c r="M1157" s="30"/>
      <c r="N1157" s="32"/>
      <c r="O1157" s="34"/>
      <c r="P1157" s="32"/>
      <c r="Q1157" s="32"/>
      <c r="R1157" s="32"/>
      <c r="S1157" s="32"/>
      <c r="T1157" s="32"/>
      <c r="U1157" s="32"/>
      <c r="V1157" s="31"/>
      <c r="W1157" s="35" t="str">
        <f aca="true">IF(OR(V1157="",AG1157&gt;=8),"",IF(V1157&lt;TODAY(),"Vencida",IF(V1157=TODAY(),"Hoy","")))</f>
        <v/>
      </c>
      <c r="X1157" s="36" t="str">
        <f aca="false">IF(A1157="","",IF(COUNTIF(Seguimiento!$B$2:$B$5001,A1157)=0,"",_xlfn.MAXIFS(Seguimiento!$A$2:$A$5001,Seguimiento!$B$2:$B$5001,A1157)))</f>
        <v/>
      </c>
      <c r="Y1157" s="37" t="str">
        <f aca="true">IF(B1157="","",TODAY()-B1157)</f>
        <v/>
      </c>
      <c r="Z1157" s="38" t="str">
        <f aca="false">IF(OR(O1157="",G1157=""),"",O1157*IFERROR(INDEX(Listas!$B$2:$B$50,MATCH(G1157,Listas!$A$2:$A$50,0)),0))</f>
        <v/>
      </c>
      <c r="AA1157" s="32"/>
      <c r="AB1157" s="32"/>
      <c r="AC1157" s="32"/>
      <c r="AD1157" s="35" t="str">
        <f aca="false">IF(OR(LEFT(H1157,4)="Meta",LEFT(H1157,6)="Google"),IF(AG1157=3,"Lead calificado",IF(OR(AG1157=4,AG1157=5),"Tasación/visita",IF(OR(AG1157=6,AG1157=7),"Captación/oferta",IF(AG1157=8,"Cierre","")))),"")</f>
        <v/>
      </c>
      <c r="AE1157" s="32"/>
      <c r="AF1157" s="32"/>
      <c r="AG1157" s="37" t="n">
        <f aca="false">IF(R1157="",0,IFERROR(MATCH(R1157,Listas!$L$2:$L$50,0),0))</f>
        <v>0</v>
      </c>
    </row>
    <row r="1158" customFormat="false" ht="15" hidden="false" customHeight="false" outlineLevel="0" collapsed="false">
      <c r="A1158" s="30"/>
      <c r="B1158" s="31"/>
      <c r="C1158" s="32"/>
      <c r="D1158" s="32"/>
      <c r="E1158" s="33"/>
      <c r="F1158" s="32"/>
      <c r="G1158" s="32"/>
      <c r="H1158" s="32"/>
      <c r="I1158" s="32"/>
      <c r="J1158" s="32"/>
      <c r="K1158" s="32"/>
      <c r="L1158" s="32"/>
      <c r="M1158" s="30"/>
      <c r="N1158" s="32"/>
      <c r="O1158" s="34"/>
      <c r="P1158" s="32"/>
      <c r="Q1158" s="32"/>
      <c r="R1158" s="32"/>
      <c r="S1158" s="32"/>
      <c r="T1158" s="32"/>
      <c r="U1158" s="32"/>
      <c r="V1158" s="31"/>
      <c r="W1158" s="35" t="str">
        <f aca="true">IF(OR(V1158="",AG1158&gt;=8),"",IF(V1158&lt;TODAY(),"Vencida",IF(V1158=TODAY(),"Hoy","")))</f>
        <v/>
      </c>
      <c r="X1158" s="36" t="str">
        <f aca="false">IF(A1158="","",IF(COUNTIF(Seguimiento!$B$2:$B$5001,A1158)=0,"",_xlfn.MAXIFS(Seguimiento!$A$2:$A$5001,Seguimiento!$B$2:$B$5001,A1158)))</f>
        <v/>
      </c>
      <c r="Y1158" s="37" t="str">
        <f aca="true">IF(B1158="","",TODAY()-B1158)</f>
        <v/>
      </c>
      <c r="Z1158" s="38" t="str">
        <f aca="false">IF(OR(O1158="",G1158=""),"",O1158*IFERROR(INDEX(Listas!$B$2:$B$50,MATCH(G1158,Listas!$A$2:$A$50,0)),0))</f>
        <v/>
      </c>
      <c r="AA1158" s="32"/>
      <c r="AB1158" s="32"/>
      <c r="AC1158" s="32"/>
      <c r="AD1158" s="35" t="str">
        <f aca="false">IF(OR(LEFT(H1158,4)="Meta",LEFT(H1158,6)="Google"),IF(AG1158=3,"Lead calificado",IF(OR(AG1158=4,AG1158=5),"Tasación/visita",IF(OR(AG1158=6,AG1158=7),"Captación/oferta",IF(AG1158=8,"Cierre","")))),"")</f>
        <v/>
      </c>
      <c r="AE1158" s="32"/>
      <c r="AF1158" s="32"/>
      <c r="AG1158" s="37" t="n">
        <f aca="false">IF(R1158="",0,IFERROR(MATCH(R1158,Listas!$L$2:$L$50,0),0))</f>
        <v>0</v>
      </c>
    </row>
    <row r="1159" customFormat="false" ht="15" hidden="false" customHeight="false" outlineLevel="0" collapsed="false">
      <c r="A1159" s="30"/>
      <c r="B1159" s="31"/>
      <c r="C1159" s="32"/>
      <c r="D1159" s="32"/>
      <c r="E1159" s="33"/>
      <c r="F1159" s="32"/>
      <c r="G1159" s="32"/>
      <c r="H1159" s="32"/>
      <c r="I1159" s="32"/>
      <c r="J1159" s="32"/>
      <c r="K1159" s="32"/>
      <c r="L1159" s="32"/>
      <c r="M1159" s="30"/>
      <c r="N1159" s="32"/>
      <c r="O1159" s="34"/>
      <c r="P1159" s="32"/>
      <c r="Q1159" s="32"/>
      <c r="R1159" s="32"/>
      <c r="S1159" s="32"/>
      <c r="T1159" s="32"/>
      <c r="U1159" s="32"/>
      <c r="V1159" s="31"/>
      <c r="W1159" s="35" t="str">
        <f aca="true">IF(OR(V1159="",AG1159&gt;=8),"",IF(V1159&lt;TODAY(),"Vencida",IF(V1159=TODAY(),"Hoy","")))</f>
        <v/>
      </c>
      <c r="X1159" s="36" t="str">
        <f aca="false">IF(A1159="","",IF(COUNTIF(Seguimiento!$B$2:$B$5001,A1159)=0,"",_xlfn.MAXIFS(Seguimiento!$A$2:$A$5001,Seguimiento!$B$2:$B$5001,A1159)))</f>
        <v/>
      </c>
      <c r="Y1159" s="37" t="str">
        <f aca="true">IF(B1159="","",TODAY()-B1159)</f>
        <v/>
      </c>
      <c r="Z1159" s="38" t="str">
        <f aca="false">IF(OR(O1159="",G1159=""),"",O1159*IFERROR(INDEX(Listas!$B$2:$B$50,MATCH(G1159,Listas!$A$2:$A$50,0)),0))</f>
        <v/>
      </c>
      <c r="AA1159" s="32"/>
      <c r="AB1159" s="32"/>
      <c r="AC1159" s="32"/>
      <c r="AD1159" s="35" t="str">
        <f aca="false">IF(OR(LEFT(H1159,4)="Meta",LEFT(H1159,6)="Google"),IF(AG1159=3,"Lead calificado",IF(OR(AG1159=4,AG1159=5),"Tasación/visita",IF(OR(AG1159=6,AG1159=7),"Captación/oferta",IF(AG1159=8,"Cierre","")))),"")</f>
        <v/>
      </c>
      <c r="AE1159" s="32"/>
      <c r="AF1159" s="32"/>
      <c r="AG1159" s="37" t="n">
        <f aca="false">IF(R1159="",0,IFERROR(MATCH(R1159,Listas!$L$2:$L$50,0),0))</f>
        <v>0</v>
      </c>
    </row>
    <row r="1160" customFormat="false" ht="15" hidden="false" customHeight="false" outlineLevel="0" collapsed="false">
      <c r="A1160" s="30"/>
      <c r="B1160" s="31"/>
      <c r="C1160" s="32"/>
      <c r="D1160" s="32"/>
      <c r="E1160" s="33"/>
      <c r="F1160" s="32"/>
      <c r="G1160" s="32"/>
      <c r="H1160" s="32"/>
      <c r="I1160" s="32"/>
      <c r="J1160" s="32"/>
      <c r="K1160" s="32"/>
      <c r="L1160" s="32"/>
      <c r="M1160" s="30"/>
      <c r="N1160" s="32"/>
      <c r="O1160" s="34"/>
      <c r="P1160" s="32"/>
      <c r="Q1160" s="32"/>
      <c r="R1160" s="32"/>
      <c r="S1160" s="32"/>
      <c r="T1160" s="32"/>
      <c r="U1160" s="32"/>
      <c r="V1160" s="31"/>
      <c r="W1160" s="35" t="str">
        <f aca="true">IF(OR(V1160="",AG1160&gt;=8),"",IF(V1160&lt;TODAY(),"Vencida",IF(V1160=TODAY(),"Hoy","")))</f>
        <v/>
      </c>
      <c r="X1160" s="36" t="str">
        <f aca="false">IF(A1160="","",IF(COUNTIF(Seguimiento!$B$2:$B$5001,A1160)=0,"",_xlfn.MAXIFS(Seguimiento!$A$2:$A$5001,Seguimiento!$B$2:$B$5001,A1160)))</f>
        <v/>
      </c>
      <c r="Y1160" s="37" t="str">
        <f aca="true">IF(B1160="","",TODAY()-B1160)</f>
        <v/>
      </c>
      <c r="Z1160" s="38" t="str">
        <f aca="false">IF(OR(O1160="",G1160=""),"",O1160*IFERROR(INDEX(Listas!$B$2:$B$50,MATCH(G1160,Listas!$A$2:$A$50,0)),0))</f>
        <v/>
      </c>
      <c r="AA1160" s="32"/>
      <c r="AB1160" s="32"/>
      <c r="AC1160" s="32"/>
      <c r="AD1160" s="35" t="str">
        <f aca="false">IF(OR(LEFT(H1160,4)="Meta",LEFT(H1160,6)="Google"),IF(AG1160=3,"Lead calificado",IF(OR(AG1160=4,AG1160=5),"Tasación/visita",IF(OR(AG1160=6,AG1160=7),"Captación/oferta",IF(AG1160=8,"Cierre","")))),"")</f>
        <v/>
      </c>
      <c r="AE1160" s="32"/>
      <c r="AF1160" s="32"/>
      <c r="AG1160" s="37" t="n">
        <f aca="false">IF(R1160="",0,IFERROR(MATCH(R1160,Listas!$L$2:$L$50,0),0))</f>
        <v>0</v>
      </c>
    </row>
    <row r="1161" customFormat="false" ht="15" hidden="false" customHeight="false" outlineLevel="0" collapsed="false">
      <c r="A1161" s="30"/>
      <c r="B1161" s="31"/>
      <c r="C1161" s="32"/>
      <c r="D1161" s="32"/>
      <c r="E1161" s="33"/>
      <c r="F1161" s="32"/>
      <c r="G1161" s="32"/>
      <c r="H1161" s="32"/>
      <c r="I1161" s="32"/>
      <c r="J1161" s="32"/>
      <c r="K1161" s="32"/>
      <c r="L1161" s="32"/>
      <c r="M1161" s="30"/>
      <c r="N1161" s="32"/>
      <c r="O1161" s="34"/>
      <c r="P1161" s="32"/>
      <c r="Q1161" s="32"/>
      <c r="R1161" s="32"/>
      <c r="S1161" s="32"/>
      <c r="T1161" s="32"/>
      <c r="U1161" s="32"/>
      <c r="V1161" s="31"/>
      <c r="W1161" s="35" t="str">
        <f aca="true">IF(OR(V1161="",AG1161&gt;=8),"",IF(V1161&lt;TODAY(),"Vencida",IF(V1161=TODAY(),"Hoy","")))</f>
        <v/>
      </c>
      <c r="X1161" s="36" t="str">
        <f aca="false">IF(A1161="","",IF(COUNTIF(Seguimiento!$B$2:$B$5001,A1161)=0,"",_xlfn.MAXIFS(Seguimiento!$A$2:$A$5001,Seguimiento!$B$2:$B$5001,A1161)))</f>
        <v/>
      </c>
      <c r="Y1161" s="37" t="str">
        <f aca="true">IF(B1161="","",TODAY()-B1161)</f>
        <v/>
      </c>
      <c r="Z1161" s="38" t="str">
        <f aca="false">IF(OR(O1161="",G1161=""),"",O1161*IFERROR(INDEX(Listas!$B$2:$B$50,MATCH(G1161,Listas!$A$2:$A$50,0)),0))</f>
        <v/>
      </c>
      <c r="AA1161" s="32"/>
      <c r="AB1161" s="32"/>
      <c r="AC1161" s="32"/>
      <c r="AD1161" s="35" t="str">
        <f aca="false">IF(OR(LEFT(H1161,4)="Meta",LEFT(H1161,6)="Google"),IF(AG1161=3,"Lead calificado",IF(OR(AG1161=4,AG1161=5),"Tasación/visita",IF(OR(AG1161=6,AG1161=7),"Captación/oferta",IF(AG1161=8,"Cierre","")))),"")</f>
        <v/>
      </c>
      <c r="AE1161" s="32"/>
      <c r="AF1161" s="32"/>
      <c r="AG1161" s="37" t="n">
        <f aca="false">IF(R1161="",0,IFERROR(MATCH(R1161,Listas!$L$2:$L$50,0),0))</f>
        <v>0</v>
      </c>
    </row>
    <row r="1162" customFormat="false" ht="15" hidden="false" customHeight="false" outlineLevel="0" collapsed="false">
      <c r="A1162" s="30"/>
      <c r="B1162" s="31"/>
      <c r="C1162" s="32"/>
      <c r="D1162" s="32"/>
      <c r="E1162" s="33"/>
      <c r="F1162" s="32"/>
      <c r="G1162" s="32"/>
      <c r="H1162" s="32"/>
      <c r="I1162" s="32"/>
      <c r="J1162" s="32"/>
      <c r="K1162" s="32"/>
      <c r="L1162" s="32"/>
      <c r="M1162" s="30"/>
      <c r="N1162" s="32"/>
      <c r="O1162" s="34"/>
      <c r="P1162" s="32"/>
      <c r="Q1162" s="32"/>
      <c r="R1162" s="32"/>
      <c r="S1162" s="32"/>
      <c r="T1162" s="32"/>
      <c r="U1162" s="32"/>
      <c r="V1162" s="31"/>
      <c r="W1162" s="35" t="str">
        <f aca="true">IF(OR(V1162="",AG1162&gt;=8),"",IF(V1162&lt;TODAY(),"Vencida",IF(V1162=TODAY(),"Hoy","")))</f>
        <v/>
      </c>
      <c r="X1162" s="36" t="str">
        <f aca="false">IF(A1162="","",IF(COUNTIF(Seguimiento!$B$2:$B$5001,A1162)=0,"",_xlfn.MAXIFS(Seguimiento!$A$2:$A$5001,Seguimiento!$B$2:$B$5001,A1162)))</f>
        <v/>
      </c>
      <c r="Y1162" s="37" t="str">
        <f aca="true">IF(B1162="","",TODAY()-B1162)</f>
        <v/>
      </c>
      <c r="Z1162" s="38" t="str">
        <f aca="false">IF(OR(O1162="",G1162=""),"",O1162*IFERROR(INDEX(Listas!$B$2:$B$50,MATCH(G1162,Listas!$A$2:$A$50,0)),0))</f>
        <v/>
      </c>
      <c r="AA1162" s="32"/>
      <c r="AB1162" s="32"/>
      <c r="AC1162" s="32"/>
      <c r="AD1162" s="35" t="str">
        <f aca="false">IF(OR(LEFT(H1162,4)="Meta",LEFT(H1162,6)="Google"),IF(AG1162=3,"Lead calificado",IF(OR(AG1162=4,AG1162=5),"Tasación/visita",IF(OR(AG1162=6,AG1162=7),"Captación/oferta",IF(AG1162=8,"Cierre","")))),"")</f>
        <v/>
      </c>
      <c r="AE1162" s="32"/>
      <c r="AF1162" s="32"/>
      <c r="AG1162" s="37" t="n">
        <f aca="false">IF(R1162="",0,IFERROR(MATCH(R1162,Listas!$L$2:$L$50,0),0))</f>
        <v>0</v>
      </c>
    </row>
    <row r="1163" customFormat="false" ht="15" hidden="false" customHeight="false" outlineLevel="0" collapsed="false">
      <c r="A1163" s="30"/>
      <c r="B1163" s="31"/>
      <c r="C1163" s="32"/>
      <c r="D1163" s="32"/>
      <c r="E1163" s="33"/>
      <c r="F1163" s="32"/>
      <c r="G1163" s="32"/>
      <c r="H1163" s="32"/>
      <c r="I1163" s="32"/>
      <c r="J1163" s="32"/>
      <c r="K1163" s="32"/>
      <c r="L1163" s="32"/>
      <c r="M1163" s="30"/>
      <c r="N1163" s="32"/>
      <c r="O1163" s="34"/>
      <c r="P1163" s="32"/>
      <c r="Q1163" s="32"/>
      <c r="R1163" s="32"/>
      <c r="S1163" s="32"/>
      <c r="T1163" s="32"/>
      <c r="U1163" s="32"/>
      <c r="V1163" s="31"/>
      <c r="W1163" s="35" t="str">
        <f aca="true">IF(OR(V1163="",AG1163&gt;=8),"",IF(V1163&lt;TODAY(),"Vencida",IF(V1163=TODAY(),"Hoy","")))</f>
        <v/>
      </c>
      <c r="X1163" s="36" t="str">
        <f aca="false">IF(A1163="","",IF(COUNTIF(Seguimiento!$B$2:$B$5001,A1163)=0,"",_xlfn.MAXIFS(Seguimiento!$A$2:$A$5001,Seguimiento!$B$2:$B$5001,A1163)))</f>
        <v/>
      </c>
      <c r="Y1163" s="37" t="str">
        <f aca="true">IF(B1163="","",TODAY()-B1163)</f>
        <v/>
      </c>
      <c r="Z1163" s="38" t="str">
        <f aca="false">IF(OR(O1163="",G1163=""),"",O1163*IFERROR(INDEX(Listas!$B$2:$B$50,MATCH(G1163,Listas!$A$2:$A$50,0)),0))</f>
        <v/>
      </c>
      <c r="AA1163" s="32"/>
      <c r="AB1163" s="32"/>
      <c r="AC1163" s="32"/>
      <c r="AD1163" s="35" t="str">
        <f aca="false">IF(OR(LEFT(H1163,4)="Meta",LEFT(H1163,6)="Google"),IF(AG1163=3,"Lead calificado",IF(OR(AG1163=4,AG1163=5),"Tasación/visita",IF(OR(AG1163=6,AG1163=7),"Captación/oferta",IF(AG1163=8,"Cierre","")))),"")</f>
        <v/>
      </c>
      <c r="AE1163" s="32"/>
      <c r="AF1163" s="32"/>
      <c r="AG1163" s="37" t="n">
        <f aca="false">IF(R1163="",0,IFERROR(MATCH(R1163,Listas!$L$2:$L$50,0),0))</f>
        <v>0</v>
      </c>
    </row>
    <row r="1164" customFormat="false" ht="15" hidden="false" customHeight="false" outlineLevel="0" collapsed="false">
      <c r="A1164" s="30"/>
      <c r="B1164" s="31"/>
      <c r="C1164" s="32"/>
      <c r="D1164" s="32"/>
      <c r="E1164" s="33"/>
      <c r="F1164" s="32"/>
      <c r="G1164" s="32"/>
      <c r="H1164" s="32"/>
      <c r="I1164" s="32"/>
      <c r="J1164" s="32"/>
      <c r="K1164" s="32"/>
      <c r="L1164" s="32"/>
      <c r="M1164" s="30"/>
      <c r="N1164" s="32"/>
      <c r="O1164" s="34"/>
      <c r="P1164" s="32"/>
      <c r="Q1164" s="32"/>
      <c r="R1164" s="32"/>
      <c r="S1164" s="32"/>
      <c r="T1164" s="32"/>
      <c r="U1164" s="32"/>
      <c r="V1164" s="31"/>
      <c r="W1164" s="35" t="str">
        <f aca="true">IF(OR(V1164="",AG1164&gt;=8),"",IF(V1164&lt;TODAY(),"Vencida",IF(V1164=TODAY(),"Hoy","")))</f>
        <v/>
      </c>
      <c r="X1164" s="36" t="str">
        <f aca="false">IF(A1164="","",IF(COUNTIF(Seguimiento!$B$2:$B$5001,A1164)=0,"",_xlfn.MAXIFS(Seguimiento!$A$2:$A$5001,Seguimiento!$B$2:$B$5001,A1164)))</f>
        <v/>
      </c>
      <c r="Y1164" s="37" t="str">
        <f aca="true">IF(B1164="","",TODAY()-B1164)</f>
        <v/>
      </c>
      <c r="Z1164" s="38" t="str">
        <f aca="false">IF(OR(O1164="",G1164=""),"",O1164*IFERROR(INDEX(Listas!$B$2:$B$50,MATCH(G1164,Listas!$A$2:$A$50,0)),0))</f>
        <v/>
      </c>
      <c r="AA1164" s="32"/>
      <c r="AB1164" s="32"/>
      <c r="AC1164" s="32"/>
      <c r="AD1164" s="35" t="str">
        <f aca="false">IF(OR(LEFT(H1164,4)="Meta",LEFT(H1164,6)="Google"),IF(AG1164=3,"Lead calificado",IF(OR(AG1164=4,AG1164=5),"Tasación/visita",IF(OR(AG1164=6,AG1164=7),"Captación/oferta",IF(AG1164=8,"Cierre","")))),"")</f>
        <v/>
      </c>
      <c r="AE1164" s="32"/>
      <c r="AF1164" s="32"/>
      <c r="AG1164" s="37" t="n">
        <f aca="false">IF(R1164="",0,IFERROR(MATCH(R1164,Listas!$L$2:$L$50,0),0))</f>
        <v>0</v>
      </c>
    </row>
    <row r="1165" customFormat="false" ht="15" hidden="false" customHeight="false" outlineLevel="0" collapsed="false">
      <c r="A1165" s="30"/>
      <c r="B1165" s="31"/>
      <c r="C1165" s="32"/>
      <c r="D1165" s="32"/>
      <c r="E1165" s="33"/>
      <c r="F1165" s="32"/>
      <c r="G1165" s="32"/>
      <c r="H1165" s="32"/>
      <c r="I1165" s="32"/>
      <c r="J1165" s="32"/>
      <c r="K1165" s="32"/>
      <c r="L1165" s="32"/>
      <c r="M1165" s="30"/>
      <c r="N1165" s="32"/>
      <c r="O1165" s="34"/>
      <c r="P1165" s="32"/>
      <c r="Q1165" s="32"/>
      <c r="R1165" s="32"/>
      <c r="S1165" s="32"/>
      <c r="T1165" s="32"/>
      <c r="U1165" s="32"/>
      <c r="V1165" s="31"/>
      <c r="W1165" s="35" t="str">
        <f aca="true">IF(OR(V1165="",AG1165&gt;=8),"",IF(V1165&lt;TODAY(),"Vencida",IF(V1165=TODAY(),"Hoy","")))</f>
        <v/>
      </c>
      <c r="X1165" s="36" t="str">
        <f aca="false">IF(A1165="","",IF(COUNTIF(Seguimiento!$B$2:$B$5001,A1165)=0,"",_xlfn.MAXIFS(Seguimiento!$A$2:$A$5001,Seguimiento!$B$2:$B$5001,A1165)))</f>
        <v/>
      </c>
      <c r="Y1165" s="37" t="str">
        <f aca="true">IF(B1165="","",TODAY()-B1165)</f>
        <v/>
      </c>
      <c r="Z1165" s="38" t="str">
        <f aca="false">IF(OR(O1165="",G1165=""),"",O1165*IFERROR(INDEX(Listas!$B$2:$B$50,MATCH(G1165,Listas!$A$2:$A$50,0)),0))</f>
        <v/>
      </c>
      <c r="AA1165" s="32"/>
      <c r="AB1165" s="32"/>
      <c r="AC1165" s="32"/>
      <c r="AD1165" s="35" t="str">
        <f aca="false">IF(OR(LEFT(H1165,4)="Meta",LEFT(H1165,6)="Google"),IF(AG1165=3,"Lead calificado",IF(OR(AG1165=4,AG1165=5),"Tasación/visita",IF(OR(AG1165=6,AG1165=7),"Captación/oferta",IF(AG1165=8,"Cierre","")))),"")</f>
        <v/>
      </c>
      <c r="AE1165" s="32"/>
      <c r="AF1165" s="32"/>
      <c r="AG1165" s="37" t="n">
        <f aca="false">IF(R1165="",0,IFERROR(MATCH(R1165,Listas!$L$2:$L$50,0),0))</f>
        <v>0</v>
      </c>
    </row>
    <row r="1166" customFormat="false" ht="15" hidden="false" customHeight="false" outlineLevel="0" collapsed="false">
      <c r="A1166" s="30"/>
      <c r="B1166" s="31"/>
      <c r="C1166" s="32"/>
      <c r="D1166" s="32"/>
      <c r="E1166" s="33"/>
      <c r="F1166" s="32"/>
      <c r="G1166" s="32"/>
      <c r="H1166" s="32"/>
      <c r="I1166" s="32"/>
      <c r="J1166" s="32"/>
      <c r="K1166" s="32"/>
      <c r="L1166" s="32"/>
      <c r="M1166" s="30"/>
      <c r="N1166" s="32"/>
      <c r="O1166" s="34"/>
      <c r="P1166" s="32"/>
      <c r="Q1166" s="32"/>
      <c r="R1166" s="32"/>
      <c r="S1166" s="32"/>
      <c r="T1166" s="32"/>
      <c r="U1166" s="32"/>
      <c r="V1166" s="31"/>
      <c r="W1166" s="35" t="str">
        <f aca="true">IF(OR(V1166="",AG1166&gt;=8),"",IF(V1166&lt;TODAY(),"Vencida",IF(V1166=TODAY(),"Hoy","")))</f>
        <v/>
      </c>
      <c r="X1166" s="36" t="str">
        <f aca="false">IF(A1166="","",IF(COUNTIF(Seguimiento!$B$2:$B$5001,A1166)=0,"",_xlfn.MAXIFS(Seguimiento!$A$2:$A$5001,Seguimiento!$B$2:$B$5001,A1166)))</f>
        <v/>
      </c>
      <c r="Y1166" s="37" t="str">
        <f aca="true">IF(B1166="","",TODAY()-B1166)</f>
        <v/>
      </c>
      <c r="Z1166" s="38" t="str">
        <f aca="false">IF(OR(O1166="",G1166=""),"",O1166*IFERROR(INDEX(Listas!$B$2:$B$50,MATCH(G1166,Listas!$A$2:$A$50,0)),0))</f>
        <v/>
      </c>
      <c r="AA1166" s="32"/>
      <c r="AB1166" s="32"/>
      <c r="AC1166" s="32"/>
      <c r="AD1166" s="35" t="str">
        <f aca="false">IF(OR(LEFT(H1166,4)="Meta",LEFT(H1166,6)="Google"),IF(AG1166=3,"Lead calificado",IF(OR(AG1166=4,AG1166=5),"Tasación/visita",IF(OR(AG1166=6,AG1166=7),"Captación/oferta",IF(AG1166=8,"Cierre","")))),"")</f>
        <v/>
      </c>
      <c r="AE1166" s="32"/>
      <c r="AF1166" s="32"/>
      <c r="AG1166" s="37" t="n">
        <f aca="false">IF(R1166="",0,IFERROR(MATCH(R1166,Listas!$L$2:$L$50,0),0))</f>
        <v>0</v>
      </c>
    </row>
    <row r="1167" customFormat="false" ht="15" hidden="false" customHeight="false" outlineLevel="0" collapsed="false">
      <c r="A1167" s="30"/>
      <c r="B1167" s="31"/>
      <c r="C1167" s="32"/>
      <c r="D1167" s="32"/>
      <c r="E1167" s="33"/>
      <c r="F1167" s="32"/>
      <c r="G1167" s="32"/>
      <c r="H1167" s="32"/>
      <c r="I1167" s="32"/>
      <c r="J1167" s="32"/>
      <c r="K1167" s="32"/>
      <c r="L1167" s="32"/>
      <c r="M1167" s="30"/>
      <c r="N1167" s="32"/>
      <c r="O1167" s="34"/>
      <c r="P1167" s="32"/>
      <c r="Q1167" s="32"/>
      <c r="R1167" s="32"/>
      <c r="S1167" s="32"/>
      <c r="T1167" s="32"/>
      <c r="U1167" s="32"/>
      <c r="V1167" s="31"/>
      <c r="W1167" s="35" t="str">
        <f aca="true">IF(OR(V1167="",AG1167&gt;=8),"",IF(V1167&lt;TODAY(),"Vencida",IF(V1167=TODAY(),"Hoy","")))</f>
        <v/>
      </c>
      <c r="X1167" s="36" t="str">
        <f aca="false">IF(A1167="","",IF(COUNTIF(Seguimiento!$B$2:$B$5001,A1167)=0,"",_xlfn.MAXIFS(Seguimiento!$A$2:$A$5001,Seguimiento!$B$2:$B$5001,A1167)))</f>
        <v/>
      </c>
      <c r="Y1167" s="37" t="str">
        <f aca="true">IF(B1167="","",TODAY()-B1167)</f>
        <v/>
      </c>
      <c r="Z1167" s="38" t="str">
        <f aca="false">IF(OR(O1167="",G1167=""),"",O1167*IFERROR(INDEX(Listas!$B$2:$B$50,MATCH(G1167,Listas!$A$2:$A$50,0)),0))</f>
        <v/>
      </c>
      <c r="AA1167" s="32"/>
      <c r="AB1167" s="32"/>
      <c r="AC1167" s="32"/>
      <c r="AD1167" s="35" t="str">
        <f aca="false">IF(OR(LEFT(H1167,4)="Meta",LEFT(H1167,6)="Google"),IF(AG1167=3,"Lead calificado",IF(OR(AG1167=4,AG1167=5),"Tasación/visita",IF(OR(AG1167=6,AG1167=7),"Captación/oferta",IF(AG1167=8,"Cierre","")))),"")</f>
        <v/>
      </c>
      <c r="AE1167" s="32"/>
      <c r="AF1167" s="32"/>
      <c r="AG1167" s="37" t="n">
        <f aca="false">IF(R1167="",0,IFERROR(MATCH(R1167,Listas!$L$2:$L$50,0),0))</f>
        <v>0</v>
      </c>
    </row>
    <row r="1168" customFormat="false" ht="15" hidden="false" customHeight="false" outlineLevel="0" collapsed="false">
      <c r="A1168" s="30"/>
      <c r="B1168" s="31"/>
      <c r="C1168" s="32"/>
      <c r="D1168" s="32"/>
      <c r="E1168" s="33"/>
      <c r="F1168" s="32"/>
      <c r="G1168" s="32"/>
      <c r="H1168" s="32"/>
      <c r="I1168" s="32"/>
      <c r="J1168" s="32"/>
      <c r="K1168" s="32"/>
      <c r="L1168" s="32"/>
      <c r="M1168" s="30"/>
      <c r="N1168" s="32"/>
      <c r="O1168" s="34"/>
      <c r="P1168" s="32"/>
      <c r="Q1168" s="32"/>
      <c r="R1168" s="32"/>
      <c r="S1168" s="32"/>
      <c r="T1168" s="32"/>
      <c r="U1168" s="32"/>
      <c r="V1168" s="31"/>
      <c r="W1168" s="35" t="str">
        <f aca="true">IF(OR(V1168="",AG1168&gt;=8),"",IF(V1168&lt;TODAY(),"Vencida",IF(V1168=TODAY(),"Hoy","")))</f>
        <v/>
      </c>
      <c r="X1168" s="36" t="str">
        <f aca="false">IF(A1168="","",IF(COUNTIF(Seguimiento!$B$2:$B$5001,A1168)=0,"",_xlfn.MAXIFS(Seguimiento!$A$2:$A$5001,Seguimiento!$B$2:$B$5001,A1168)))</f>
        <v/>
      </c>
      <c r="Y1168" s="37" t="str">
        <f aca="true">IF(B1168="","",TODAY()-B1168)</f>
        <v/>
      </c>
      <c r="Z1168" s="38" t="str">
        <f aca="false">IF(OR(O1168="",G1168=""),"",O1168*IFERROR(INDEX(Listas!$B$2:$B$50,MATCH(G1168,Listas!$A$2:$A$50,0)),0))</f>
        <v/>
      </c>
      <c r="AA1168" s="32"/>
      <c r="AB1168" s="32"/>
      <c r="AC1168" s="32"/>
      <c r="AD1168" s="35" t="str">
        <f aca="false">IF(OR(LEFT(H1168,4)="Meta",LEFT(H1168,6)="Google"),IF(AG1168=3,"Lead calificado",IF(OR(AG1168=4,AG1168=5),"Tasación/visita",IF(OR(AG1168=6,AG1168=7),"Captación/oferta",IF(AG1168=8,"Cierre","")))),"")</f>
        <v/>
      </c>
      <c r="AE1168" s="32"/>
      <c r="AF1168" s="32"/>
      <c r="AG1168" s="37" t="n">
        <f aca="false">IF(R1168="",0,IFERROR(MATCH(R1168,Listas!$L$2:$L$50,0),0))</f>
        <v>0</v>
      </c>
    </row>
    <row r="1169" customFormat="false" ht="15" hidden="false" customHeight="false" outlineLevel="0" collapsed="false">
      <c r="A1169" s="30"/>
      <c r="B1169" s="31"/>
      <c r="C1169" s="32"/>
      <c r="D1169" s="32"/>
      <c r="E1169" s="33"/>
      <c r="F1169" s="32"/>
      <c r="G1169" s="32"/>
      <c r="H1169" s="32"/>
      <c r="I1169" s="32"/>
      <c r="J1169" s="32"/>
      <c r="K1169" s="32"/>
      <c r="L1169" s="32"/>
      <c r="M1169" s="30"/>
      <c r="N1169" s="32"/>
      <c r="O1169" s="34"/>
      <c r="P1169" s="32"/>
      <c r="Q1169" s="32"/>
      <c r="R1169" s="32"/>
      <c r="S1169" s="32"/>
      <c r="T1169" s="32"/>
      <c r="U1169" s="32"/>
      <c r="V1169" s="31"/>
      <c r="W1169" s="35" t="str">
        <f aca="true">IF(OR(V1169="",AG1169&gt;=8),"",IF(V1169&lt;TODAY(),"Vencida",IF(V1169=TODAY(),"Hoy","")))</f>
        <v/>
      </c>
      <c r="X1169" s="36" t="str">
        <f aca="false">IF(A1169="","",IF(COUNTIF(Seguimiento!$B$2:$B$5001,A1169)=0,"",_xlfn.MAXIFS(Seguimiento!$A$2:$A$5001,Seguimiento!$B$2:$B$5001,A1169)))</f>
        <v/>
      </c>
      <c r="Y1169" s="37" t="str">
        <f aca="true">IF(B1169="","",TODAY()-B1169)</f>
        <v/>
      </c>
      <c r="Z1169" s="38" t="str">
        <f aca="false">IF(OR(O1169="",G1169=""),"",O1169*IFERROR(INDEX(Listas!$B$2:$B$50,MATCH(G1169,Listas!$A$2:$A$50,0)),0))</f>
        <v/>
      </c>
      <c r="AA1169" s="32"/>
      <c r="AB1169" s="32"/>
      <c r="AC1169" s="32"/>
      <c r="AD1169" s="35" t="str">
        <f aca="false">IF(OR(LEFT(H1169,4)="Meta",LEFT(H1169,6)="Google"),IF(AG1169=3,"Lead calificado",IF(OR(AG1169=4,AG1169=5),"Tasación/visita",IF(OR(AG1169=6,AG1169=7),"Captación/oferta",IF(AG1169=8,"Cierre","")))),"")</f>
        <v/>
      </c>
      <c r="AE1169" s="32"/>
      <c r="AF1169" s="32"/>
      <c r="AG1169" s="37" t="n">
        <f aca="false">IF(R1169="",0,IFERROR(MATCH(R1169,Listas!$L$2:$L$50,0),0))</f>
        <v>0</v>
      </c>
    </row>
    <row r="1170" customFormat="false" ht="15" hidden="false" customHeight="false" outlineLevel="0" collapsed="false">
      <c r="A1170" s="30"/>
      <c r="B1170" s="31"/>
      <c r="C1170" s="32"/>
      <c r="D1170" s="32"/>
      <c r="E1170" s="33"/>
      <c r="F1170" s="32"/>
      <c r="G1170" s="32"/>
      <c r="H1170" s="32"/>
      <c r="I1170" s="32"/>
      <c r="J1170" s="32"/>
      <c r="K1170" s="32"/>
      <c r="L1170" s="32"/>
      <c r="M1170" s="30"/>
      <c r="N1170" s="32"/>
      <c r="O1170" s="34"/>
      <c r="P1170" s="32"/>
      <c r="Q1170" s="32"/>
      <c r="R1170" s="32"/>
      <c r="S1170" s="32"/>
      <c r="T1170" s="32"/>
      <c r="U1170" s="32"/>
      <c r="V1170" s="31"/>
      <c r="W1170" s="35" t="str">
        <f aca="true">IF(OR(V1170="",AG1170&gt;=8),"",IF(V1170&lt;TODAY(),"Vencida",IF(V1170=TODAY(),"Hoy","")))</f>
        <v/>
      </c>
      <c r="X1170" s="36" t="str">
        <f aca="false">IF(A1170="","",IF(COUNTIF(Seguimiento!$B$2:$B$5001,A1170)=0,"",_xlfn.MAXIFS(Seguimiento!$A$2:$A$5001,Seguimiento!$B$2:$B$5001,A1170)))</f>
        <v/>
      </c>
      <c r="Y1170" s="37" t="str">
        <f aca="true">IF(B1170="","",TODAY()-B1170)</f>
        <v/>
      </c>
      <c r="Z1170" s="38" t="str">
        <f aca="false">IF(OR(O1170="",G1170=""),"",O1170*IFERROR(INDEX(Listas!$B$2:$B$50,MATCH(G1170,Listas!$A$2:$A$50,0)),0))</f>
        <v/>
      </c>
      <c r="AA1170" s="32"/>
      <c r="AB1170" s="32"/>
      <c r="AC1170" s="32"/>
      <c r="AD1170" s="35" t="str">
        <f aca="false">IF(OR(LEFT(H1170,4)="Meta",LEFT(H1170,6)="Google"),IF(AG1170=3,"Lead calificado",IF(OR(AG1170=4,AG1170=5),"Tasación/visita",IF(OR(AG1170=6,AG1170=7),"Captación/oferta",IF(AG1170=8,"Cierre","")))),"")</f>
        <v/>
      </c>
      <c r="AE1170" s="32"/>
      <c r="AF1170" s="32"/>
      <c r="AG1170" s="37" t="n">
        <f aca="false">IF(R1170="",0,IFERROR(MATCH(R1170,Listas!$L$2:$L$50,0),0))</f>
        <v>0</v>
      </c>
    </row>
    <row r="1171" customFormat="false" ht="15" hidden="false" customHeight="false" outlineLevel="0" collapsed="false">
      <c r="A1171" s="30"/>
      <c r="B1171" s="31"/>
      <c r="C1171" s="32"/>
      <c r="D1171" s="32"/>
      <c r="E1171" s="33"/>
      <c r="F1171" s="32"/>
      <c r="G1171" s="32"/>
      <c r="H1171" s="32"/>
      <c r="I1171" s="32"/>
      <c r="J1171" s="32"/>
      <c r="K1171" s="32"/>
      <c r="L1171" s="32"/>
      <c r="M1171" s="30"/>
      <c r="N1171" s="32"/>
      <c r="O1171" s="34"/>
      <c r="P1171" s="32"/>
      <c r="Q1171" s="32"/>
      <c r="R1171" s="32"/>
      <c r="S1171" s="32"/>
      <c r="T1171" s="32"/>
      <c r="U1171" s="32"/>
      <c r="V1171" s="31"/>
      <c r="W1171" s="35" t="str">
        <f aca="true">IF(OR(V1171="",AG1171&gt;=8),"",IF(V1171&lt;TODAY(),"Vencida",IF(V1171=TODAY(),"Hoy","")))</f>
        <v/>
      </c>
      <c r="X1171" s="36" t="str">
        <f aca="false">IF(A1171="","",IF(COUNTIF(Seguimiento!$B$2:$B$5001,A1171)=0,"",_xlfn.MAXIFS(Seguimiento!$A$2:$A$5001,Seguimiento!$B$2:$B$5001,A1171)))</f>
        <v/>
      </c>
      <c r="Y1171" s="37" t="str">
        <f aca="true">IF(B1171="","",TODAY()-B1171)</f>
        <v/>
      </c>
      <c r="Z1171" s="38" t="str">
        <f aca="false">IF(OR(O1171="",G1171=""),"",O1171*IFERROR(INDEX(Listas!$B$2:$B$50,MATCH(G1171,Listas!$A$2:$A$50,0)),0))</f>
        <v/>
      </c>
      <c r="AA1171" s="32"/>
      <c r="AB1171" s="32"/>
      <c r="AC1171" s="32"/>
      <c r="AD1171" s="35" t="str">
        <f aca="false">IF(OR(LEFT(H1171,4)="Meta",LEFT(H1171,6)="Google"),IF(AG1171=3,"Lead calificado",IF(OR(AG1171=4,AG1171=5),"Tasación/visita",IF(OR(AG1171=6,AG1171=7),"Captación/oferta",IF(AG1171=8,"Cierre","")))),"")</f>
        <v/>
      </c>
      <c r="AE1171" s="32"/>
      <c r="AF1171" s="32"/>
      <c r="AG1171" s="37" t="n">
        <f aca="false">IF(R1171="",0,IFERROR(MATCH(R1171,Listas!$L$2:$L$50,0),0))</f>
        <v>0</v>
      </c>
    </row>
    <row r="1172" customFormat="false" ht="15" hidden="false" customHeight="false" outlineLevel="0" collapsed="false">
      <c r="A1172" s="30"/>
      <c r="B1172" s="31"/>
      <c r="C1172" s="32"/>
      <c r="D1172" s="32"/>
      <c r="E1172" s="33"/>
      <c r="F1172" s="32"/>
      <c r="G1172" s="32"/>
      <c r="H1172" s="32"/>
      <c r="I1172" s="32"/>
      <c r="J1172" s="32"/>
      <c r="K1172" s="32"/>
      <c r="L1172" s="32"/>
      <c r="M1172" s="30"/>
      <c r="N1172" s="32"/>
      <c r="O1172" s="34"/>
      <c r="P1172" s="32"/>
      <c r="Q1172" s="32"/>
      <c r="R1172" s="32"/>
      <c r="S1172" s="32"/>
      <c r="T1172" s="32"/>
      <c r="U1172" s="32"/>
      <c r="V1172" s="31"/>
      <c r="W1172" s="35" t="str">
        <f aca="true">IF(OR(V1172="",AG1172&gt;=8),"",IF(V1172&lt;TODAY(),"Vencida",IF(V1172=TODAY(),"Hoy","")))</f>
        <v/>
      </c>
      <c r="X1172" s="36" t="str">
        <f aca="false">IF(A1172="","",IF(COUNTIF(Seguimiento!$B$2:$B$5001,A1172)=0,"",_xlfn.MAXIFS(Seguimiento!$A$2:$A$5001,Seguimiento!$B$2:$B$5001,A1172)))</f>
        <v/>
      </c>
      <c r="Y1172" s="37" t="str">
        <f aca="true">IF(B1172="","",TODAY()-B1172)</f>
        <v/>
      </c>
      <c r="Z1172" s="38" t="str">
        <f aca="false">IF(OR(O1172="",G1172=""),"",O1172*IFERROR(INDEX(Listas!$B$2:$B$50,MATCH(G1172,Listas!$A$2:$A$50,0)),0))</f>
        <v/>
      </c>
      <c r="AA1172" s="32"/>
      <c r="AB1172" s="32"/>
      <c r="AC1172" s="32"/>
      <c r="AD1172" s="35" t="str">
        <f aca="false">IF(OR(LEFT(H1172,4)="Meta",LEFT(H1172,6)="Google"),IF(AG1172=3,"Lead calificado",IF(OR(AG1172=4,AG1172=5),"Tasación/visita",IF(OR(AG1172=6,AG1172=7),"Captación/oferta",IF(AG1172=8,"Cierre","")))),"")</f>
        <v/>
      </c>
      <c r="AE1172" s="32"/>
      <c r="AF1172" s="32"/>
      <c r="AG1172" s="37" t="n">
        <f aca="false">IF(R1172="",0,IFERROR(MATCH(R1172,Listas!$L$2:$L$50,0),0))</f>
        <v>0</v>
      </c>
    </row>
    <row r="1173" customFormat="false" ht="15" hidden="false" customHeight="false" outlineLevel="0" collapsed="false">
      <c r="A1173" s="30"/>
      <c r="B1173" s="31"/>
      <c r="C1173" s="32"/>
      <c r="D1173" s="32"/>
      <c r="E1173" s="33"/>
      <c r="F1173" s="32"/>
      <c r="G1173" s="32"/>
      <c r="H1173" s="32"/>
      <c r="I1173" s="32"/>
      <c r="J1173" s="32"/>
      <c r="K1173" s="32"/>
      <c r="L1173" s="32"/>
      <c r="M1173" s="30"/>
      <c r="N1173" s="32"/>
      <c r="O1173" s="34"/>
      <c r="P1173" s="32"/>
      <c r="Q1173" s="32"/>
      <c r="R1173" s="32"/>
      <c r="S1173" s="32"/>
      <c r="T1173" s="32"/>
      <c r="U1173" s="32"/>
      <c r="V1173" s="31"/>
      <c r="W1173" s="35" t="str">
        <f aca="true">IF(OR(V1173="",AG1173&gt;=8),"",IF(V1173&lt;TODAY(),"Vencida",IF(V1173=TODAY(),"Hoy","")))</f>
        <v/>
      </c>
      <c r="X1173" s="36" t="str">
        <f aca="false">IF(A1173="","",IF(COUNTIF(Seguimiento!$B$2:$B$5001,A1173)=0,"",_xlfn.MAXIFS(Seguimiento!$A$2:$A$5001,Seguimiento!$B$2:$B$5001,A1173)))</f>
        <v/>
      </c>
      <c r="Y1173" s="37" t="str">
        <f aca="true">IF(B1173="","",TODAY()-B1173)</f>
        <v/>
      </c>
      <c r="Z1173" s="38" t="str">
        <f aca="false">IF(OR(O1173="",G1173=""),"",O1173*IFERROR(INDEX(Listas!$B$2:$B$50,MATCH(G1173,Listas!$A$2:$A$50,0)),0))</f>
        <v/>
      </c>
      <c r="AA1173" s="32"/>
      <c r="AB1173" s="32"/>
      <c r="AC1173" s="32"/>
      <c r="AD1173" s="35" t="str">
        <f aca="false">IF(OR(LEFT(H1173,4)="Meta",LEFT(H1173,6)="Google"),IF(AG1173=3,"Lead calificado",IF(OR(AG1173=4,AG1173=5),"Tasación/visita",IF(OR(AG1173=6,AG1173=7),"Captación/oferta",IF(AG1173=8,"Cierre","")))),"")</f>
        <v/>
      </c>
      <c r="AE1173" s="32"/>
      <c r="AF1173" s="32"/>
      <c r="AG1173" s="37" t="n">
        <f aca="false">IF(R1173="",0,IFERROR(MATCH(R1173,Listas!$L$2:$L$50,0),0))</f>
        <v>0</v>
      </c>
    </row>
    <row r="1174" customFormat="false" ht="15" hidden="false" customHeight="false" outlineLevel="0" collapsed="false">
      <c r="A1174" s="30"/>
      <c r="B1174" s="31"/>
      <c r="C1174" s="32"/>
      <c r="D1174" s="32"/>
      <c r="E1174" s="33"/>
      <c r="F1174" s="32"/>
      <c r="G1174" s="32"/>
      <c r="H1174" s="32"/>
      <c r="I1174" s="32"/>
      <c r="J1174" s="32"/>
      <c r="K1174" s="32"/>
      <c r="L1174" s="32"/>
      <c r="M1174" s="30"/>
      <c r="N1174" s="32"/>
      <c r="O1174" s="34"/>
      <c r="P1174" s="32"/>
      <c r="Q1174" s="32"/>
      <c r="R1174" s="32"/>
      <c r="S1174" s="32"/>
      <c r="T1174" s="32"/>
      <c r="U1174" s="32"/>
      <c r="V1174" s="31"/>
      <c r="W1174" s="35" t="str">
        <f aca="true">IF(OR(V1174="",AG1174&gt;=8),"",IF(V1174&lt;TODAY(),"Vencida",IF(V1174=TODAY(),"Hoy","")))</f>
        <v/>
      </c>
      <c r="X1174" s="36" t="str">
        <f aca="false">IF(A1174="","",IF(COUNTIF(Seguimiento!$B$2:$B$5001,A1174)=0,"",_xlfn.MAXIFS(Seguimiento!$A$2:$A$5001,Seguimiento!$B$2:$B$5001,A1174)))</f>
        <v/>
      </c>
      <c r="Y1174" s="37" t="str">
        <f aca="true">IF(B1174="","",TODAY()-B1174)</f>
        <v/>
      </c>
      <c r="Z1174" s="38" t="str">
        <f aca="false">IF(OR(O1174="",G1174=""),"",O1174*IFERROR(INDEX(Listas!$B$2:$B$50,MATCH(G1174,Listas!$A$2:$A$50,0)),0))</f>
        <v/>
      </c>
      <c r="AA1174" s="32"/>
      <c r="AB1174" s="32"/>
      <c r="AC1174" s="32"/>
      <c r="AD1174" s="35" t="str">
        <f aca="false">IF(OR(LEFT(H1174,4)="Meta",LEFT(H1174,6)="Google"),IF(AG1174=3,"Lead calificado",IF(OR(AG1174=4,AG1174=5),"Tasación/visita",IF(OR(AG1174=6,AG1174=7),"Captación/oferta",IF(AG1174=8,"Cierre","")))),"")</f>
        <v/>
      </c>
      <c r="AE1174" s="32"/>
      <c r="AF1174" s="32"/>
      <c r="AG1174" s="37" t="n">
        <f aca="false">IF(R1174="",0,IFERROR(MATCH(R1174,Listas!$L$2:$L$50,0),0))</f>
        <v>0</v>
      </c>
    </row>
    <row r="1175" customFormat="false" ht="15" hidden="false" customHeight="false" outlineLevel="0" collapsed="false">
      <c r="A1175" s="30"/>
      <c r="B1175" s="31"/>
      <c r="C1175" s="32"/>
      <c r="D1175" s="32"/>
      <c r="E1175" s="33"/>
      <c r="F1175" s="32"/>
      <c r="G1175" s="32"/>
      <c r="H1175" s="32"/>
      <c r="I1175" s="32"/>
      <c r="J1175" s="32"/>
      <c r="K1175" s="32"/>
      <c r="L1175" s="32"/>
      <c r="M1175" s="30"/>
      <c r="N1175" s="32"/>
      <c r="O1175" s="34"/>
      <c r="P1175" s="32"/>
      <c r="Q1175" s="32"/>
      <c r="R1175" s="32"/>
      <c r="S1175" s="32"/>
      <c r="T1175" s="32"/>
      <c r="U1175" s="32"/>
      <c r="V1175" s="31"/>
      <c r="W1175" s="35" t="str">
        <f aca="true">IF(OR(V1175="",AG1175&gt;=8),"",IF(V1175&lt;TODAY(),"Vencida",IF(V1175=TODAY(),"Hoy","")))</f>
        <v/>
      </c>
      <c r="X1175" s="36" t="str">
        <f aca="false">IF(A1175="","",IF(COUNTIF(Seguimiento!$B$2:$B$5001,A1175)=0,"",_xlfn.MAXIFS(Seguimiento!$A$2:$A$5001,Seguimiento!$B$2:$B$5001,A1175)))</f>
        <v/>
      </c>
      <c r="Y1175" s="37" t="str">
        <f aca="true">IF(B1175="","",TODAY()-B1175)</f>
        <v/>
      </c>
      <c r="Z1175" s="38" t="str">
        <f aca="false">IF(OR(O1175="",G1175=""),"",O1175*IFERROR(INDEX(Listas!$B$2:$B$50,MATCH(G1175,Listas!$A$2:$A$50,0)),0))</f>
        <v/>
      </c>
      <c r="AA1175" s="32"/>
      <c r="AB1175" s="32"/>
      <c r="AC1175" s="32"/>
      <c r="AD1175" s="35" t="str">
        <f aca="false">IF(OR(LEFT(H1175,4)="Meta",LEFT(H1175,6)="Google"),IF(AG1175=3,"Lead calificado",IF(OR(AG1175=4,AG1175=5),"Tasación/visita",IF(OR(AG1175=6,AG1175=7),"Captación/oferta",IF(AG1175=8,"Cierre","")))),"")</f>
        <v/>
      </c>
      <c r="AE1175" s="32"/>
      <c r="AF1175" s="32"/>
      <c r="AG1175" s="37" t="n">
        <f aca="false">IF(R1175="",0,IFERROR(MATCH(R1175,Listas!$L$2:$L$50,0),0))</f>
        <v>0</v>
      </c>
    </row>
    <row r="1176" customFormat="false" ht="15" hidden="false" customHeight="false" outlineLevel="0" collapsed="false">
      <c r="A1176" s="30"/>
      <c r="B1176" s="31"/>
      <c r="C1176" s="32"/>
      <c r="D1176" s="32"/>
      <c r="E1176" s="33"/>
      <c r="F1176" s="32"/>
      <c r="G1176" s="32"/>
      <c r="H1176" s="32"/>
      <c r="I1176" s="32"/>
      <c r="J1176" s="32"/>
      <c r="K1176" s="32"/>
      <c r="L1176" s="32"/>
      <c r="M1176" s="30"/>
      <c r="N1176" s="32"/>
      <c r="O1176" s="34"/>
      <c r="P1176" s="32"/>
      <c r="Q1176" s="32"/>
      <c r="R1176" s="32"/>
      <c r="S1176" s="32"/>
      <c r="T1176" s="32"/>
      <c r="U1176" s="32"/>
      <c r="V1176" s="31"/>
      <c r="W1176" s="35" t="str">
        <f aca="true">IF(OR(V1176="",AG1176&gt;=8),"",IF(V1176&lt;TODAY(),"Vencida",IF(V1176=TODAY(),"Hoy","")))</f>
        <v/>
      </c>
      <c r="X1176" s="36" t="str">
        <f aca="false">IF(A1176="","",IF(COUNTIF(Seguimiento!$B$2:$B$5001,A1176)=0,"",_xlfn.MAXIFS(Seguimiento!$A$2:$A$5001,Seguimiento!$B$2:$B$5001,A1176)))</f>
        <v/>
      </c>
      <c r="Y1176" s="37" t="str">
        <f aca="true">IF(B1176="","",TODAY()-B1176)</f>
        <v/>
      </c>
      <c r="Z1176" s="38" t="str">
        <f aca="false">IF(OR(O1176="",G1176=""),"",O1176*IFERROR(INDEX(Listas!$B$2:$B$50,MATCH(G1176,Listas!$A$2:$A$50,0)),0))</f>
        <v/>
      </c>
      <c r="AA1176" s="32"/>
      <c r="AB1176" s="32"/>
      <c r="AC1176" s="32"/>
      <c r="AD1176" s="35" t="str">
        <f aca="false">IF(OR(LEFT(H1176,4)="Meta",LEFT(H1176,6)="Google"),IF(AG1176=3,"Lead calificado",IF(OR(AG1176=4,AG1176=5),"Tasación/visita",IF(OR(AG1176=6,AG1176=7),"Captación/oferta",IF(AG1176=8,"Cierre","")))),"")</f>
        <v/>
      </c>
      <c r="AE1176" s="32"/>
      <c r="AF1176" s="32"/>
      <c r="AG1176" s="37" t="n">
        <f aca="false">IF(R1176="",0,IFERROR(MATCH(R1176,Listas!$L$2:$L$50,0),0))</f>
        <v>0</v>
      </c>
    </row>
    <row r="1177" customFormat="false" ht="15" hidden="false" customHeight="false" outlineLevel="0" collapsed="false">
      <c r="A1177" s="30"/>
      <c r="B1177" s="31"/>
      <c r="C1177" s="32"/>
      <c r="D1177" s="32"/>
      <c r="E1177" s="33"/>
      <c r="F1177" s="32"/>
      <c r="G1177" s="32"/>
      <c r="H1177" s="32"/>
      <c r="I1177" s="32"/>
      <c r="J1177" s="32"/>
      <c r="K1177" s="32"/>
      <c r="L1177" s="32"/>
      <c r="M1177" s="30"/>
      <c r="N1177" s="32"/>
      <c r="O1177" s="34"/>
      <c r="P1177" s="32"/>
      <c r="Q1177" s="32"/>
      <c r="R1177" s="32"/>
      <c r="S1177" s="32"/>
      <c r="T1177" s="32"/>
      <c r="U1177" s="32"/>
      <c r="V1177" s="31"/>
      <c r="W1177" s="35" t="str">
        <f aca="true">IF(OR(V1177="",AG1177&gt;=8),"",IF(V1177&lt;TODAY(),"Vencida",IF(V1177=TODAY(),"Hoy","")))</f>
        <v/>
      </c>
      <c r="X1177" s="36" t="str">
        <f aca="false">IF(A1177="","",IF(COUNTIF(Seguimiento!$B$2:$B$5001,A1177)=0,"",_xlfn.MAXIFS(Seguimiento!$A$2:$A$5001,Seguimiento!$B$2:$B$5001,A1177)))</f>
        <v/>
      </c>
      <c r="Y1177" s="37" t="str">
        <f aca="true">IF(B1177="","",TODAY()-B1177)</f>
        <v/>
      </c>
      <c r="Z1177" s="38" t="str">
        <f aca="false">IF(OR(O1177="",G1177=""),"",O1177*IFERROR(INDEX(Listas!$B$2:$B$50,MATCH(G1177,Listas!$A$2:$A$50,0)),0))</f>
        <v/>
      </c>
      <c r="AA1177" s="32"/>
      <c r="AB1177" s="32"/>
      <c r="AC1177" s="32"/>
      <c r="AD1177" s="35" t="str">
        <f aca="false">IF(OR(LEFT(H1177,4)="Meta",LEFT(H1177,6)="Google"),IF(AG1177=3,"Lead calificado",IF(OR(AG1177=4,AG1177=5),"Tasación/visita",IF(OR(AG1177=6,AG1177=7),"Captación/oferta",IF(AG1177=8,"Cierre","")))),"")</f>
        <v/>
      </c>
      <c r="AE1177" s="32"/>
      <c r="AF1177" s="32"/>
      <c r="AG1177" s="37" t="n">
        <f aca="false">IF(R1177="",0,IFERROR(MATCH(R1177,Listas!$L$2:$L$50,0),0))</f>
        <v>0</v>
      </c>
    </row>
    <row r="1178" customFormat="false" ht="15" hidden="false" customHeight="false" outlineLevel="0" collapsed="false">
      <c r="A1178" s="30"/>
      <c r="B1178" s="31"/>
      <c r="C1178" s="32"/>
      <c r="D1178" s="32"/>
      <c r="E1178" s="33"/>
      <c r="F1178" s="32"/>
      <c r="G1178" s="32"/>
      <c r="H1178" s="32"/>
      <c r="I1178" s="32"/>
      <c r="J1178" s="32"/>
      <c r="K1178" s="32"/>
      <c r="L1178" s="32"/>
      <c r="M1178" s="30"/>
      <c r="N1178" s="32"/>
      <c r="O1178" s="34"/>
      <c r="P1178" s="32"/>
      <c r="Q1178" s="32"/>
      <c r="R1178" s="32"/>
      <c r="S1178" s="32"/>
      <c r="T1178" s="32"/>
      <c r="U1178" s="32"/>
      <c r="V1178" s="31"/>
      <c r="W1178" s="35" t="str">
        <f aca="true">IF(OR(V1178="",AG1178&gt;=8),"",IF(V1178&lt;TODAY(),"Vencida",IF(V1178=TODAY(),"Hoy","")))</f>
        <v/>
      </c>
      <c r="X1178" s="36" t="str">
        <f aca="false">IF(A1178="","",IF(COUNTIF(Seguimiento!$B$2:$B$5001,A1178)=0,"",_xlfn.MAXIFS(Seguimiento!$A$2:$A$5001,Seguimiento!$B$2:$B$5001,A1178)))</f>
        <v/>
      </c>
      <c r="Y1178" s="37" t="str">
        <f aca="true">IF(B1178="","",TODAY()-B1178)</f>
        <v/>
      </c>
      <c r="Z1178" s="38" t="str">
        <f aca="false">IF(OR(O1178="",G1178=""),"",O1178*IFERROR(INDEX(Listas!$B$2:$B$50,MATCH(G1178,Listas!$A$2:$A$50,0)),0))</f>
        <v/>
      </c>
      <c r="AA1178" s="32"/>
      <c r="AB1178" s="32"/>
      <c r="AC1178" s="32"/>
      <c r="AD1178" s="35" t="str">
        <f aca="false">IF(OR(LEFT(H1178,4)="Meta",LEFT(H1178,6)="Google"),IF(AG1178=3,"Lead calificado",IF(OR(AG1178=4,AG1178=5),"Tasación/visita",IF(OR(AG1178=6,AG1178=7),"Captación/oferta",IF(AG1178=8,"Cierre","")))),"")</f>
        <v/>
      </c>
      <c r="AE1178" s="32"/>
      <c r="AF1178" s="32"/>
      <c r="AG1178" s="37" t="n">
        <f aca="false">IF(R1178="",0,IFERROR(MATCH(R1178,Listas!$L$2:$L$50,0),0))</f>
        <v>0</v>
      </c>
    </row>
    <row r="1179" customFormat="false" ht="15" hidden="false" customHeight="false" outlineLevel="0" collapsed="false">
      <c r="A1179" s="30"/>
      <c r="B1179" s="31"/>
      <c r="C1179" s="32"/>
      <c r="D1179" s="32"/>
      <c r="E1179" s="33"/>
      <c r="F1179" s="32"/>
      <c r="G1179" s="32"/>
      <c r="H1179" s="32"/>
      <c r="I1179" s="32"/>
      <c r="J1179" s="32"/>
      <c r="K1179" s="32"/>
      <c r="L1179" s="32"/>
      <c r="M1179" s="30"/>
      <c r="N1179" s="32"/>
      <c r="O1179" s="34"/>
      <c r="P1179" s="32"/>
      <c r="Q1179" s="32"/>
      <c r="R1179" s="32"/>
      <c r="S1179" s="32"/>
      <c r="T1179" s="32"/>
      <c r="U1179" s="32"/>
      <c r="V1179" s="31"/>
      <c r="W1179" s="35" t="str">
        <f aca="true">IF(OR(V1179="",AG1179&gt;=8),"",IF(V1179&lt;TODAY(),"Vencida",IF(V1179=TODAY(),"Hoy","")))</f>
        <v/>
      </c>
      <c r="X1179" s="36" t="str">
        <f aca="false">IF(A1179="","",IF(COUNTIF(Seguimiento!$B$2:$B$5001,A1179)=0,"",_xlfn.MAXIFS(Seguimiento!$A$2:$A$5001,Seguimiento!$B$2:$B$5001,A1179)))</f>
        <v/>
      </c>
      <c r="Y1179" s="37" t="str">
        <f aca="true">IF(B1179="","",TODAY()-B1179)</f>
        <v/>
      </c>
      <c r="Z1179" s="38" t="str">
        <f aca="false">IF(OR(O1179="",G1179=""),"",O1179*IFERROR(INDEX(Listas!$B$2:$B$50,MATCH(G1179,Listas!$A$2:$A$50,0)),0))</f>
        <v/>
      </c>
      <c r="AA1179" s="32"/>
      <c r="AB1179" s="32"/>
      <c r="AC1179" s="32"/>
      <c r="AD1179" s="35" t="str">
        <f aca="false">IF(OR(LEFT(H1179,4)="Meta",LEFT(H1179,6)="Google"),IF(AG1179=3,"Lead calificado",IF(OR(AG1179=4,AG1179=5),"Tasación/visita",IF(OR(AG1179=6,AG1179=7),"Captación/oferta",IF(AG1179=8,"Cierre","")))),"")</f>
        <v/>
      </c>
      <c r="AE1179" s="32"/>
      <c r="AF1179" s="32"/>
      <c r="AG1179" s="37" t="n">
        <f aca="false">IF(R1179="",0,IFERROR(MATCH(R1179,Listas!$L$2:$L$50,0),0))</f>
        <v>0</v>
      </c>
    </row>
    <row r="1180" customFormat="false" ht="15" hidden="false" customHeight="false" outlineLevel="0" collapsed="false">
      <c r="A1180" s="30"/>
      <c r="B1180" s="31"/>
      <c r="C1180" s="32"/>
      <c r="D1180" s="32"/>
      <c r="E1180" s="33"/>
      <c r="F1180" s="32"/>
      <c r="G1180" s="32"/>
      <c r="H1180" s="32"/>
      <c r="I1180" s="32"/>
      <c r="J1180" s="32"/>
      <c r="K1180" s="32"/>
      <c r="L1180" s="32"/>
      <c r="M1180" s="30"/>
      <c r="N1180" s="32"/>
      <c r="O1180" s="34"/>
      <c r="P1180" s="32"/>
      <c r="Q1180" s="32"/>
      <c r="R1180" s="32"/>
      <c r="S1180" s="32"/>
      <c r="T1180" s="32"/>
      <c r="U1180" s="32"/>
      <c r="V1180" s="31"/>
      <c r="W1180" s="35" t="str">
        <f aca="true">IF(OR(V1180="",AG1180&gt;=8),"",IF(V1180&lt;TODAY(),"Vencida",IF(V1180=TODAY(),"Hoy","")))</f>
        <v/>
      </c>
      <c r="X1180" s="36" t="str">
        <f aca="false">IF(A1180="","",IF(COUNTIF(Seguimiento!$B$2:$B$5001,A1180)=0,"",_xlfn.MAXIFS(Seguimiento!$A$2:$A$5001,Seguimiento!$B$2:$B$5001,A1180)))</f>
        <v/>
      </c>
      <c r="Y1180" s="37" t="str">
        <f aca="true">IF(B1180="","",TODAY()-B1180)</f>
        <v/>
      </c>
      <c r="Z1180" s="38" t="str">
        <f aca="false">IF(OR(O1180="",G1180=""),"",O1180*IFERROR(INDEX(Listas!$B$2:$B$50,MATCH(G1180,Listas!$A$2:$A$50,0)),0))</f>
        <v/>
      </c>
      <c r="AA1180" s="32"/>
      <c r="AB1180" s="32"/>
      <c r="AC1180" s="32"/>
      <c r="AD1180" s="35" t="str">
        <f aca="false">IF(OR(LEFT(H1180,4)="Meta",LEFT(H1180,6)="Google"),IF(AG1180=3,"Lead calificado",IF(OR(AG1180=4,AG1180=5),"Tasación/visita",IF(OR(AG1180=6,AG1180=7),"Captación/oferta",IF(AG1180=8,"Cierre","")))),"")</f>
        <v/>
      </c>
      <c r="AE1180" s="32"/>
      <c r="AF1180" s="32"/>
      <c r="AG1180" s="37" t="n">
        <f aca="false">IF(R1180="",0,IFERROR(MATCH(R1180,Listas!$L$2:$L$50,0),0))</f>
        <v>0</v>
      </c>
    </row>
    <row r="1181" customFormat="false" ht="15" hidden="false" customHeight="false" outlineLevel="0" collapsed="false">
      <c r="A1181" s="30"/>
      <c r="B1181" s="31"/>
      <c r="C1181" s="32"/>
      <c r="D1181" s="32"/>
      <c r="E1181" s="33"/>
      <c r="F1181" s="32"/>
      <c r="G1181" s="32"/>
      <c r="H1181" s="32"/>
      <c r="I1181" s="32"/>
      <c r="J1181" s="32"/>
      <c r="K1181" s="32"/>
      <c r="L1181" s="32"/>
      <c r="M1181" s="30"/>
      <c r="N1181" s="32"/>
      <c r="O1181" s="34"/>
      <c r="P1181" s="32"/>
      <c r="Q1181" s="32"/>
      <c r="R1181" s="32"/>
      <c r="S1181" s="32"/>
      <c r="T1181" s="32"/>
      <c r="U1181" s="32"/>
      <c r="V1181" s="31"/>
      <c r="W1181" s="35" t="str">
        <f aca="true">IF(OR(V1181="",AG1181&gt;=8),"",IF(V1181&lt;TODAY(),"Vencida",IF(V1181=TODAY(),"Hoy","")))</f>
        <v/>
      </c>
      <c r="X1181" s="36" t="str">
        <f aca="false">IF(A1181="","",IF(COUNTIF(Seguimiento!$B$2:$B$5001,A1181)=0,"",_xlfn.MAXIFS(Seguimiento!$A$2:$A$5001,Seguimiento!$B$2:$B$5001,A1181)))</f>
        <v/>
      </c>
      <c r="Y1181" s="37" t="str">
        <f aca="true">IF(B1181="","",TODAY()-B1181)</f>
        <v/>
      </c>
      <c r="Z1181" s="38" t="str">
        <f aca="false">IF(OR(O1181="",G1181=""),"",O1181*IFERROR(INDEX(Listas!$B$2:$B$50,MATCH(G1181,Listas!$A$2:$A$50,0)),0))</f>
        <v/>
      </c>
      <c r="AA1181" s="32"/>
      <c r="AB1181" s="32"/>
      <c r="AC1181" s="32"/>
      <c r="AD1181" s="35" t="str">
        <f aca="false">IF(OR(LEFT(H1181,4)="Meta",LEFT(H1181,6)="Google"),IF(AG1181=3,"Lead calificado",IF(OR(AG1181=4,AG1181=5),"Tasación/visita",IF(OR(AG1181=6,AG1181=7),"Captación/oferta",IF(AG1181=8,"Cierre","")))),"")</f>
        <v/>
      </c>
      <c r="AE1181" s="32"/>
      <c r="AF1181" s="32"/>
      <c r="AG1181" s="37" t="n">
        <f aca="false">IF(R1181="",0,IFERROR(MATCH(R1181,Listas!$L$2:$L$50,0),0))</f>
        <v>0</v>
      </c>
    </row>
    <row r="1182" customFormat="false" ht="15" hidden="false" customHeight="false" outlineLevel="0" collapsed="false">
      <c r="A1182" s="30"/>
      <c r="B1182" s="31"/>
      <c r="C1182" s="32"/>
      <c r="D1182" s="32"/>
      <c r="E1182" s="33"/>
      <c r="F1182" s="32"/>
      <c r="G1182" s="32"/>
      <c r="H1182" s="32"/>
      <c r="I1182" s="32"/>
      <c r="J1182" s="32"/>
      <c r="K1182" s="32"/>
      <c r="L1182" s="32"/>
      <c r="M1182" s="30"/>
      <c r="N1182" s="32"/>
      <c r="O1182" s="34"/>
      <c r="P1182" s="32"/>
      <c r="Q1182" s="32"/>
      <c r="R1182" s="32"/>
      <c r="S1182" s="32"/>
      <c r="T1182" s="32"/>
      <c r="U1182" s="32"/>
      <c r="V1182" s="31"/>
      <c r="W1182" s="35" t="str">
        <f aca="true">IF(OR(V1182="",AG1182&gt;=8),"",IF(V1182&lt;TODAY(),"Vencida",IF(V1182=TODAY(),"Hoy","")))</f>
        <v/>
      </c>
      <c r="X1182" s="36" t="str">
        <f aca="false">IF(A1182="","",IF(COUNTIF(Seguimiento!$B$2:$B$5001,A1182)=0,"",_xlfn.MAXIFS(Seguimiento!$A$2:$A$5001,Seguimiento!$B$2:$B$5001,A1182)))</f>
        <v/>
      </c>
      <c r="Y1182" s="37" t="str">
        <f aca="true">IF(B1182="","",TODAY()-B1182)</f>
        <v/>
      </c>
      <c r="Z1182" s="38" t="str">
        <f aca="false">IF(OR(O1182="",G1182=""),"",O1182*IFERROR(INDEX(Listas!$B$2:$B$50,MATCH(G1182,Listas!$A$2:$A$50,0)),0))</f>
        <v/>
      </c>
      <c r="AA1182" s="32"/>
      <c r="AB1182" s="32"/>
      <c r="AC1182" s="32"/>
      <c r="AD1182" s="35" t="str">
        <f aca="false">IF(OR(LEFT(H1182,4)="Meta",LEFT(H1182,6)="Google"),IF(AG1182=3,"Lead calificado",IF(OR(AG1182=4,AG1182=5),"Tasación/visita",IF(OR(AG1182=6,AG1182=7),"Captación/oferta",IF(AG1182=8,"Cierre","")))),"")</f>
        <v/>
      </c>
      <c r="AE1182" s="32"/>
      <c r="AF1182" s="32"/>
      <c r="AG1182" s="37" t="n">
        <f aca="false">IF(R1182="",0,IFERROR(MATCH(R1182,Listas!$L$2:$L$50,0),0))</f>
        <v>0</v>
      </c>
    </row>
    <row r="1183" customFormat="false" ht="15" hidden="false" customHeight="false" outlineLevel="0" collapsed="false">
      <c r="A1183" s="30"/>
      <c r="B1183" s="31"/>
      <c r="C1183" s="32"/>
      <c r="D1183" s="32"/>
      <c r="E1183" s="33"/>
      <c r="F1183" s="32"/>
      <c r="G1183" s="32"/>
      <c r="H1183" s="32"/>
      <c r="I1183" s="32"/>
      <c r="J1183" s="32"/>
      <c r="K1183" s="32"/>
      <c r="L1183" s="32"/>
      <c r="M1183" s="30"/>
      <c r="N1183" s="32"/>
      <c r="O1183" s="34"/>
      <c r="P1183" s="32"/>
      <c r="Q1183" s="32"/>
      <c r="R1183" s="32"/>
      <c r="S1183" s="32"/>
      <c r="T1183" s="32"/>
      <c r="U1183" s="32"/>
      <c r="V1183" s="31"/>
      <c r="W1183" s="35" t="str">
        <f aca="true">IF(OR(V1183="",AG1183&gt;=8),"",IF(V1183&lt;TODAY(),"Vencida",IF(V1183=TODAY(),"Hoy","")))</f>
        <v/>
      </c>
      <c r="X1183" s="36" t="str">
        <f aca="false">IF(A1183="","",IF(COUNTIF(Seguimiento!$B$2:$B$5001,A1183)=0,"",_xlfn.MAXIFS(Seguimiento!$A$2:$A$5001,Seguimiento!$B$2:$B$5001,A1183)))</f>
        <v/>
      </c>
      <c r="Y1183" s="37" t="str">
        <f aca="true">IF(B1183="","",TODAY()-B1183)</f>
        <v/>
      </c>
      <c r="Z1183" s="38" t="str">
        <f aca="false">IF(OR(O1183="",G1183=""),"",O1183*IFERROR(INDEX(Listas!$B$2:$B$50,MATCH(G1183,Listas!$A$2:$A$50,0)),0))</f>
        <v/>
      </c>
      <c r="AA1183" s="32"/>
      <c r="AB1183" s="32"/>
      <c r="AC1183" s="32"/>
      <c r="AD1183" s="35" t="str">
        <f aca="false">IF(OR(LEFT(H1183,4)="Meta",LEFT(H1183,6)="Google"),IF(AG1183=3,"Lead calificado",IF(OR(AG1183=4,AG1183=5),"Tasación/visita",IF(OR(AG1183=6,AG1183=7),"Captación/oferta",IF(AG1183=8,"Cierre","")))),"")</f>
        <v/>
      </c>
      <c r="AE1183" s="32"/>
      <c r="AF1183" s="32"/>
      <c r="AG1183" s="37" t="n">
        <f aca="false">IF(R1183="",0,IFERROR(MATCH(R1183,Listas!$L$2:$L$50,0),0))</f>
        <v>0</v>
      </c>
    </row>
    <row r="1184" customFormat="false" ht="15" hidden="false" customHeight="false" outlineLevel="0" collapsed="false">
      <c r="A1184" s="30"/>
      <c r="B1184" s="31"/>
      <c r="C1184" s="32"/>
      <c r="D1184" s="32"/>
      <c r="E1184" s="33"/>
      <c r="F1184" s="32"/>
      <c r="G1184" s="32"/>
      <c r="H1184" s="32"/>
      <c r="I1184" s="32"/>
      <c r="J1184" s="32"/>
      <c r="K1184" s="32"/>
      <c r="L1184" s="32"/>
      <c r="M1184" s="30"/>
      <c r="N1184" s="32"/>
      <c r="O1184" s="34"/>
      <c r="P1184" s="32"/>
      <c r="Q1184" s="32"/>
      <c r="R1184" s="32"/>
      <c r="S1184" s="32"/>
      <c r="T1184" s="32"/>
      <c r="U1184" s="32"/>
      <c r="V1184" s="31"/>
      <c r="W1184" s="35" t="str">
        <f aca="true">IF(OR(V1184="",AG1184&gt;=8),"",IF(V1184&lt;TODAY(),"Vencida",IF(V1184=TODAY(),"Hoy","")))</f>
        <v/>
      </c>
      <c r="X1184" s="36" t="str">
        <f aca="false">IF(A1184="","",IF(COUNTIF(Seguimiento!$B$2:$B$5001,A1184)=0,"",_xlfn.MAXIFS(Seguimiento!$A$2:$A$5001,Seguimiento!$B$2:$B$5001,A1184)))</f>
        <v/>
      </c>
      <c r="Y1184" s="37" t="str">
        <f aca="true">IF(B1184="","",TODAY()-B1184)</f>
        <v/>
      </c>
      <c r="Z1184" s="38" t="str">
        <f aca="false">IF(OR(O1184="",G1184=""),"",O1184*IFERROR(INDEX(Listas!$B$2:$B$50,MATCH(G1184,Listas!$A$2:$A$50,0)),0))</f>
        <v/>
      </c>
      <c r="AA1184" s="32"/>
      <c r="AB1184" s="32"/>
      <c r="AC1184" s="32"/>
      <c r="AD1184" s="35" t="str">
        <f aca="false">IF(OR(LEFT(H1184,4)="Meta",LEFT(H1184,6)="Google"),IF(AG1184=3,"Lead calificado",IF(OR(AG1184=4,AG1184=5),"Tasación/visita",IF(OR(AG1184=6,AG1184=7),"Captación/oferta",IF(AG1184=8,"Cierre","")))),"")</f>
        <v/>
      </c>
      <c r="AE1184" s="32"/>
      <c r="AF1184" s="32"/>
      <c r="AG1184" s="37" t="n">
        <f aca="false">IF(R1184="",0,IFERROR(MATCH(R1184,Listas!$L$2:$L$50,0),0))</f>
        <v>0</v>
      </c>
    </row>
    <row r="1185" customFormat="false" ht="15" hidden="false" customHeight="false" outlineLevel="0" collapsed="false">
      <c r="A1185" s="30"/>
      <c r="B1185" s="31"/>
      <c r="C1185" s="32"/>
      <c r="D1185" s="32"/>
      <c r="E1185" s="33"/>
      <c r="F1185" s="32"/>
      <c r="G1185" s="32"/>
      <c r="H1185" s="32"/>
      <c r="I1185" s="32"/>
      <c r="J1185" s="32"/>
      <c r="K1185" s="32"/>
      <c r="L1185" s="32"/>
      <c r="M1185" s="30"/>
      <c r="N1185" s="32"/>
      <c r="O1185" s="34"/>
      <c r="P1185" s="32"/>
      <c r="Q1185" s="32"/>
      <c r="R1185" s="32"/>
      <c r="S1185" s="32"/>
      <c r="T1185" s="32"/>
      <c r="U1185" s="32"/>
      <c r="V1185" s="31"/>
      <c r="W1185" s="35" t="str">
        <f aca="true">IF(OR(V1185="",AG1185&gt;=8),"",IF(V1185&lt;TODAY(),"Vencida",IF(V1185=TODAY(),"Hoy","")))</f>
        <v/>
      </c>
      <c r="X1185" s="36" t="str">
        <f aca="false">IF(A1185="","",IF(COUNTIF(Seguimiento!$B$2:$B$5001,A1185)=0,"",_xlfn.MAXIFS(Seguimiento!$A$2:$A$5001,Seguimiento!$B$2:$B$5001,A1185)))</f>
        <v/>
      </c>
      <c r="Y1185" s="37" t="str">
        <f aca="true">IF(B1185="","",TODAY()-B1185)</f>
        <v/>
      </c>
      <c r="Z1185" s="38" t="str">
        <f aca="false">IF(OR(O1185="",G1185=""),"",O1185*IFERROR(INDEX(Listas!$B$2:$B$50,MATCH(G1185,Listas!$A$2:$A$50,0)),0))</f>
        <v/>
      </c>
      <c r="AA1185" s="32"/>
      <c r="AB1185" s="32"/>
      <c r="AC1185" s="32"/>
      <c r="AD1185" s="35" t="str">
        <f aca="false">IF(OR(LEFT(H1185,4)="Meta",LEFT(H1185,6)="Google"),IF(AG1185=3,"Lead calificado",IF(OR(AG1185=4,AG1185=5),"Tasación/visita",IF(OR(AG1185=6,AG1185=7),"Captación/oferta",IF(AG1185=8,"Cierre","")))),"")</f>
        <v/>
      </c>
      <c r="AE1185" s="32"/>
      <c r="AF1185" s="32"/>
      <c r="AG1185" s="37" t="n">
        <f aca="false">IF(R1185="",0,IFERROR(MATCH(R1185,Listas!$L$2:$L$50,0),0))</f>
        <v>0</v>
      </c>
    </row>
    <row r="1186" customFormat="false" ht="15" hidden="false" customHeight="false" outlineLevel="0" collapsed="false">
      <c r="A1186" s="30"/>
      <c r="B1186" s="31"/>
      <c r="C1186" s="32"/>
      <c r="D1186" s="32"/>
      <c r="E1186" s="33"/>
      <c r="F1186" s="32"/>
      <c r="G1186" s="32"/>
      <c r="H1186" s="32"/>
      <c r="I1186" s="32"/>
      <c r="J1186" s="32"/>
      <c r="K1186" s="32"/>
      <c r="L1186" s="32"/>
      <c r="M1186" s="30"/>
      <c r="N1186" s="32"/>
      <c r="O1186" s="34"/>
      <c r="P1186" s="32"/>
      <c r="Q1186" s="32"/>
      <c r="R1186" s="32"/>
      <c r="S1186" s="32"/>
      <c r="T1186" s="32"/>
      <c r="U1186" s="32"/>
      <c r="V1186" s="31"/>
      <c r="W1186" s="35" t="str">
        <f aca="true">IF(OR(V1186="",AG1186&gt;=8),"",IF(V1186&lt;TODAY(),"Vencida",IF(V1186=TODAY(),"Hoy","")))</f>
        <v/>
      </c>
      <c r="X1186" s="36" t="str">
        <f aca="false">IF(A1186="","",IF(COUNTIF(Seguimiento!$B$2:$B$5001,A1186)=0,"",_xlfn.MAXIFS(Seguimiento!$A$2:$A$5001,Seguimiento!$B$2:$B$5001,A1186)))</f>
        <v/>
      </c>
      <c r="Y1186" s="37" t="str">
        <f aca="true">IF(B1186="","",TODAY()-B1186)</f>
        <v/>
      </c>
      <c r="Z1186" s="38" t="str">
        <f aca="false">IF(OR(O1186="",G1186=""),"",O1186*IFERROR(INDEX(Listas!$B$2:$B$50,MATCH(G1186,Listas!$A$2:$A$50,0)),0))</f>
        <v/>
      </c>
      <c r="AA1186" s="32"/>
      <c r="AB1186" s="32"/>
      <c r="AC1186" s="32"/>
      <c r="AD1186" s="35" t="str">
        <f aca="false">IF(OR(LEFT(H1186,4)="Meta",LEFT(H1186,6)="Google"),IF(AG1186=3,"Lead calificado",IF(OR(AG1186=4,AG1186=5),"Tasación/visita",IF(OR(AG1186=6,AG1186=7),"Captación/oferta",IF(AG1186=8,"Cierre","")))),"")</f>
        <v/>
      </c>
      <c r="AE1186" s="32"/>
      <c r="AF1186" s="32"/>
      <c r="AG1186" s="37" t="n">
        <f aca="false">IF(R1186="",0,IFERROR(MATCH(R1186,Listas!$L$2:$L$50,0),0))</f>
        <v>0</v>
      </c>
    </row>
    <row r="1187" customFormat="false" ht="15" hidden="false" customHeight="false" outlineLevel="0" collapsed="false">
      <c r="A1187" s="30"/>
      <c r="B1187" s="31"/>
      <c r="C1187" s="32"/>
      <c r="D1187" s="32"/>
      <c r="E1187" s="33"/>
      <c r="F1187" s="32"/>
      <c r="G1187" s="32"/>
      <c r="H1187" s="32"/>
      <c r="I1187" s="32"/>
      <c r="J1187" s="32"/>
      <c r="K1187" s="32"/>
      <c r="L1187" s="32"/>
      <c r="M1187" s="30"/>
      <c r="N1187" s="32"/>
      <c r="O1187" s="34"/>
      <c r="P1187" s="32"/>
      <c r="Q1187" s="32"/>
      <c r="R1187" s="32"/>
      <c r="S1187" s="32"/>
      <c r="T1187" s="32"/>
      <c r="U1187" s="32"/>
      <c r="V1187" s="31"/>
      <c r="W1187" s="35" t="str">
        <f aca="true">IF(OR(V1187="",AG1187&gt;=8),"",IF(V1187&lt;TODAY(),"Vencida",IF(V1187=TODAY(),"Hoy","")))</f>
        <v/>
      </c>
      <c r="X1187" s="36" t="str">
        <f aca="false">IF(A1187="","",IF(COUNTIF(Seguimiento!$B$2:$B$5001,A1187)=0,"",_xlfn.MAXIFS(Seguimiento!$A$2:$A$5001,Seguimiento!$B$2:$B$5001,A1187)))</f>
        <v/>
      </c>
      <c r="Y1187" s="37" t="str">
        <f aca="true">IF(B1187="","",TODAY()-B1187)</f>
        <v/>
      </c>
      <c r="Z1187" s="38" t="str">
        <f aca="false">IF(OR(O1187="",G1187=""),"",O1187*IFERROR(INDEX(Listas!$B$2:$B$50,MATCH(G1187,Listas!$A$2:$A$50,0)),0))</f>
        <v/>
      </c>
      <c r="AA1187" s="32"/>
      <c r="AB1187" s="32"/>
      <c r="AC1187" s="32"/>
      <c r="AD1187" s="35" t="str">
        <f aca="false">IF(OR(LEFT(H1187,4)="Meta",LEFT(H1187,6)="Google"),IF(AG1187=3,"Lead calificado",IF(OR(AG1187=4,AG1187=5),"Tasación/visita",IF(OR(AG1187=6,AG1187=7),"Captación/oferta",IF(AG1187=8,"Cierre","")))),"")</f>
        <v/>
      </c>
      <c r="AE1187" s="32"/>
      <c r="AF1187" s="32"/>
      <c r="AG1187" s="37" t="n">
        <f aca="false">IF(R1187="",0,IFERROR(MATCH(R1187,Listas!$L$2:$L$50,0),0))</f>
        <v>0</v>
      </c>
    </row>
    <row r="1188" customFormat="false" ht="15" hidden="false" customHeight="false" outlineLevel="0" collapsed="false">
      <c r="A1188" s="30"/>
      <c r="B1188" s="31"/>
      <c r="C1188" s="32"/>
      <c r="D1188" s="32"/>
      <c r="E1188" s="33"/>
      <c r="F1188" s="32"/>
      <c r="G1188" s="32"/>
      <c r="H1188" s="32"/>
      <c r="I1188" s="32"/>
      <c r="J1188" s="32"/>
      <c r="K1188" s="32"/>
      <c r="L1188" s="32"/>
      <c r="M1188" s="30"/>
      <c r="N1188" s="32"/>
      <c r="O1188" s="34"/>
      <c r="P1188" s="32"/>
      <c r="Q1188" s="32"/>
      <c r="R1188" s="32"/>
      <c r="S1188" s="32"/>
      <c r="T1188" s="32"/>
      <c r="U1188" s="32"/>
      <c r="V1188" s="31"/>
      <c r="W1188" s="35" t="str">
        <f aca="true">IF(OR(V1188="",AG1188&gt;=8),"",IF(V1188&lt;TODAY(),"Vencida",IF(V1188=TODAY(),"Hoy","")))</f>
        <v/>
      </c>
      <c r="X1188" s="36" t="str">
        <f aca="false">IF(A1188="","",IF(COUNTIF(Seguimiento!$B$2:$B$5001,A1188)=0,"",_xlfn.MAXIFS(Seguimiento!$A$2:$A$5001,Seguimiento!$B$2:$B$5001,A1188)))</f>
        <v/>
      </c>
      <c r="Y1188" s="37" t="str">
        <f aca="true">IF(B1188="","",TODAY()-B1188)</f>
        <v/>
      </c>
      <c r="Z1188" s="38" t="str">
        <f aca="false">IF(OR(O1188="",G1188=""),"",O1188*IFERROR(INDEX(Listas!$B$2:$B$50,MATCH(G1188,Listas!$A$2:$A$50,0)),0))</f>
        <v/>
      </c>
      <c r="AA1188" s="32"/>
      <c r="AB1188" s="32"/>
      <c r="AC1188" s="32"/>
      <c r="AD1188" s="35" t="str">
        <f aca="false">IF(OR(LEFT(H1188,4)="Meta",LEFT(H1188,6)="Google"),IF(AG1188=3,"Lead calificado",IF(OR(AG1188=4,AG1188=5),"Tasación/visita",IF(OR(AG1188=6,AG1188=7),"Captación/oferta",IF(AG1188=8,"Cierre","")))),"")</f>
        <v/>
      </c>
      <c r="AE1188" s="32"/>
      <c r="AF1188" s="32"/>
      <c r="AG1188" s="37" t="n">
        <f aca="false">IF(R1188="",0,IFERROR(MATCH(R1188,Listas!$L$2:$L$50,0),0))</f>
        <v>0</v>
      </c>
    </row>
    <row r="1189" customFormat="false" ht="15" hidden="false" customHeight="false" outlineLevel="0" collapsed="false">
      <c r="A1189" s="30"/>
      <c r="B1189" s="31"/>
      <c r="C1189" s="32"/>
      <c r="D1189" s="32"/>
      <c r="E1189" s="33"/>
      <c r="F1189" s="32"/>
      <c r="G1189" s="32"/>
      <c r="H1189" s="32"/>
      <c r="I1189" s="32"/>
      <c r="J1189" s="32"/>
      <c r="K1189" s="32"/>
      <c r="L1189" s="32"/>
      <c r="M1189" s="30"/>
      <c r="N1189" s="32"/>
      <c r="O1189" s="34"/>
      <c r="P1189" s="32"/>
      <c r="Q1189" s="32"/>
      <c r="R1189" s="32"/>
      <c r="S1189" s="32"/>
      <c r="T1189" s="32"/>
      <c r="U1189" s="32"/>
      <c r="V1189" s="31"/>
      <c r="W1189" s="35" t="str">
        <f aca="true">IF(OR(V1189="",AG1189&gt;=8),"",IF(V1189&lt;TODAY(),"Vencida",IF(V1189=TODAY(),"Hoy","")))</f>
        <v/>
      </c>
      <c r="X1189" s="36" t="str">
        <f aca="false">IF(A1189="","",IF(COUNTIF(Seguimiento!$B$2:$B$5001,A1189)=0,"",_xlfn.MAXIFS(Seguimiento!$A$2:$A$5001,Seguimiento!$B$2:$B$5001,A1189)))</f>
        <v/>
      </c>
      <c r="Y1189" s="37" t="str">
        <f aca="true">IF(B1189="","",TODAY()-B1189)</f>
        <v/>
      </c>
      <c r="Z1189" s="38" t="str">
        <f aca="false">IF(OR(O1189="",G1189=""),"",O1189*IFERROR(INDEX(Listas!$B$2:$B$50,MATCH(G1189,Listas!$A$2:$A$50,0)),0))</f>
        <v/>
      </c>
      <c r="AA1189" s="32"/>
      <c r="AB1189" s="32"/>
      <c r="AC1189" s="32"/>
      <c r="AD1189" s="35" t="str">
        <f aca="false">IF(OR(LEFT(H1189,4)="Meta",LEFT(H1189,6)="Google"),IF(AG1189=3,"Lead calificado",IF(OR(AG1189=4,AG1189=5),"Tasación/visita",IF(OR(AG1189=6,AG1189=7),"Captación/oferta",IF(AG1189=8,"Cierre","")))),"")</f>
        <v/>
      </c>
      <c r="AE1189" s="32"/>
      <c r="AF1189" s="32"/>
      <c r="AG1189" s="37" t="n">
        <f aca="false">IF(R1189="",0,IFERROR(MATCH(R1189,Listas!$L$2:$L$50,0),0))</f>
        <v>0</v>
      </c>
    </row>
    <row r="1190" customFormat="false" ht="15" hidden="false" customHeight="false" outlineLevel="0" collapsed="false">
      <c r="A1190" s="30"/>
      <c r="B1190" s="31"/>
      <c r="C1190" s="32"/>
      <c r="D1190" s="32"/>
      <c r="E1190" s="33"/>
      <c r="F1190" s="32"/>
      <c r="G1190" s="32"/>
      <c r="H1190" s="32"/>
      <c r="I1190" s="32"/>
      <c r="J1190" s="32"/>
      <c r="K1190" s="32"/>
      <c r="L1190" s="32"/>
      <c r="M1190" s="30"/>
      <c r="N1190" s="32"/>
      <c r="O1190" s="34"/>
      <c r="P1190" s="32"/>
      <c r="Q1190" s="32"/>
      <c r="R1190" s="32"/>
      <c r="S1190" s="32"/>
      <c r="T1190" s="32"/>
      <c r="U1190" s="32"/>
      <c r="V1190" s="31"/>
      <c r="W1190" s="35" t="str">
        <f aca="true">IF(OR(V1190="",AG1190&gt;=8),"",IF(V1190&lt;TODAY(),"Vencida",IF(V1190=TODAY(),"Hoy","")))</f>
        <v/>
      </c>
      <c r="X1190" s="36" t="str">
        <f aca="false">IF(A1190="","",IF(COUNTIF(Seguimiento!$B$2:$B$5001,A1190)=0,"",_xlfn.MAXIFS(Seguimiento!$A$2:$A$5001,Seguimiento!$B$2:$B$5001,A1190)))</f>
        <v/>
      </c>
      <c r="Y1190" s="37" t="str">
        <f aca="true">IF(B1190="","",TODAY()-B1190)</f>
        <v/>
      </c>
      <c r="Z1190" s="38" t="str">
        <f aca="false">IF(OR(O1190="",G1190=""),"",O1190*IFERROR(INDEX(Listas!$B$2:$B$50,MATCH(G1190,Listas!$A$2:$A$50,0)),0))</f>
        <v/>
      </c>
      <c r="AA1190" s="32"/>
      <c r="AB1190" s="32"/>
      <c r="AC1190" s="32"/>
      <c r="AD1190" s="35" t="str">
        <f aca="false">IF(OR(LEFT(H1190,4)="Meta",LEFT(H1190,6)="Google"),IF(AG1190=3,"Lead calificado",IF(OR(AG1190=4,AG1190=5),"Tasación/visita",IF(OR(AG1190=6,AG1190=7),"Captación/oferta",IF(AG1190=8,"Cierre","")))),"")</f>
        <v/>
      </c>
      <c r="AE1190" s="32"/>
      <c r="AF1190" s="32"/>
      <c r="AG1190" s="37" t="n">
        <f aca="false">IF(R1190="",0,IFERROR(MATCH(R1190,Listas!$L$2:$L$50,0),0))</f>
        <v>0</v>
      </c>
    </row>
    <row r="1191" customFormat="false" ht="15" hidden="false" customHeight="false" outlineLevel="0" collapsed="false">
      <c r="A1191" s="30"/>
      <c r="B1191" s="31"/>
      <c r="C1191" s="32"/>
      <c r="D1191" s="32"/>
      <c r="E1191" s="33"/>
      <c r="F1191" s="32"/>
      <c r="G1191" s="32"/>
      <c r="H1191" s="32"/>
      <c r="I1191" s="32"/>
      <c r="J1191" s="32"/>
      <c r="K1191" s="32"/>
      <c r="L1191" s="32"/>
      <c r="M1191" s="30"/>
      <c r="N1191" s="32"/>
      <c r="O1191" s="34"/>
      <c r="P1191" s="32"/>
      <c r="Q1191" s="32"/>
      <c r="R1191" s="32"/>
      <c r="S1191" s="32"/>
      <c r="T1191" s="32"/>
      <c r="U1191" s="32"/>
      <c r="V1191" s="31"/>
      <c r="W1191" s="35" t="str">
        <f aca="true">IF(OR(V1191="",AG1191&gt;=8),"",IF(V1191&lt;TODAY(),"Vencida",IF(V1191=TODAY(),"Hoy","")))</f>
        <v/>
      </c>
      <c r="X1191" s="36" t="str">
        <f aca="false">IF(A1191="","",IF(COUNTIF(Seguimiento!$B$2:$B$5001,A1191)=0,"",_xlfn.MAXIFS(Seguimiento!$A$2:$A$5001,Seguimiento!$B$2:$B$5001,A1191)))</f>
        <v/>
      </c>
      <c r="Y1191" s="37" t="str">
        <f aca="true">IF(B1191="","",TODAY()-B1191)</f>
        <v/>
      </c>
      <c r="Z1191" s="38" t="str">
        <f aca="false">IF(OR(O1191="",G1191=""),"",O1191*IFERROR(INDEX(Listas!$B$2:$B$50,MATCH(G1191,Listas!$A$2:$A$50,0)),0))</f>
        <v/>
      </c>
      <c r="AA1191" s="32"/>
      <c r="AB1191" s="32"/>
      <c r="AC1191" s="32"/>
      <c r="AD1191" s="35" t="str">
        <f aca="false">IF(OR(LEFT(H1191,4)="Meta",LEFT(H1191,6)="Google"),IF(AG1191=3,"Lead calificado",IF(OR(AG1191=4,AG1191=5),"Tasación/visita",IF(OR(AG1191=6,AG1191=7),"Captación/oferta",IF(AG1191=8,"Cierre","")))),"")</f>
        <v/>
      </c>
      <c r="AE1191" s="32"/>
      <c r="AF1191" s="32"/>
      <c r="AG1191" s="37" t="n">
        <f aca="false">IF(R1191="",0,IFERROR(MATCH(R1191,Listas!$L$2:$L$50,0),0))</f>
        <v>0</v>
      </c>
    </row>
    <row r="1192" customFormat="false" ht="15" hidden="false" customHeight="false" outlineLevel="0" collapsed="false">
      <c r="A1192" s="30"/>
      <c r="B1192" s="31"/>
      <c r="C1192" s="32"/>
      <c r="D1192" s="32"/>
      <c r="E1192" s="33"/>
      <c r="F1192" s="32"/>
      <c r="G1192" s="32"/>
      <c r="H1192" s="32"/>
      <c r="I1192" s="32"/>
      <c r="J1192" s="32"/>
      <c r="K1192" s="32"/>
      <c r="L1192" s="32"/>
      <c r="M1192" s="30"/>
      <c r="N1192" s="32"/>
      <c r="O1192" s="34"/>
      <c r="P1192" s="32"/>
      <c r="Q1192" s="32"/>
      <c r="R1192" s="32"/>
      <c r="S1192" s="32"/>
      <c r="T1192" s="32"/>
      <c r="U1192" s="32"/>
      <c r="V1192" s="31"/>
      <c r="W1192" s="35" t="str">
        <f aca="true">IF(OR(V1192="",AG1192&gt;=8),"",IF(V1192&lt;TODAY(),"Vencida",IF(V1192=TODAY(),"Hoy","")))</f>
        <v/>
      </c>
      <c r="X1192" s="36" t="str">
        <f aca="false">IF(A1192="","",IF(COUNTIF(Seguimiento!$B$2:$B$5001,A1192)=0,"",_xlfn.MAXIFS(Seguimiento!$A$2:$A$5001,Seguimiento!$B$2:$B$5001,A1192)))</f>
        <v/>
      </c>
      <c r="Y1192" s="37" t="str">
        <f aca="true">IF(B1192="","",TODAY()-B1192)</f>
        <v/>
      </c>
      <c r="Z1192" s="38" t="str">
        <f aca="false">IF(OR(O1192="",G1192=""),"",O1192*IFERROR(INDEX(Listas!$B$2:$B$50,MATCH(G1192,Listas!$A$2:$A$50,0)),0))</f>
        <v/>
      </c>
      <c r="AA1192" s="32"/>
      <c r="AB1192" s="32"/>
      <c r="AC1192" s="32"/>
      <c r="AD1192" s="35" t="str">
        <f aca="false">IF(OR(LEFT(H1192,4)="Meta",LEFT(H1192,6)="Google"),IF(AG1192=3,"Lead calificado",IF(OR(AG1192=4,AG1192=5),"Tasación/visita",IF(OR(AG1192=6,AG1192=7),"Captación/oferta",IF(AG1192=8,"Cierre","")))),"")</f>
        <v/>
      </c>
      <c r="AE1192" s="32"/>
      <c r="AF1192" s="32"/>
      <c r="AG1192" s="37" t="n">
        <f aca="false">IF(R1192="",0,IFERROR(MATCH(R1192,Listas!$L$2:$L$50,0),0))</f>
        <v>0</v>
      </c>
    </row>
    <row r="1193" customFormat="false" ht="15" hidden="false" customHeight="false" outlineLevel="0" collapsed="false">
      <c r="A1193" s="30"/>
      <c r="B1193" s="31"/>
      <c r="C1193" s="32"/>
      <c r="D1193" s="32"/>
      <c r="E1193" s="33"/>
      <c r="F1193" s="32"/>
      <c r="G1193" s="32"/>
      <c r="H1193" s="32"/>
      <c r="I1193" s="32"/>
      <c r="J1193" s="32"/>
      <c r="K1193" s="32"/>
      <c r="L1193" s="32"/>
      <c r="M1193" s="30"/>
      <c r="N1193" s="32"/>
      <c r="O1193" s="34"/>
      <c r="P1193" s="32"/>
      <c r="Q1193" s="32"/>
      <c r="R1193" s="32"/>
      <c r="S1193" s="32"/>
      <c r="T1193" s="32"/>
      <c r="U1193" s="32"/>
      <c r="V1193" s="31"/>
      <c r="W1193" s="35" t="str">
        <f aca="true">IF(OR(V1193="",AG1193&gt;=8),"",IF(V1193&lt;TODAY(),"Vencida",IF(V1193=TODAY(),"Hoy","")))</f>
        <v/>
      </c>
      <c r="X1193" s="36" t="str">
        <f aca="false">IF(A1193="","",IF(COUNTIF(Seguimiento!$B$2:$B$5001,A1193)=0,"",_xlfn.MAXIFS(Seguimiento!$A$2:$A$5001,Seguimiento!$B$2:$B$5001,A1193)))</f>
        <v/>
      </c>
      <c r="Y1193" s="37" t="str">
        <f aca="true">IF(B1193="","",TODAY()-B1193)</f>
        <v/>
      </c>
      <c r="Z1193" s="38" t="str">
        <f aca="false">IF(OR(O1193="",G1193=""),"",O1193*IFERROR(INDEX(Listas!$B$2:$B$50,MATCH(G1193,Listas!$A$2:$A$50,0)),0))</f>
        <v/>
      </c>
      <c r="AA1193" s="32"/>
      <c r="AB1193" s="32"/>
      <c r="AC1193" s="32"/>
      <c r="AD1193" s="35" t="str">
        <f aca="false">IF(OR(LEFT(H1193,4)="Meta",LEFT(H1193,6)="Google"),IF(AG1193=3,"Lead calificado",IF(OR(AG1193=4,AG1193=5),"Tasación/visita",IF(OR(AG1193=6,AG1193=7),"Captación/oferta",IF(AG1193=8,"Cierre","")))),"")</f>
        <v/>
      </c>
      <c r="AE1193" s="32"/>
      <c r="AF1193" s="32"/>
      <c r="AG1193" s="37" t="n">
        <f aca="false">IF(R1193="",0,IFERROR(MATCH(R1193,Listas!$L$2:$L$50,0),0))</f>
        <v>0</v>
      </c>
    </row>
    <row r="1194" customFormat="false" ht="15" hidden="false" customHeight="false" outlineLevel="0" collapsed="false">
      <c r="A1194" s="30"/>
      <c r="B1194" s="31"/>
      <c r="C1194" s="32"/>
      <c r="D1194" s="32"/>
      <c r="E1194" s="33"/>
      <c r="F1194" s="32"/>
      <c r="G1194" s="32"/>
      <c r="H1194" s="32"/>
      <c r="I1194" s="32"/>
      <c r="J1194" s="32"/>
      <c r="K1194" s="32"/>
      <c r="L1194" s="32"/>
      <c r="M1194" s="30"/>
      <c r="N1194" s="32"/>
      <c r="O1194" s="34"/>
      <c r="P1194" s="32"/>
      <c r="Q1194" s="32"/>
      <c r="R1194" s="32"/>
      <c r="S1194" s="32"/>
      <c r="T1194" s="32"/>
      <c r="U1194" s="32"/>
      <c r="V1194" s="31"/>
      <c r="W1194" s="35" t="str">
        <f aca="true">IF(OR(V1194="",AG1194&gt;=8),"",IF(V1194&lt;TODAY(),"Vencida",IF(V1194=TODAY(),"Hoy","")))</f>
        <v/>
      </c>
      <c r="X1194" s="36" t="str">
        <f aca="false">IF(A1194="","",IF(COUNTIF(Seguimiento!$B$2:$B$5001,A1194)=0,"",_xlfn.MAXIFS(Seguimiento!$A$2:$A$5001,Seguimiento!$B$2:$B$5001,A1194)))</f>
        <v/>
      </c>
      <c r="Y1194" s="37" t="str">
        <f aca="true">IF(B1194="","",TODAY()-B1194)</f>
        <v/>
      </c>
      <c r="Z1194" s="38" t="str">
        <f aca="false">IF(OR(O1194="",G1194=""),"",O1194*IFERROR(INDEX(Listas!$B$2:$B$50,MATCH(G1194,Listas!$A$2:$A$50,0)),0))</f>
        <v/>
      </c>
      <c r="AA1194" s="32"/>
      <c r="AB1194" s="32"/>
      <c r="AC1194" s="32"/>
      <c r="AD1194" s="35" t="str">
        <f aca="false">IF(OR(LEFT(H1194,4)="Meta",LEFT(H1194,6)="Google"),IF(AG1194=3,"Lead calificado",IF(OR(AG1194=4,AG1194=5),"Tasación/visita",IF(OR(AG1194=6,AG1194=7),"Captación/oferta",IF(AG1194=8,"Cierre","")))),"")</f>
        <v/>
      </c>
      <c r="AE1194" s="32"/>
      <c r="AF1194" s="32"/>
      <c r="AG1194" s="37" t="n">
        <f aca="false">IF(R1194="",0,IFERROR(MATCH(R1194,Listas!$L$2:$L$50,0),0))</f>
        <v>0</v>
      </c>
    </row>
    <row r="1195" customFormat="false" ht="15" hidden="false" customHeight="false" outlineLevel="0" collapsed="false">
      <c r="A1195" s="30"/>
      <c r="B1195" s="31"/>
      <c r="C1195" s="32"/>
      <c r="D1195" s="32"/>
      <c r="E1195" s="33"/>
      <c r="F1195" s="32"/>
      <c r="G1195" s="32"/>
      <c r="H1195" s="32"/>
      <c r="I1195" s="32"/>
      <c r="J1195" s="32"/>
      <c r="K1195" s="32"/>
      <c r="L1195" s="32"/>
      <c r="M1195" s="30"/>
      <c r="N1195" s="32"/>
      <c r="O1195" s="34"/>
      <c r="P1195" s="32"/>
      <c r="Q1195" s="32"/>
      <c r="R1195" s="32"/>
      <c r="S1195" s="32"/>
      <c r="T1195" s="32"/>
      <c r="U1195" s="32"/>
      <c r="V1195" s="31"/>
      <c r="W1195" s="35" t="str">
        <f aca="true">IF(OR(V1195="",AG1195&gt;=8),"",IF(V1195&lt;TODAY(),"Vencida",IF(V1195=TODAY(),"Hoy","")))</f>
        <v/>
      </c>
      <c r="X1195" s="36" t="str">
        <f aca="false">IF(A1195="","",IF(COUNTIF(Seguimiento!$B$2:$B$5001,A1195)=0,"",_xlfn.MAXIFS(Seguimiento!$A$2:$A$5001,Seguimiento!$B$2:$B$5001,A1195)))</f>
        <v/>
      </c>
      <c r="Y1195" s="37" t="str">
        <f aca="true">IF(B1195="","",TODAY()-B1195)</f>
        <v/>
      </c>
      <c r="Z1195" s="38" t="str">
        <f aca="false">IF(OR(O1195="",G1195=""),"",O1195*IFERROR(INDEX(Listas!$B$2:$B$50,MATCH(G1195,Listas!$A$2:$A$50,0)),0))</f>
        <v/>
      </c>
      <c r="AA1195" s="32"/>
      <c r="AB1195" s="32"/>
      <c r="AC1195" s="32"/>
      <c r="AD1195" s="35" t="str">
        <f aca="false">IF(OR(LEFT(H1195,4)="Meta",LEFT(H1195,6)="Google"),IF(AG1195=3,"Lead calificado",IF(OR(AG1195=4,AG1195=5),"Tasación/visita",IF(OR(AG1195=6,AG1195=7),"Captación/oferta",IF(AG1195=8,"Cierre","")))),"")</f>
        <v/>
      </c>
      <c r="AE1195" s="32"/>
      <c r="AF1195" s="32"/>
      <c r="AG1195" s="37" t="n">
        <f aca="false">IF(R1195="",0,IFERROR(MATCH(R1195,Listas!$L$2:$L$50,0),0))</f>
        <v>0</v>
      </c>
    </row>
    <row r="1196" customFormat="false" ht="15" hidden="false" customHeight="false" outlineLevel="0" collapsed="false">
      <c r="A1196" s="30"/>
      <c r="B1196" s="31"/>
      <c r="C1196" s="32"/>
      <c r="D1196" s="32"/>
      <c r="E1196" s="33"/>
      <c r="F1196" s="32"/>
      <c r="G1196" s="32"/>
      <c r="H1196" s="32"/>
      <c r="I1196" s="32"/>
      <c r="J1196" s="32"/>
      <c r="K1196" s="32"/>
      <c r="L1196" s="32"/>
      <c r="M1196" s="30"/>
      <c r="N1196" s="32"/>
      <c r="O1196" s="34"/>
      <c r="P1196" s="32"/>
      <c r="Q1196" s="32"/>
      <c r="R1196" s="32"/>
      <c r="S1196" s="32"/>
      <c r="T1196" s="32"/>
      <c r="U1196" s="32"/>
      <c r="V1196" s="31"/>
      <c r="W1196" s="35" t="str">
        <f aca="true">IF(OR(V1196="",AG1196&gt;=8),"",IF(V1196&lt;TODAY(),"Vencida",IF(V1196=TODAY(),"Hoy","")))</f>
        <v/>
      </c>
      <c r="X1196" s="36" t="str">
        <f aca="false">IF(A1196="","",IF(COUNTIF(Seguimiento!$B$2:$B$5001,A1196)=0,"",_xlfn.MAXIFS(Seguimiento!$A$2:$A$5001,Seguimiento!$B$2:$B$5001,A1196)))</f>
        <v/>
      </c>
      <c r="Y1196" s="37" t="str">
        <f aca="true">IF(B1196="","",TODAY()-B1196)</f>
        <v/>
      </c>
      <c r="Z1196" s="38" t="str">
        <f aca="false">IF(OR(O1196="",G1196=""),"",O1196*IFERROR(INDEX(Listas!$B$2:$B$50,MATCH(G1196,Listas!$A$2:$A$50,0)),0))</f>
        <v/>
      </c>
      <c r="AA1196" s="32"/>
      <c r="AB1196" s="32"/>
      <c r="AC1196" s="32"/>
      <c r="AD1196" s="35" t="str">
        <f aca="false">IF(OR(LEFT(H1196,4)="Meta",LEFT(H1196,6)="Google"),IF(AG1196=3,"Lead calificado",IF(OR(AG1196=4,AG1196=5),"Tasación/visita",IF(OR(AG1196=6,AG1196=7),"Captación/oferta",IF(AG1196=8,"Cierre","")))),"")</f>
        <v/>
      </c>
      <c r="AE1196" s="32"/>
      <c r="AF1196" s="32"/>
      <c r="AG1196" s="37" t="n">
        <f aca="false">IF(R1196="",0,IFERROR(MATCH(R1196,Listas!$L$2:$L$50,0),0))</f>
        <v>0</v>
      </c>
    </row>
    <row r="1197" customFormat="false" ht="15" hidden="false" customHeight="false" outlineLevel="0" collapsed="false">
      <c r="A1197" s="30"/>
      <c r="B1197" s="31"/>
      <c r="C1197" s="32"/>
      <c r="D1197" s="32"/>
      <c r="E1197" s="33"/>
      <c r="F1197" s="32"/>
      <c r="G1197" s="32"/>
      <c r="H1197" s="32"/>
      <c r="I1197" s="32"/>
      <c r="J1197" s="32"/>
      <c r="K1197" s="32"/>
      <c r="L1197" s="32"/>
      <c r="M1197" s="30"/>
      <c r="N1197" s="32"/>
      <c r="O1197" s="34"/>
      <c r="P1197" s="32"/>
      <c r="Q1197" s="32"/>
      <c r="R1197" s="32"/>
      <c r="S1197" s="32"/>
      <c r="T1197" s="32"/>
      <c r="U1197" s="32"/>
      <c r="V1197" s="31"/>
      <c r="W1197" s="35" t="str">
        <f aca="true">IF(OR(V1197="",AG1197&gt;=8),"",IF(V1197&lt;TODAY(),"Vencida",IF(V1197=TODAY(),"Hoy","")))</f>
        <v/>
      </c>
      <c r="X1197" s="36" t="str">
        <f aca="false">IF(A1197="","",IF(COUNTIF(Seguimiento!$B$2:$B$5001,A1197)=0,"",_xlfn.MAXIFS(Seguimiento!$A$2:$A$5001,Seguimiento!$B$2:$B$5001,A1197)))</f>
        <v/>
      </c>
      <c r="Y1197" s="37" t="str">
        <f aca="true">IF(B1197="","",TODAY()-B1197)</f>
        <v/>
      </c>
      <c r="Z1197" s="38" t="str">
        <f aca="false">IF(OR(O1197="",G1197=""),"",O1197*IFERROR(INDEX(Listas!$B$2:$B$50,MATCH(G1197,Listas!$A$2:$A$50,0)),0))</f>
        <v/>
      </c>
      <c r="AA1197" s="32"/>
      <c r="AB1197" s="32"/>
      <c r="AC1197" s="32"/>
      <c r="AD1197" s="35" t="str">
        <f aca="false">IF(OR(LEFT(H1197,4)="Meta",LEFT(H1197,6)="Google"),IF(AG1197=3,"Lead calificado",IF(OR(AG1197=4,AG1197=5),"Tasación/visita",IF(OR(AG1197=6,AG1197=7),"Captación/oferta",IF(AG1197=8,"Cierre","")))),"")</f>
        <v/>
      </c>
      <c r="AE1197" s="32"/>
      <c r="AF1197" s="32"/>
      <c r="AG1197" s="37" t="n">
        <f aca="false">IF(R1197="",0,IFERROR(MATCH(R1197,Listas!$L$2:$L$50,0),0))</f>
        <v>0</v>
      </c>
    </row>
    <row r="1198" customFormat="false" ht="15" hidden="false" customHeight="false" outlineLevel="0" collapsed="false">
      <c r="A1198" s="30"/>
      <c r="B1198" s="31"/>
      <c r="C1198" s="32"/>
      <c r="D1198" s="32"/>
      <c r="E1198" s="33"/>
      <c r="F1198" s="32"/>
      <c r="G1198" s="32"/>
      <c r="H1198" s="32"/>
      <c r="I1198" s="32"/>
      <c r="J1198" s="32"/>
      <c r="K1198" s="32"/>
      <c r="L1198" s="32"/>
      <c r="M1198" s="30"/>
      <c r="N1198" s="32"/>
      <c r="O1198" s="34"/>
      <c r="P1198" s="32"/>
      <c r="Q1198" s="32"/>
      <c r="R1198" s="32"/>
      <c r="S1198" s="32"/>
      <c r="T1198" s="32"/>
      <c r="U1198" s="32"/>
      <c r="V1198" s="31"/>
      <c r="W1198" s="35" t="str">
        <f aca="true">IF(OR(V1198="",AG1198&gt;=8),"",IF(V1198&lt;TODAY(),"Vencida",IF(V1198=TODAY(),"Hoy","")))</f>
        <v/>
      </c>
      <c r="X1198" s="36" t="str">
        <f aca="false">IF(A1198="","",IF(COUNTIF(Seguimiento!$B$2:$B$5001,A1198)=0,"",_xlfn.MAXIFS(Seguimiento!$A$2:$A$5001,Seguimiento!$B$2:$B$5001,A1198)))</f>
        <v/>
      </c>
      <c r="Y1198" s="37" t="str">
        <f aca="true">IF(B1198="","",TODAY()-B1198)</f>
        <v/>
      </c>
      <c r="Z1198" s="38" t="str">
        <f aca="false">IF(OR(O1198="",G1198=""),"",O1198*IFERROR(INDEX(Listas!$B$2:$B$50,MATCH(G1198,Listas!$A$2:$A$50,0)),0))</f>
        <v/>
      </c>
      <c r="AA1198" s="32"/>
      <c r="AB1198" s="32"/>
      <c r="AC1198" s="32"/>
      <c r="AD1198" s="35" t="str">
        <f aca="false">IF(OR(LEFT(H1198,4)="Meta",LEFT(H1198,6)="Google"),IF(AG1198=3,"Lead calificado",IF(OR(AG1198=4,AG1198=5),"Tasación/visita",IF(OR(AG1198=6,AG1198=7),"Captación/oferta",IF(AG1198=8,"Cierre","")))),"")</f>
        <v/>
      </c>
      <c r="AE1198" s="32"/>
      <c r="AF1198" s="32"/>
      <c r="AG1198" s="37" t="n">
        <f aca="false">IF(R1198="",0,IFERROR(MATCH(R1198,Listas!$L$2:$L$50,0),0))</f>
        <v>0</v>
      </c>
    </row>
    <row r="1199" customFormat="false" ht="15" hidden="false" customHeight="false" outlineLevel="0" collapsed="false">
      <c r="A1199" s="30"/>
      <c r="B1199" s="31"/>
      <c r="C1199" s="32"/>
      <c r="D1199" s="32"/>
      <c r="E1199" s="33"/>
      <c r="F1199" s="32"/>
      <c r="G1199" s="32"/>
      <c r="H1199" s="32"/>
      <c r="I1199" s="32"/>
      <c r="J1199" s="32"/>
      <c r="K1199" s="32"/>
      <c r="L1199" s="32"/>
      <c r="M1199" s="30"/>
      <c r="N1199" s="32"/>
      <c r="O1199" s="34"/>
      <c r="P1199" s="32"/>
      <c r="Q1199" s="32"/>
      <c r="R1199" s="32"/>
      <c r="S1199" s="32"/>
      <c r="T1199" s="32"/>
      <c r="U1199" s="32"/>
      <c r="V1199" s="31"/>
      <c r="W1199" s="35" t="str">
        <f aca="true">IF(OR(V1199="",AG1199&gt;=8),"",IF(V1199&lt;TODAY(),"Vencida",IF(V1199=TODAY(),"Hoy","")))</f>
        <v/>
      </c>
      <c r="X1199" s="36" t="str">
        <f aca="false">IF(A1199="","",IF(COUNTIF(Seguimiento!$B$2:$B$5001,A1199)=0,"",_xlfn.MAXIFS(Seguimiento!$A$2:$A$5001,Seguimiento!$B$2:$B$5001,A1199)))</f>
        <v/>
      </c>
      <c r="Y1199" s="37" t="str">
        <f aca="true">IF(B1199="","",TODAY()-B1199)</f>
        <v/>
      </c>
      <c r="Z1199" s="38" t="str">
        <f aca="false">IF(OR(O1199="",G1199=""),"",O1199*IFERROR(INDEX(Listas!$B$2:$B$50,MATCH(G1199,Listas!$A$2:$A$50,0)),0))</f>
        <v/>
      </c>
      <c r="AA1199" s="32"/>
      <c r="AB1199" s="32"/>
      <c r="AC1199" s="32"/>
      <c r="AD1199" s="35" t="str">
        <f aca="false">IF(OR(LEFT(H1199,4)="Meta",LEFT(H1199,6)="Google"),IF(AG1199=3,"Lead calificado",IF(OR(AG1199=4,AG1199=5),"Tasación/visita",IF(OR(AG1199=6,AG1199=7),"Captación/oferta",IF(AG1199=8,"Cierre","")))),"")</f>
        <v/>
      </c>
      <c r="AE1199" s="32"/>
      <c r="AF1199" s="32"/>
      <c r="AG1199" s="37" t="n">
        <f aca="false">IF(R1199="",0,IFERROR(MATCH(R1199,Listas!$L$2:$L$50,0),0))</f>
        <v>0</v>
      </c>
    </row>
    <row r="1200" customFormat="false" ht="15" hidden="false" customHeight="false" outlineLevel="0" collapsed="false">
      <c r="A1200" s="30"/>
      <c r="B1200" s="31"/>
      <c r="C1200" s="32"/>
      <c r="D1200" s="32"/>
      <c r="E1200" s="33"/>
      <c r="F1200" s="32"/>
      <c r="G1200" s="32"/>
      <c r="H1200" s="32"/>
      <c r="I1200" s="32"/>
      <c r="J1200" s="32"/>
      <c r="K1200" s="32"/>
      <c r="L1200" s="32"/>
      <c r="M1200" s="30"/>
      <c r="N1200" s="32"/>
      <c r="O1200" s="34"/>
      <c r="P1200" s="32"/>
      <c r="Q1200" s="32"/>
      <c r="R1200" s="32"/>
      <c r="S1200" s="32"/>
      <c r="T1200" s="32"/>
      <c r="U1200" s="32"/>
      <c r="V1200" s="31"/>
      <c r="W1200" s="35" t="str">
        <f aca="true">IF(OR(V1200="",AG1200&gt;=8),"",IF(V1200&lt;TODAY(),"Vencida",IF(V1200=TODAY(),"Hoy","")))</f>
        <v/>
      </c>
      <c r="X1200" s="36" t="str">
        <f aca="false">IF(A1200="","",IF(COUNTIF(Seguimiento!$B$2:$B$5001,A1200)=0,"",_xlfn.MAXIFS(Seguimiento!$A$2:$A$5001,Seguimiento!$B$2:$B$5001,A1200)))</f>
        <v/>
      </c>
      <c r="Y1200" s="37" t="str">
        <f aca="true">IF(B1200="","",TODAY()-B1200)</f>
        <v/>
      </c>
      <c r="Z1200" s="38" t="str">
        <f aca="false">IF(OR(O1200="",G1200=""),"",O1200*IFERROR(INDEX(Listas!$B$2:$B$50,MATCH(G1200,Listas!$A$2:$A$50,0)),0))</f>
        <v/>
      </c>
      <c r="AA1200" s="32"/>
      <c r="AB1200" s="32"/>
      <c r="AC1200" s="32"/>
      <c r="AD1200" s="35" t="str">
        <f aca="false">IF(OR(LEFT(H1200,4)="Meta",LEFT(H1200,6)="Google"),IF(AG1200=3,"Lead calificado",IF(OR(AG1200=4,AG1200=5),"Tasación/visita",IF(OR(AG1200=6,AG1200=7),"Captación/oferta",IF(AG1200=8,"Cierre","")))),"")</f>
        <v/>
      </c>
      <c r="AE1200" s="32"/>
      <c r="AF1200" s="32"/>
      <c r="AG1200" s="37" t="n">
        <f aca="false">IF(R1200="",0,IFERROR(MATCH(R1200,Listas!$L$2:$L$50,0),0))</f>
        <v>0</v>
      </c>
    </row>
    <row r="1201" customFormat="false" ht="15" hidden="false" customHeight="false" outlineLevel="0" collapsed="false">
      <c r="A1201" s="30"/>
      <c r="B1201" s="31"/>
      <c r="C1201" s="32"/>
      <c r="D1201" s="32"/>
      <c r="E1201" s="33"/>
      <c r="F1201" s="32"/>
      <c r="G1201" s="32"/>
      <c r="H1201" s="32"/>
      <c r="I1201" s="32"/>
      <c r="J1201" s="32"/>
      <c r="K1201" s="32"/>
      <c r="L1201" s="32"/>
      <c r="M1201" s="30"/>
      <c r="N1201" s="32"/>
      <c r="O1201" s="34"/>
      <c r="P1201" s="32"/>
      <c r="Q1201" s="32"/>
      <c r="R1201" s="32"/>
      <c r="S1201" s="32"/>
      <c r="T1201" s="32"/>
      <c r="U1201" s="32"/>
      <c r="V1201" s="31"/>
      <c r="W1201" s="35" t="str">
        <f aca="true">IF(OR(V1201="",AG1201&gt;=8),"",IF(V1201&lt;TODAY(),"Vencida",IF(V1201=TODAY(),"Hoy","")))</f>
        <v/>
      </c>
      <c r="X1201" s="36" t="str">
        <f aca="false">IF(A1201="","",IF(COUNTIF(Seguimiento!$B$2:$B$5001,A1201)=0,"",_xlfn.MAXIFS(Seguimiento!$A$2:$A$5001,Seguimiento!$B$2:$B$5001,A1201)))</f>
        <v/>
      </c>
      <c r="Y1201" s="37" t="str">
        <f aca="true">IF(B1201="","",TODAY()-B1201)</f>
        <v/>
      </c>
      <c r="Z1201" s="38" t="str">
        <f aca="false">IF(OR(O1201="",G1201=""),"",O1201*IFERROR(INDEX(Listas!$B$2:$B$50,MATCH(G1201,Listas!$A$2:$A$50,0)),0))</f>
        <v/>
      </c>
      <c r="AA1201" s="32"/>
      <c r="AB1201" s="32"/>
      <c r="AC1201" s="32"/>
      <c r="AD1201" s="35" t="str">
        <f aca="false">IF(OR(LEFT(H1201,4)="Meta",LEFT(H1201,6)="Google"),IF(AG1201=3,"Lead calificado",IF(OR(AG1201=4,AG1201=5),"Tasación/visita",IF(OR(AG1201=6,AG1201=7),"Captación/oferta",IF(AG1201=8,"Cierre","")))),"")</f>
        <v/>
      </c>
      <c r="AE1201" s="32"/>
      <c r="AF1201" s="32"/>
      <c r="AG1201" s="37" t="n">
        <f aca="false">IF(R1201="",0,IFERROR(MATCH(R1201,Listas!$L$2:$L$50,0),0))</f>
        <v>0</v>
      </c>
    </row>
    <row r="1202" customFormat="false" ht="15" hidden="false" customHeight="false" outlineLevel="0" collapsed="false">
      <c r="A1202" s="30"/>
      <c r="B1202" s="31"/>
      <c r="C1202" s="32"/>
      <c r="D1202" s="32"/>
      <c r="E1202" s="33"/>
      <c r="F1202" s="32"/>
      <c r="G1202" s="32"/>
      <c r="H1202" s="32"/>
      <c r="I1202" s="32"/>
      <c r="J1202" s="32"/>
      <c r="K1202" s="32"/>
      <c r="L1202" s="32"/>
      <c r="M1202" s="30"/>
      <c r="N1202" s="32"/>
      <c r="O1202" s="34"/>
      <c r="P1202" s="32"/>
      <c r="Q1202" s="32"/>
      <c r="R1202" s="32"/>
      <c r="S1202" s="32"/>
      <c r="T1202" s="32"/>
      <c r="U1202" s="32"/>
      <c r="V1202" s="31"/>
      <c r="W1202" s="35" t="str">
        <f aca="true">IF(OR(V1202="",AG1202&gt;=8),"",IF(V1202&lt;TODAY(),"Vencida",IF(V1202=TODAY(),"Hoy","")))</f>
        <v/>
      </c>
      <c r="X1202" s="36" t="str">
        <f aca="false">IF(A1202="","",IF(COUNTIF(Seguimiento!$B$2:$B$5001,A1202)=0,"",_xlfn.MAXIFS(Seguimiento!$A$2:$A$5001,Seguimiento!$B$2:$B$5001,A1202)))</f>
        <v/>
      </c>
      <c r="Y1202" s="37" t="str">
        <f aca="true">IF(B1202="","",TODAY()-B1202)</f>
        <v/>
      </c>
      <c r="Z1202" s="38" t="str">
        <f aca="false">IF(OR(O1202="",G1202=""),"",O1202*IFERROR(INDEX(Listas!$B$2:$B$50,MATCH(G1202,Listas!$A$2:$A$50,0)),0))</f>
        <v/>
      </c>
      <c r="AA1202" s="32"/>
      <c r="AB1202" s="32"/>
      <c r="AC1202" s="32"/>
      <c r="AD1202" s="35" t="str">
        <f aca="false">IF(OR(LEFT(H1202,4)="Meta",LEFT(H1202,6)="Google"),IF(AG1202=3,"Lead calificado",IF(OR(AG1202=4,AG1202=5),"Tasación/visita",IF(OR(AG1202=6,AG1202=7),"Captación/oferta",IF(AG1202=8,"Cierre","")))),"")</f>
        <v/>
      </c>
      <c r="AE1202" s="32"/>
      <c r="AF1202" s="32"/>
      <c r="AG1202" s="37" t="n">
        <f aca="false">IF(R1202="",0,IFERROR(MATCH(R1202,Listas!$L$2:$L$50,0),0))</f>
        <v>0</v>
      </c>
    </row>
    <row r="1203" customFormat="false" ht="15" hidden="false" customHeight="false" outlineLevel="0" collapsed="false">
      <c r="A1203" s="30"/>
      <c r="B1203" s="31"/>
      <c r="C1203" s="32"/>
      <c r="D1203" s="32"/>
      <c r="E1203" s="33"/>
      <c r="F1203" s="32"/>
      <c r="G1203" s="32"/>
      <c r="H1203" s="32"/>
      <c r="I1203" s="32"/>
      <c r="J1203" s="32"/>
      <c r="K1203" s="32"/>
      <c r="L1203" s="32"/>
      <c r="M1203" s="30"/>
      <c r="N1203" s="32"/>
      <c r="O1203" s="34"/>
      <c r="P1203" s="32"/>
      <c r="Q1203" s="32"/>
      <c r="R1203" s="32"/>
      <c r="S1203" s="32"/>
      <c r="T1203" s="32"/>
      <c r="U1203" s="32"/>
      <c r="V1203" s="31"/>
      <c r="W1203" s="35" t="str">
        <f aca="true">IF(OR(V1203="",AG1203&gt;=8),"",IF(V1203&lt;TODAY(),"Vencida",IF(V1203=TODAY(),"Hoy","")))</f>
        <v/>
      </c>
      <c r="X1203" s="36" t="str">
        <f aca="false">IF(A1203="","",IF(COUNTIF(Seguimiento!$B$2:$B$5001,A1203)=0,"",_xlfn.MAXIFS(Seguimiento!$A$2:$A$5001,Seguimiento!$B$2:$B$5001,A1203)))</f>
        <v/>
      </c>
      <c r="Y1203" s="37" t="str">
        <f aca="true">IF(B1203="","",TODAY()-B1203)</f>
        <v/>
      </c>
      <c r="Z1203" s="38" t="str">
        <f aca="false">IF(OR(O1203="",G1203=""),"",O1203*IFERROR(INDEX(Listas!$B$2:$B$50,MATCH(G1203,Listas!$A$2:$A$50,0)),0))</f>
        <v/>
      </c>
      <c r="AA1203" s="32"/>
      <c r="AB1203" s="32"/>
      <c r="AC1203" s="32"/>
      <c r="AD1203" s="35" t="str">
        <f aca="false">IF(OR(LEFT(H1203,4)="Meta",LEFT(H1203,6)="Google"),IF(AG1203=3,"Lead calificado",IF(OR(AG1203=4,AG1203=5),"Tasación/visita",IF(OR(AG1203=6,AG1203=7),"Captación/oferta",IF(AG1203=8,"Cierre","")))),"")</f>
        <v/>
      </c>
      <c r="AE1203" s="32"/>
      <c r="AF1203" s="32"/>
      <c r="AG1203" s="37" t="n">
        <f aca="false">IF(R1203="",0,IFERROR(MATCH(R1203,Listas!$L$2:$L$50,0),0))</f>
        <v>0</v>
      </c>
    </row>
    <row r="1204" customFormat="false" ht="15" hidden="false" customHeight="false" outlineLevel="0" collapsed="false">
      <c r="A1204" s="30"/>
      <c r="B1204" s="31"/>
      <c r="C1204" s="32"/>
      <c r="D1204" s="32"/>
      <c r="E1204" s="33"/>
      <c r="F1204" s="32"/>
      <c r="G1204" s="32"/>
      <c r="H1204" s="32"/>
      <c r="I1204" s="32"/>
      <c r="J1204" s="32"/>
      <c r="K1204" s="32"/>
      <c r="L1204" s="32"/>
      <c r="M1204" s="30"/>
      <c r="N1204" s="32"/>
      <c r="O1204" s="34"/>
      <c r="P1204" s="32"/>
      <c r="Q1204" s="32"/>
      <c r="R1204" s="32"/>
      <c r="S1204" s="32"/>
      <c r="T1204" s="32"/>
      <c r="U1204" s="32"/>
      <c r="V1204" s="31"/>
      <c r="W1204" s="35" t="str">
        <f aca="true">IF(OR(V1204="",AG1204&gt;=8),"",IF(V1204&lt;TODAY(),"Vencida",IF(V1204=TODAY(),"Hoy","")))</f>
        <v/>
      </c>
      <c r="X1204" s="36" t="str">
        <f aca="false">IF(A1204="","",IF(COUNTIF(Seguimiento!$B$2:$B$5001,A1204)=0,"",_xlfn.MAXIFS(Seguimiento!$A$2:$A$5001,Seguimiento!$B$2:$B$5001,A1204)))</f>
        <v/>
      </c>
      <c r="Y1204" s="37" t="str">
        <f aca="true">IF(B1204="","",TODAY()-B1204)</f>
        <v/>
      </c>
      <c r="Z1204" s="38" t="str">
        <f aca="false">IF(OR(O1204="",G1204=""),"",O1204*IFERROR(INDEX(Listas!$B$2:$B$50,MATCH(G1204,Listas!$A$2:$A$50,0)),0))</f>
        <v/>
      </c>
      <c r="AA1204" s="32"/>
      <c r="AB1204" s="32"/>
      <c r="AC1204" s="32"/>
      <c r="AD1204" s="35" t="str">
        <f aca="false">IF(OR(LEFT(H1204,4)="Meta",LEFT(H1204,6)="Google"),IF(AG1204=3,"Lead calificado",IF(OR(AG1204=4,AG1204=5),"Tasación/visita",IF(OR(AG1204=6,AG1204=7),"Captación/oferta",IF(AG1204=8,"Cierre","")))),"")</f>
        <v/>
      </c>
      <c r="AE1204" s="32"/>
      <c r="AF1204" s="32"/>
      <c r="AG1204" s="37" t="n">
        <f aca="false">IF(R1204="",0,IFERROR(MATCH(R1204,Listas!$L$2:$L$50,0),0))</f>
        <v>0</v>
      </c>
    </row>
    <row r="1205" customFormat="false" ht="15" hidden="false" customHeight="false" outlineLevel="0" collapsed="false">
      <c r="A1205" s="30"/>
      <c r="B1205" s="31"/>
      <c r="C1205" s="32"/>
      <c r="D1205" s="32"/>
      <c r="E1205" s="33"/>
      <c r="F1205" s="32"/>
      <c r="G1205" s="32"/>
      <c r="H1205" s="32"/>
      <c r="I1205" s="32"/>
      <c r="J1205" s="32"/>
      <c r="K1205" s="32"/>
      <c r="L1205" s="32"/>
      <c r="M1205" s="30"/>
      <c r="N1205" s="32"/>
      <c r="O1205" s="34"/>
      <c r="P1205" s="32"/>
      <c r="Q1205" s="32"/>
      <c r="R1205" s="32"/>
      <c r="S1205" s="32"/>
      <c r="T1205" s="32"/>
      <c r="U1205" s="32"/>
      <c r="V1205" s="31"/>
      <c r="W1205" s="35" t="str">
        <f aca="true">IF(OR(V1205="",AG1205&gt;=8),"",IF(V1205&lt;TODAY(),"Vencida",IF(V1205=TODAY(),"Hoy","")))</f>
        <v/>
      </c>
      <c r="X1205" s="36" t="str">
        <f aca="false">IF(A1205="","",IF(COUNTIF(Seguimiento!$B$2:$B$5001,A1205)=0,"",_xlfn.MAXIFS(Seguimiento!$A$2:$A$5001,Seguimiento!$B$2:$B$5001,A1205)))</f>
        <v/>
      </c>
      <c r="Y1205" s="37" t="str">
        <f aca="true">IF(B1205="","",TODAY()-B1205)</f>
        <v/>
      </c>
      <c r="Z1205" s="38" t="str">
        <f aca="false">IF(OR(O1205="",G1205=""),"",O1205*IFERROR(INDEX(Listas!$B$2:$B$50,MATCH(G1205,Listas!$A$2:$A$50,0)),0))</f>
        <v/>
      </c>
      <c r="AA1205" s="32"/>
      <c r="AB1205" s="32"/>
      <c r="AC1205" s="32"/>
      <c r="AD1205" s="35" t="str">
        <f aca="false">IF(OR(LEFT(H1205,4)="Meta",LEFT(H1205,6)="Google"),IF(AG1205=3,"Lead calificado",IF(OR(AG1205=4,AG1205=5),"Tasación/visita",IF(OR(AG1205=6,AG1205=7),"Captación/oferta",IF(AG1205=8,"Cierre","")))),"")</f>
        <v/>
      </c>
      <c r="AE1205" s="32"/>
      <c r="AF1205" s="32"/>
      <c r="AG1205" s="37" t="n">
        <f aca="false">IF(R1205="",0,IFERROR(MATCH(R1205,Listas!$L$2:$L$50,0),0))</f>
        <v>0</v>
      </c>
    </row>
    <row r="1206" customFormat="false" ht="15" hidden="false" customHeight="false" outlineLevel="0" collapsed="false">
      <c r="A1206" s="30"/>
      <c r="B1206" s="31"/>
      <c r="C1206" s="32"/>
      <c r="D1206" s="32"/>
      <c r="E1206" s="33"/>
      <c r="F1206" s="32"/>
      <c r="G1206" s="32"/>
      <c r="H1206" s="32"/>
      <c r="I1206" s="32"/>
      <c r="J1206" s="32"/>
      <c r="K1206" s="32"/>
      <c r="L1206" s="32"/>
      <c r="M1206" s="30"/>
      <c r="N1206" s="32"/>
      <c r="O1206" s="34"/>
      <c r="P1206" s="32"/>
      <c r="Q1206" s="32"/>
      <c r="R1206" s="32"/>
      <c r="S1206" s="32"/>
      <c r="T1206" s="32"/>
      <c r="U1206" s="32"/>
      <c r="V1206" s="31"/>
      <c r="W1206" s="35" t="str">
        <f aca="true">IF(OR(V1206="",AG1206&gt;=8),"",IF(V1206&lt;TODAY(),"Vencida",IF(V1206=TODAY(),"Hoy","")))</f>
        <v/>
      </c>
      <c r="X1206" s="36" t="str">
        <f aca="false">IF(A1206="","",IF(COUNTIF(Seguimiento!$B$2:$B$5001,A1206)=0,"",_xlfn.MAXIFS(Seguimiento!$A$2:$A$5001,Seguimiento!$B$2:$B$5001,A1206)))</f>
        <v/>
      </c>
      <c r="Y1206" s="37" t="str">
        <f aca="true">IF(B1206="","",TODAY()-B1206)</f>
        <v/>
      </c>
      <c r="Z1206" s="38" t="str">
        <f aca="false">IF(OR(O1206="",G1206=""),"",O1206*IFERROR(INDEX(Listas!$B$2:$B$50,MATCH(G1206,Listas!$A$2:$A$50,0)),0))</f>
        <v/>
      </c>
      <c r="AA1206" s="32"/>
      <c r="AB1206" s="32"/>
      <c r="AC1206" s="32"/>
      <c r="AD1206" s="35" t="str">
        <f aca="false">IF(OR(LEFT(H1206,4)="Meta",LEFT(H1206,6)="Google"),IF(AG1206=3,"Lead calificado",IF(OR(AG1206=4,AG1206=5),"Tasación/visita",IF(OR(AG1206=6,AG1206=7),"Captación/oferta",IF(AG1206=8,"Cierre","")))),"")</f>
        <v/>
      </c>
      <c r="AE1206" s="32"/>
      <c r="AF1206" s="32"/>
      <c r="AG1206" s="37" t="n">
        <f aca="false">IF(R1206="",0,IFERROR(MATCH(R1206,Listas!$L$2:$L$50,0),0))</f>
        <v>0</v>
      </c>
    </row>
    <row r="1207" customFormat="false" ht="15" hidden="false" customHeight="false" outlineLevel="0" collapsed="false">
      <c r="A1207" s="30"/>
      <c r="B1207" s="31"/>
      <c r="C1207" s="32"/>
      <c r="D1207" s="32"/>
      <c r="E1207" s="33"/>
      <c r="F1207" s="32"/>
      <c r="G1207" s="32"/>
      <c r="H1207" s="32"/>
      <c r="I1207" s="32"/>
      <c r="J1207" s="32"/>
      <c r="K1207" s="32"/>
      <c r="L1207" s="32"/>
      <c r="M1207" s="30"/>
      <c r="N1207" s="32"/>
      <c r="O1207" s="34"/>
      <c r="P1207" s="32"/>
      <c r="Q1207" s="32"/>
      <c r="R1207" s="32"/>
      <c r="S1207" s="32"/>
      <c r="T1207" s="32"/>
      <c r="U1207" s="32"/>
      <c r="V1207" s="31"/>
      <c r="W1207" s="35" t="str">
        <f aca="true">IF(OR(V1207="",AG1207&gt;=8),"",IF(V1207&lt;TODAY(),"Vencida",IF(V1207=TODAY(),"Hoy","")))</f>
        <v/>
      </c>
      <c r="X1207" s="36" t="str">
        <f aca="false">IF(A1207="","",IF(COUNTIF(Seguimiento!$B$2:$B$5001,A1207)=0,"",_xlfn.MAXIFS(Seguimiento!$A$2:$A$5001,Seguimiento!$B$2:$B$5001,A1207)))</f>
        <v/>
      </c>
      <c r="Y1207" s="37" t="str">
        <f aca="true">IF(B1207="","",TODAY()-B1207)</f>
        <v/>
      </c>
      <c r="Z1207" s="38" t="str">
        <f aca="false">IF(OR(O1207="",G1207=""),"",O1207*IFERROR(INDEX(Listas!$B$2:$B$50,MATCH(G1207,Listas!$A$2:$A$50,0)),0))</f>
        <v/>
      </c>
      <c r="AA1207" s="32"/>
      <c r="AB1207" s="32"/>
      <c r="AC1207" s="32"/>
      <c r="AD1207" s="35" t="str">
        <f aca="false">IF(OR(LEFT(H1207,4)="Meta",LEFT(H1207,6)="Google"),IF(AG1207=3,"Lead calificado",IF(OR(AG1207=4,AG1207=5),"Tasación/visita",IF(OR(AG1207=6,AG1207=7),"Captación/oferta",IF(AG1207=8,"Cierre","")))),"")</f>
        <v/>
      </c>
      <c r="AE1207" s="32"/>
      <c r="AF1207" s="32"/>
      <c r="AG1207" s="37" t="n">
        <f aca="false">IF(R1207="",0,IFERROR(MATCH(R1207,Listas!$L$2:$L$50,0),0))</f>
        <v>0</v>
      </c>
    </row>
    <row r="1208" customFormat="false" ht="15" hidden="false" customHeight="false" outlineLevel="0" collapsed="false">
      <c r="A1208" s="30"/>
      <c r="B1208" s="31"/>
      <c r="C1208" s="32"/>
      <c r="D1208" s="32"/>
      <c r="E1208" s="33"/>
      <c r="F1208" s="32"/>
      <c r="G1208" s="32"/>
      <c r="H1208" s="32"/>
      <c r="I1208" s="32"/>
      <c r="J1208" s="32"/>
      <c r="K1208" s="32"/>
      <c r="L1208" s="32"/>
      <c r="M1208" s="30"/>
      <c r="N1208" s="32"/>
      <c r="O1208" s="34"/>
      <c r="P1208" s="32"/>
      <c r="Q1208" s="32"/>
      <c r="R1208" s="32"/>
      <c r="S1208" s="32"/>
      <c r="T1208" s="32"/>
      <c r="U1208" s="32"/>
      <c r="V1208" s="31"/>
      <c r="W1208" s="35" t="str">
        <f aca="true">IF(OR(V1208="",AG1208&gt;=8),"",IF(V1208&lt;TODAY(),"Vencida",IF(V1208=TODAY(),"Hoy","")))</f>
        <v/>
      </c>
      <c r="X1208" s="36" t="str">
        <f aca="false">IF(A1208="","",IF(COUNTIF(Seguimiento!$B$2:$B$5001,A1208)=0,"",_xlfn.MAXIFS(Seguimiento!$A$2:$A$5001,Seguimiento!$B$2:$B$5001,A1208)))</f>
        <v/>
      </c>
      <c r="Y1208" s="37" t="str">
        <f aca="true">IF(B1208="","",TODAY()-B1208)</f>
        <v/>
      </c>
      <c r="Z1208" s="38" t="str">
        <f aca="false">IF(OR(O1208="",G1208=""),"",O1208*IFERROR(INDEX(Listas!$B$2:$B$50,MATCH(G1208,Listas!$A$2:$A$50,0)),0))</f>
        <v/>
      </c>
      <c r="AA1208" s="32"/>
      <c r="AB1208" s="32"/>
      <c r="AC1208" s="32"/>
      <c r="AD1208" s="35" t="str">
        <f aca="false">IF(OR(LEFT(H1208,4)="Meta",LEFT(H1208,6)="Google"),IF(AG1208=3,"Lead calificado",IF(OR(AG1208=4,AG1208=5),"Tasación/visita",IF(OR(AG1208=6,AG1208=7),"Captación/oferta",IF(AG1208=8,"Cierre","")))),"")</f>
        <v/>
      </c>
      <c r="AE1208" s="32"/>
      <c r="AF1208" s="32"/>
      <c r="AG1208" s="37" t="n">
        <f aca="false">IF(R1208="",0,IFERROR(MATCH(R1208,Listas!$L$2:$L$50,0),0))</f>
        <v>0</v>
      </c>
    </row>
    <row r="1209" customFormat="false" ht="15" hidden="false" customHeight="false" outlineLevel="0" collapsed="false">
      <c r="A1209" s="30"/>
      <c r="B1209" s="31"/>
      <c r="C1209" s="32"/>
      <c r="D1209" s="32"/>
      <c r="E1209" s="33"/>
      <c r="F1209" s="32"/>
      <c r="G1209" s="32"/>
      <c r="H1209" s="32"/>
      <c r="I1209" s="32"/>
      <c r="J1209" s="32"/>
      <c r="K1209" s="32"/>
      <c r="L1209" s="32"/>
      <c r="M1209" s="30"/>
      <c r="N1209" s="32"/>
      <c r="O1209" s="34"/>
      <c r="P1209" s="32"/>
      <c r="Q1209" s="32"/>
      <c r="R1209" s="32"/>
      <c r="S1209" s="32"/>
      <c r="T1209" s="32"/>
      <c r="U1209" s="32"/>
      <c r="V1209" s="31"/>
      <c r="W1209" s="35" t="str">
        <f aca="true">IF(OR(V1209="",AG1209&gt;=8),"",IF(V1209&lt;TODAY(),"Vencida",IF(V1209=TODAY(),"Hoy","")))</f>
        <v/>
      </c>
      <c r="X1209" s="36" t="str">
        <f aca="false">IF(A1209="","",IF(COUNTIF(Seguimiento!$B$2:$B$5001,A1209)=0,"",_xlfn.MAXIFS(Seguimiento!$A$2:$A$5001,Seguimiento!$B$2:$B$5001,A1209)))</f>
        <v/>
      </c>
      <c r="Y1209" s="37" t="str">
        <f aca="true">IF(B1209="","",TODAY()-B1209)</f>
        <v/>
      </c>
      <c r="Z1209" s="38" t="str">
        <f aca="false">IF(OR(O1209="",G1209=""),"",O1209*IFERROR(INDEX(Listas!$B$2:$B$50,MATCH(G1209,Listas!$A$2:$A$50,0)),0))</f>
        <v/>
      </c>
      <c r="AA1209" s="32"/>
      <c r="AB1209" s="32"/>
      <c r="AC1209" s="32"/>
      <c r="AD1209" s="35" t="str">
        <f aca="false">IF(OR(LEFT(H1209,4)="Meta",LEFT(H1209,6)="Google"),IF(AG1209=3,"Lead calificado",IF(OR(AG1209=4,AG1209=5),"Tasación/visita",IF(OR(AG1209=6,AG1209=7),"Captación/oferta",IF(AG1209=8,"Cierre","")))),"")</f>
        <v/>
      </c>
      <c r="AE1209" s="32"/>
      <c r="AF1209" s="32"/>
      <c r="AG1209" s="37" t="n">
        <f aca="false">IF(R1209="",0,IFERROR(MATCH(R1209,Listas!$L$2:$L$50,0),0))</f>
        <v>0</v>
      </c>
    </row>
    <row r="1210" customFormat="false" ht="15" hidden="false" customHeight="false" outlineLevel="0" collapsed="false">
      <c r="A1210" s="30"/>
      <c r="B1210" s="31"/>
      <c r="C1210" s="32"/>
      <c r="D1210" s="32"/>
      <c r="E1210" s="33"/>
      <c r="F1210" s="32"/>
      <c r="G1210" s="32"/>
      <c r="H1210" s="32"/>
      <c r="I1210" s="32"/>
      <c r="J1210" s="32"/>
      <c r="K1210" s="32"/>
      <c r="L1210" s="32"/>
      <c r="M1210" s="30"/>
      <c r="N1210" s="32"/>
      <c r="O1210" s="34"/>
      <c r="P1210" s="32"/>
      <c r="Q1210" s="32"/>
      <c r="R1210" s="32"/>
      <c r="S1210" s="32"/>
      <c r="T1210" s="32"/>
      <c r="U1210" s="32"/>
      <c r="V1210" s="31"/>
      <c r="W1210" s="35" t="str">
        <f aca="true">IF(OR(V1210="",AG1210&gt;=8),"",IF(V1210&lt;TODAY(),"Vencida",IF(V1210=TODAY(),"Hoy","")))</f>
        <v/>
      </c>
      <c r="X1210" s="36" t="str">
        <f aca="false">IF(A1210="","",IF(COUNTIF(Seguimiento!$B$2:$B$5001,A1210)=0,"",_xlfn.MAXIFS(Seguimiento!$A$2:$A$5001,Seguimiento!$B$2:$B$5001,A1210)))</f>
        <v/>
      </c>
      <c r="Y1210" s="37" t="str">
        <f aca="true">IF(B1210="","",TODAY()-B1210)</f>
        <v/>
      </c>
      <c r="Z1210" s="38" t="str">
        <f aca="false">IF(OR(O1210="",G1210=""),"",O1210*IFERROR(INDEX(Listas!$B$2:$B$50,MATCH(G1210,Listas!$A$2:$A$50,0)),0))</f>
        <v/>
      </c>
      <c r="AA1210" s="32"/>
      <c r="AB1210" s="32"/>
      <c r="AC1210" s="32"/>
      <c r="AD1210" s="35" t="str">
        <f aca="false">IF(OR(LEFT(H1210,4)="Meta",LEFT(H1210,6)="Google"),IF(AG1210=3,"Lead calificado",IF(OR(AG1210=4,AG1210=5),"Tasación/visita",IF(OR(AG1210=6,AG1210=7),"Captación/oferta",IF(AG1210=8,"Cierre","")))),"")</f>
        <v/>
      </c>
      <c r="AE1210" s="32"/>
      <c r="AF1210" s="32"/>
      <c r="AG1210" s="37" t="n">
        <f aca="false">IF(R1210="",0,IFERROR(MATCH(R1210,Listas!$L$2:$L$50,0),0))</f>
        <v>0</v>
      </c>
    </row>
    <row r="1211" customFormat="false" ht="15" hidden="false" customHeight="false" outlineLevel="0" collapsed="false">
      <c r="A1211" s="30"/>
      <c r="B1211" s="31"/>
      <c r="C1211" s="32"/>
      <c r="D1211" s="32"/>
      <c r="E1211" s="33"/>
      <c r="F1211" s="32"/>
      <c r="G1211" s="32"/>
      <c r="H1211" s="32"/>
      <c r="I1211" s="32"/>
      <c r="J1211" s="32"/>
      <c r="K1211" s="32"/>
      <c r="L1211" s="32"/>
      <c r="M1211" s="30"/>
      <c r="N1211" s="32"/>
      <c r="O1211" s="34"/>
      <c r="P1211" s="32"/>
      <c r="Q1211" s="32"/>
      <c r="R1211" s="32"/>
      <c r="S1211" s="32"/>
      <c r="T1211" s="32"/>
      <c r="U1211" s="32"/>
      <c r="V1211" s="31"/>
      <c r="W1211" s="35" t="str">
        <f aca="true">IF(OR(V1211="",AG1211&gt;=8),"",IF(V1211&lt;TODAY(),"Vencida",IF(V1211=TODAY(),"Hoy","")))</f>
        <v/>
      </c>
      <c r="X1211" s="36" t="str">
        <f aca="false">IF(A1211="","",IF(COUNTIF(Seguimiento!$B$2:$B$5001,A1211)=0,"",_xlfn.MAXIFS(Seguimiento!$A$2:$A$5001,Seguimiento!$B$2:$B$5001,A1211)))</f>
        <v/>
      </c>
      <c r="Y1211" s="37" t="str">
        <f aca="true">IF(B1211="","",TODAY()-B1211)</f>
        <v/>
      </c>
      <c r="Z1211" s="38" t="str">
        <f aca="false">IF(OR(O1211="",G1211=""),"",O1211*IFERROR(INDEX(Listas!$B$2:$B$50,MATCH(G1211,Listas!$A$2:$A$50,0)),0))</f>
        <v/>
      </c>
      <c r="AA1211" s="32"/>
      <c r="AB1211" s="32"/>
      <c r="AC1211" s="32"/>
      <c r="AD1211" s="35" t="str">
        <f aca="false">IF(OR(LEFT(H1211,4)="Meta",LEFT(H1211,6)="Google"),IF(AG1211=3,"Lead calificado",IF(OR(AG1211=4,AG1211=5),"Tasación/visita",IF(OR(AG1211=6,AG1211=7),"Captación/oferta",IF(AG1211=8,"Cierre","")))),"")</f>
        <v/>
      </c>
      <c r="AE1211" s="32"/>
      <c r="AF1211" s="32"/>
      <c r="AG1211" s="37" t="n">
        <f aca="false">IF(R1211="",0,IFERROR(MATCH(R1211,Listas!$L$2:$L$50,0),0))</f>
        <v>0</v>
      </c>
    </row>
    <row r="1212" customFormat="false" ht="15" hidden="false" customHeight="false" outlineLevel="0" collapsed="false">
      <c r="A1212" s="30"/>
      <c r="B1212" s="31"/>
      <c r="C1212" s="32"/>
      <c r="D1212" s="32"/>
      <c r="E1212" s="33"/>
      <c r="F1212" s="32"/>
      <c r="G1212" s="32"/>
      <c r="H1212" s="32"/>
      <c r="I1212" s="32"/>
      <c r="J1212" s="32"/>
      <c r="K1212" s="32"/>
      <c r="L1212" s="32"/>
      <c r="M1212" s="30"/>
      <c r="N1212" s="32"/>
      <c r="O1212" s="34"/>
      <c r="P1212" s="32"/>
      <c r="Q1212" s="32"/>
      <c r="R1212" s="32"/>
      <c r="S1212" s="32"/>
      <c r="T1212" s="32"/>
      <c r="U1212" s="32"/>
      <c r="V1212" s="31"/>
      <c r="W1212" s="35" t="str">
        <f aca="true">IF(OR(V1212="",AG1212&gt;=8),"",IF(V1212&lt;TODAY(),"Vencida",IF(V1212=TODAY(),"Hoy","")))</f>
        <v/>
      </c>
      <c r="X1212" s="36" t="str">
        <f aca="false">IF(A1212="","",IF(COUNTIF(Seguimiento!$B$2:$B$5001,A1212)=0,"",_xlfn.MAXIFS(Seguimiento!$A$2:$A$5001,Seguimiento!$B$2:$B$5001,A1212)))</f>
        <v/>
      </c>
      <c r="Y1212" s="37" t="str">
        <f aca="true">IF(B1212="","",TODAY()-B1212)</f>
        <v/>
      </c>
      <c r="Z1212" s="38" t="str">
        <f aca="false">IF(OR(O1212="",G1212=""),"",O1212*IFERROR(INDEX(Listas!$B$2:$B$50,MATCH(G1212,Listas!$A$2:$A$50,0)),0))</f>
        <v/>
      </c>
      <c r="AA1212" s="32"/>
      <c r="AB1212" s="32"/>
      <c r="AC1212" s="32"/>
      <c r="AD1212" s="35" t="str">
        <f aca="false">IF(OR(LEFT(H1212,4)="Meta",LEFT(H1212,6)="Google"),IF(AG1212=3,"Lead calificado",IF(OR(AG1212=4,AG1212=5),"Tasación/visita",IF(OR(AG1212=6,AG1212=7),"Captación/oferta",IF(AG1212=8,"Cierre","")))),"")</f>
        <v/>
      </c>
      <c r="AE1212" s="32"/>
      <c r="AF1212" s="32"/>
      <c r="AG1212" s="37" t="n">
        <f aca="false">IF(R1212="",0,IFERROR(MATCH(R1212,Listas!$L$2:$L$50,0),0))</f>
        <v>0</v>
      </c>
    </row>
    <row r="1213" customFormat="false" ht="15" hidden="false" customHeight="false" outlineLevel="0" collapsed="false">
      <c r="A1213" s="30"/>
      <c r="B1213" s="31"/>
      <c r="C1213" s="32"/>
      <c r="D1213" s="32"/>
      <c r="E1213" s="33"/>
      <c r="F1213" s="32"/>
      <c r="G1213" s="32"/>
      <c r="H1213" s="32"/>
      <c r="I1213" s="32"/>
      <c r="J1213" s="32"/>
      <c r="K1213" s="32"/>
      <c r="L1213" s="32"/>
      <c r="M1213" s="30"/>
      <c r="N1213" s="32"/>
      <c r="O1213" s="34"/>
      <c r="P1213" s="32"/>
      <c r="Q1213" s="32"/>
      <c r="R1213" s="32"/>
      <c r="S1213" s="32"/>
      <c r="T1213" s="32"/>
      <c r="U1213" s="32"/>
      <c r="V1213" s="31"/>
      <c r="W1213" s="35" t="str">
        <f aca="true">IF(OR(V1213="",AG1213&gt;=8),"",IF(V1213&lt;TODAY(),"Vencida",IF(V1213=TODAY(),"Hoy","")))</f>
        <v/>
      </c>
      <c r="X1213" s="36" t="str">
        <f aca="false">IF(A1213="","",IF(COUNTIF(Seguimiento!$B$2:$B$5001,A1213)=0,"",_xlfn.MAXIFS(Seguimiento!$A$2:$A$5001,Seguimiento!$B$2:$B$5001,A1213)))</f>
        <v/>
      </c>
      <c r="Y1213" s="37" t="str">
        <f aca="true">IF(B1213="","",TODAY()-B1213)</f>
        <v/>
      </c>
      <c r="Z1213" s="38" t="str">
        <f aca="false">IF(OR(O1213="",G1213=""),"",O1213*IFERROR(INDEX(Listas!$B$2:$B$50,MATCH(G1213,Listas!$A$2:$A$50,0)),0))</f>
        <v/>
      </c>
      <c r="AA1213" s="32"/>
      <c r="AB1213" s="32"/>
      <c r="AC1213" s="32"/>
      <c r="AD1213" s="35" t="str">
        <f aca="false">IF(OR(LEFT(H1213,4)="Meta",LEFT(H1213,6)="Google"),IF(AG1213=3,"Lead calificado",IF(OR(AG1213=4,AG1213=5),"Tasación/visita",IF(OR(AG1213=6,AG1213=7),"Captación/oferta",IF(AG1213=8,"Cierre","")))),"")</f>
        <v/>
      </c>
      <c r="AE1213" s="32"/>
      <c r="AF1213" s="32"/>
      <c r="AG1213" s="37" t="n">
        <f aca="false">IF(R1213="",0,IFERROR(MATCH(R1213,Listas!$L$2:$L$50,0),0))</f>
        <v>0</v>
      </c>
    </row>
    <row r="1214" customFormat="false" ht="15" hidden="false" customHeight="false" outlineLevel="0" collapsed="false">
      <c r="A1214" s="30"/>
      <c r="B1214" s="31"/>
      <c r="C1214" s="32"/>
      <c r="D1214" s="32"/>
      <c r="E1214" s="33"/>
      <c r="F1214" s="32"/>
      <c r="G1214" s="32"/>
      <c r="H1214" s="32"/>
      <c r="I1214" s="32"/>
      <c r="J1214" s="32"/>
      <c r="K1214" s="32"/>
      <c r="L1214" s="32"/>
      <c r="M1214" s="30"/>
      <c r="N1214" s="32"/>
      <c r="O1214" s="34"/>
      <c r="P1214" s="32"/>
      <c r="Q1214" s="32"/>
      <c r="R1214" s="32"/>
      <c r="S1214" s="32"/>
      <c r="T1214" s="32"/>
      <c r="U1214" s="32"/>
      <c r="V1214" s="31"/>
      <c r="W1214" s="35" t="str">
        <f aca="true">IF(OR(V1214="",AG1214&gt;=8),"",IF(V1214&lt;TODAY(),"Vencida",IF(V1214=TODAY(),"Hoy","")))</f>
        <v/>
      </c>
      <c r="X1214" s="36" t="str">
        <f aca="false">IF(A1214="","",IF(COUNTIF(Seguimiento!$B$2:$B$5001,A1214)=0,"",_xlfn.MAXIFS(Seguimiento!$A$2:$A$5001,Seguimiento!$B$2:$B$5001,A1214)))</f>
        <v/>
      </c>
      <c r="Y1214" s="37" t="str">
        <f aca="true">IF(B1214="","",TODAY()-B1214)</f>
        <v/>
      </c>
      <c r="Z1214" s="38" t="str">
        <f aca="false">IF(OR(O1214="",G1214=""),"",O1214*IFERROR(INDEX(Listas!$B$2:$B$50,MATCH(G1214,Listas!$A$2:$A$50,0)),0))</f>
        <v/>
      </c>
      <c r="AA1214" s="32"/>
      <c r="AB1214" s="32"/>
      <c r="AC1214" s="32"/>
      <c r="AD1214" s="35" t="str">
        <f aca="false">IF(OR(LEFT(H1214,4)="Meta",LEFT(H1214,6)="Google"),IF(AG1214=3,"Lead calificado",IF(OR(AG1214=4,AG1214=5),"Tasación/visita",IF(OR(AG1214=6,AG1214=7),"Captación/oferta",IF(AG1214=8,"Cierre","")))),"")</f>
        <v/>
      </c>
      <c r="AE1214" s="32"/>
      <c r="AF1214" s="32"/>
      <c r="AG1214" s="37" t="n">
        <f aca="false">IF(R1214="",0,IFERROR(MATCH(R1214,Listas!$L$2:$L$50,0),0))</f>
        <v>0</v>
      </c>
    </row>
    <row r="1215" customFormat="false" ht="15" hidden="false" customHeight="false" outlineLevel="0" collapsed="false">
      <c r="A1215" s="30"/>
      <c r="B1215" s="31"/>
      <c r="C1215" s="32"/>
      <c r="D1215" s="32"/>
      <c r="E1215" s="33"/>
      <c r="F1215" s="32"/>
      <c r="G1215" s="32"/>
      <c r="H1215" s="32"/>
      <c r="I1215" s="32"/>
      <c r="J1215" s="32"/>
      <c r="K1215" s="32"/>
      <c r="L1215" s="32"/>
      <c r="M1215" s="30"/>
      <c r="N1215" s="32"/>
      <c r="O1215" s="34"/>
      <c r="P1215" s="32"/>
      <c r="Q1215" s="32"/>
      <c r="R1215" s="32"/>
      <c r="S1215" s="32"/>
      <c r="T1215" s="32"/>
      <c r="U1215" s="32"/>
      <c r="V1215" s="31"/>
      <c r="W1215" s="35" t="str">
        <f aca="true">IF(OR(V1215="",AG1215&gt;=8),"",IF(V1215&lt;TODAY(),"Vencida",IF(V1215=TODAY(),"Hoy","")))</f>
        <v/>
      </c>
      <c r="X1215" s="36" t="str">
        <f aca="false">IF(A1215="","",IF(COUNTIF(Seguimiento!$B$2:$B$5001,A1215)=0,"",_xlfn.MAXIFS(Seguimiento!$A$2:$A$5001,Seguimiento!$B$2:$B$5001,A1215)))</f>
        <v/>
      </c>
      <c r="Y1215" s="37" t="str">
        <f aca="true">IF(B1215="","",TODAY()-B1215)</f>
        <v/>
      </c>
      <c r="Z1215" s="38" t="str">
        <f aca="false">IF(OR(O1215="",G1215=""),"",O1215*IFERROR(INDEX(Listas!$B$2:$B$50,MATCH(G1215,Listas!$A$2:$A$50,0)),0))</f>
        <v/>
      </c>
      <c r="AA1215" s="32"/>
      <c r="AB1215" s="32"/>
      <c r="AC1215" s="32"/>
      <c r="AD1215" s="35" t="str">
        <f aca="false">IF(OR(LEFT(H1215,4)="Meta",LEFT(H1215,6)="Google"),IF(AG1215=3,"Lead calificado",IF(OR(AG1215=4,AG1215=5),"Tasación/visita",IF(OR(AG1215=6,AG1215=7),"Captación/oferta",IF(AG1215=8,"Cierre","")))),"")</f>
        <v/>
      </c>
      <c r="AE1215" s="32"/>
      <c r="AF1215" s="32"/>
      <c r="AG1215" s="37" t="n">
        <f aca="false">IF(R1215="",0,IFERROR(MATCH(R1215,Listas!$L$2:$L$50,0),0))</f>
        <v>0</v>
      </c>
    </row>
    <row r="1216" customFormat="false" ht="15" hidden="false" customHeight="false" outlineLevel="0" collapsed="false">
      <c r="A1216" s="30"/>
      <c r="B1216" s="31"/>
      <c r="C1216" s="32"/>
      <c r="D1216" s="32"/>
      <c r="E1216" s="33"/>
      <c r="F1216" s="32"/>
      <c r="G1216" s="32"/>
      <c r="H1216" s="32"/>
      <c r="I1216" s="32"/>
      <c r="J1216" s="32"/>
      <c r="K1216" s="32"/>
      <c r="L1216" s="32"/>
      <c r="M1216" s="30"/>
      <c r="N1216" s="32"/>
      <c r="O1216" s="34"/>
      <c r="P1216" s="32"/>
      <c r="Q1216" s="32"/>
      <c r="R1216" s="32"/>
      <c r="S1216" s="32"/>
      <c r="T1216" s="32"/>
      <c r="U1216" s="32"/>
      <c r="V1216" s="31"/>
      <c r="W1216" s="35" t="str">
        <f aca="true">IF(OR(V1216="",AG1216&gt;=8),"",IF(V1216&lt;TODAY(),"Vencida",IF(V1216=TODAY(),"Hoy","")))</f>
        <v/>
      </c>
      <c r="X1216" s="36" t="str">
        <f aca="false">IF(A1216="","",IF(COUNTIF(Seguimiento!$B$2:$B$5001,A1216)=0,"",_xlfn.MAXIFS(Seguimiento!$A$2:$A$5001,Seguimiento!$B$2:$B$5001,A1216)))</f>
        <v/>
      </c>
      <c r="Y1216" s="37" t="str">
        <f aca="true">IF(B1216="","",TODAY()-B1216)</f>
        <v/>
      </c>
      <c r="Z1216" s="38" t="str">
        <f aca="false">IF(OR(O1216="",G1216=""),"",O1216*IFERROR(INDEX(Listas!$B$2:$B$50,MATCH(G1216,Listas!$A$2:$A$50,0)),0))</f>
        <v/>
      </c>
      <c r="AA1216" s="32"/>
      <c r="AB1216" s="32"/>
      <c r="AC1216" s="32"/>
      <c r="AD1216" s="35" t="str">
        <f aca="false">IF(OR(LEFT(H1216,4)="Meta",LEFT(H1216,6)="Google"),IF(AG1216=3,"Lead calificado",IF(OR(AG1216=4,AG1216=5),"Tasación/visita",IF(OR(AG1216=6,AG1216=7),"Captación/oferta",IF(AG1216=8,"Cierre","")))),"")</f>
        <v/>
      </c>
      <c r="AE1216" s="32"/>
      <c r="AF1216" s="32"/>
      <c r="AG1216" s="37" t="n">
        <f aca="false">IF(R1216="",0,IFERROR(MATCH(R1216,Listas!$L$2:$L$50,0),0))</f>
        <v>0</v>
      </c>
    </row>
    <row r="1217" customFormat="false" ht="15" hidden="false" customHeight="false" outlineLevel="0" collapsed="false">
      <c r="A1217" s="30"/>
      <c r="B1217" s="31"/>
      <c r="C1217" s="32"/>
      <c r="D1217" s="32"/>
      <c r="E1217" s="33"/>
      <c r="F1217" s="32"/>
      <c r="G1217" s="32"/>
      <c r="H1217" s="32"/>
      <c r="I1217" s="32"/>
      <c r="J1217" s="32"/>
      <c r="K1217" s="32"/>
      <c r="L1217" s="32"/>
      <c r="M1217" s="30"/>
      <c r="N1217" s="32"/>
      <c r="O1217" s="34"/>
      <c r="P1217" s="32"/>
      <c r="Q1217" s="32"/>
      <c r="R1217" s="32"/>
      <c r="S1217" s="32"/>
      <c r="T1217" s="32"/>
      <c r="U1217" s="32"/>
      <c r="V1217" s="31"/>
      <c r="W1217" s="35" t="str">
        <f aca="true">IF(OR(V1217="",AG1217&gt;=8),"",IF(V1217&lt;TODAY(),"Vencida",IF(V1217=TODAY(),"Hoy","")))</f>
        <v/>
      </c>
      <c r="X1217" s="36" t="str">
        <f aca="false">IF(A1217="","",IF(COUNTIF(Seguimiento!$B$2:$B$5001,A1217)=0,"",_xlfn.MAXIFS(Seguimiento!$A$2:$A$5001,Seguimiento!$B$2:$B$5001,A1217)))</f>
        <v/>
      </c>
      <c r="Y1217" s="37" t="str">
        <f aca="true">IF(B1217="","",TODAY()-B1217)</f>
        <v/>
      </c>
      <c r="Z1217" s="38" t="str">
        <f aca="false">IF(OR(O1217="",G1217=""),"",O1217*IFERROR(INDEX(Listas!$B$2:$B$50,MATCH(G1217,Listas!$A$2:$A$50,0)),0))</f>
        <v/>
      </c>
      <c r="AA1217" s="32"/>
      <c r="AB1217" s="32"/>
      <c r="AC1217" s="32"/>
      <c r="AD1217" s="35" t="str">
        <f aca="false">IF(OR(LEFT(H1217,4)="Meta",LEFT(H1217,6)="Google"),IF(AG1217=3,"Lead calificado",IF(OR(AG1217=4,AG1217=5),"Tasación/visita",IF(OR(AG1217=6,AG1217=7),"Captación/oferta",IF(AG1217=8,"Cierre","")))),"")</f>
        <v/>
      </c>
      <c r="AE1217" s="32"/>
      <c r="AF1217" s="32"/>
      <c r="AG1217" s="37" t="n">
        <f aca="false">IF(R1217="",0,IFERROR(MATCH(R1217,Listas!$L$2:$L$50,0),0))</f>
        <v>0</v>
      </c>
    </row>
    <row r="1218" customFormat="false" ht="15" hidden="false" customHeight="false" outlineLevel="0" collapsed="false">
      <c r="A1218" s="30"/>
      <c r="B1218" s="31"/>
      <c r="C1218" s="32"/>
      <c r="D1218" s="32"/>
      <c r="E1218" s="33"/>
      <c r="F1218" s="32"/>
      <c r="G1218" s="32"/>
      <c r="H1218" s="32"/>
      <c r="I1218" s="32"/>
      <c r="J1218" s="32"/>
      <c r="K1218" s="32"/>
      <c r="L1218" s="32"/>
      <c r="M1218" s="30"/>
      <c r="N1218" s="32"/>
      <c r="O1218" s="34"/>
      <c r="P1218" s="32"/>
      <c r="Q1218" s="32"/>
      <c r="R1218" s="32"/>
      <c r="S1218" s="32"/>
      <c r="T1218" s="32"/>
      <c r="U1218" s="32"/>
      <c r="V1218" s="31"/>
      <c r="W1218" s="35" t="str">
        <f aca="true">IF(OR(V1218="",AG1218&gt;=8),"",IF(V1218&lt;TODAY(),"Vencida",IF(V1218=TODAY(),"Hoy","")))</f>
        <v/>
      </c>
      <c r="X1218" s="36" t="str">
        <f aca="false">IF(A1218="","",IF(COUNTIF(Seguimiento!$B$2:$B$5001,A1218)=0,"",_xlfn.MAXIFS(Seguimiento!$A$2:$A$5001,Seguimiento!$B$2:$B$5001,A1218)))</f>
        <v/>
      </c>
      <c r="Y1218" s="37" t="str">
        <f aca="true">IF(B1218="","",TODAY()-B1218)</f>
        <v/>
      </c>
      <c r="Z1218" s="38" t="str">
        <f aca="false">IF(OR(O1218="",G1218=""),"",O1218*IFERROR(INDEX(Listas!$B$2:$B$50,MATCH(G1218,Listas!$A$2:$A$50,0)),0))</f>
        <v/>
      </c>
      <c r="AA1218" s="32"/>
      <c r="AB1218" s="32"/>
      <c r="AC1218" s="32"/>
      <c r="AD1218" s="35" t="str">
        <f aca="false">IF(OR(LEFT(H1218,4)="Meta",LEFT(H1218,6)="Google"),IF(AG1218=3,"Lead calificado",IF(OR(AG1218=4,AG1218=5),"Tasación/visita",IF(OR(AG1218=6,AG1218=7),"Captación/oferta",IF(AG1218=8,"Cierre","")))),"")</f>
        <v/>
      </c>
      <c r="AE1218" s="32"/>
      <c r="AF1218" s="32"/>
      <c r="AG1218" s="37" t="n">
        <f aca="false">IF(R1218="",0,IFERROR(MATCH(R1218,Listas!$L$2:$L$50,0),0))</f>
        <v>0</v>
      </c>
    </row>
    <row r="1219" customFormat="false" ht="15" hidden="false" customHeight="false" outlineLevel="0" collapsed="false">
      <c r="A1219" s="30"/>
      <c r="B1219" s="31"/>
      <c r="C1219" s="32"/>
      <c r="D1219" s="32"/>
      <c r="E1219" s="33"/>
      <c r="F1219" s="32"/>
      <c r="G1219" s="32"/>
      <c r="H1219" s="32"/>
      <c r="I1219" s="32"/>
      <c r="J1219" s="32"/>
      <c r="K1219" s="32"/>
      <c r="L1219" s="32"/>
      <c r="M1219" s="30"/>
      <c r="N1219" s="32"/>
      <c r="O1219" s="34"/>
      <c r="P1219" s="32"/>
      <c r="Q1219" s="32"/>
      <c r="R1219" s="32"/>
      <c r="S1219" s="32"/>
      <c r="T1219" s="32"/>
      <c r="U1219" s="32"/>
      <c r="V1219" s="31"/>
      <c r="W1219" s="35" t="str">
        <f aca="true">IF(OR(V1219="",AG1219&gt;=8),"",IF(V1219&lt;TODAY(),"Vencida",IF(V1219=TODAY(),"Hoy","")))</f>
        <v/>
      </c>
      <c r="X1219" s="36" t="str">
        <f aca="false">IF(A1219="","",IF(COUNTIF(Seguimiento!$B$2:$B$5001,A1219)=0,"",_xlfn.MAXIFS(Seguimiento!$A$2:$A$5001,Seguimiento!$B$2:$B$5001,A1219)))</f>
        <v/>
      </c>
      <c r="Y1219" s="37" t="str">
        <f aca="true">IF(B1219="","",TODAY()-B1219)</f>
        <v/>
      </c>
      <c r="Z1219" s="38" t="str">
        <f aca="false">IF(OR(O1219="",G1219=""),"",O1219*IFERROR(INDEX(Listas!$B$2:$B$50,MATCH(G1219,Listas!$A$2:$A$50,0)),0))</f>
        <v/>
      </c>
      <c r="AA1219" s="32"/>
      <c r="AB1219" s="32"/>
      <c r="AC1219" s="32"/>
      <c r="AD1219" s="35" t="str">
        <f aca="false">IF(OR(LEFT(H1219,4)="Meta",LEFT(H1219,6)="Google"),IF(AG1219=3,"Lead calificado",IF(OR(AG1219=4,AG1219=5),"Tasación/visita",IF(OR(AG1219=6,AG1219=7),"Captación/oferta",IF(AG1219=8,"Cierre","")))),"")</f>
        <v/>
      </c>
      <c r="AE1219" s="32"/>
      <c r="AF1219" s="32"/>
      <c r="AG1219" s="37" t="n">
        <f aca="false">IF(R1219="",0,IFERROR(MATCH(R1219,Listas!$L$2:$L$50,0),0))</f>
        <v>0</v>
      </c>
    </row>
    <row r="1220" customFormat="false" ht="15" hidden="false" customHeight="false" outlineLevel="0" collapsed="false">
      <c r="A1220" s="30"/>
      <c r="B1220" s="31"/>
      <c r="C1220" s="32"/>
      <c r="D1220" s="32"/>
      <c r="E1220" s="33"/>
      <c r="F1220" s="32"/>
      <c r="G1220" s="32"/>
      <c r="H1220" s="32"/>
      <c r="I1220" s="32"/>
      <c r="J1220" s="32"/>
      <c r="K1220" s="32"/>
      <c r="L1220" s="32"/>
      <c r="M1220" s="30"/>
      <c r="N1220" s="32"/>
      <c r="O1220" s="34"/>
      <c r="P1220" s="32"/>
      <c r="Q1220" s="32"/>
      <c r="R1220" s="32"/>
      <c r="S1220" s="32"/>
      <c r="T1220" s="32"/>
      <c r="U1220" s="32"/>
      <c r="V1220" s="31"/>
      <c r="W1220" s="35" t="str">
        <f aca="true">IF(OR(V1220="",AG1220&gt;=8),"",IF(V1220&lt;TODAY(),"Vencida",IF(V1220=TODAY(),"Hoy","")))</f>
        <v/>
      </c>
      <c r="X1220" s="36" t="str">
        <f aca="false">IF(A1220="","",IF(COUNTIF(Seguimiento!$B$2:$B$5001,A1220)=0,"",_xlfn.MAXIFS(Seguimiento!$A$2:$A$5001,Seguimiento!$B$2:$B$5001,A1220)))</f>
        <v/>
      </c>
      <c r="Y1220" s="37" t="str">
        <f aca="true">IF(B1220="","",TODAY()-B1220)</f>
        <v/>
      </c>
      <c r="Z1220" s="38" t="str">
        <f aca="false">IF(OR(O1220="",G1220=""),"",O1220*IFERROR(INDEX(Listas!$B$2:$B$50,MATCH(G1220,Listas!$A$2:$A$50,0)),0))</f>
        <v/>
      </c>
      <c r="AA1220" s="32"/>
      <c r="AB1220" s="32"/>
      <c r="AC1220" s="32"/>
      <c r="AD1220" s="35" t="str">
        <f aca="false">IF(OR(LEFT(H1220,4)="Meta",LEFT(H1220,6)="Google"),IF(AG1220=3,"Lead calificado",IF(OR(AG1220=4,AG1220=5),"Tasación/visita",IF(OR(AG1220=6,AG1220=7),"Captación/oferta",IF(AG1220=8,"Cierre","")))),"")</f>
        <v/>
      </c>
      <c r="AE1220" s="32"/>
      <c r="AF1220" s="32"/>
      <c r="AG1220" s="37" t="n">
        <f aca="false">IF(R1220="",0,IFERROR(MATCH(R1220,Listas!$L$2:$L$50,0),0))</f>
        <v>0</v>
      </c>
    </row>
    <row r="1221" customFormat="false" ht="15" hidden="false" customHeight="false" outlineLevel="0" collapsed="false">
      <c r="A1221" s="30"/>
      <c r="B1221" s="31"/>
      <c r="C1221" s="32"/>
      <c r="D1221" s="32"/>
      <c r="E1221" s="33"/>
      <c r="F1221" s="32"/>
      <c r="G1221" s="32"/>
      <c r="H1221" s="32"/>
      <c r="I1221" s="32"/>
      <c r="J1221" s="32"/>
      <c r="K1221" s="32"/>
      <c r="L1221" s="32"/>
      <c r="M1221" s="30"/>
      <c r="N1221" s="32"/>
      <c r="O1221" s="34"/>
      <c r="P1221" s="32"/>
      <c r="Q1221" s="32"/>
      <c r="R1221" s="32"/>
      <c r="S1221" s="32"/>
      <c r="T1221" s="32"/>
      <c r="U1221" s="32"/>
      <c r="V1221" s="31"/>
      <c r="W1221" s="35" t="str">
        <f aca="true">IF(OR(V1221="",AG1221&gt;=8),"",IF(V1221&lt;TODAY(),"Vencida",IF(V1221=TODAY(),"Hoy","")))</f>
        <v/>
      </c>
      <c r="X1221" s="36" t="str">
        <f aca="false">IF(A1221="","",IF(COUNTIF(Seguimiento!$B$2:$B$5001,A1221)=0,"",_xlfn.MAXIFS(Seguimiento!$A$2:$A$5001,Seguimiento!$B$2:$B$5001,A1221)))</f>
        <v/>
      </c>
      <c r="Y1221" s="37" t="str">
        <f aca="true">IF(B1221="","",TODAY()-B1221)</f>
        <v/>
      </c>
      <c r="Z1221" s="38" t="str">
        <f aca="false">IF(OR(O1221="",G1221=""),"",O1221*IFERROR(INDEX(Listas!$B$2:$B$50,MATCH(G1221,Listas!$A$2:$A$50,0)),0))</f>
        <v/>
      </c>
      <c r="AA1221" s="32"/>
      <c r="AB1221" s="32"/>
      <c r="AC1221" s="32"/>
      <c r="AD1221" s="35" t="str">
        <f aca="false">IF(OR(LEFT(H1221,4)="Meta",LEFT(H1221,6)="Google"),IF(AG1221=3,"Lead calificado",IF(OR(AG1221=4,AG1221=5),"Tasación/visita",IF(OR(AG1221=6,AG1221=7),"Captación/oferta",IF(AG1221=8,"Cierre","")))),"")</f>
        <v/>
      </c>
      <c r="AE1221" s="32"/>
      <c r="AF1221" s="32"/>
      <c r="AG1221" s="37" t="n">
        <f aca="false">IF(R1221="",0,IFERROR(MATCH(R1221,Listas!$L$2:$L$50,0),0))</f>
        <v>0</v>
      </c>
    </row>
    <row r="1222" customFormat="false" ht="15" hidden="false" customHeight="false" outlineLevel="0" collapsed="false">
      <c r="A1222" s="30"/>
      <c r="B1222" s="31"/>
      <c r="C1222" s="32"/>
      <c r="D1222" s="32"/>
      <c r="E1222" s="33"/>
      <c r="F1222" s="32"/>
      <c r="G1222" s="32"/>
      <c r="H1222" s="32"/>
      <c r="I1222" s="32"/>
      <c r="J1222" s="32"/>
      <c r="K1222" s="32"/>
      <c r="L1222" s="32"/>
      <c r="M1222" s="30"/>
      <c r="N1222" s="32"/>
      <c r="O1222" s="34"/>
      <c r="P1222" s="32"/>
      <c r="Q1222" s="32"/>
      <c r="R1222" s="32"/>
      <c r="S1222" s="32"/>
      <c r="T1222" s="32"/>
      <c r="U1222" s="32"/>
      <c r="V1222" s="31"/>
      <c r="W1222" s="35" t="str">
        <f aca="true">IF(OR(V1222="",AG1222&gt;=8),"",IF(V1222&lt;TODAY(),"Vencida",IF(V1222=TODAY(),"Hoy","")))</f>
        <v/>
      </c>
      <c r="X1222" s="36" t="str">
        <f aca="false">IF(A1222="","",IF(COUNTIF(Seguimiento!$B$2:$B$5001,A1222)=0,"",_xlfn.MAXIFS(Seguimiento!$A$2:$A$5001,Seguimiento!$B$2:$B$5001,A1222)))</f>
        <v/>
      </c>
      <c r="Y1222" s="37" t="str">
        <f aca="true">IF(B1222="","",TODAY()-B1222)</f>
        <v/>
      </c>
      <c r="Z1222" s="38" t="str">
        <f aca="false">IF(OR(O1222="",G1222=""),"",O1222*IFERROR(INDEX(Listas!$B$2:$B$50,MATCH(G1222,Listas!$A$2:$A$50,0)),0))</f>
        <v/>
      </c>
      <c r="AA1222" s="32"/>
      <c r="AB1222" s="32"/>
      <c r="AC1222" s="32"/>
      <c r="AD1222" s="35" t="str">
        <f aca="false">IF(OR(LEFT(H1222,4)="Meta",LEFT(H1222,6)="Google"),IF(AG1222=3,"Lead calificado",IF(OR(AG1222=4,AG1222=5),"Tasación/visita",IF(OR(AG1222=6,AG1222=7),"Captación/oferta",IF(AG1222=8,"Cierre","")))),"")</f>
        <v/>
      </c>
      <c r="AE1222" s="32"/>
      <c r="AF1222" s="32"/>
      <c r="AG1222" s="37" t="n">
        <f aca="false">IF(R1222="",0,IFERROR(MATCH(R1222,Listas!$L$2:$L$50,0),0))</f>
        <v>0</v>
      </c>
    </row>
    <row r="1223" customFormat="false" ht="15" hidden="false" customHeight="false" outlineLevel="0" collapsed="false">
      <c r="A1223" s="30"/>
      <c r="B1223" s="31"/>
      <c r="C1223" s="32"/>
      <c r="D1223" s="32"/>
      <c r="E1223" s="33"/>
      <c r="F1223" s="32"/>
      <c r="G1223" s="32"/>
      <c r="H1223" s="32"/>
      <c r="I1223" s="32"/>
      <c r="J1223" s="32"/>
      <c r="K1223" s="32"/>
      <c r="L1223" s="32"/>
      <c r="M1223" s="30"/>
      <c r="N1223" s="32"/>
      <c r="O1223" s="34"/>
      <c r="P1223" s="32"/>
      <c r="Q1223" s="32"/>
      <c r="R1223" s="32"/>
      <c r="S1223" s="32"/>
      <c r="T1223" s="32"/>
      <c r="U1223" s="32"/>
      <c r="V1223" s="31"/>
      <c r="W1223" s="35" t="str">
        <f aca="true">IF(OR(V1223="",AG1223&gt;=8),"",IF(V1223&lt;TODAY(),"Vencida",IF(V1223=TODAY(),"Hoy","")))</f>
        <v/>
      </c>
      <c r="X1223" s="36" t="str">
        <f aca="false">IF(A1223="","",IF(COUNTIF(Seguimiento!$B$2:$B$5001,A1223)=0,"",_xlfn.MAXIFS(Seguimiento!$A$2:$A$5001,Seguimiento!$B$2:$B$5001,A1223)))</f>
        <v/>
      </c>
      <c r="Y1223" s="37" t="str">
        <f aca="true">IF(B1223="","",TODAY()-B1223)</f>
        <v/>
      </c>
      <c r="Z1223" s="38" t="str">
        <f aca="false">IF(OR(O1223="",G1223=""),"",O1223*IFERROR(INDEX(Listas!$B$2:$B$50,MATCH(G1223,Listas!$A$2:$A$50,0)),0))</f>
        <v/>
      </c>
      <c r="AA1223" s="32"/>
      <c r="AB1223" s="32"/>
      <c r="AC1223" s="32"/>
      <c r="AD1223" s="35" t="str">
        <f aca="false">IF(OR(LEFT(H1223,4)="Meta",LEFT(H1223,6)="Google"),IF(AG1223=3,"Lead calificado",IF(OR(AG1223=4,AG1223=5),"Tasación/visita",IF(OR(AG1223=6,AG1223=7),"Captación/oferta",IF(AG1223=8,"Cierre","")))),"")</f>
        <v/>
      </c>
      <c r="AE1223" s="32"/>
      <c r="AF1223" s="32"/>
      <c r="AG1223" s="37" t="n">
        <f aca="false">IF(R1223="",0,IFERROR(MATCH(R1223,Listas!$L$2:$L$50,0),0))</f>
        <v>0</v>
      </c>
    </row>
    <row r="1224" customFormat="false" ht="15" hidden="false" customHeight="false" outlineLevel="0" collapsed="false">
      <c r="A1224" s="30"/>
      <c r="B1224" s="31"/>
      <c r="C1224" s="32"/>
      <c r="D1224" s="32"/>
      <c r="E1224" s="33"/>
      <c r="F1224" s="32"/>
      <c r="G1224" s="32"/>
      <c r="H1224" s="32"/>
      <c r="I1224" s="32"/>
      <c r="J1224" s="32"/>
      <c r="K1224" s="32"/>
      <c r="L1224" s="32"/>
      <c r="M1224" s="30"/>
      <c r="N1224" s="32"/>
      <c r="O1224" s="34"/>
      <c r="P1224" s="32"/>
      <c r="Q1224" s="32"/>
      <c r="R1224" s="32"/>
      <c r="S1224" s="32"/>
      <c r="T1224" s="32"/>
      <c r="U1224" s="32"/>
      <c r="V1224" s="31"/>
      <c r="W1224" s="35" t="str">
        <f aca="true">IF(OR(V1224="",AG1224&gt;=8),"",IF(V1224&lt;TODAY(),"Vencida",IF(V1224=TODAY(),"Hoy","")))</f>
        <v/>
      </c>
      <c r="X1224" s="36" t="str">
        <f aca="false">IF(A1224="","",IF(COUNTIF(Seguimiento!$B$2:$B$5001,A1224)=0,"",_xlfn.MAXIFS(Seguimiento!$A$2:$A$5001,Seguimiento!$B$2:$B$5001,A1224)))</f>
        <v/>
      </c>
      <c r="Y1224" s="37" t="str">
        <f aca="true">IF(B1224="","",TODAY()-B1224)</f>
        <v/>
      </c>
      <c r="Z1224" s="38" t="str">
        <f aca="false">IF(OR(O1224="",G1224=""),"",O1224*IFERROR(INDEX(Listas!$B$2:$B$50,MATCH(G1224,Listas!$A$2:$A$50,0)),0))</f>
        <v/>
      </c>
      <c r="AA1224" s="32"/>
      <c r="AB1224" s="32"/>
      <c r="AC1224" s="32"/>
      <c r="AD1224" s="35" t="str">
        <f aca="false">IF(OR(LEFT(H1224,4)="Meta",LEFT(H1224,6)="Google"),IF(AG1224=3,"Lead calificado",IF(OR(AG1224=4,AG1224=5),"Tasación/visita",IF(OR(AG1224=6,AG1224=7),"Captación/oferta",IF(AG1224=8,"Cierre","")))),"")</f>
        <v/>
      </c>
      <c r="AE1224" s="32"/>
      <c r="AF1224" s="32"/>
      <c r="AG1224" s="37" t="n">
        <f aca="false">IF(R1224="",0,IFERROR(MATCH(R1224,Listas!$L$2:$L$50,0),0))</f>
        <v>0</v>
      </c>
    </row>
    <row r="1225" customFormat="false" ht="15" hidden="false" customHeight="false" outlineLevel="0" collapsed="false">
      <c r="A1225" s="30"/>
      <c r="B1225" s="31"/>
      <c r="C1225" s="32"/>
      <c r="D1225" s="32"/>
      <c r="E1225" s="33"/>
      <c r="F1225" s="32"/>
      <c r="G1225" s="32"/>
      <c r="H1225" s="32"/>
      <c r="I1225" s="32"/>
      <c r="J1225" s="32"/>
      <c r="K1225" s="32"/>
      <c r="L1225" s="32"/>
      <c r="M1225" s="30"/>
      <c r="N1225" s="32"/>
      <c r="O1225" s="34"/>
      <c r="P1225" s="32"/>
      <c r="Q1225" s="32"/>
      <c r="R1225" s="32"/>
      <c r="S1225" s="32"/>
      <c r="T1225" s="32"/>
      <c r="U1225" s="32"/>
      <c r="V1225" s="31"/>
      <c r="W1225" s="35" t="str">
        <f aca="true">IF(OR(V1225="",AG1225&gt;=8),"",IF(V1225&lt;TODAY(),"Vencida",IF(V1225=TODAY(),"Hoy","")))</f>
        <v/>
      </c>
      <c r="X1225" s="36" t="str">
        <f aca="false">IF(A1225="","",IF(COUNTIF(Seguimiento!$B$2:$B$5001,A1225)=0,"",_xlfn.MAXIFS(Seguimiento!$A$2:$A$5001,Seguimiento!$B$2:$B$5001,A1225)))</f>
        <v/>
      </c>
      <c r="Y1225" s="37" t="str">
        <f aca="true">IF(B1225="","",TODAY()-B1225)</f>
        <v/>
      </c>
      <c r="Z1225" s="38" t="str">
        <f aca="false">IF(OR(O1225="",G1225=""),"",O1225*IFERROR(INDEX(Listas!$B$2:$B$50,MATCH(G1225,Listas!$A$2:$A$50,0)),0))</f>
        <v/>
      </c>
      <c r="AA1225" s="32"/>
      <c r="AB1225" s="32"/>
      <c r="AC1225" s="32"/>
      <c r="AD1225" s="35" t="str">
        <f aca="false">IF(OR(LEFT(H1225,4)="Meta",LEFT(H1225,6)="Google"),IF(AG1225=3,"Lead calificado",IF(OR(AG1225=4,AG1225=5),"Tasación/visita",IF(OR(AG1225=6,AG1225=7),"Captación/oferta",IF(AG1225=8,"Cierre","")))),"")</f>
        <v/>
      </c>
      <c r="AE1225" s="32"/>
      <c r="AF1225" s="32"/>
      <c r="AG1225" s="37" t="n">
        <f aca="false">IF(R1225="",0,IFERROR(MATCH(R1225,Listas!$L$2:$L$50,0),0))</f>
        <v>0</v>
      </c>
    </row>
    <row r="1226" customFormat="false" ht="15" hidden="false" customHeight="false" outlineLevel="0" collapsed="false">
      <c r="A1226" s="30"/>
      <c r="B1226" s="31"/>
      <c r="C1226" s="32"/>
      <c r="D1226" s="32"/>
      <c r="E1226" s="33"/>
      <c r="F1226" s="32"/>
      <c r="G1226" s="32"/>
      <c r="H1226" s="32"/>
      <c r="I1226" s="32"/>
      <c r="J1226" s="32"/>
      <c r="K1226" s="32"/>
      <c r="L1226" s="32"/>
      <c r="M1226" s="30"/>
      <c r="N1226" s="32"/>
      <c r="O1226" s="34"/>
      <c r="P1226" s="32"/>
      <c r="Q1226" s="32"/>
      <c r="R1226" s="32"/>
      <c r="S1226" s="32"/>
      <c r="T1226" s="32"/>
      <c r="U1226" s="32"/>
      <c r="V1226" s="31"/>
      <c r="W1226" s="35" t="str">
        <f aca="true">IF(OR(V1226="",AG1226&gt;=8),"",IF(V1226&lt;TODAY(),"Vencida",IF(V1226=TODAY(),"Hoy","")))</f>
        <v/>
      </c>
      <c r="X1226" s="36" t="str">
        <f aca="false">IF(A1226="","",IF(COUNTIF(Seguimiento!$B$2:$B$5001,A1226)=0,"",_xlfn.MAXIFS(Seguimiento!$A$2:$A$5001,Seguimiento!$B$2:$B$5001,A1226)))</f>
        <v/>
      </c>
      <c r="Y1226" s="37" t="str">
        <f aca="true">IF(B1226="","",TODAY()-B1226)</f>
        <v/>
      </c>
      <c r="Z1226" s="38" t="str">
        <f aca="false">IF(OR(O1226="",G1226=""),"",O1226*IFERROR(INDEX(Listas!$B$2:$B$50,MATCH(G1226,Listas!$A$2:$A$50,0)),0))</f>
        <v/>
      </c>
      <c r="AA1226" s="32"/>
      <c r="AB1226" s="32"/>
      <c r="AC1226" s="32"/>
      <c r="AD1226" s="35" t="str">
        <f aca="false">IF(OR(LEFT(H1226,4)="Meta",LEFT(H1226,6)="Google"),IF(AG1226=3,"Lead calificado",IF(OR(AG1226=4,AG1226=5),"Tasación/visita",IF(OR(AG1226=6,AG1226=7),"Captación/oferta",IF(AG1226=8,"Cierre","")))),"")</f>
        <v/>
      </c>
      <c r="AE1226" s="32"/>
      <c r="AF1226" s="32"/>
      <c r="AG1226" s="37" t="n">
        <f aca="false">IF(R1226="",0,IFERROR(MATCH(R1226,Listas!$L$2:$L$50,0),0))</f>
        <v>0</v>
      </c>
    </row>
    <row r="1227" customFormat="false" ht="15" hidden="false" customHeight="false" outlineLevel="0" collapsed="false">
      <c r="A1227" s="30"/>
      <c r="B1227" s="31"/>
      <c r="C1227" s="32"/>
      <c r="D1227" s="32"/>
      <c r="E1227" s="33"/>
      <c r="F1227" s="32"/>
      <c r="G1227" s="32"/>
      <c r="H1227" s="32"/>
      <c r="I1227" s="32"/>
      <c r="J1227" s="32"/>
      <c r="K1227" s="32"/>
      <c r="L1227" s="32"/>
      <c r="M1227" s="30"/>
      <c r="N1227" s="32"/>
      <c r="O1227" s="34"/>
      <c r="P1227" s="32"/>
      <c r="Q1227" s="32"/>
      <c r="R1227" s="32"/>
      <c r="S1227" s="32"/>
      <c r="T1227" s="32"/>
      <c r="U1227" s="32"/>
      <c r="V1227" s="31"/>
      <c r="W1227" s="35" t="str">
        <f aca="true">IF(OR(V1227="",AG1227&gt;=8),"",IF(V1227&lt;TODAY(),"Vencida",IF(V1227=TODAY(),"Hoy","")))</f>
        <v/>
      </c>
      <c r="X1227" s="36" t="str">
        <f aca="false">IF(A1227="","",IF(COUNTIF(Seguimiento!$B$2:$B$5001,A1227)=0,"",_xlfn.MAXIFS(Seguimiento!$A$2:$A$5001,Seguimiento!$B$2:$B$5001,A1227)))</f>
        <v/>
      </c>
      <c r="Y1227" s="37" t="str">
        <f aca="true">IF(B1227="","",TODAY()-B1227)</f>
        <v/>
      </c>
      <c r="Z1227" s="38" t="str">
        <f aca="false">IF(OR(O1227="",G1227=""),"",O1227*IFERROR(INDEX(Listas!$B$2:$B$50,MATCH(G1227,Listas!$A$2:$A$50,0)),0))</f>
        <v/>
      </c>
      <c r="AA1227" s="32"/>
      <c r="AB1227" s="32"/>
      <c r="AC1227" s="32"/>
      <c r="AD1227" s="35" t="str">
        <f aca="false">IF(OR(LEFT(H1227,4)="Meta",LEFT(H1227,6)="Google"),IF(AG1227=3,"Lead calificado",IF(OR(AG1227=4,AG1227=5),"Tasación/visita",IF(OR(AG1227=6,AG1227=7),"Captación/oferta",IF(AG1227=8,"Cierre","")))),"")</f>
        <v/>
      </c>
      <c r="AE1227" s="32"/>
      <c r="AF1227" s="32"/>
      <c r="AG1227" s="37" t="n">
        <f aca="false">IF(R1227="",0,IFERROR(MATCH(R1227,Listas!$L$2:$L$50,0),0))</f>
        <v>0</v>
      </c>
    </row>
    <row r="1228" customFormat="false" ht="15" hidden="false" customHeight="false" outlineLevel="0" collapsed="false">
      <c r="A1228" s="30"/>
      <c r="B1228" s="31"/>
      <c r="C1228" s="32"/>
      <c r="D1228" s="32"/>
      <c r="E1228" s="33"/>
      <c r="F1228" s="32"/>
      <c r="G1228" s="32"/>
      <c r="H1228" s="32"/>
      <c r="I1228" s="32"/>
      <c r="J1228" s="32"/>
      <c r="K1228" s="32"/>
      <c r="L1228" s="32"/>
      <c r="M1228" s="30"/>
      <c r="N1228" s="32"/>
      <c r="O1228" s="34"/>
      <c r="P1228" s="32"/>
      <c r="Q1228" s="32"/>
      <c r="R1228" s="32"/>
      <c r="S1228" s="32"/>
      <c r="T1228" s="32"/>
      <c r="U1228" s="32"/>
      <c r="V1228" s="31"/>
      <c r="W1228" s="35" t="str">
        <f aca="true">IF(OR(V1228="",AG1228&gt;=8),"",IF(V1228&lt;TODAY(),"Vencida",IF(V1228=TODAY(),"Hoy","")))</f>
        <v/>
      </c>
      <c r="X1228" s="36" t="str">
        <f aca="false">IF(A1228="","",IF(COUNTIF(Seguimiento!$B$2:$B$5001,A1228)=0,"",_xlfn.MAXIFS(Seguimiento!$A$2:$A$5001,Seguimiento!$B$2:$B$5001,A1228)))</f>
        <v/>
      </c>
      <c r="Y1228" s="37" t="str">
        <f aca="true">IF(B1228="","",TODAY()-B1228)</f>
        <v/>
      </c>
      <c r="Z1228" s="38" t="str">
        <f aca="false">IF(OR(O1228="",G1228=""),"",O1228*IFERROR(INDEX(Listas!$B$2:$B$50,MATCH(G1228,Listas!$A$2:$A$50,0)),0))</f>
        <v/>
      </c>
      <c r="AA1228" s="32"/>
      <c r="AB1228" s="32"/>
      <c r="AC1228" s="32"/>
      <c r="AD1228" s="35" t="str">
        <f aca="false">IF(OR(LEFT(H1228,4)="Meta",LEFT(H1228,6)="Google"),IF(AG1228=3,"Lead calificado",IF(OR(AG1228=4,AG1228=5),"Tasación/visita",IF(OR(AG1228=6,AG1228=7),"Captación/oferta",IF(AG1228=8,"Cierre","")))),"")</f>
        <v/>
      </c>
      <c r="AE1228" s="32"/>
      <c r="AF1228" s="32"/>
      <c r="AG1228" s="37" t="n">
        <f aca="false">IF(R1228="",0,IFERROR(MATCH(R1228,Listas!$L$2:$L$50,0),0))</f>
        <v>0</v>
      </c>
    </row>
    <row r="1229" customFormat="false" ht="15" hidden="false" customHeight="false" outlineLevel="0" collapsed="false">
      <c r="A1229" s="30"/>
      <c r="B1229" s="31"/>
      <c r="C1229" s="32"/>
      <c r="D1229" s="32"/>
      <c r="E1229" s="33"/>
      <c r="F1229" s="32"/>
      <c r="G1229" s="32"/>
      <c r="H1229" s="32"/>
      <c r="I1229" s="32"/>
      <c r="J1229" s="32"/>
      <c r="K1229" s="32"/>
      <c r="L1229" s="32"/>
      <c r="M1229" s="30"/>
      <c r="N1229" s="32"/>
      <c r="O1229" s="34"/>
      <c r="P1229" s="32"/>
      <c r="Q1229" s="32"/>
      <c r="R1229" s="32"/>
      <c r="S1229" s="32"/>
      <c r="T1229" s="32"/>
      <c r="U1229" s="32"/>
      <c r="V1229" s="31"/>
      <c r="W1229" s="35" t="str">
        <f aca="true">IF(OR(V1229="",AG1229&gt;=8),"",IF(V1229&lt;TODAY(),"Vencida",IF(V1229=TODAY(),"Hoy","")))</f>
        <v/>
      </c>
      <c r="X1229" s="36" t="str">
        <f aca="false">IF(A1229="","",IF(COUNTIF(Seguimiento!$B$2:$B$5001,A1229)=0,"",_xlfn.MAXIFS(Seguimiento!$A$2:$A$5001,Seguimiento!$B$2:$B$5001,A1229)))</f>
        <v/>
      </c>
      <c r="Y1229" s="37" t="str">
        <f aca="true">IF(B1229="","",TODAY()-B1229)</f>
        <v/>
      </c>
      <c r="Z1229" s="38" t="str">
        <f aca="false">IF(OR(O1229="",G1229=""),"",O1229*IFERROR(INDEX(Listas!$B$2:$B$50,MATCH(G1229,Listas!$A$2:$A$50,0)),0))</f>
        <v/>
      </c>
      <c r="AA1229" s="32"/>
      <c r="AB1229" s="32"/>
      <c r="AC1229" s="32"/>
      <c r="AD1229" s="35" t="str">
        <f aca="false">IF(OR(LEFT(H1229,4)="Meta",LEFT(H1229,6)="Google"),IF(AG1229=3,"Lead calificado",IF(OR(AG1229=4,AG1229=5),"Tasación/visita",IF(OR(AG1229=6,AG1229=7),"Captación/oferta",IF(AG1229=8,"Cierre","")))),"")</f>
        <v/>
      </c>
      <c r="AE1229" s="32"/>
      <c r="AF1229" s="32"/>
      <c r="AG1229" s="37" t="n">
        <f aca="false">IF(R1229="",0,IFERROR(MATCH(R1229,Listas!$L$2:$L$50,0),0))</f>
        <v>0</v>
      </c>
    </row>
    <row r="1230" customFormat="false" ht="15" hidden="false" customHeight="false" outlineLevel="0" collapsed="false">
      <c r="A1230" s="30"/>
      <c r="B1230" s="31"/>
      <c r="C1230" s="32"/>
      <c r="D1230" s="32"/>
      <c r="E1230" s="33"/>
      <c r="F1230" s="32"/>
      <c r="G1230" s="32"/>
      <c r="H1230" s="32"/>
      <c r="I1230" s="32"/>
      <c r="J1230" s="32"/>
      <c r="K1230" s="32"/>
      <c r="L1230" s="32"/>
      <c r="M1230" s="30"/>
      <c r="N1230" s="32"/>
      <c r="O1230" s="34"/>
      <c r="P1230" s="32"/>
      <c r="Q1230" s="32"/>
      <c r="R1230" s="32"/>
      <c r="S1230" s="32"/>
      <c r="T1230" s="32"/>
      <c r="U1230" s="32"/>
      <c r="V1230" s="31"/>
      <c r="W1230" s="35" t="str">
        <f aca="true">IF(OR(V1230="",AG1230&gt;=8),"",IF(V1230&lt;TODAY(),"Vencida",IF(V1230=TODAY(),"Hoy","")))</f>
        <v/>
      </c>
      <c r="X1230" s="36" t="str">
        <f aca="false">IF(A1230="","",IF(COUNTIF(Seguimiento!$B$2:$B$5001,A1230)=0,"",_xlfn.MAXIFS(Seguimiento!$A$2:$A$5001,Seguimiento!$B$2:$B$5001,A1230)))</f>
        <v/>
      </c>
      <c r="Y1230" s="37" t="str">
        <f aca="true">IF(B1230="","",TODAY()-B1230)</f>
        <v/>
      </c>
      <c r="Z1230" s="38" t="str">
        <f aca="false">IF(OR(O1230="",G1230=""),"",O1230*IFERROR(INDEX(Listas!$B$2:$B$50,MATCH(G1230,Listas!$A$2:$A$50,0)),0))</f>
        <v/>
      </c>
      <c r="AA1230" s="32"/>
      <c r="AB1230" s="32"/>
      <c r="AC1230" s="32"/>
      <c r="AD1230" s="35" t="str">
        <f aca="false">IF(OR(LEFT(H1230,4)="Meta",LEFT(H1230,6)="Google"),IF(AG1230=3,"Lead calificado",IF(OR(AG1230=4,AG1230=5),"Tasación/visita",IF(OR(AG1230=6,AG1230=7),"Captación/oferta",IF(AG1230=8,"Cierre","")))),"")</f>
        <v/>
      </c>
      <c r="AE1230" s="32"/>
      <c r="AF1230" s="32"/>
      <c r="AG1230" s="37" t="n">
        <f aca="false">IF(R1230="",0,IFERROR(MATCH(R1230,Listas!$L$2:$L$50,0),0))</f>
        <v>0</v>
      </c>
    </row>
    <row r="1231" customFormat="false" ht="15" hidden="false" customHeight="false" outlineLevel="0" collapsed="false">
      <c r="A1231" s="30"/>
      <c r="B1231" s="31"/>
      <c r="C1231" s="32"/>
      <c r="D1231" s="32"/>
      <c r="E1231" s="33"/>
      <c r="F1231" s="32"/>
      <c r="G1231" s="32"/>
      <c r="H1231" s="32"/>
      <c r="I1231" s="32"/>
      <c r="J1231" s="32"/>
      <c r="K1231" s="32"/>
      <c r="L1231" s="32"/>
      <c r="M1231" s="30"/>
      <c r="N1231" s="32"/>
      <c r="O1231" s="34"/>
      <c r="P1231" s="32"/>
      <c r="Q1231" s="32"/>
      <c r="R1231" s="32"/>
      <c r="S1231" s="32"/>
      <c r="T1231" s="32"/>
      <c r="U1231" s="32"/>
      <c r="V1231" s="31"/>
      <c r="W1231" s="35" t="str">
        <f aca="true">IF(OR(V1231="",AG1231&gt;=8),"",IF(V1231&lt;TODAY(),"Vencida",IF(V1231=TODAY(),"Hoy","")))</f>
        <v/>
      </c>
      <c r="X1231" s="36" t="str">
        <f aca="false">IF(A1231="","",IF(COUNTIF(Seguimiento!$B$2:$B$5001,A1231)=0,"",_xlfn.MAXIFS(Seguimiento!$A$2:$A$5001,Seguimiento!$B$2:$B$5001,A1231)))</f>
        <v/>
      </c>
      <c r="Y1231" s="37" t="str">
        <f aca="true">IF(B1231="","",TODAY()-B1231)</f>
        <v/>
      </c>
      <c r="Z1231" s="38" t="str">
        <f aca="false">IF(OR(O1231="",G1231=""),"",O1231*IFERROR(INDEX(Listas!$B$2:$B$50,MATCH(G1231,Listas!$A$2:$A$50,0)),0))</f>
        <v/>
      </c>
      <c r="AA1231" s="32"/>
      <c r="AB1231" s="32"/>
      <c r="AC1231" s="32"/>
      <c r="AD1231" s="35" t="str">
        <f aca="false">IF(OR(LEFT(H1231,4)="Meta",LEFT(H1231,6)="Google"),IF(AG1231=3,"Lead calificado",IF(OR(AG1231=4,AG1231=5),"Tasación/visita",IF(OR(AG1231=6,AG1231=7),"Captación/oferta",IF(AG1231=8,"Cierre","")))),"")</f>
        <v/>
      </c>
      <c r="AE1231" s="32"/>
      <c r="AF1231" s="32"/>
      <c r="AG1231" s="37" t="n">
        <f aca="false">IF(R1231="",0,IFERROR(MATCH(R1231,Listas!$L$2:$L$50,0),0))</f>
        <v>0</v>
      </c>
    </row>
    <row r="1232" customFormat="false" ht="15" hidden="false" customHeight="false" outlineLevel="0" collapsed="false">
      <c r="A1232" s="30"/>
      <c r="B1232" s="31"/>
      <c r="C1232" s="32"/>
      <c r="D1232" s="32"/>
      <c r="E1232" s="33"/>
      <c r="F1232" s="32"/>
      <c r="G1232" s="32"/>
      <c r="H1232" s="32"/>
      <c r="I1232" s="32"/>
      <c r="J1232" s="32"/>
      <c r="K1232" s="32"/>
      <c r="L1232" s="32"/>
      <c r="M1232" s="30"/>
      <c r="N1232" s="32"/>
      <c r="O1232" s="34"/>
      <c r="P1232" s="32"/>
      <c r="Q1232" s="32"/>
      <c r="R1232" s="32"/>
      <c r="S1232" s="32"/>
      <c r="T1232" s="32"/>
      <c r="U1232" s="32"/>
      <c r="V1232" s="31"/>
      <c r="W1232" s="35" t="str">
        <f aca="true">IF(OR(V1232="",AG1232&gt;=8),"",IF(V1232&lt;TODAY(),"Vencida",IF(V1232=TODAY(),"Hoy","")))</f>
        <v/>
      </c>
      <c r="X1232" s="36" t="str">
        <f aca="false">IF(A1232="","",IF(COUNTIF(Seguimiento!$B$2:$B$5001,A1232)=0,"",_xlfn.MAXIFS(Seguimiento!$A$2:$A$5001,Seguimiento!$B$2:$B$5001,A1232)))</f>
        <v/>
      </c>
      <c r="Y1232" s="37" t="str">
        <f aca="true">IF(B1232="","",TODAY()-B1232)</f>
        <v/>
      </c>
      <c r="Z1232" s="38" t="str">
        <f aca="false">IF(OR(O1232="",G1232=""),"",O1232*IFERROR(INDEX(Listas!$B$2:$B$50,MATCH(G1232,Listas!$A$2:$A$50,0)),0))</f>
        <v/>
      </c>
      <c r="AA1232" s="32"/>
      <c r="AB1232" s="32"/>
      <c r="AC1232" s="32"/>
      <c r="AD1232" s="35" t="str">
        <f aca="false">IF(OR(LEFT(H1232,4)="Meta",LEFT(H1232,6)="Google"),IF(AG1232=3,"Lead calificado",IF(OR(AG1232=4,AG1232=5),"Tasación/visita",IF(OR(AG1232=6,AG1232=7),"Captación/oferta",IF(AG1232=8,"Cierre","")))),"")</f>
        <v/>
      </c>
      <c r="AE1232" s="32"/>
      <c r="AF1232" s="32"/>
      <c r="AG1232" s="37" t="n">
        <f aca="false">IF(R1232="",0,IFERROR(MATCH(R1232,Listas!$L$2:$L$50,0),0))</f>
        <v>0</v>
      </c>
    </row>
    <row r="1233" customFormat="false" ht="15" hidden="false" customHeight="false" outlineLevel="0" collapsed="false">
      <c r="A1233" s="30"/>
      <c r="B1233" s="31"/>
      <c r="C1233" s="32"/>
      <c r="D1233" s="32"/>
      <c r="E1233" s="33"/>
      <c r="F1233" s="32"/>
      <c r="G1233" s="32"/>
      <c r="H1233" s="32"/>
      <c r="I1233" s="32"/>
      <c r="J1233" s="32"/>
      <c r="K1233" s="32"/>
      <c r="L1233" s="32"/>
      <c r="M1233" s="30"/>
      <c r="N1233" s="32"/>
      <c r="O1233" s="34"/>
      <c r="P1233" s="32"/>
      <c r="Q1233" s="32"/>
      <c r="R1233" s="32"/>
      <c r="S1233" s="32"/>
      <c r="T1233" s="32"/>
      <c r="U1233" s="32"/>
      <c r="V1233" s="31"/>
      <c r="W1233" s="35" t="str">
        <f aca="true">IF(OR(V1233="",AG1233&gt;=8),"",IF(V1233&lt;TODAY(),"Vencida",IF(V1233=TODAY(),"Hoy","")))</f>
        <v/>
      </c>
      <c r="X1233" s="36" t="str">
        <f aca="false">IF(A1233="","",IF(COUNTIF(Seguimiento!$B$2:$B$5001,A1233)=0,"",_xlfn.MAXIFS(Seguimiento!$A$2:$A$5001,Seguimiento!$B$2:$B$5001,A1233)))</f>
        <v/>
      </c>
      <c r="Y1233" s="37" t="str">
        <f aca="true">IF(B1233="","",TODAY()-B1233)</f>
        <v/>
      </c>
      <c r="Z1233" s="38" t="str">
        <f aca="false">IF(OR(O1233="",G1233=""),"",O1233*IFERROR(INDEX(Listas!$B$2:$B$50,MATCH(G1233,Listas!$A$2:$A$50,0)),0))</f>
        <v/>
      </c>
      <c r="AA1233" s="32"/>
      <c r="AB1233" s="32"/>
      <c r="AC1233" s="32"/>
      <c r="AD1233" s="35" t="str">
        <f aca="false">IF(OR(LEFT(H1233,4)="Meta",LEFT(H1233,6)="Google"),IF(AG1233=3,"Lead calificado",IF(OR(AG1233=4,AG1233=5),"Tasación/visita",IF(OR(AG1233=6,AG1233=7),"Captación/oferta",IF(AG1233=8,"Cierre","")))),"")</f>
        <v/>
      </c>
      <c r="AE1233" s="32"/>
      <c r="AF1233" s="32"/>
      <c r="AG1233" s="37" t="n">
        <f aca="false">IF(R1233="",0,IFERROR(MATCH(R1233,Listas!$L$2:$L$50,0),0))</f>
        <v>0</v>
      </c>
    </row>
    <row r="1234" customFormat="false" ht="15" hidden="false" customHeight="false" outlineLevel="0" collapsed="false">
      <c r="A1234" s="30"/>
      <c r="B1234" s="31"/>
      <c r="C1234" s="32"/>
      <c r="D1234" s="32"/>
      <c r="E1234" s="33"/>
      <c r="F1234" s="32"/>
      <c r="G1234" s="32"/>
      <c r="H1234" s="32"/>
      <c r="I1234" s="32"/>
      <c r="J1234" s="32"/>
      <c r="K1234" s="32"/>
      <c r="L1234" s="32"/>
      <c r="M1234" s="30"/>
      <c r="N1234" s="32"/>
      <c r="O1234" s="34"/>
      <c r="P1234" s="32"/>
      <c r="Q1234" s="32"/>
      <c r="R1234" s="32"/>
      <c r="S1234" s="32"/>
      <c r="T1234" s="32"/>
      <c r="U1234" s="32"/>
      <c r="V1234" s="31"/>
      <c r="W1234" s="35" t="str">
        <f aca="true">IF(OR(V1234="",AG1234&gt;=8),"",IF(V1234&lt;TODAY(),"Vencida",IF(V1234=TODAY(),"Hoy","")))</f>
        <v/>
      </c>
      <c r="X1234" s="36" t="str">
        <f aca="false">IF(A1234="","",IF(COUNTIF(Seguimiento!$B$2:$B$5001,A1234)=0,"",_xlfn.MAXIFS(Seguimiento!$A$2:$A$5001,Seguimiento!$B$2:$B$5001,A1234)))</f>
        <v/>
      </c>
      <c r="Y1234" s="37" t="str">
        <f aca="true">IF(B1234="","",TODAY()-B1234)</f>
        <v/>
      </c>
      <c r="Z1234" s="38" t="str">
        <f aca="false">IF(OR(O1234="",G1234=""),"",O1234*IFERROR(INDEX(Listas!$B$2:$B$50,MATCH(G1234,Listas!$A$2:$A$50,0)),0))</f>
        <v/>
      </c>
      <c r="AA1234" s="32"/>
      <c r="AB1234" s="32"/>
      <c r="AC1234" s="32"/>
      <c r="AD1234" s="35" t="str">
        <f aca="false">IF(OR(LEFT(H1234,4)="Meta",LEFT(H1234,6)="Google"),IF(AG1234=3,"Lead calificado",IF(OR(AG1234=4,AG1234=5),"Tasación/visita",IF(OR(AG1234=6,AG1234=7),"Captación/oferta",IF(AG1234=8,"Cierre","")))),"")</f>
        <v/>
      </c>
      <c r="AE1234" s="32"/>
      <c r="AF1234" s="32"/>
      <c r="AG1234" s="37" t="n">
        <f aca="false">IF(R1234="",0,IFERROR(MATCH(R1234,Listas!$L$2:$L$50,0),0))</f>
        <v>0</v>
      </c>
    </row>
    <row r="1235" customFormat="false" ht="15" hidden="false" customHeight="false" outlineLevel="0" collapsed="false">
      <c r="A1235" s="30"/>
      <c r="B1235" s="31"/>
      <c r="C1235" s="32"/>
      <c r="D1235" s="32"/>
      <c r="E1235" s="33"/>
      <c r="F1235" s="32"/>
      <c r="G1235" s="32"/>
      <c r="H1235" s="32"/>
      <c r="I1235" s="32"/>
      <c r="J1235" s="32"/>
      <c r="K1235" s="32"/>
      <c r="L1235" s="32"/>
      <c r="M1235" s="30"/>
      <c r="N1235" s="32"/>
      <c r="O1235" s="34"/>
      <c r="P1235" s="32"/>
      <c r="Q1235" s="32"/>
      <c r="R1235" s="32"/>
      <c r="S1235" s="32"/>
      <c r="T1235" s="32"/>
      <c r="U1235" s="32"/>
      <c r="V1235" s="31"/>
      <c r="W1235" s="35" t="str">
        <f aca="true">IF(OR(V1235="",AG1235&gt;=8),"",IF(V1235&lt;TODAY(),"Vencida",IF(V1235=TODAY(),"Hoy","")))</f>
        <v/>
      </c>
      <c r="X1235" s="36" t="str">
        <f aca="false">IF(A1235="","",IF(COUNTIF(Seguimiento!$B$2:$B$5001,A1235)=0,"",_xlfn.MAXIFS(Seguimiento!$A$2:$A$5001,Seguimiento!$B$2:$B$5001,A1235)))</f>
        <v/>
      </c>
      <c r="Y1235" s="37" t="str">
        <f aca="true">IF(B1235="","",TODAY()-B1235)</f>
        <v/>
      </c>
      <c r="Z1235" s="38" t="str">
        <f aca="false">IF(OR(O1235="",G1235=""),"",O1235*IFERROR(INDEX(Listas!$B$2:$B$50,MATCH(G1235,Listas!$A$2:$A$50,0)),0))</f>
        <v/>
      </c>
      <c r="AA1235" s="32"/>
      <c r="AB1235" s="32"/>
      <c r="AC1235" s="32"/>
      <c r="AD1235" s="35" t="str">
        <f aca="false">IF(OR(LEFT(H1235,4)="Meta",LEFT(H1235,6)="Google"),IF(AG1235=3,"Lead calificado",IF(OR(AG1235=4,AG1235=5),"Tasación/visita",IF(OR(AG1235=6,AG1235=7),"Captación/oferta",IF(AG1235=8,"Cierre","")))),"")</f>
        <v/>
      </c>
      <c r="AE1235" s="32"/>
      <c r="AF1235" s="32"/>
      <c r="AG1235" s="37" t="n">
        <f aca="false">IF(R1235="",0,IFERROR(MATCH(R1235,Listas!$L$2:$L$50,0),0))</f>
        <v>0</v>
      </c>
    </row>
    <row r="1236" customFormat="false" ht="15" hidden="false" customHeight="false" outlineLevel="0" collapsed="false">
      <c r="A1236" s="30"/>
      <c r="B1236" s="31"/>
      <c r="C1236" s="32"/>
      <c r="D1236" s="32"/>
      <c r="E1236" s="33"/>
      <c r="F1236" s="32"/>
      <c r="G1236" s="32"/>
      <c r="H1236" s="32"/>
      <c r="I1236" s="32"/>
      <c r="J1236" s="32"/>
      <c r="K1236" s="32"/>
      <c r="L1236" s="32"/>
      <c r="M1236" s="30"/>
      <c r="N1236" s="32"/>
      <c r="O1236" s="34"/>
      <c r="P1236" s="32"/>
      <c r="Q1236" s="32"/>
      <c r="R1236" s="32"/>
      <c r="S1236" s="32"/>
      <c r="T1236" s="32"/>
      <c r="U1236" s="32"/>
      <c r="V1236" s="31"/>
      <c r="W1236" s="35" t="str">
        <f aca="true">IF(OR(V1236="",AG1236&gt;=8),"",IF(V1236&lt;TODAY(),"Vencida",IF(V1236=TODAY(),"Hoy","")))</f>
        <v/>
      </c>
      <c r="X1236" s="36" t="str">
        <f aca="false">IF(A1236="","",IF(COUNTIF(Seguimiento!$B$2:$B$5001,A1236)=0,"",_xlfn.MAXIFS(Seguimiento!$A$2:$A$5001,Seguimiento!$B$2:$B$5001,A1236)))</f>
        <v/>
      </c>
      <c r="Y1236" s="37" t="str">
        <f aca="true">IF(B1236="","",TODAY()-B1236)</f>
        <v/>
      </c>
      <c r="Z1236" s="38" t="str">
        <f aca="false">IF(OR(O1236="",G1236=""),"",O1236*IFERROR(INDEX(Listas!$B$2:$B$50,MATCH(G1236,Listas!$A$2:$A$50,0)),0))</f>
        <v/>
      </c>
      <c r="AA1236" s="32"/>
      <c r="AB1236" s="32"/>
      <c r="AC1236" s="32"/>
      <c r="AD1236" s="35" t="str">
        <f aca="false">IF(OR(LEFT(H1236,4)="Meta",LEFT(H1236,6)="Google"),IF(AG1236=3,"Lead calificado",IF(OR(AG1236=4,AG1236=5),"Tasación/visita",IF(OR(AG1236=6,AG1236=7),"Captación/oferta",IF(AG1236=8,"Cierre","")))),"")</f>
        <v/>
      </c>
      <c r="AE1236" s="32"/>
      <c r="AF1236" s="32"/>
      <c r="AG1236" s="37" t="n">
        <f aca="false">IF(R1236="",0,IFERROR(MATCH(R1236,Listas!$L$2:$L$50,0),0))</f>
        <v>0</v>
      </c>
    </row>
    <row r="1237" customFormat="false" ht="15" hidden="false" customHeight="false" outlineLevel="0" collapsed="false">
      <c r="A1237" s="30"/>
      <c r="B1237" s="31"/>
      <c r="C1237" s="32"/>
      <c r="D1237" s="32"/>
      <c r="E1237" s="33"/>
      <c r="F1237" s="32"/>
      <c r="G1237" s="32"/>
      <c r="H1237" s="32"/>
      <c r="I1237" s="32"/>
      <c r="J1237" s="32"/>
      <c r="K1237" s="32"/>
      <c r="L1237" s="32"/>
      <c r="M1237" s="30"/>
      <c r="N1237" s="32"/>
      <c r="O1237" s="34"/>
      <c r="P1237" s="32"/>
      <c r="Q1237" s="32"/>
      <c r="R1237" s="32"/>
      <c r="S1237" s="32"/>
      <c r="T1237" s="32"/>
      <c r="U1237" s="32"/>
      <c r="V1237" s="31"/>
      <c r="W1237" s="35" t="str">
        <f aca="true">IF(OR(V1237="",AG1237&gt;=8),"",IF(V1237&lt;TODAY(),"Vencida",IF(V1237=TODAY(),"Hoy","")))</f>
        <v/>
      </c>
      <c r="X1237" s="36" t="str">
        <f aca="false">IF(A1237="","",IF(COUNTIF(Seguimiento!$B$2:$B$5001,A1237)=0,"",_xlfn.MAXIFS(Seguimiento!$A$2:$A$5001,Seguimiento!$B$2:$B$5001,A1237)))</f>
        <v/>
      </c>
      <c r="Y1237" s="37" t="str">
        <f aca="true">IF(B1237="","",TODAY()-B1237)</f>
        <v/>
      </c>
      <c r="Z1237" s="38" t="str">
        <f aca="false">IF(OR(O1237="",G1237=""),"",O1237*IFERROR(INDEX(Listas!$B$2:$B$50,MATCH(G1237,Listas!$A$2:$A$50,0)),0))</f>
        <v/>
      </c>
      <c r="AA1237" s="32"/>
      <c r="AB1237" s="32"/>
      <c r="AC1237" s="32"/>
      <c r="AD1237" s="35" t="str">
        <f aca="false">IF(OR(LEFT(H1237,4)="Meta",LEFT(H1237,6)="Google"),IF(AG1237=3,"Lead calificado",IF(OR(AG1237=4,AG1237=5),"Tasación/visita",IF(OR(AG1237=6,AG1237=7),"Captación/oferta",IF(AG1237=8,"Cierre","")))),"")</f>
        <v/>
      </c>
      <c r="AE1237" s="32"/>
      <c r="AF1237" s="32"/>
      <c r="AG1237" s="37" t="n">
        <f aca="false">IF(R1237="",0,IFERROR(MATCH(R1237,Listas!$L$2:$L$50,0),0))</f>
        <v>0</v>
      </c>
    </row>
    <row r="1238" customFormat="false" ht="15" hidden="false" customHeight="false" outlineLevel="0" collapsed="false">
      <c r="A1238" s="30"/>
      <c r="B1238" s="31"/>
      <c r="C1238" s="32"/>
      <c r="D1238" s="32"/>
      <c r="E1238" s="33"/>
      <c r="F1238" s="32"/>
      <c r="G1238" s="32"/>
      <c r="H1238" s="32"/>
      <c r="I1238" s="32"/>
      <c r="J1238" s="32"/>
      <c r="K1238" s="32"/>
      <c r="L1238" s="32"/>
      <c r="M1238" s="30"/>
      <c r="N1238" s="32"/>
      <c r="O1238" s="34"/>
      <c r="P1238" s="32"/>
      <c r="Q1238" s="32"/>
      <c r="R1238" s="32"/>
      <c r="S1238" s="32"/>
      <c r="T1238" s="32"/>
      <c r="U1238" s="32"/>
      <c r="V1238" s="31"/>
      <c r="W1238" s="35" t="str">
        <f aca="true">IF(OR(V1238="",AG1238&gt;=8),"",IF(V1238&lt;TODAY(),"Vencida",IF(V1238=TODAY(),"Hoy","")))</f>
        <v/>
      </c>
      <c r="X1238" s="36" t="str">
        <f aca="false">IF(A1238="","",IF(COUNTIF(Seguimiento!$B$2:$B$5001,A1238)=0,"",_xlfn.MAXIFS(Seguimiento!$A$2:$A$5001,Seguimiento!$B$2:$B$5001,A1238)))</f>
        <v/>
      </c>
      <c r="Y1238" s="37" t="str">
        <f aca="true">IF(B1238="","",TODAY()-B1238)</f>
        <v/>
      </c>
      <c r="Z1238" s="38" t="str">
        <f aca="false">IF(OR(O1238="",G1238=""),"",O1238*IFERROR(INDEX(Listas!$B$2:$B$50,MATCH(G1238,Listas!$A$2:$A$50,0)),0))</f>
        <v/>
      </c>
      <c r="AA1238" s="32"/>
      <c r="AB1238" s="32"/>
      <c r="AC1238" s="32"/>
      <c r="AD1238" s="35" t="str">
        <f aca="false">IF(OR(LEFT(H1238,4)="Meta",LEFT(H1238,6)="Google"),IF(AG1238=3,"Lead calificado",IF(OR(AG1238=4,AG1238=5),"Tasación/visita",IF(OR(AG1238=6,AG1238=7),"Captación/oferta",IF(AG1238=8,"Cierre","")))),"")</f>
        <v/>
      </c>
      <c r="AE1238" s="32"/>
      <c r="AF1238" s="32"/>
      <c r="AG1238" s="37" t="n">
        <f aca="false">IF(R1238="",0,IFERROR(MATCH(R1238,Listas!$L$2:$L$50,0),0))</f>
        <v>0</v>
      </c>
    </row>
    <row r="1239" customFormat="false" ht="15" hidden="false" customHeight="false" outlineLevel="0" collapsed="false">
      <c r="A1239" s="30"/>
      <c r="B1239" s="31"/>
      <c r="C1239" s="32"/>
      <c r="D1239" s="32"/>
      <c r="E1239" s="33"/>
      <c r="F1239" s="32"/>
      <c r="G1239" s="32"/>
      <c r="H1239" s="32"/>
      <c r="I1239" s="32"/>
      <c r="J1239" s="32"/>
      <c r="K1239" s="32"/>
      <c r="L1239" s="32"/>
      <c r="M1239" s="30"/>
      <c r="N1239" s="32"/>
      <c r="O1239" s="34"/>
      <c r="P1239" s="32"/>
      <c r="Q1239" s="32"/>
      <c r="R1239" s="32"/>
      <c r="S1239" s="32"/>
      <c r="T1239" s="32"/>
      <c r="U1239" s="32"/>
      <c r="V1239" s="31"/>
      <c r="W1239" s="35" t="str">
        <f aca="true">IF(OR(V1239="",AG1239&gt;=8),"",IF(V1239&lt;TODAY(),"Vencida",IF(V1239=TODAY(),"Hoy","")))</f>
        <v/>
      </c>
      <c r="X1239" s="36" t="str">
        <f aca="false">IF(A1239="","",IF(COUNTIF(Seguimiento!$B$2:$B$5001,A1239)=0,"",_xlfn.MAXIFS(Seguimiento!$A$2:$A$5001,Seguimiento!$B$2:$B$5001,A1239)))</f>
        <v/>
      </c>
      <c r="Y1239" s="37" t="str">
        <f aca="true">IF(B1239="","",TODAY()-B1239)</f>
        <v/>
      </c>
      <c r="Z1239" s="38" t="str">
        <f aca="false">IF(OR(O1239="",G1239=""),"",O1239*IFERROR(INDEX(Listas!$B$2:$B$50,MATCH(G1239,Listas!$A$2:$A$50,0)),0))</f>
        <v/>
      </c>
      <c r="AA1239" s="32"/>
      <c r="AB1239" s="32"/>
      <c r="AC1239" s="32"/>
      <c r="AD1239" s="35" t="str">
        <f aca="false">IF(OR(LEFT(H1239,4)="Meta",LEFT(H1239,6)="Google"),IF(AG1239=3,"Lead calificado",IF(OR(AG1239=4,AG1239=5),"Tasación/visita",IF(OR(AG1239=6,AG1239=7),"Captación/oferta",IF(AG1239=8,"Cierre","")))),"")</f>
        <v/>
      </c>
      <c r="AE1239" s="32"/>
      <c r="AF1239" s="32"/>
      <c r="AG1239" s="37" t="n">
        <f aca="false">IF(R1239="",0,IFERROR(MATCH(R1239,Listas!$L$2:$L$50,0),0))</f>
        <v>0</v>
      </c>
    </row>
    <row r="1240" customFormat="false" ht="15" hidden="false" customHeight="false" outlineLevel="0" collapsed="false">
      <c r="A1240" s="30"/>
      <c r="B1240" s="31"/>
      <c r="C1240" s="32"/>
      <c r="D1240" s="32"/>
      <c r="E1240" s="33"/>
      <c r="F1240" s="32"/>
      <c r="G1240" s="32"/>
      <c r="H1240" s="32"/>
      <c r="I1240" s="32"/>
      <c r="J1240" s="32"/>
      <c r="K1240" s="32"/>
      <c r="L1240" s="32"/>
      <c r="M1240" s="30"/>
      <c r="N1240" s="32"/>
      <c r="O1240" s="34"/>
      <c r="P1240" s="32"/>
      <c r="Q1240" s="32"/>
      <c r="R1240" s="32"/>
      <c r="S1240" s="32"/>
      <c r="T1240" s="32"/>
      <c r="U1240" s="32"/>
      <c r="V1240" s="31"/>
      <c r="W1240" s="35" t="str">
        <f aca="true">IF(OR(V1240="",AG1240&gt;=8),"",IF(V1240&lt;TODAY(),"Vencida",IF(V1240=TODAY(),"Hoy","")))</f>
        <v/>
      </c>
      <c r="X1240" s="36" t="str">
        <f aca="false">IF(A1240="","",IF(COUNTIF(Seguimiento!$B$2:$B$5001,A1240)=0,"",_xlfn.MAXIFS(Seguimiento!$A$2:$A$5001,Seguimiento!$B$2:$B$5001,A1240)))</f>
        <v/>
      </c>
      <c r="Y1240" s="37" t="str">
        <f aca="true">IF(B1240="","",TODAY()-B1240)</f>
        <v/>
      </c>
      <c r="Z1240" s="38" t="str">
        <f aca="false">IF(OR(O1240="",G1240=""),"",O1240*IFERROR(INDEX(Listas!$B$2:$B$50,MATCH(G1240,Listas!$A$2:$A$50,0)),0))</f>
        <v/>
      </c>
      <c r="AA1240" s="32"/>
      <c r="AB1240" s="32"/>
      <c r="AC1240" s="32"/>
      <c r="AD1240" s="35" t="str">
        <f aca="false">IF(OR(LEFT(H1240,4)="Meta",LEFT(H1240,6)="Google"),IF(AG1240=3,"Lead calificado",IF(OR(AG1240=4,AG1240=5),"Tasación/visita",IF(OR(AG1240=6,AG1240=7),"Captación/oferta",IF(AG1240=8,"Cierre","")))),"")</f>
        <v/>
      </c>
      <c r="AE1240" s="32"/>
      <c r="AF1240" s="32"/>
      <c r="AG1240" s="37" t="n">
        <f aca="false">IF(R1240="",0,IFERROR(MATCH(R1240,Listas!$L$2:$L$50,0),0))</f>
        <v>0</v>
      </c>
    </row>
    <row r="1241" customFormat="false" ht="15" hidden="false" customHeight="false" outlineLevel="0" collapsed="false">
      <c r="A1241" s="30"/>
      <c r="B1241" s="31"/>
      <c r="C1241" s="32"/>
      <c r="D1241" s="32"/>
      <c r="E1241" s="33"/>
      <c r="F1241" s="32"/>
      <c r="G1241" s="32"/>
      <c r="H1241" s="32"/>
      <c r="I1241" s="32"/>
      <c r="J1241" s="32"/>
      <c r="K1241" s="32"/>
      <c r="L1241" s="32"/>
      <c r="M1241" s="30"/>
      <c r="N1241" s="32"/>
      <c r="O1241" s="34"/>
      <c r="P1241" s="32"/>
      <c r="Q1241" s="32"/>
      <c r="R1241" s="32"/>
      <c r="S1241" s="32"/>
      <c r="T1241" s="32"/>
      <c r="U1241" s="32"/>
      <c r="V1241" s="31"/>
      <c r="W1241" s="35" t="str">
        <f aca="true">IF(OR(V1241="",AG1241&gt;=8),"",IF(V1241&lt;TODAY(),"Vencida",IF(V1241=TODAY(),"Hoy","")))</f>
        <v/>
      </c>
      <c r="X1241" s="36" t="str">
        <f aca="false">IF(A1241="","",IF(COUNTIF(Seguimiento!$B$2:$B$5001,A1241)=0,"",_xlfn.MAXIFS(Seguimiento!$A$2:$A$5001,Seguimiento!$B$2:$B$5001,A1241)))</f>
        <v/>
      </c>
      <c r="Y1241" s="37" t="str">
        <f aca="true">IF(B1241="","",TODAY()-B1241)</f>
        <v/>
      </c>
      <c r="Z1241" s="38" t="str">
        <f aca="false">IF(OR(O1241="",G1241=""),"",O1241*IFERROR(INDEX(Listas!$B$2:$B$50,MATCH(G1241,Listas!$A$2:$A$50,0)),0))</f>
        <v/>
      </c>
      <c r="AA1241" s="32"/>
      <c r="AB1241" s="32"/>
      <c r="AC1241" s="32"/>
      <c r="AD1241" s="35" t="str">
        <f aca="false">IF(OR(LEFT(H1241,4)="Meta",LEFT(H1241,6)="Google"),IF(AG1241=3,"Lead calificado",IF(OR(AG1241=4,AG1241=5),"Tasación/visita",IF(OR(AG1241=6,AG1241=7),"Captación/oferta",IF(AG1241=8,"Cierre","")))),"")</f>
        <v/>
      </c>
      <c r="AE1241" s="32"/>
      <c r="AF1241" s="32"/>
      <c r="AG1241" s="37" t="n">
        <f aca="false">IF(R1241="",0,IFERROR(MATCH(R1241,Listas!$L$2:$L$50,0),0))</f>
        <v>0</v>
      </c>
    </row>
    <row r="1242" customFormat="false" ht="15" hidden="false" customHeight="false" outlineLevel="0" collapsed="false">
      <c r="A1242" s="30"/>
      <c r="B1242" s="31"/>
      <c r="C1242" s="32"/>
      <c r="D1242" s="32"/>
      <c r="E1242" s="33"/>
      <c r="F1242" s="32"/>
      <c r="G1242" s="32"/>
      <c r="H1242" s="32"/>
      <c r="I1242" s="32"/>
      <c r="J1242" s="32"/>
      <c r="K1242" s="32"/>
      <c r="L1242" s="32"/>
      <c r="M1242" s="30"/>
      <c r="N1242" s="32"/>
      <c r="O1242" s="34"/>
      <c r="P1242" s="32"/>
      <c r="Q1242" s="32"/>
      <c r="R1242" s="32"/>
      <c r="S1242" s="32"/>
      <c r="T1242" s="32"/>
      <c r="U1242" s="32"/>
      <c r="V1242" s="31"/>
      <c r="W1242" s="35" t="str">
        <f aca="true">IF(OR(V1242="",AG1242&gt;=8),"",IF(V1242&lt;TODAY(),"Vencida",IF(V1242=TODAY(),"Hoy","")))</f>
        <v/>
      </c>
      <c r="X1242" s="36" t="str">
        <f aca="false">IF(A1242="","",IF(COUNTIF(Seguimiento!$B$2:$B$5001,A1242)=0,"",_xlfn.MAXIFS(Seguimiento!$A$2:$A$5001,Seguimiento!$B$2:$B$5001,A1242)))</f>
        <v/>
      </c>
      <c r="Y1242" s="37" t="str">
        <f aca="true">IF(B1242="","",TODAY()-B1242)</f>
        <v/>
      </c>
      <c r="Z1242" s="38" t="str">
        <f aca="false">IF(OR(O1242="",G1242=""),"",O1242*IFERROR(INDEX(Listas!$B$2:$B$50,MATCH(G1242,Listas!$A$2:$A$50,0)),0))</f>
        <v/>
      </c>
      <c r="AA1242" s="32"/>
      <c r="AB1242" s="32"/>
      <c r="AC1242" s="32"/>
      <c r="AD1242" s="35" t="str">
        <f aca="false">IF(OR(LEFT(H1242,4)="Meta",LEFT(H1242,6)="Google"),IF(AG1242=3,"Lead calificado",IF(OR(AG1242=4,AG1242=5),"Tasación/visita",IF(OR(AG1242=6,AG1242=7),"Captación/oferta",IF(AG1242=8,"Cierre","")))),"")</f>
        <v/>
      </c>
      <c r="AE1242" s="32"/>
      <c r="AF1242" s="32"/>
      <c r="AG1242" s="37" t="n">
        <f aca="false">IF(R1242="",0,IFERROR(MATCH(R1242,Listas!$L$2:$L$50,0),0))</f>
        <v>0</v>
      </c>
    </row>
    <row r="1243" customFormat="false" ht="15" hidden="false" customHeight="false" outlineLevel="0" collapsed="false">
      <c r="A1243" s="30"/>
      <c r="B1243" s="31"/>
      <c r="C1243" s="32"/>
      <c r="D1243" s="32"/>
      <c r="E1243" s="33"/>
      <c r="F1243" s="32"/>
      <c r="G1243" s="32"/>
      <c r="H1243" s="32"/>
      <c r="I1243" s="32"/>
      <c r="J1243" s="32"/>
      <c r="K1243" s="32"/>
      <c r="L1243" s="32"/>
      <c r="M1243" s="30"/>
      <c r="N1243" s="32"/>
      <c r="O1243" s="34"/>
      <c r="P1243" s="32"/>
      <c r="Q1243" s="32"/>
      <c r="R1243" s="32"/>
      <c r="S1243" s="32"/>
      <c r="T1243" s="32"/>
      <c r="U1243" s="32"/>
      <c r="V1243" s="31"/>
      <c r="W1243" s="35" t="str">
        <f aca="true">IF(OR(V1243="",AG1243&gt;=8),"",IF(V1243&lt;TODAY(),"Vencida",IF(V1243=TODAY(),"Hoy","")))</f>
        <v/>
      </c>
      <c r="X1243" s="36" t="str">
        <f aca="false">IF(A1243="","",IF(COUNTIF(Seguimiento!$B$2:$B$5001,A1243)=0,"",_xlfn.MAXIFS(Seguimiento!$A$2:$A$5001,Seguimiento!$B$2:$B$5001,A1243)))</f>
        <v/>
      </c>
      <c r="Y1243" s="37" t="str">
        <f aca="true">IF(B1243="","",TODAY()-B1243)</f>
        <v/>
      </c>
      <c r="Z1243" s="38" t="str">
        <f aca="false">IF(OR(O1243="",G1243=""),"",O1243*IFERROR(INDEX(Listas!$B$2:$B$50,MATCH(G1243,Listas!$A$2:$A$50,0)),0))</f>
        <v/>
      </c>
      <c r="AA1243" s="32"/>
      <c r="AB1243" s="32"/>
      <c r="AC1243" s="32"/>
      <c r="AD1243" s="35" t="str">
        <f aca="false">IF(OR(LEFT(H1243,4)="Meta",LEFT(H1243,6)="Google"),IF(AG1243=3,"Lead calificado",IF(OR(AG1243=4,AG1243=5),"Tasación/visita",IF(OR(AG1243=6,AG1243=7),"Captación/oferta",IF(AG1243=8,"Cierre","")))),"")</f>
        <v/>
      </c>
      <c r="AE1243" s="32"/>
      <c r="AF1243" s="32"/>
      <c r="AG1243" s="37" t="n">
        <f aca="false">IF(R1243="",0,IFERROR(MATCH(R1243,Listas!$L$2:$L$50,0),0))</f>
        <v>0</v>
      </c>
    </row>
    <row r="1244" customFormat="false" ht="15" hidden="false" customHeight="false" outlineLevel="0" collapsed="false">
      <c r="A1244" s="30"/>
      <c r="B1244" s="31"/>
      <c r="C1244" s="32"/>
      <c r="D1244" s="32"/>
      <c r="E1244" s="33"/>
      <c r="F1244" s="32"/>
      <c r="G1244" s="32"/>
      <c r="H1244" s="32"/>
      <c r="I1244" s="32"/>
      <c r="J1244" s="32"/>
      <c r="K1244" s="32"/>
      <c r="L1244" s="32"/>
      <c r="M1244" s="30"/>
      <c r="N1244" s="32"/>
      <c r="O1244" s="34"/>
      <c r="P1244" s="32"/>
      <c r="Q1244" s="32"/>
      <c r="R1244" s="32"/>
      <c r="S1244" s="32"/>
      <c r="T1244" s="32"/>
      <c r="U1244" s="32"/>
      <c r="V1244" s="31"/>
      <c r="W1244" s="35" t="str">
        <f aca="true">IF(OR(V1244="",AG1244&gt;=8),"",IF(V1244&lt;TODAY(),"Vencida",IF(V1244=TODAY(),"Hoy","")))</f>
        <v/>
      </c>
      <c r="X1244" s="36" t="str">
        <f aca="false">IF(A1244="","",IF(COUNTIF(Seguimiento!$B$2:$B$5001,A1244)=0,"",_xlfn.MAXIFS(Seguimiento!$A$2:$A$5001,Seguimiento!$B$2:$B$5001,A1244)))</f>
        <v/>
      </c>
      <c r="Y1244" s="37" t="str">
        <f aca="true">IF(B1244="","",TODAY()-B1244)</f>
        <v/>
      </c>
      <c r="Z1244" s="38" t="str">
        <f aca="false">IF(OR(O1244="",G1244=""),"",O1244*IFERROR(INDEX(Listas!$B$2:$B$50,MATCH(G1244,Listas!$A$2:$A$50,0)),0))</f>
        <v/>
      </c>
      <c r="AA1244" s="32"/>
      <c r="AB1244" s="32"/>
      <c r="AC1244" s="32"/>
      <c r="AD1244" s="35" t="str">
        <f aca="false">IF(OR(LEFT(H1244,4)="Meta",LEFT(H1244,6)="Google"),IF(AG1244=3,"Lead calificado",IF(OR(AG1244=4,AG1244=5),"Tasación/visita",IF(OR(AG1244=6,AG1244=7),"Captación/oferta",IF(AG1244=8,"Cierre","")))),"")</f>
        <v/>
      </c>
      <c r="AE1244" s="32"/>
      <c r="AF1244" s="32"/>
      <c r="AG1244" s="37" t="n">
        <f aca="false">IF(R1244="",0,IFERROR(MATCH(R1244,Listas!$L$2:$L$50,0),0))</f>
        <v>0</v>
      </c>
    </row>
    <row r="1245" customFormat="false" ht="15" hidden="false" customHeight="false" outlineLevel="0" collapsed="false">
      <c r="A1245" s="30"/>
      <c r="B1245" s="31"/>
      <c r="C1245" s="32"/>
      <c r="D1245" s="32"/>
      <c r="E1245" s="33"/>
      <c r="F1245" s="32"/>
      <c r="G1245" s="32"/>
      <c r="H1245" s="32"/>
      <c r="I1245" s="32"/>
      <c r="J1245" s="32"/>
      <c r="K1245" s="32"/>
      <c r="L1245" s="32"/>
      <c r="M1245" s="30"/>
      <c r="N1245" s="32"/>
      <c r="O1245" s="34"/>
      <c r="P1245" s="32"/>
      <c r="Q1245" s="32"/>
      <c r="R1245" s="32"/>
      <c r="S1245" s="32"/>
      <c r="T1245" s="32"/>
      <c r="U1245" s="32"/>
      <c r="V1245" s="31"/>
      <c r="W1245" s="35" t="str">
        <f aca="true">IF(OR(V1245="",AG1245&gt;=8),"",IF(V1245&lt;TODAY(),"Vencida",IF(V1245=TODAY(),"Hoy","")))</f>
        <v/>
      </c>
      <c r="X1245" s="36" t="str">
        <f aca="false">IF(A1245="","",IF(COUNTIF(Seguimiento!$B$2:$B$5001,A1245)=0,"",_xlfn.MAXIFS(Seguimiento!$A$2:$A$5001,Seguimiento!$B$2:$B$5001,A1245)))</f>
        <v/>
      </c>
      <c r="Y1245" s="37" t="str">
        <f aca="true">IF(B1245="","",TODAY()-B1245)</f>
        <v/>
      </c>
      <c r="Z1245" s="38" t="str">
        <f aca="false">IF(OR(O1245="",G1245=""),"",O1245*IFERROR(INDEX(Listas!$B$2:$B$50,MATCH(G1245,Listas!$A$2:$A$50,0)),0))</f>
        <v/>
      </c>
      <c r="AA1245" s="32"/>
      <c r="AB1245" s="32"/>
      <c r="AC1245" s="32"/>
      <c r="AD1245" s="35" t="str">
        <f aca="false">IF(OR(LEFT(H1245,4)="Meta",LEFT(H1245,6)="Google"),IF(AG1245=3,"Lead calificado",IF(OR(AG1245=4,AG1245=5),"Tasación/visita",IF(OR(AG1245=6,AG1245=7),"Captación/oferta",IF(AG1245=8,"Cierre","")))),"")</f>
        <v/>
      </c>
      <c r="AE1245" s="32"/>
      <c r="AF1245" s="32"/>
      <c r="AG1245" s="37" t="n">
        <f aca="false">IF(R1245="",0,IFERROR(MATCH(R1245,Listas!$L$2:$L$50,0),0))</f>
        <v>0</v>
      </c>
    </row>
    <row r="1246" customFormat="false" ht="15" hidden="false" customHeight="false" outlineLevel="0" collapsed="false">
      <c r="A1246" s="30"/>
      <c r="B1246" s="31"/>
      <c r="C1246" s="32"/>
      <c r="D1246" s="32"/>
      <c r="E1246" s="33"/>
      <c r="F1246" s="32"/>
      <c r="G1246" s="32"/>
      <c r="H1246" s="32"/>
      <c r="I1246" s="32"/>
      <c r="J1246" s="32"/>
      <c r="K1246" s="32"/>
      <c r="L1246" s="32"/>
      <c r="M1246" s="30"/>
      <c r="N1246" s="32"/>
      <c r="O1246" s="34"/>
      <c r="P1246" s="32"/>
      <c r="Q1246" s="32"/>
      <c r="R1246" s="32"/>
      <c r="S1246" s="32"/>
      <c r="T1246" s="32"/>
      <c r="U1246" s="32"/>
      <c r="V1246" s="31"/>
      <c r="W1246" s="35" t="str">
        <f aca="true">IF(OR(V1246="",AG1246&gt;=8),"",IF(V1246&lt;TODAY(),"Vencida",IF(V1246=TODAY(),"Hoy","")))</f>
        <v/>
      </c>
      <c r="X1246" s="36" t="str">
        <f aca="false">IF(A1246="","",IF(COUNTIF(Seguimiento!$B$2:$B$5001,A1246)=0,"",_xlfn.MAXIFS(Seguimiento!$A$2:$A$5001,Seguimiento!$B$2:$B$5001,A1246)))</f>
        <v/>
      </c>
      <c r="Y1246" s="37" t="str">
        <f aca="true">IF(B1246="","",TODAY()-B1246)</f>
        <v/>
      </c>
      <c r="Z1246" s="38" t="str">
        <f aca="false">IF(OR(O1246="",G1246=""),"",O1246*IFERROR(INDEX(Listas!$B$2:$B$50,MATCH(G1246,Listas!$A$2:$A$50,0)),0))</f>
        <v/>
      </c>
      <c r="AA1246" s="32"/>
      <c r="AB1246" s="32"/>
      <c r="AC1246" s="32"/>
      <c r="AD1246" s="35" t="str">
        <f aca="false">IF(OR(LEFT(H1246,4)="Meta",LEFT(H1246,6)="Google"),IF(AG1246=3,"Lead calificado",IF(OR(AG1246=4,AG1246=5),"Tasación/visita",IF(OR(AG1246=6,AG1246=7),"Captación/oferta",IF(AG1246=8,"Cierre","")))),"")</f>
        <v/>
      </c>
      <c r="AE1246" s="32"/>
      <c r="AF1246" s="32"/>
      <c r="AG1246" s="37" t="n">
        <f aca="false">IF(R1246="",0,IFERROR(MATCH(R1246,Listas!$L$2:$L$50,0),0))</f>
        <v>0</v>
      </c>
    </row>
    <row r="1247" customFormat="false" ht="15" hidden="false" customHeight="false" outlineLevel="0" collapsed="false">
      <c r="A1247" s="30"/>
      <c r="B1247" s="31"/>
      <c r="C1247" s="32"/>
      <c r="D1247" s="32"/>
      <c r="E1247" s="33"/>
      <c r="F1247" s="32"/>
      <c r="G1247" s="32"/>
      <c r="H1247" s="32"/>
      <c r="I1247" s="32"/>
      <c r="J1247" s="32"/>
      <c r="K1247" s="32"/>
      <c r="L1247" s="32"/>
      <c r="M1247" s="30"/>
      <c r="N1247" s="32"/>
      <c r="O1247" s="34"/>
      <c r="P1247" s="32"/>
      <c r="Q1247" s="32"/>
      <c r="R1247" s="32"/>
      <c r="S1247" s="32"/>
      <c r="T1247" s="32"/>
      <c r="U1247" s="32"/>
      <c r="V1247" s="31"/>
      <c r="W1247" s="35" t="str">
        <f aca="true">IF(OR(V1247="",AG1247&gt;=8),"",IF(V1247&lt;TODAY(),"Vencida",IF(V1247=TODAY(),"Hoy","")))</f>
        <v/>
      </c>
      <c r="X1247" s="36" t="str">
        <f aca="false">IF(A1247="","",IF(COUNTIF(Seguimiento!$B$2:$B$5001,A1247)=0,"",_xlfn.MAXIFS(Seguimiento!$A$2:$A$5001,Seguimiento!$B$2:$B$5001,A1247)))</f>
        <v/>
      </c>
      <c r="Y1247" s="37" t="str">
        <f aca="true">IF(B1247="","",TODAY()-B1247)</f>
        <v/>
      </c>
      <c r="Z1247" s="38" t="str">
        <f aca="false">IF(OR(O1247="",G1247=""),"",O1247*IFERROR(INDEX(Listas!$B$2:$B$50,MATCH(G1247,Listas!$A$2:$A$50,0)),0))</f>
        <v/>
      </c>
      <c r="AA1247" s="32"/>
      <c r="AB1247" s="32"/>
      <c r="AC1247" s="32"/>
      <c r="AD1247" s="35" t="str">
        <f aca="false">IF(OR(LEFT(H1247,4)="Meta",LEFT(H1247,6)="Google"),IF(AG1247=3,"Lead calificado",IF(OR(AG1247=4,AG1247=5),"Tasación/visita",IF(OR(AG1247=6,AG1247=7),"Captación/oferta",IF(AG1247=8,"Cierre","")))),"")</f>
        <v/>
      </c>
      <c r="AE1247" s="32"/>
      <c r="AF1247" s="32"/>
      <c r="AG1247" s="37" t="n">
        <f aca="false">IF(R1247="",0,IFERROR(MATCH(R1247,Listas!$L$2:$L$50,0),0))</f>
        <v>0</v>
      </c>
    </row>
    <row r="1248" customFormat="false" ht="15" hidden="false" customHeight="false" outlineLevel="0" collapsed="false">
      <c r="A1248" s="30"/>
      <c r="B1248" s="31"/>
      <c r="C1248" s="32"/>
      <c r="D1248" s="32"/>
      <c r="E1248" s="33"/>
      <c r="F1248" s="32"/>
      <c r="G1248" s="32"/>
      <c r="H1248" s="32"/>
      <c r="I1248" s="32"/>
      <c r="J1248" s="32"/>
      <c r="K1248" s="32"/>
      <c r="L1248" s="32"/>
      <c r="M1248" s="30"/>
      <c r="N1248" s="32"/>
      <c r="O1248" s="34"/>
      <c r="P1248" s="32"/>
      <c r="Q1248" s="32"/>
      <c r="R1248" s="32"/>
      <c r="S1248" s="32"/>
      <c r="T1248" s="32"/>
      <c r="U1248" s="32"/>
      <c r="V1248" s="31"/>
      <c r="W1248" s="35" t="str">
        <f aca="true">IF(OR(V1248="",AG1248&gt;=8),"",IF(V1248&lt;TODAY(),"Vencida",IF(V1248=TODAY(),"Hoy","")))</f>
        <v/>
      </c>
      <c r="X1248" s="36" t="str">
        <f aca="false">IF(A1248="","",IF(COUNTIF(Seguimiento!$B$2:$B$5001,A1248)=0,"",_xlfn.MAXIFS(Seguimiento!$A$2:$A$5001,Seguimiento!$B$2:$B$5001,A1248)))</f>
        <v/>
      </c>
      <c r="Y1248" s="37" t="str">
        <f aca="true">IF(B1248="","",TODAY()-B1248)</f>
        <v/>
      </c>
      <c r="Z1248" s="38" t="str">
        <f aca="false">IF(OR(O1248="",G1248=""),"",O1248*IFERROR(INDEX(Listas!$B$2:$B$50,MATCH(G1248,Listas!$A$2:$A$50,0)),0))</f>
        <v/>
      </c>
      <c r="AA1248" s="32"/>
      <c r="AB1248" s="32"/>
      <c r="AC1248" s="32"/>
      <c r="AD1248" s="35" t="str">
        <f aca="false">IF(OR(LEFT(H1248,4)="Meta",LEFT(H1248,6)="Google"),IF(AG1248=3,"Lead calificado",IF(OR(AG1248=4,AG1248=5),"Tasación/visita",IF(OR(AG1248=6,AG1248=7),"Captación/oferta",IF(AG1248=8,"Cierre","")))),"")</f>
        <v/>
      </c>
      <c r="AE1248" s="32"/>
      <c r="AF1248" s="32"/>
      <c r="AG1248" s="37" t="n">
        <f aca="false">IF(R1248="",0,IFERROR(MATCH(R1248,Listas!$L$2:$L$50,0),0))</f>
        <v>0</v>
      </c>
    </row>
    <row r="1249" customFormat="false" ht="15" hidden="false" customHeight="false" outlineLevel="0" collapsed="false">
      <c r="A1249" s="30"/>
      <c r="B1249" s="31"/>
      <c r="C1249" s="32"/>
      <c r="D1249" s="32"/>
      <c r="E1249" s="33"/>
      <c r="F1249" s="32"/>
      <c r="G1249" s="32"/>
      <c r="H1249" s="32"/>
      <c r="I1249" s="32"/>
      <c r="J1249" s="32"/>
      <c r="K1249" s="32"/>
      <c r="L1249" s="32"/>
      <c r="M1249" s="30"/>
      <c r="N1249" s="32"/>
      <c r="O1249" s="34"/>
      <c r="P1249" s="32"/>
      <c r="Q1249" s="32"/>
      <c r="R1249" s="32"/>
      <c r="S1249" s="32"/>
      <c r="T1249" s="32"/>
      <c r="U1249" s="32"/>
      <c r="V1249" s="31"/>
      <c r="W1249" s="35" t="str">
        <f aca="true">IF(OR(V1249="",AG1249&gt;=8),"",IF(V1249&lt;TODAY(),"Vencida",IF(V1249=TODAY(),"Hoy","")))</f>
        <v/>
      </c>
      <c r="X1249" s="36" t="str">
        <f aca="false">IF(A1249="","",IF(COUNTIF(Seguimiento!$B$2:$B$5001,A1249)=0,"",_xlfn.MAXIFS(Seguimiento!$A$2:$A$5001,Seguimiento!$B$2:$B$5001,A1249)))</f>
        <v/>
      </c>
      <c r="Y1249" s="37" t="str">
        <f aca="true">IF(B1249="","",TODAY()-B1249)</f>
        <v/>
      </c>
      <c r="Z1249" s="38" t="str">
        <f aca="false">IF(OR(O1249="",G1249=""),"",O1249*IFERROR(INDEX(Listas!$B$2:$B$50,MATCH(G1249,Listas!$A$2:$A$50,0)),0))</f>
        <v/>
      </c>
      <c r="AA1249" s="32"/>
      <c r="AB1249" s="32"/>
      <c r="AC1249" s="32"/>
      <c r="AD1249" s="35" t="str">
        <f aca="false">IF(OR(LEFT(H1249,4)="Meta",LEFT(H1249,6)="Google"),IF(AG1249=3,"Lead calificado",IF(OR(AG1249=4,AG1249=5),"Tasación/visita",IF(OR(AG1249=6,AG1249=7),"Captación/oferta",IF(AG1249=8,"Cierre","")))),"")</f>
        <v/>
      </c>
      <c r="AE1249" s="32"/>
      <c r="AF1249" s="32"/>
      <c r="AG1249" s="37" t="n">
        <f aca="false">IF(R1249="",0,IFERROR(MATCH(R1249,Listas!$L$2:$L$50,0),0))</f>
        <v>0</v>
      </c>
    </row>
    <row r="1250" customFormat="false" ht="15" hidden="false" customHeight="false" outlineLevel="0" collapsed="false">
      <c r="A1250" s="30"/>
      <c r="B1250" s="31"/>
      <c r="C1250" s="32"/>
      <c r="D1250" s="32"/>
      <c r="E1250" s="33"/>
      <c r="F1250" s="32"/>
      <c r="G1250" s="32"/>
      <c r="H1250" s="32"/>
      <c r="I1250" s="32"/>
      <c r="J1250" s="32"/>
      <c r="K1250" s="32"/>
      <c r="L1250" s="32"/>
      <c r="M1250" s="30"/>
      <c r="N1250" s="32"/>
      <c r="O1250" s="34"/>
      <c r="P1250" s="32"/>
      <c r="Q1250" s="32"/>
      <c r="R1250" s="32"/>
      <c r="S1250" s="32"/>
      <c r="T1250" s="32"/>
      <c r="U1250" s="32"/>
      <c r="V1250" s="31"/>
      <c r="W1250" s="35" t="str">
        <f aca="true">IF(OR(V1250="",AG1250&gt;=8),"",IF(V1250&lt;TODAY(),"Vencida",IF(V1250=TODAY(),"Hoy","")))</f>
        <v/>
      </c>
      <c r="X1250" s="36" t="str">
        <f aca="false">IF(A1250="","",IF(COUNTIF(Seguimiento!$B$2:$B$5001,A1250)=0,"",_xlfn.MAXIFS(Seguimiento!$A$2:$A$5001,Seguimiento!$B$2:$B$5001,A1250)))</f>
        <v/>
      </c>
      <c r="Y1250" s="37" t="str">
        <f aca="true">IF(B1250="","",TODAY()-B1250)</f>
        <v/>
      </c>
      <c r="Z1250" s="38" t="str">
        <f aca="false">IF(OR(O1250="",G1250=""),"",O1250*IFERROR(INDEX(Listas!$B$2:$B$50,MATCH(G1250,Listas!$A$2:$A$50,0)),0))</f>
        <v/>
      </c>
      <c r="AA1250" s="32"/>
      <c r="AB1250" s="32"/>
      <c r="AC1250" s="32"/>
      <c r="AD1250" s="35" t="str">
        <f aca="false">IF(OR(LEFT(H1250,4)="Meta",LEFT(H1250,6)="Google"),IF(AG1250=3,"Lead calificado",IF(OR(AG1250=4,AG1250=5),"Tasación/visita",IF(OR(AG1250=6,AG1250=7),"Captación/oferta",IF(AG1250=8,"Cierre","")))),"")</f>
        <v/>
      </c>
      <c r="AE1250" s="32"/>
      <c r="AF1250" s="32"/>
      <c r="AG1250" s="37" t="n">
        <f aca="false">IF(R1250="",0,IFERROR(MATCH(R1250,Listas!$L$2:$L$50,0),0))</f>
        <v>0</v>
      </c>
    </row>
    <row r="1251" customFormat="false" ht="15" hidden="false" customHeight="false" outlineLevel="0" collapsed="false">
      <c r="A1251" s="30"/>
      <c r="B1251" s="31"/>
      <c r="C1251" s="32"/>
      <c r="D1251" s="32"/>
      <c r="E1251" s="33"/>
      <c r="F1251" s="32"/>
      <c r="G1251" s="32"/>
      <c r="H1251" s="32"/>
      <c r="I1251" s="32"/>
      <c r="J1251" s="32"/>
      <c r="K1251" s="32"/>
      <c r="L1251" s="32"/>
      <c r="M1251" s="30"/>
      <c r="N1251" s="32"/>
      <c r="O1251" s="34"/>
      <c r="P1251" s="32"/>
      <c r="Q1251" s="32"/>
      <c r="R1251" s="32"/>
      <c r="S1251" s="32"/>
      <c r="T1251" s="32"/>
      <c r="U1251" s="32"/>
      <c r="V1251" s="31"/>
      <c r="W1251" s="35" t="str">
        <f aca="true">IF(OR(V1251="",AG1251&gt;=8),"",IF(V1251&lt;TODAY(),"Vencida",IF(V1251=TODAY(),"Hoy","")))</f>
        <v/>
      </c>
      <c r="X1251" s="36" t="str">
        <f aca="false">IF(A1251="","",IF(COUNTIF(Seguimiento!$B$2:$B$5001,A1251)=0,"",_xlfn.MAXIFS(Seguimiento!$A$2:$A$5001,Seguimiento!$B$2:$B$5001,A1251)))</f>
        <v/>
      </c>
      <c r="Y1251" s="37" t="str">
        <f aca="true">IF(B1251="","",TODAY()-B1251)</f>
        <v/>
      </c>
      <c r="Z1251" s="38" t="str">
        <f aca="false">IF(OR(O1251="",G1251=""),"",O1251*IFERROR(INDEX(Listas!$B$2:$B$50,MATCH(G1251,Listas!$A$2:$A$50,0)),0))</f>
        <v/>
      </c>
      <c r="AA1251" s="32"/>
      <c r="AB1251" s="32"/>
      <c r="AC1251" s="32"/>
      <c r="AD1251" s="35" t="str">
        <f aca="false">IF(OR(LEFT(H1251,4)="Meta",LEFT(H1251,6)="Google"),IF(AG1251=3,"Lead calificado",IF(OR(AG1251=4,AG1251=5),"Tasación/visita",IF(OR(AG1251=6,AG1251=7),"Captación/oferta",IF(AG1251=8,"Cierre","")))),"")</f>
        <v/>
      </c>
      <c r="AE1251" s="32"/>
      <c r="AF1251" s="32"/>
      <c r="AG1251" s="37" t="n">
        <f aca="false">IF(R1251="",0,IFERROR(MATCH(R1251,Listas!$L$2:$L$50,0),0))</f>
        <v>0</v>
      </c>
    </row>
    <row r="1252" customFormat="false" ht="15" hidden="false" customHeight="false" outlineLevel="0" collapsed="false">
      <c r="A1252" s="30"/>
      <c r="B1252" s="31"/>
      <c r="C1252" s="32"/>
      <c r="D1252" s="32"/>
      <c r="E1252" s="33"/>
      <c r="F1252" s="32"/>
      <c r="G1252" s="32"/>
      <c r="H1252" s="32"/>
      <c r="I1252" s="32"/>
      <c r="J1252" s="32"/>
      <c r="K1252" s="32"/>
      <c r="L1252" s="32"/>
      <c r="M1252" s="30"/>
      <c r="N1252" s="32"/>
      <c r="O1252" s="34"/>
      <c r="P1252" s="32"/>
      <c r="Q1252" s="32"/>
      <c r="R1252" s="32"/>
      <c r="S1252" s="32"/>
      <c r="T1252" s="32"/>
      <c r="U1252" s="32"/>
      <c r="V1252" s="31"/>
      <c r="W1252" s="35" t="str">
        <f aca="true">IF(OR(V1252="",AG1252&gt;=8),"",IF(V1252&lt;TODAY(),"Vencida",IF(V1252=TODAY(),"Hoy","")))</f>
        <v/>
      </c>
      <c r="X1252" s="36" t="str">
        <f aca="false">IF(A1252="","",IF(COUNTIF(Seguimiento!$B$2:$B$5001,A1252)=0,"",_xlfn.MAXIFS(Seguimiento!$A$2:$A$5001,Seguimiento!$B$2:$B$5001,A1252)))</f>
        <v/>
      </c>
      <c r="Y1252" s="37" t="str">
        <f aca="true">IF(B1252="","",TODAY()-B1252)</f>
        <v/>
      </c>
      <c r="Z1252" s="38" t="str">
        <f aca="false">IF(OR(O1252="",G1252=""),"",O1252*IFERROR(INDEX(Listas!$B$2:$B$50,MATCH(G1252,Listas!$A$2:$A$50,0)),0))</f>
        <v/>
      </c>
      <c r="AA1252" s="32"/>
      <c r="AB1252" s="32"/>
      <c r="AC1252" s="32"/>
      <c r="AD1252" s="35" t="str">
        <f aca="false">IF(OR(LEFT(H1252,4)="Meta",LEFT(H1252,6)="Google"),IF(AG1252=3,"Lead calificado",IF(OR(AG1252=4,AG1252=5),"Tasación/visita",IF(OR(AG1252=6,AG1252=7),"Captación/oferta",IF(AG1252=8,"Cierre","")))),"")</f>
        <v/>
      </c>
      <c r="AE1252" s="32"/>
      <c r="AF1252" s="32"/>
      <c r="AG1252" s="37" t="n">
        <f aca="false">IF(R1252="",0,IFERROR(MATCH(R1252,Listas!$L$2:$L$50,0),0))</f>
        <v>0</v>
      </c>
    </row>
    <row r="1253" customFormat="false" ht="15" hidden="false" customHeight="false" outlineLevel="0" collapsed="false">
      <c r="A1253" s="30"/>
      <c r="B1253" s="31"/>
      <c r="C1253" s="32"/>
      <c r="D1253" s="32"/>
      <c r="E1253" s="33"/>
      <c r="F1253" s="32"/>
      <c r="G1253" s="32"/>
      <c r="H1253" s="32"/>
      <c r="I1253" s="32"/>
      <c r="J1253" s="32"/>
      <c r="K1253" s="32"/>
      <c r="L1253" s="32"/>
      <c r="M1253" s="30"/>
      <c r="N1253" s="32"/>
      <c r="O1253" s="34"/>
      <c r="P1253" s="32"/>
      <c r="Q1253" s="32"/>
      <c r="R1253" s="32"/>
      <c r="S1253" s="32"/>
      <c r="T1253" s="32"/>
      <c r="U1253" s="32"/>
      <c r="V1253" s="31"/>
      <c r="W1253" s="35" t="str">
        <f aca="true">IF(OR(V1253="",AG1253&gt;=8),"",IF(V1253&lt;TODAY(),"Vencida",IF(V1253=TODAY(),"Hoy","")))</f>
        <v/>
      </c>
      <c r="X1253" s="36" t="str">
        <f aca="false">IF(A1253="","",IF(COUNTIF(Seguimiento!$B$2:$B$5001,A1253)=0,"",_xlfn.MAXIFS(Seguimiento!$A$2:$A$5001,Seguimiento!$B$2:$B$5001,A1253)))</f>
        <v/>
      </c>
      <c r="Y1253" s="37" t="str">
        <f aca="true">IF(B1253="","",TODAY()-B1253)</f>
        <v/>
      </c>
      <c r="Z1253" s="38" t="str">
        <f aca="false">IF(OR(O1253="",G1253=""),"",O1253*IFERROR(INDEX(Listas!$B$2:$B$50,MATCH(G1253,Listas!$A$2:$A$50,0)),0))</f>
        <v/>
      </c>
      <c r="AA1253" s="32"/>
      <c r="AB1253" s="32"/>
      <c r="AC1253" s="32"/>
      <c r="AD1253" s="35" t="str">
        <f aca="false">IF(OR(LEFT(H1253,4)="Meta",LEFT(H1253,6)="Google"),IF(AG1253=3,"Lead calificado",IF(OR(AG1253=4,AG1253=5),"Tasación/visita",IF(OR(AG1253=6,AG1253=7),"Captación/oferta",IF(AG1253=8,"Cierre","")))),"")</f>
        <v/>
      </c>
      <c r="AE1253" s="32"/>
      <c r="AF1253" s="32"/>
      <c r="AG1253" s="37" t="n">
        <f aca="false">IF(R1253="",0,IFERROR(MATCH(R1253,Listas!$L$2:$L$50,0),0))</f>
        <v>0</v>
      </c>
    </row>
    <row r="1254" customFormat="false" ht="15" hidden="false" customHeight="false" outlineLevel="0" collapsed="false">
      <c r="A1254" s="30"/>
      <c r="B1254" s="31"/>
      <c r="C1254" s="32"/>
      <c r="D1254" s="32"/>
      <c r="E1254" s="33"/>
      <c r="F1254" s="32"/>
      <c r="G1254" s="32"/>
      <c r="H1254" s="32"/>
      <c r="I1254" s="32"/>
      <c r="J1254" s="32"/>
      <c r="K1254" s="32"/>
      <c r="L1254" s="32"/>
      <c r="M1254" s="30"/>
      <c r="N1254" s="32"/>
      <c r="O1254" s="34"/>
      <c r="P1254" s="32"/>
      <c r="Q1254" s="32"/>
      <c r="R1254" s="32"/>
      <c r="S1254" s="32"/>
      <c r="T1254" s="32"/>
      <c r="U1254" s="32"/>
      <c r="V1254" s="31"/>
      <c r="W1254" s="35" t="str">
        <f aca="true">IF(OR(V1254="",AG1254&gt;=8),"",IF(V1254&lt;TODAY(),"Vencida",IF(V1254=TODAY(),"Hoy","")))</f>
        <v/>
      </c>
      <c r="X1254" s="36" t="str">
        <f aca="false">IF(A1254="","",IF(COUNTIF(Seguimiento!$B$2:$B$5001,A1254)=0,"",_xlfn.MAXIFS(Seguimiento!$A$2:$A$5001,Seguimiento!$B$2:$B$5001,A1254)))</f>
        <v/>
      </c>
      <c r="Y1254" s="37" t="str">
        <f aca="true">IF(B1254="","",TODAY()-B1254)</f>
        <v/>
      </c>
      <c r="Z1254" s="38" t="str">
        <f aca="false">IF(OR(O1254="",G1254=""),"",O1254*IFERROR(INDEX(Listas!$B$2:$B$50,MATCH(G1254,Listas!$A$2:$A$50,0)),0))</f>
        <v/>
      </c>
      <c r="AA1254" s="32"/>
      <c r="AB1254" s="32"/>
      <c r="AC1254" s="32"/>
      <c r="AD1254" s="35" t="str">
        <f aca="false">IF(OR(LEFT(H1254,4)="Meta",LEFT(H1254,6)="Google"),IF(AG1254=3,"Lead calificado",IF(OR(AG1254=4,AG1254=5),"Tasación/visita",IF(OR(AG1254=6,AG1254=7),"Captación/oferta",IF(AG1254=8,"Cierre","")))),"")</f>
        <v/>
      </c>
      <c r="AE1254" s="32"/>
      <c r="AF1254" s="32"/>
      <c r="AG1254" s="37" t="n">
        <f aca="false">IF(R1254="",0,IFERROR(MATCH(R1254,Listas!$L$2:$L$50,0),0))</f>
        <v>0</v>
      </c>
    </row>
    <row r="1255" customFormat="false" ht="15" hidden="false" customHeight="false" outlineLevel="0" collapsed="false">
      <c r="A1255" s="30"/>
      <c r="B1255" s="31"/>
      <c r="C1255" s="32"/>
      <c r="D1255" s="32"/>
      <c r="E1255" s="33"/>
      <c r="F1255" s="32"/>
      <c r="G1255" s="32"/>
      <c r="H1255" s="32"/>
      <c r="I1255" s="32"/>
      <c r="J1255" s="32"/>
      <c r="K1255" s="32"/>
      <c r="L1255" s="32"/>
      <c r="M1255" s="30"/>
      <c r="N1255" s="32"/>
      <c r="O1255" s="34"/>
      <c r="P1255" s="32"/>
      <c r="Q1255" s="32"/>
      <c r="R1255" s="32"/>
      <c r="S1255" s="32"/>
      <c r="T1255" s="32"/>
      <c r="U1255" s="32"/>
      <c r="V1255" s="31"/>
      <c r="W1255" s="35" t="str">
        <f aca="true">IF(OR(V1255="",AG1255&gt;=8),"",IF(V1255&lt;TODAY(),"Vencida",IF(V1255=TODAY(),"Hoy","")))</f>
        <v/>
      </c>
      <c r="X1255" s="36" t="str">
        <f aca="false">IF(A1255="","",IF(COUNTIF(Seguimiento!$B$2:$B$5001,A1255)=0,"",_xlfn.MAXIFS(Seguimiento!$A$2:$A$5001,Seguimiento!$B$2:$B$5001,A1255)))</f>
        <v/>
      </c>
      <c r="Y1255" s="37" t="str">
        <f aca="true">IF(B1255="","",TODAY()-B1255)</f>
        <v/>
      </c>
      <c r="Z1255" s="38" t="str">
        <f aca="false">IF(OR(O1255="",G1255=""),"",O1255*IFERROR(INDEX(Listas!$B$2:$B$50,MATCH(G1255,Listas!$A$2:$A$50,0)),0))</f>
        <v/>
      </c>
      <c r="AA1255" s="32"/>
      <c r="AB1255" s="32"/>
      <c r="AC1255" s="32"/>
      <c r="AD1255" s="35" t="str">
        <f aca="false">IF(OR(LEFT(H1255,4)="Meta",LEFT(H1255,6)="Google"),IF(AG1255=3,"Lead calificado",IF(OR(AG1255=4,AG1255=5),"Tasación/visita",IF(OR(AG1255=6,AG1255=7),"Captación/oferta",IF(AG1255=8,"Cierre","")))),"")</f>
        <v/>
      </c>
      <c r="AE1255" s="32"/>
      <c r="AF1255" s="32"/>
      <c r="AG1255" s="37" t="n">
        <f aca="false">IF(R1255="",0,IFERROR(MATCH(R1255,Listas!$L$2:$L$50,0),0))</f>
        <v>0</v>
      </c>
    </row>
    <row r="1256" customFormat="false" ht="15" hidden="false" customHeight="false" outlineLevel="0" collapsed="false">
      <c r="A1256" s="30"/>
      <c r="B1256" s="31"/>
      <c r="C1256" s="32"/>
      <c r="D1256" s="32"/>
      <c r="E1256" s="33"/>
      <c r="F1256" s="32"/>
      <c r="G1256" s="32"/>
      <c r="H1256" s="32"/>
      <c r="I1256" s="32"/>
      <c r="J1256" s="32"/>
      <c r="K1256" s="32"/>
      <c r="L1256" s="32"/>
      <c r="M1256" s="30"/>
      <c r="N1256" s="32"/>
      <c r="O1256" s="34"/>
      <c r="P1256" s="32"/>
      <c r="Q1256" s="32"/>
      <c r="R1256" s="32"/>
      <c r="S1256" s="32"/>
      <c r="T1256" s="32"/>
      <c r="U1256" s="32"/>
      <c r="V1256" s="31"/>
      <c r="W1256" s="35" t="str">
        <f aca="true">IF(OR(V1256="",AG1256&gt;=8),"",IF(V1256&lt;TODAY(),"Vencida",IF(V1256=TODAY(),"Hoy","")))</f>
        <v/>
      </c>
      <c r="X1256" s="36" t="str">
        <f aca="false">IF(A1256="","",IF(COUNTIF(Seguimiento!$B$2:$B$5001,A1256)=0,"",_xlfn.MAXIFS(Seguimiento!$A$2:$A$5001,Seguimiento!$B$2:$B$5001,A1256)))</f>
        <v/>
      </c>
      <c r="Y1256" s="37" t="str">
        <f aca="true">IF(B1256="","",TODAY()-B1256)</f>
        <v/>
      </c>
      <c r="Z1256" s="38" t="str">
        <f aca="false">IF(OR(O1256="",G1256=""),"",O1256*IFERROR(INDEX(Listas!$B$2:$B$50,MATCH(G1256,Listas!$A$2:$A$50,0)),0))</f>
        <v/>
      </c>
      <c r="AA1256" s="32"/>
      <c r="AB1256" s="32"/>
      <c r="AC1256" s="32"/>
      <c r="AD1256" s="35" t="str">
        <f aca="false">IF(OR(LEFT(H1256,4)="Meta",LEFT(H1256,6)="Google"),IF(AG1256=3,"Lead calificado",IF(OR(AG1256=4,AG1256=5),"Tasación/visita",IF(OR(AG1256=6,AG1256=7),"Captación/oferta",IF(AG1256=8,"Cierre","")))),"")</f>
        <v/>
      </c>
      <c r="AE1256" s="32"/>
      <c r="AF1256" s="32"/>
      <c r="AG1256" s="37" t="n">
        <f aca="false">IF(R1256="",0,IFERROR(MATCH(R1256,Listas!$L$2:$L$50,0),0))</f>
        <v>0</v>
      </c>
    </row>
    <row r="1257" customFormat="false" ht="15" hidden="false" customHeight="false" outlineLevel="0" collapsed="false">
      <c r="A1257" s="30"/>
      <c r="B1257" s="31"/>
      <c r="C1257" s="32"/>
      <c r="D1257" s="32"/>
      <c r="E1257" s="33"/>
      <c r="F1257" s="32"/>
      <c r="G1257" s="32"/>
      <c r="H1257" s="32"/>
      <c r="I1257" s="32"/>
      <c r="J1257" s="32"/>
      <c r="K1257" s="32"/>
      <c r="L1257" s="32"/>
      <c r="M1257" s="30"/>
      <c r="N1257" s="32"/>
      <c r="O1257" s="34"/>
      <c r="P1257" s="32"/>
      <c r="Q1257" s="32"/>
      <c r="R1257" s="32"/>
      <c r="S1257" s="32"/>
      <c r="T1257" s="32"/>
      <c r="U1257" s="32"/>
      <c r="V1257" s="31"/>
      <c r="W1257" s="35" t="str">
        <f aca="true">IF(OR(V1257="",AG1257&gt;=8),"",IF(V1257&lt;TODAY(),"Vencida",IF(V1257=TODAY(),"Hoy","")))</f>
        <v/>
      </c>
      <c r="X1257" s="36" t="str">
        <f aca="false">IF(A1257="","",IF(COUNTIF(Seguimiento!$B$2:$B$5001,A1257)=0,"",_xlfn.MAXIFS(Seguimiento!$A$2:$A$5001,Seguimiento!$B$2:$B$5001,A1257)))</f>
        <v/>
      </c>
      <c r="Y1257" s="37" t="str">
        <f aca="true">IF(B1257="","",TODAY()-B1257)</f>
        <v/>
      </c>
      <c r="Z1257" s="38" t="str">
        <f aca="false">IF(OR(O1257="",G1257=""),"",O1257*IFERROR(INDEX(Listas!$B$2:$B$50,MATCH(G1257,Listas!$A$2:$A$50,0)),0))</f>
        <v/>
      </c>
      <c r="AA1257" s="32"/>
      <c r="AB1257" s="32"/>
      <c r="AC1257" s="32"/>
      <c r="AD1257" s="35" t="str">
        <f aca="false">IF(OR(LEFT(H1257,4)="Meta",LEFT(H1257,6)="Google"),IF(AG1257=3,"Lead calificado",IF(OR(AG1257=4,AG1257=5),"Tasación/visita",IF(OR(AG1257=6,AG1257=7),"Captación/oferta",IF(AG1257=8,"Cierre","")))),"")</f>
        <v/>
      </c>
      <c r="AE1257" s="32"/>
      <c r="AF1257" s="32"/>
      <c r="AG1257" s="37" t="n">
        <f aca="false">IF(R1257="",0,IFERROR(MATCH(R1257,Listas!$L$2:$L$50,0),0))</f>
        <v>0</v>
      </c>
    </row>
    <row r="1258" customFormat="false" ht="15" hidden="false" customHeight="false" outlineLevel="0" collapsed="false">
      <c r="A1258" s="30"/>
      <c r="B1258" s="31"/>
      <c r="C1258" s="32"/>
      <c r="D1258" s="32"/>
      <c r="E1258" s="33"/>
      <c r="F1258" s="32"/>
      <c r="G1258" s="32"/>
      <c r="H1258" s="32"/>
      <c r="I1258" s="32"/>
      <c r="J1258" s="32"/>
      <c r="K1258" s="32"/>
      <c r="L1258" s="32"/>
      <c r="M1258" s="30"/>
      <c r="N1258" s="32"/>
      <c r="O1258" s="34"/>
      <c r="P1258" s="32"/>
      <c r="Q1258" s="32"/>
      <c r="R1258" s="32"/>
      <c r="S1258" s="32"/>
      <c r="T1258" s="32"/>
      <c r="U1258" s="32"/>
      <c r="V1258" s="31"/>
      <c r="W1258" s="35" t="str">
        <f aca="true">IF(OR(V1258="",AG1258&gt;=8),"",IF(V1258&lt;TODAY(),"Vencida",IF(V1258=TODAY(),"Hoy","")))</f>
        <v/>
      </c>
      <c r="X1258" s="36" t="str">
        <f aca="false">IF(A1258="","",IF(COUNTIF(Seguimiento!$B$2:$B$5001,A1258)=0,"",_xlfn.MAXIFS(Seguimiento!$A$2:$A$5001,Seguimiento!$B$2:$B$5001,A1258)))</f>
        <v/>
      </c>
      <c r="Y1258" s="37" t="str">
        <f aca="true">IF(B1258="","",TODAY()-B1258)</f>
        <v/>
      </c>
      <c r="Z1258" s="38" t="str">
        <f aca="false">IF(OR(O1258="",G1258=""),"",O1258*IFERROR(INDEX(Listas!$B$2:$B$50,MATCH(G1258,Listas!$A$2:$A$50,0)),0))</f>
        <v/>
      </c>
      <c r="AA1258" s="32"/>
      <c r="AB1258" s="32"/>
      <c r="AC1258" s="32"/>
      <c r="AD1258" s="35" t="str">
        <f aca="false">IF(OR(LEFT(H1258,4)="Meta",LEFT(H1258,6)="Google"),IF(AG1258=3,"Lead calificado",IF(OR(AG1258=4,AG1258=5),"Tasación/visita",IF(OR(AG1258=6,AG1258=7),"Captación/oferta",IF(AG1258=8,"Cierre","")))),"")</f>
        <v/>
      </c>
      <c r="AE1258" s="32"/>
      <c r="AF1258" s="32"/>
      <c r="AG1258" s="37" t="n">
        <f aca="false">IF(R1258="",0,IFERROR(MATCH(R1258,Listas!$L$2:$L$50,0),0))</f>
        <v>0</v>
      </c>
    </row>
    <row r="1259" customFormat="false" ht="15" hidden="false" customHeight="false" outlineLevel="0" collapsed="false">
      <c r="A1259" s="30"/>
      <c r="B1259" s="31"/>
      <c r="C1259" s="32"/>
      <c r="D1259" s="32"/>
      <c r="E1259" s="33"/>
      <c r="F1259" s="32"/>
      <c r="G1259" s="32"/>
      <c r="H1259" s="32"/>
      <c r="I1259" s="32"/>
      <c r="J1259" s="32"/>
      <c r="K1259" s="32"/>
      <c r="L1259" s="32"/>
      <c r="M1259" s="30"/>
      <c r="N1259" s="32"/>
      <c r="O1259" s="34"/>
      <c r="P1259" s="32"/>
      <c r="Q1259" s="32"/>
      <c r="R1259" s="32"/>
      <c r="S1259" s="32"/>
      <c r="T1259" s="32"/>
      <c r="U1259" s="32"/>
      <c r="V1259" s="31"/>
      <c r="W1259" s="35" t="str">
        <f aca="true">IF(OR(V1259="",AG1259&gt;=8),"",IF(V1259&lt;TODAY(),"Vencida",IF(V1259=TODAY(),"Hoy","")))</f>
        <v/>
      </c>
      <c r="X1259" s="36" t="str">
        <f aca="false">IF(A1259="","",IF(COUNTIF(Seguimiento!$B$2:$B$5001,A1259)=0,"",_xlfn.MAXIFS(Seguimiento!$A$2:$A$5001,Seguimiento!$B$2:$B$5001,A1259)))</f>
        <v/>
      </c>
      <c r="Y1259" s="37" t="str">
        <f aca="true">IF(B1259="","",TODAY()-B1259)</f>
        <v/>
      </c>
      <c r="Z1259" s="38" t="str">
        <f aca="false">IF(OR(O1259="",G1259=""),"",O1259*IFERROR(INDEX(Listas!$B$2:$B$50,MATCH(G1259,Listas!$A$2:$A$50,0)),0))</f>
        <v/>
      </c>
      <c r="AA1259" s="32"/>
      <c r="AB1259" s="32"/>
      <c r="AC1259" s="32"/>
      <c r="AD1259" s="35" t="str">
        <f aca="false">IF(OR(LEFT(H1259,4)="Meta",LEFT(H1259,6)="Google"),IF(AG1259=3,"Lead calificado",IF(OR(AG1259=4,AG1259=5),"Tasación/visita",IF(OR(AG1259=6,AG1259=7),"Captación/oferta",IF(AG1259=8,"Cierre","")))),"")</f>
        <v/>
      </c>
      <c r="AE1259" s="32"/>
      <c r="AF1259" s="32"/>
      <c r="AG1259" s="37" t="n">
        <f aca="false">IF(R1259="",0,IFERROR(MATCH(R1259,Listas!$L$2:$L$50,0),0))</f>
        <v>0</v>
      </c>
    </row>
    <row r="1260" customFormat="false" ht="15" hidden="false" customHeight="false" outlineLevel="0" collapsed="false">
      <c r="A1260" s="30"/>
      <c r="B1260" s="31"/>
      <c r="C1260" s="32"/>
      <c r="D1260" s="32"/>
      <c r="E1260" s="33"/>
      <c r="F1260" s="32"/>
      <c r="G1260" s="32"/>
      <c r="H1260" s="32"/>
      <c r="I1260" s="32"/>
      <c r="J1260" s="32"/>
      <c r="K1260" s="32"/>
      <c r="L1260" s="32"/>
      <c r="M1260" s="30"/>
      <c r="N1260" s="32"/>
      <c r="O1260" s="34"/>
      <c r="P1260" s="32"/>
      <c r="Q1260" s="32"/>
      <c r="R1260" s="32"/>
      <c r="S1260" s="32"/>
      <c r="T1260" s="32"/>
      <c r="U1260" s="32"/>
      <c r="V1260" s="31"/>
      <c r="W1260" s="35" t="str">
        <f aca="true">IF(OR(V1260="",AG1260&gt;=8),"",IF(V1260&lt;TODAY(),"Vencida",IF(V1260=TODAY(),"Hoy","")))</f>
        <v/>
      </c>
      <c r="X1260" s="36" t="str">
        <f aca="false">IF(A1260="","",IF(COUNTIF(Seguimiento!$B$2:$B$5001,A1260)=0,"",_xlfn.MAXIFS(Seguimiento!$A$2:$A$5001,Seguimiento!$B$2:$B$5001,A1260)))</f>
        <v/>
      </c>
      <c r="Y1260" s="37" t="str">
        <f aca="true">IF(B1260="","",TODAY()-B1260)</f>
        <v/>
      </c>
      <c r="Z1260" s="38" t="str">
        <f aca="false">IF(OR(O1260="",G1260=""),"",O1260*IFERROR(INDEX(Listas!$B$2:$B$50,MATCH(G1260,Listas!$A$2:$A$50,0)),0))</f>
        <v/>
      </c>
      <c r="AA1260" s="32"/>
      <c r="AB1260" s="32"/>
      <c r="AC1260" s="32"/>
      <c r="AD1260" s="35" t="str">
        <f aca="false">IF(OR(LEFT(H1260,4)="Meta",LEFT(H1260,6)="Google"),IF(AG1260=3,"Lead calificado",IF(OR(AG1260=4,AG1260=5),"Tasación/visita",IF(OR(AG1260=6,AG1260=7),"Captación/oferta",IF(AG1260=8,"Cierre","")))),"")</f>
        <v/>
      </c>
      <c r="AE1260" s="32"/>
      <c r="AF1260" s="32"/>
      <c r="AG1260" s="37" t="n">
        <f aca="false">IF(R1260="",0,IFERROR(MATCH(R1260,Listas!$L$2:$L$50,0),0))</f>
        <v>0</v>
      </c>
    </row>
    <row r="1261" customFormat="false" ht="15" hidden="false" customHeight="false" outlineLevel="0" collapsed="false">
      <c r="A1261" s="30"/>
      <c r="B1261" s="31"/>
      <c r="C1261" s="32"/>
      <c r="D1261" s="32"/>
      <c r="E1261" s="33"/>
      <c r="F1261" s="32"/>
      <c r="G1261" s="32"/>
      <c r="H1261" s="32"/>
      <c r="I1261" s="32"/>
      <c r="J1261" s="32"/>
      <c r="K1261" s="32"/>
      <c r="L1261" s="32"/>
      <c r="M1261" s="30"/>
      <c r="N1261" s="32"/>
      <c r="O1261" s="34"/>
      <c r="P1261" s="32"/>
      <c r="Q1261" s="32"/>
      <c r="R1261" s="32"/>
      <c r="S1261" s="32"/>
      <c r="T1261" s="32"/>
      <c r="U1261" s="32"/>
      <c r="V1261" s="31"/>
      <c r="W1261" s="35" t="str">
        <f aca="true">IF(OR(V1261="",AG1261&gt;=8),"",IF(V1261&lt;TODAY(),"Vencida",IF(V1261=TODAY(),"Hoy","")))</f>
        <v/>
      </c>
      <c r="X1261" s="36" t="str">
        <f aca="false">IF(A1261="","",IF(COUNTIF(Seguimiento!$B$2:$B$5001,A1261)=0,"",_xlfn.MAXIFS(Seguimiento!$A$2:$A$5001,Seguimiento!$B$2:$B$5001,A1261)))</f>
        <v/>
      </c>
      <c r="Y1261" s="37" t="str">
        <f aca="true">IF(B1261="","",TODAY()-B1261)</f>
        <v/>
      </c>
      <c r="Z1261" s="38" t="str">
        <f aca="false">IF(OR(O1261="",G1261=""),"",O1261*IFERROR(INDEX(Listas!$B$2:$B$50,MATCH(G1261,Listas!$A$2:$A$50,0)),0))</f>
        <v/>
      </c>
      <c r="AA1261" s="32"/>
      <c r="AB1261" s="32"/>
      <c r="AC1261" s="32"/>
      <c r="AD1261" s="35" t="str">
        <f aca="false">IF(OR(LEFT(H1261,4)="Meta",LEFT(H1261,6)="Google"),IF(AG1261=3,"Lead calificado",IF(OR(AG1261=4,AG1261=5),"Tasación/visita",IF(OR(AG1261=6,AG1261=7),"Captación/oferta",IF(AG1261=8,"Cierre","")))),"")</f>
        <v/>
      </c>
      <c r="AE1261" s="32"/>
      <c r="AF1261" s="32"/>
      <c r="AG1261" s="37" t="n">
        <f aca="false">IF(R1261="",0,IFERROR(MATCH(R1261,Listas!$L$2:$L$50,0),0))</f>
        <v>0</v>
      </c>
    </row>
    <row r="1262" customFormat="false" ht="15" hidden="false" customHeight="false" outlineLevel="0" collapsed="false">
      <c r="A1262" s="30"/>
      <c r="B1262" s="31"/>
      <c r="C1262" s="32"/>
      <c r="D1262" s="32"/>
      <c r="E1262" s="33"/>
      <c r="F1262" s="32"/>
      <c r="G1262" s="32"/>
      <c r="H1262" s="32"/>
      <c r="I1262" s="32"/>
      <c r="J1262" s="32"/>
      <c r="K1262" s="32"/>
      <c r="L1262" s="32"/>
      <c r="M1262" s="30"/>
      <c r="N1262" s="32"/>
      <c r="O1262" s="34"/>
      <c r="P1262" s="32"/>
      <c r="Q1262" s="32"/>
      <c r="R1262" s="32"/>
      <c r="S1262" s="32"/>
      <c r="T1262" s="32"/>
      <c r="U1262" s="32"/>
      <c r="V1262" s="31"/>
      <c r="W1262" s="35" t="str">
        <f aca="true">IF(OR(V1262="",AG1262&gt;=8),"",IF(V1262&lt;TODAY(),"Vencida",IF(V1262=TODAY(),"Hoy","")))</f>
        <v/>
      </c>
      <c r="X1262" s="36" t="str">
        <f aca="false">IF(A1262="","",IF(COUNTIF(Seguimiento!$B$2:$B$5001,A1262)=0,"",_xlfn.MAXIFS(Seguimiento!$A$2:$A$5001,Seguimiento!$B$2:$B$5001,A1262)))</f>
        <v/>
      </c>
      <c r="Y1262" s="37" t="str">
        <f aca="true">IF(B1262="","",TODAY()-B1262)</f>
        <v/>
      </c>
      <c r="Z1262" s="38" t="str">
        <f aca="false">IF(OR(O1262="",G1262=""),"",O1262*IFERROR(INDEX(Listas!$B$2:$B$50,MATCH(G1262,Listas!$A$2:$A$50,0)),0))</f>
        <v/>
      </c>
      <c r="AA1262" s="32"/>
      <c r="AB1262" s="32"/>
      <c r="AC1262" s="32"/>
      <c r="AD1262" s="35" t="str">
        <f aca="false">IF(OR(LEFT(H1262,4)="Meta",LEFT(H1262,6)="Google"),IF(AG1262=3,"Lead calificado",IF(OR(AG1262=4,AG1262=5),"Tasación/visita",IF(OR(AG1262=6,AG1262=7),"Captación/oferta",IF(AG1262=8,"Cierre","")))),"")</f>
        <v/>
      </c>
      <c r="AE1262" s="32"/>
      <c r="AF1262" s="32"/>
      <c r="AG1262" s="37" t="n">
        <f aca="false">IF(R1262="",0,IFERROR(MATCH(R1262,Listas!$L$2:$L$50,0),0))</f>
        <v>0</v>
      </c>
    </row>
    <row r="1263" customFormat="false" ht="15" hidden="false" customHeight="false" outlineLevel="0" collapsed="false">
      <c r="A1263" s="30"/>
      <c r="B1263" s="31"/>
      <c r="C1263" s="32"/>
      <c r="D1263" s="32"/>
      <c r="E1263" s="33"/>
      <c r="F1263" s="32"/>
      <c r="G1263" s="32"/>
      <c r="H1263" s="32"/>
      <c r="I1263" s="32"/>
      <c r="J1263" s="32"/>
      <c r="K1263" s="32"/>
      <c r="L1263" s="32"/>
      <c r="M1263" s="30"/>
      <c r="N1263" s="32"/>
      <c r="O1263" s="34"/>
      <c r="P1263" s="32"/>
      <c r="Q1263" s="32"/>
      <c r="R1263" s="32"/>
      <c r="S1263" s="32"/>
      <c r="T1263" s="32"/>
      <c r="U1263" s="32"/>
      <c r="V1263" s="31"/>
      <c r="W1263" s="35" t="str">
        <f aca="true">IF(OR(V1263="",AG1263&gt;=8),"",IF(V1263&lt;TODAY(),"Vencida",IF(V1263=TODAY(),"Hoy","")))</f>
        <v/>
      </c>
      <c r="X1263" s="36" t="str">
        <f aca="false">IF(A1263="","",IF(COUNTIF(Seguimiento!$B$2:$B$5001,A1263)=0,"",_xlfn.MAXIFS(Seguimiento!$A$2:$A$5001,Seguimiento!$B$2:$B$5001,A1263)))</f>
        <v/>
      </c>
      <c r="Y1263" s="37" t="str">
        <f aca="true">IF(B1263="","",TODAY()-B1263)</f>
        <v/>
      </c>
      <c r="Z1263" s="38" t="str">
        <f aca="false">IF(OR(O1263="",G1263=""),"",O1263*IFERROR(INDEX(Listas!$B$2:$B$50,MATCH(G1263,Listas!$A$2:$A$50,0)),0))</f>
        <v/>
      </c>
      <c r="AA1263" s="32"/>
      <c r="AB1263" s="32"/>
      <c r="AC1263" s="32"/>
      <c r="AD1263" s="35" t="str">
        <f aca="false">IF(OR(LEFT(H1263,4)="Meta",LEFT(H1263,6)="Google"),IF(AG1263=3,"Lead calificado",IF(OR(AG1263=4,AG1263=5),"Tasación/visita",IF(OR(AG1263=6,AG1263=7),"Captación/oferta",IF(AG1263=8,"Cierre","")))),"")</f>
        <v/>
      </c>
      <c r="AE1263" s="32"/>
      <c r="AF1263" s="32"/>
      <c r="AG1263" s="37" t="n">
        <f aca="false">IF(R1263="",0,IFERROR(MATCH(R1263,Listas!$L$2:$L$50,0),0))</f>
        <v>0</v>
      </c>
    </row>
    <row r="1264" customFormat="false" ht="15" hidden="false" customHeight="false" outlineLevel="0" collapsed="false">
      <c r="A1264" s="30"/>
      <c r="B1264" s="31"/>
      <c r="C1264" s="32"/>
      <c r="D1264" s="32"/>
      <c r="E1264" s="33"/>
      <c r="F1264" s="32"/>
      <c r="G1264" s="32"/>
      <c r="H1264" s="32"/>
      <c r="I1264" s="32"/>
      <c r="J1264" s="32"/>
      <c r="K1264" s="32"/>
      <c r="L1264" s="32"/>
      <c r="M1264" s="30"/>
      <c r="N1264" s="32"/>
      <c r="O1264" s="34"/>
      <c r="P1264" s="32"/>
      <c r="Q1264" s="32"/>
      <c r="R1264" s="32"/>
      <c r="S1264" s="32"/>
      <c r="T1264" s="32"/>
      <c r="U1264" s="32"/>
      <c r="V1264" s="31"/>
      <c r="W1264" s="35" t="str">
        <f aca="true">IF(OR(V1264="",AG1264&gt;=8),"",IF(V1264&lt;TODAY(),"Vencida",IF(V1264=TODAY(),"Hoy","")))</f>
        <v/>
      </c>
      <c r="X1264" s="36" t="str">
        <f aca="false">IF(A1264="","",IF(COUNTIF(Seguimiento!$B$2:$B$5001,A1264)=0,"",_xlfn.MAXIFS(Seguimiento!$A$2:$A$5001,Seguimiento!$B$2:$B$5001,A1264)))</f>
        <v/>
      </c>
      <c r="Y1264" s="37" t="str">
        <f aca="true">IF(B1264="","",TODAY()-B1264)</f>
        <v/>
      </c>
      <c r="Z1264" s="38" t="str">
        <f aca="false">IF(OR(O1264="",G1264=""),"",O1264*IFERROR(INDEX(Listas!$B$2:$B$50,MATCH(G1264,Listas!$A$2:$A$50,0)),0))</f>
        <v/>
      </c>
      <c r="AA1264" s="32"/>
      <c r="AB1264" s="32"/>
      <c r="AC1264" s="32"/>
      <c r="AD1264" s="35" t="str">
        <f aca="false">IF(OR(LEFT(H1264,4)="Meta",LEFT(H1264,6)="Google"),IF(AG1264=3,"Lead calificado",IF(OR(AG1264=4,AG1264=5),"Tasación/visita",IF(OR(AG1264=6,AG1264=7),"Captación/oferta",IF(AG1264=8,"Cierre","")))),"")</f>
        <v/>
      </c>
      <c r="AE1264" s="32"/>
      <c r="AF1264" s="32"/>
      <c r="AG1264" s="37" t="n">
        <f aca="false">IF(R1264="",0,IFERROR(MATCH(R1264,Listas!$L$2:$L$50,0),0))</f>
        <v>0</v>
      </c>
    </row>
    <row r="1265" customFormat="false" ht="15" hidden="false" customHeight="false" outlineLevel="0" collapsed="false">
      <c r="A1265" s="30"/>
      <c r="B1265" s="31"/>
      <c r="C1265" s="32"/>
      <c r="D1265" s="32"/>
      <c r="E1265" s="33"/>
      <c r="F1265" s="32"/>
      <c r="G1265" s="32"/>
      <c r="H1265" s="32"/>
      <c r="I1265" s="32"/>
      <c r="J1265" s="32"/>
      <c r="K1265" s="32"/>
      <c r="L1265" s="32"/>
      <c r="M1265" s="30"/>
      <c r="N1265" s="32"/>
      <c r="O1265" s="34"/>
      <c r="P1265" s="32"/>
      <c r="Q1265" s="32"/>
      <c r="R1265" s="32"/>
      <c r="S1265" s="32"/>
      <c r="T1265" s="32"/>
      <c r="U1265" s="32"/>
      <c r="V1265" s="31"/>
      <c r="W1265" s="35" t="str">
        <f aca="true">IF(OR(V1265="",AG1265&gt;=8),"",IF(V1265&lt;TODAY(),"Vencida",IF(V1265=TODAY(),"Hoy","")))</f>
        <v/>
      </c>
      <c r="X1265" s="36" t="str">
        <f aca="false">IF(A1265="","",IF(COUNTIF(Seguimiento!$B$2:$B$5001,A1265)=0,"",_xlfn.MAXIFS(Seguimiento!$A$2:$A$5001,Seguimiento!$B$2:$B$5001,A1265)))</f>
        <v/>
      </c>
      <c r="Y1265" s="37" t="str">
        <f aca="true">IF(B1265="","",TODAY()-B1265)</f>
        <v/>
      </c>
      <c r="Z1265" s="38" t="str">
        <f aca="false">IF(OR(O1265="",G1265=""),"",O1265*IFERROR(INDEX(Listas!$B$2:$B$50,MATCH(G1265,Listas!$A$2:$A$50,0)),0))</f>
        <v/>
      </c>
      <c r="AA1265" s="32"/>
      <c r="AB1265" s="32"/>
      <c r="AC1265" s="32"/>
      <c r="AD1265" s="35" t="str">
        <f aca="false">IF(OR(LEFT(H1265,4)="Meta",LEFT(H1265,6)="Google"),IF(AG1265=3,"Lead calificado",IF(OR(AG1265=4,AG1265=5),"Tasación/visita",IF(OR(AG1265=6,AG1265=7),"Captación/oferta",IF(AG1265=8,"Cierre","")))),"")</f>
        <v/>
      </c>
      <c r="AE1265" s="32"/>
      <c r="AF1265" s="32"/>
      <c r="AG1265" s="37" t="n">
        <f aca="false">IF(R1265="",0,IFERROR(MATCH(R1265,Listas!$L$2:$L$50,0),0))</f>
        <v>0</v>
      </c>
    </row>
    <row r="1266" customFormat="false" ht="15" hidden="false" customHeight="false" outlineLevel="0" collapsed="false">
      <c r="A1266" s="30"/>
      <c r="B1266" s="31"/>
      <c r="C1266" s="32"/>
      <c r="D1266" s="32"/>
      <c r="E1266" s="33"/>
      <c r="F1266" s="32"/>
      <c r="G1266" s="32"/>
      <c r="H1266" s="32"/>
      <c r="I1266" s="32"/>
      <c r="J1266" s="32"/>
      <c r="K1266" s="32"/>
      <c r="L1266" s="32"/>
      <c r="M1266" s="30"/>
      <c r="N1266" s="32"/>
      <c r="O1266" s="34"/>
      <c r="P1266" s="32"/>
      <c r="Q1266" s="32"/>
      <c r="R1266" s="32"/>
      <c r="S1266" s="32"/>
      <c r="T1266" s="32"/>
      <c r="U1266" s="32"/>
      <c r="V1266" s="31"/>
      <c r="W1266" s="35" t="str">
        <f aca="true">IF(OR(V1266="",AG1266&gt;=8),"",IF(V1266&lt;TODAY(),"Vencida",IF(V1266=TODAY(),"Hoy","")))</f>
        <v/>
      </c>
      <c r="X1266" s="36" t="str">
        <f aca="false">IF(A1266="","",IF(COUNTIF(Seguimiento!$B$2:$B$5001,A1266)=0,"",_xlfn.MAXIFS(Seguimiento!$A$2:$A$5001,Seguimiento!$B$2:$B$5001,A1266)))</f>
        <v/>
      </c>
      <c r="Y1266" s="37" t="str">
        <f aca="true">IF(B1266="","",TODAY()-B1266)</f>
        <v/>
      </c>
      <c r="Z1266" s="38" t="str">
        <f aca="false">IF(OR(O1266="",G1266=""),"",O1266*IFERROR(INDEX(Listas!$B$2:$B$50,MATCH(G1266,Listas!$A$2:$A$50,0)),0))</f>
        <v/>
      </c>
      <c r="AA1266" s="32"/>
      <c r="AB1266" s="32"/>
      <c r="AC1266" s="32"/>
      <c r="AD1266" s="35" t="str">
        <f aca="false">IF(OR(LEFT(H1266,4)="Meta",LEFT(H1266,6)="Google"),IF(AG1266=3,"Lead calificado",IF(OR(AG1266=4,AG1266=5),"Tasación/visita",IF(OR(AG1266=6,AG1266=7),"Captación/oferta",IF(AG1266=8,"Cierre","")))),"")</f>
        <v/>
      </c>
      <c r="AE1266" s="32"/>
      <c r="AF1266" s="32"/>
      <c r="AG1266" s="37" t="n">
        <f aca="false">IF(R1266="",0,IFERROR(MATCH(R1266,Listas!$L$2:$L$50,0),0))</f>
        <v>0</v>
      </c>
    </row>
    <row r="1267" customFormat="false" ht="15" hidden="false" customHeight="false" outlineLevel="0" collapsed="false">
      <c r="A1267" s="30"/>
      <c r="B1267" s="31"/>
      <c r="C1267" s="32"/>
      <c r="D1267" s="32"/>
      <c r="E1267" s="33"/>
      <c r="F1267" s="32"/>
      <c r="G1267" s="32"/>
      <c r="H1267" s="32"/>
      <c r="I1267" s="32"/>
      <c r="J1267" s="32"/>
      <c r="K1267" s="32"/>
      <c r="L1267" s="32"/>
      <c r="M1267" s="30"/>
      <c r="N1267" s="32"/>
      <c r="O1267" s="34"/>
      <c r="P1267" s="32"/>
      <c r="Q1267" s="32"/>
      <c r="R1267" s="32"/>
      <c r="S1267" s="32"/>
      <c r="T1267" s="32"/>
      <c r="U1267" s="32"/>
      <c r="V1267" s="31"/>
      <c r="W1267" s="35" t="str">
        <f aca="true">IF(OR(V1267="",AG1267&gt;=8),"",IF(V1267&lt;TODAY(),"Vencida",IF(V1267=TODAY(),"Hoy","")))</f>
        <v/>
      </c>
      <c r="X1267" s="36" t="str">
        <f aca="false">IF(A1267="","",IF(COUNTIF(Seguimiento!$B$2:$B$5001,A1267)=0,"",_xlfn.MAXIFS(Seguimiento!$A$2:$A$5001,Seguimiento!$B$2:$B$5001,A1267)))</f>
        <v/>
      </c>
      <c r="Y1267" s="37" t="str">
        <f aca="true">IF(B1267="","",TODAY()-B1267)</f>
        <v/>
      </c>
      <c r="Z1267" s="38" t="str">
        <f aca="false">IF(OR(O1267="",G1267=""),"",O1267*IFERROR(INDEX(Listas!$B$2:$B$50,MATCH(G1267,Listas!$A$2:$A$50,0)),0))</f>
        <v/>
      </c>
      <c r="AA1267" s="32"/>
      <c r="AB1267" s="32"/>
      <c r="AC1267" s="32"/>
      <c r="AD1267" s="35" t="str">
        <f aca="false">IF(OR(LEFT(H1267,4)="Meta",LEFT(H1267,6)="Google"),IF(AG1267=3,"Lead calificado",IF(OR(AG1267=4,AG1267=5),"Tasación/visita",IF(OR(AG1267=6,AG1267=7),"Captación/oferta",IF(AG1267=8,"Cierre","")))),"")</f>
        <v/>
      </c>
      <c r="AE1267" s="32"/>
      <c r="AF1267" s="32"/>
      <c r="AG1267" s="37" t="n">
        <f aca="false">IF(R1267="",0,IFERROR(MATCH(R1267,Listas!$L$2:$L$50,0),0))</f>
        <v>0</v>
      </c>
    </row>
    <row r="1268" customFormat="false" ht="15" hidden="false" customHeight="false" outlineLevel="0" collapsed="false">
      <c r="A1268" s="30"/>
      <c r="B1268" s="31"/>
      <c r="C1268" s="32"/>
      <c r="D1268" s="32"/>
      <c r="E1268" s="33"/>
      <c r="F1268" s="32"/>
      <c r="G1268" s="32"/>
      <c r="H1268" s="32"/>
      <c r="I1268" s="32"/>
      <c r="J1268" s="32"/>
      <c r="K1268" s="32"/>
      <c r="L1268" s="32"/>
      <c r="M1268" s="30"/>
      <c r="N1268" s="32"/>
      <c r="O1268" s="34"/>
      <c r="P1268" s="32"/>
      <c r="Q1268" s="32"/>
      <c r="R1268" s="32"/>
      <c r="S1268" s="32"/>
      <c r="T1268" s="32"/>
      <c r="U1268" s="32"/>
      <c r="V1268" s="31"/>
      <c r="W1268" s="35" t="str">
        <f aca="true">IF(OR(V1268="",AG1268&gt;=8),"",IF(V1268&lt;TODAY(),"Vencida",IF(V1268=TODAY(),"Hoy","")))</f>
        <v/>
      </c>
      <c r="X1268" s="36" t="str">
        <f aca="false">IF(A1268="","",IF(COUNTIF(Seguimiento!$B$2:$B$5001,A1268)=0,"",_xlfn.MAXIFS(Seguimiento!$A$2:$A$5001,Seguimiento!$B$2:$B$5001,A1268)))</f>
        <v/>
      </c>
      <c r="Y1268" s="37" t="str">
        <f aca="true">IF(B1268="","",TODAY()-B1268)</f>
        <v/>
      </c>
      <c r="Z1268" s="38" t="str">
        <f aca="false">IF(OR(O1268="",G1268=""),"",O1268*IFERROR(INDEX(Listas!$B$2:$B$50,MATCH(G1268,Listas!$A$2:$A$50,0)),0))</f>
        <v/>
      </c>
      <c r="AA1268" s="32"/>
      <c r="AB1268" s="32"/>
      <c r="AC1268" s="32"/>
      <c r="AD1268" s="35" t="str">
        <f aca="false">IF(OR(LEFT(H1268,4)="Meta",LEFT(H1268,6)="Google"),IF(AG1268=3,"Lead calificado",IF(OR(AG1268=4,AG1268=5),"Tasación/visita",IF(OR(AG1268=6,AG1268=7),"Captación/oferta",IF(AG1268=8,"Cierre","")))),"")</f>
        <v/>
      </c>
      <c r="AE1268" s="32"/>
      <c r="AF1268" s="32"/>
      <c r="AG1268" s="37" t="n">
        <f aca="false">IF(R1268="",0,IFERROR(MATCH(R1268,Listas!$L$2:$L$50,0),0))</f>
        <v>0</v>
      </c>
    </row>
    <row r="1269" customFormat="false" ht="15" hidden="false" customHeight="false" outlineLevel="0" collapsed="false">
      <c r="A1269" s="30"/>
      <c r="B1269" s="31"/>
      <c r="C1269" s="32"/>
      <c r="D1269" s="32"/>
      <c r="E1269" s="33"/>
      <c r="F1269" s="32"/>
      <c r="G1269" s="32"/>
      <c r="H1269" s="32"/>
      <c r="I1269" s="32"/>
      <c r="J1269" s="32"/>
      <c r="K1269" s="32"/>
      <c r="L1269" s="32"/>
      <c r="M1269" s="30"/>
      <c r="N1269" s="32"/>
      <c r="O1269" s="34"/>
      <c r="P1269" s="32"/>
      <c r="Q1269" s="32"/>
      <c r="R1269" s="32"/>
      <c r="S1269" s="32"/>
      <c r="T1269" s="32"/>
      <c r="U1269" s="32"/>
      <c r="V1269" s="31"/>
      <c r="W1269" s="35" t="str">
        <f aca="true">IF(OR(V1269="",AG1269&gt;=8),"",IF(V1269&lt;TODAY(),"Vencida",IF(V1269=TODAY(),"Hoy","")))</f>
        <v/>
      </c>
      <c r="X1269" s="36" t="str">
        <f aca="false">IF(A1269="","",IF(COUNTIF(Seguimiento!$B$2:$B$5001,A1269)=0,"",_xlfn.MAXIFS(Seguimiento!$A$2:$A$5001,Seguimiento!$B$2:$B$5001,A1269)))</f>
        <v/>
      </c>
      <c r="Y1269" s="37" t="str">
        <f aca="true">IF(B1269="","",TODAY()-B1269)</f>
        <v/>
      </c>
      <c r="Z1269" s="38" t="str">
        <f aca="false">IF(OR(O1269="",G1269=""),"",O1269*IFERROR(INDEX(Listas!$B$2:$B$50,MATCH(G1269,Listas!$A$2:$A$50,0)),0))</f>
        <v/>
      </c>
      <c r="AA1269" s="32"/>
      <c r="AB1269" s="32"/>
      <c r="AC1269" s="32"/>
      <c r="AD1269" s="35" t="str">
        <f aca="false">IF(OR(LEFT(H1269,4)="Meta",LEFT(H1269,6)="Google"),IF(AG1269=3,"Lead calificado",IF(OR(AG1269=4,AG1269=5),"Tasación/visita",IF(OR(AG1269=6,AG1269=7),"Captación/oferta",IF(AG1269=8,"Cierre","")))),"")</f>
        <v/>
      </c>
      <c r="AE1269" s="32"/>
      <c r="AF1269" s="32"/>
      <c r="AG1269" s="37" t="n">
        <f aca="false">IF(R1269="",0,IFERROR(MATCH(R1269,Listas!$L$2:$L$50,0),0))</f>
        <v>0</v>
      </c>
    </row>
    <row r="1270" customFormat="false" ht="15" hidden="false" customHeight="false" outlineLevel="0" collapsed="false">
      <c r="A1270" s="30"/>
      <c r="B1270" s="31"/>
      <c r="C1270" s="32"/>
      <c r="D1270" s="32"/>
      <c r="E1270" s="33"/>
      <c r="F1270" s="32"/>
      <c r="G1270" s="32"/>
      <c r="H1270" s="32"/>
      <c r="I1270" s="32"/>
      <c r="J1270" s="32"/>
      <c r="K1270" s="32"/>
      <c r="L1270" s="32"/>
      <c r="M1270" s="30"/>
      <c r="N1270" s="32"/>
      <c r="O1270" s="34"/>
      <c r="P1270" s="32"/>
      <c r="Q1270" s="32"/>
      <c r="R1270" s="32"/>
      <c r="S1270" s="32"/>
      <c r="T1270" s="32"/>
      <c r="U1270" s="32"/>
      <c r="V1270" s="31"/>
      <c r="W1270" s="35" t="str">
        <f aca="true">IF(OR(V1270="",AG1270&gt;=8),"",IF(V1270&lt;TODAY(),"Vencida",IF(V1270=TODAY(),"Hoy","")))</f>
        <v/>
      </c>
      <c r="X1270" s="36" t="str">
        <f aca="false">IF(A1270="","",IF(COUNTIF(Seguimiento!$B$2:$B$5001,A1270)=0,"",_xlfn.MAXIFS(Seguimiento!$A$2:$A$5001,Seguimiento!$B$2:$B$5001,A1270)))</f>
        <v/>
      </c>
      <c r="Y1270" s="37" t="str">
        <f aca="true">IF(B1270="","",TODAY()-B1270)</f>
        <v/>
      </c>
      <c r="Z1270" s="38" t="str">
        <f aca="false">IF(OR(O1270="",G1270=""),"",O1270*IFERROR(INDEX(Listas!$B$2:$B$50,MATCH(G1270,Listas!$A$2:$A$50,0)),0))</f>
        <v/>
      </c>
      <c r="AA1270" s="32"/>
      <c r="AB1270" s="32"/>
      <c r="AC1270" s="32"/>
      <c r="AD1270" s="35" t="str">
        <f aca="false">IF(OR(LEFT(H1270,4)="Meta",LEFT(H1270,6)="Google"),IF(AG1270=3,"Lead calificado",IF(OR(AG1270=4,AG1270=5),"Tasación/visita",IF(OR(AG1270=6,AG1270=7),"Captación/oferta",IF(AG1270=8,"Cierre","")))),"")</f>
        <v/>
      </c>
      <c r="AE1270" s="32"/>
      <c r="AF1270" s="32"/>
      <c r="AG1270" s="37" t="n">
        <f aca="false">IF(R1270="",0,IFERROR(MATCH(R1270,Listas!$L$2:$L$50,0),0))</f>
        <v>0</v>
      </c>
    </row>
    <row r="1271" customFormat="false" ht="15" hidden="false" customHeight="false" outlineLevel="0" collapsed="false">
      <c r="A1271" s="30"/>
      <c r="B1271" s="31"/>
      <c r="C1271" s="32"/>
      <c r="D1271" s="32"/>
      <c r="E1271" s="33"/>
      <c r="F1271" s="32"/>
      <c r="G1271" s="32"/>
      <c r="H1271" s="32"/>
      <c r="I1271" s="32"/>
      <c r="J1271" s="32"/>
      <c r="K1271" s="32"/>
      <c r="L1271" s="32"/>
      <c r="M1271" s="30"/>
      <c r="N1271" s="32"/>
      <c r="O1271" s="34"/>
      <c r="P1271" s="32"/>
      <c r="Q1271" s="32"/>
      <c r="R1271" s="32"/>
      <c r="S1271" s="32"/>
      <c r="T1271" s="32"/>
      <c r="U1271" s="32"/>
      <c r="V1271" s="31"/>
      <c r="W1271" s="35" t="str">
        <f aca="true">IF(OR(V1271="",AG1271&gt;=8),"",IF(V1271&lt;TODAY(),"Vencida",IF(V1271=TODAY(),"Hoy","")))</f>
        <v/>
      </c>
      <c r="X1271" s="36" t="str">
        <f aca="false">IF(A1271="","",IF(COUNTIF(Seguimiento!$B$2:$B$5001,A1271)=0,"",_xlfn.MAXIFS(Seguimiento!$A$2:$A$5001,Seguimiento!$B$2:$B$5001,A1271)))</f>
        <v/>
      </c>
      <c r="Y1271" s="37" t="str">
        <f aca="true">IF(B1271="","",TODAY()-B1271)</f>
        <v/>
      </c>
      <c r="Z1271" s="38" t="str">
        <f aca="false">IF(OR(O1271="",G1271=""),"",O1271*IFERROR(INDEX(Listas!$B$2:$B$50,MATCH(G1271,Listas!$A$2:$A$50,0)),0))</f>
        <v/>
      </c>
      <c r="AA1271" s="32"/>
      <c r="AB1271" s="32"/>
      <c r="AC1271" s="32"/>
      <c r="AD1271" s="35" t="str">
        <f aca="false">IF(OR(LEFT(H1271,4)="Meta",LEFT(H1271,6)="Google"),IF(AG1271=3,"Lead calificado",IF(OR(AG1271=4,AG1271=5),"Tasación/visita",IF(OR(AG1271=6,AG1271=7),"Captación/oferta",IF(AG1271=8,"Cierre","")))),"")</f>
        <v/>
      </c>
      <c r="AE1271" s="32"/>
      <c r="AF1271" s="32"/>
      <c r="AG1271" s="37" t="n">
        <f aca="false">IF(R1271="",0,IFERROR(MATCH(R1271,Listas!$L$2:$L$50,0),0))</f>
        <v>0</v>
      </c>
    </row>
    <row r="1272" customFormat="false" ht="15" hidden="false" customHeight="false" outlineLevel="0" collapsed="false">
      <c r="A1272" s="30"/>
      <c r="B1272" s="31"/>
      <c r="C1272" s="32"/>
      <c r="D1272" s="32"/>
      <c r="E1272" s="33"/>
      <c r="F1272" s="32"/>
      <c r="G1272" s="32"/>
      <c r="H1272" s="32"/>
      <c r="I1272" s="32"/>
      <c r="J1272" s="32"/>
      <c r="K1272" s="32"/>
      <c r="L1272" s="32"/>
      <c r="M1272" s="30"/>
      <c r="N1272" s="32"/>
      <c r="O1272" s="34"/>
      <c r="P1272" s="32"/>
      <c r="Q1272" s="32"/>
      <c r="R1272" s="32"/>
      <c r="S1272" s="32"/>
      <c r="T1272" s="32"/>
      <c r="U1272" s="32"/>
      <c r="V1272" s="31"/>
      <c r="W1272" s="35" t="str">
        <f aca="true">IF(OR(V1272="",AG1272&gt;=8),"",IF(V1272&lt;TODAY(),"Vencida",IF(V1272=TODAY(),"Hoy","")))</f>
        <v/>
      </c>
      <c r="X1272" s="36" t="str">
        <f aca="false">IF(A1272="","",IF(COUNTIF(Seguimiento!$B$2:$B$5001,A1272)=0,"",_xlfn.MAXIFS(Seguimiento!$A$2:$A$5001,Seguimiento!$B$2:$B$5001,A1272)))</f>
        <v/>
      </c>
      <c r="Y1272" s="37" t="str">
        <f aca="true">IF(B1272="","",TODAY()-B1272)</f>
        <v/>
      </c>
      <c r="Z1272" s="38" t="str">
        <f aca="false">IF(OR(O1272="",G1272=""),"",O1272*IFERROR(INDEX(Listas!$B$2:$B$50,MATCH(G1272,Listas!$A$2:$A$50,0)),0))</f>
        <v/>
      </c>
      <c r="AA1272" s="32"/>
      <c r="AB1272" s="32"/>
      <c r="AC1272" s="32"/>
      <c r="AD1272" s="35" t="str">
        <f aca="false">IF(OR(LEFT(H1272,4)="Meta",LEFT(H1272,6)="Google"),IF(AG1272=3,"Lead calificado",IF(OR(AG1272=4,AG1272=5),"Tasación/visita",IF(OR(AG1272=6,AG1272=7),"Captación/oferta",IF(AG1272=8,"Cierre","")))),"")</f>
        <v/>
      </c>
      <c r="AE1272" s="32"/>
      <c r="AF1272" s="32"/>
      <c r="AG1272" s="37" t="n">
        <f aca="false">IF(R1272="",0,IFERROR(MATCH(R1272,Listas!$L$2:$L$50,0),0))</f>
        <v>0</v>
      </c>
    </row>
    <row r="1273" customFormat="false" ht="15" hidden="false" customHeight="false" outlineLevel="0" collapsed="false">
      <c r="A1273" s="30"/>
      <c r="B1273" s="31"/>
      <c r="C1273" s="32"/>
      <c r="D1273" s="32"/>
      <c r="E1273" s="33"/>
      <c r="F1273" s="32"/>
      <c r="G1273" s="32"/>
      <c r="H1273" s="32"/>
      <c r="I1273" s="32"/>
      <c r="J1273" s="32"/>
      <c r="K1273" s="32"/>
      <c r="L1273" s="32"/>
      <c r="M1273" s="30"/>
      <c r="N1273" s="32"/>
      <c r="O1273" s="34"/>
      <c r="P1273" s="32"/>
      <c r="Q1273" s="32"/>
      <c r="R1273" s="32"/>
      <c r="S1273" s="32"/>
      <c r="T1273" s="32"/>
      <c r="U1273" s="32"/>
      <c r="V1273" s="31"/>
      <c r="W1273" s="35" t="str">
        <f aca="true">IF(OR(V1273="",AG1273&gt;=8),"",IF(V1273&lt;TODAY(),"Vencida",IF(V1273=TODAY(),"Hoy","")))</f>
        <v/>
      </c>
      <c r="X1273" s="36" t="str">
        <f aca="false">IF(A1273="","",IF(COUNTIF(Seguimiento!$B$2:$B$5001,A1273)=0,"",_xlfn.MAXIFS(Seguimiento!$A$2:$A$5001,Seguimiento!$B$2:$B$5001,A1273)))</f>
        <v/>
      </c>
      <c r="Y1273" s="37" t="str">
        <f aca="true">IF(B1273="","",TODAY()-B1273)</f>
        <v/>
      </c>
      <c r="Z1273" s="38" t="str">
        <f aca="false">IF(OR(O1273="",G1273=""),"",O1273*IFERROR(INDEX(Listas!$B$2:$B$50,MATCH(G1273,Listas!$A$2:$A$50,0)),0))</f>
        <v/>
      </c>
      <c r="AA1273" s="32"/>
      <c r="AB1273" s="32"/>
      <c r="AC1273" s="32"/>
      <c r="AD1273" s="35" t="str">
        <f aca="false">IF(OR(LEFT(H1273,4)="Meta",LEFT(H1273,6)="Google"),IF(AG1273=3,"Lead calificado",IF(OR(AG1273=4,AG1273=5),"Tasación/visita",IF(OR(AG1273=6,AG1273=7),"Captación/oferta",IF(AG1273=8,"Cierre","")))),"")</f>
        <v/>
      </c>
      <c r="AE1273" s="32"/>
      <c r="AF1273" s="32"/>
      <c r="AG1273" s="37" t="n">
        <f aca="false">IF(R1273="",0,IFERROR(MATCH(R1273,Listas!$L$2:$L$50,0),0))</f>
        <v>0</v>
      </c>
    </row>
    <row r="1274" customFormat="false" ht="15" hidden="false" customHeight="false" outlineLevel="0" collapsed="false">
      <c r="A1274" s="30"/>
      <c r="B1274" s="31"/>
      <c r="C1274" s="32"/>
      <c r="D1274" s="32"/>
      <c r="E1274" s="33"/>
      <c r="F1274" s="32"/>
      <c r="G1274" s="32"/>
      <c r="H1274" s="32"/>
      <c r="I1274" s="32"/>
      <c r="J1274" s="32"/>
      <c r="K1274" s="32"/>
      <c r="L1274" s="32"/>
      <c r="M1274" s="30"/>
      <c r="N1274" s="32"/>
      <c r="O1274" s="34"/>
      <c r="P1274" s="32"/>
      <c r="Q1274" s="32"/>
      <c r="R1274" s="32"/>
      <c r="S1274" s="32"/>
      <c r="T1274" s="32"/>
      <c r="U1274" s="32"/>
      <c r="V1274" s="31"/>
      <c r="W1274" s="35" t="str">
        <f aca="true">IF(OR(V1274="",AG1274&gt;=8),"",IF(V1274&lt;TODAY(),"Vencida",IF(V1274=TODAY(),"Hoy","")))</f>
        <v/>
      </c>
      <c r="X1274" s="36" t="str">
        <f aca="false">IF(A1274="","",IF(COUNTIF(Seguimiento!$B$2:$B$5001,A1274)=0,"",_xlfn.MAXIFS(Seguimiento!$A$2:$A$5001,Seguimiento!$B$2:$B$5001,A1274)))</f>
        <v/>
      </c>
      <c r="Y1274" s="37" t="str">
        <f aca="true">IF(B1274="","",TODAY()-B1274)</f>
        <v/>
      </c>
      <c r="Z1274" s="38" t="str">
        <f aca="false">IF(OR(O1274="",G1274=""),"",O1274*IFERROR(INDEX(Listas!$B$2:$B$50,MATCH(G1274,Listas!$A$2:$A$50,0)),0))</f>
        <v/>
      </c>
      <c r="AA1274" s="32"/>
      <c r="AB1274" s="32"/>
      <c r="AC1274" s="32"/>
      <c r="AD1274" s="35" t="str">
        <f aca="false">IF(OR(LEFT(H1274,4)="Meta",LEFT(H1274,6)="Google"),IF(AG1274=3,"Lead calificado",IF(OR(AG1274=4,AG1274=5),"Tasación/visita",IF(OR(AG1274=6,AG1274=7),"Captación/oferta",IF(AG1274=8,"Cierre","")))),"")</f>
        <v/>
      </c>
      <c r="AE1274" s="32"/>
      <c r="AF1274" s="32"/>
      <c r="AG1274" s="37" t="n">
        <f aca="false">IF(R1274="",0,IFERROR(MATCH(R1274,Listas!$L$2:$L$50,0),0))</f>
        <v>0</v>
      </c>
    </row>
    <row r="1275" customFormat="false" ht="15" hidden="false" customHeight="false" outlineLevel="0" collapsed="false">
      <c r="A1275" s="30"/>
      <c r="B1275" s="31"/>
      <c r="C1275" s="32"/>
      <c r="D1275" s="32"/>
      <c r="E1275" s="33"/>
      <c r="F1275" s="32"/>
      <c r="G1275" s="32"/>
      <c r="H1275" s="32"/>
      <c r="I1275" s="32"/>
      <c r="J1275" s="32"/>
      <c r="K1275" s="32"/>
      <c r="L1275" s="32"/>
      <c r="M1275" s="30"/>
      <c r="N1275" s="32"/>
      <c r="O1275" s="34"/>
      <c r="P1275" s="32"/>
      <c r="Q1275" s="32"/>
      <c r="R1275" s="32"/>
      <c r="S1275" s="32"/>
      <c r="T1275" s="32"/>
      <c r="U1275" s="32"/>
      <c r="V1275" s="31"/>
      <c r="W1275" s="35" t="str">
        <f aca="true">IF(OR(V1275="",AG1275&gt;=8),"",IF(V1275&lt;TODAY(),"Vencida",IF(V1275=TODAY(),"Hoy","")))</f>
        <v/>
      </c>
      <c r="X1275" s="36" t="str">
        <f aca="false">IF(A1275="","",IF(COUNTIF(Seguimiento!$B$2:$B$5001,A1275)=0,"",_xlfn.MAXIFS(Seguimiento!$A$2:$A$5001,Seguimiento!$B$2:$B$5001,A1275)))</f>
        <v/>
      </c>
      <c r="Y1275" s="37" t="str">
        <f aca="true">IF(B1275="","",TODAY()-B1275)</f>
        <v/>
      </c>
      <c r="Z1275" s="38" t="str">
        <f aca="false">IF(OR(O1275="",G1275=""),"",O1275*IFERROR(INDEX(Listas!$B$2:$B$50,MATCH(G1275,Listas!$A$2:$A$50,0)),0))</f>
        <v/>
      </c>
      <c r="AA1275" s="32"/>
      <c r="AB1275" s="32"/>
      <c r="AC1275" s="32"/>
      <c r="AD1275" s="35" t="str">
        <f aca="false">IF(OR(LEFT(H1275,4)="Meta",LEFT(H1275,6)="Google"),IF(AG1275=3,"Lead calificado",IF(OR(AG1275=4,AG1275=5),"Tasación/visita",IF(OR(AG1275=6,AG1275=7),"Captación/oferta",IF(AG1275=8,"Cierre","")))),"")</f>
        <v/>
      </c>
      <c r="AE1275" s="32"/>
      <c r="AF1275" s="32"/>
      <c r="AG1275" s="37" t="n">
        <f aca="false">IF(R1275="",0,IFERROR(MATCH(R1275,Listas!$L$2:$L$50,0),0))</f>
        <v>0</v>
      </c>
    </row>
    <row r="1276" customFormat="false" ht="15" hidden="false" customHeight="false" outlineLevel="0" collapsed="false">
      <c r="A1276" s="30"/>
      <c r="B1276" s="31"/>
      <c r="C1276" s="32"/>
      <c r="D1276" s="32"/>
      <c r="E1276" s="33"/>
      <c r="F1276" s="32"/>
      <c r="G1276" s="32"/>
      <c r="H1276" s="32"/>
      <c r="I1276" s="32"/>
      <c r="J1276" s="32"/>
      <c r="K1276" s="32"/>
      <c r="L1276" s="32"/>
      <c r="M1276" s="30"/>
      <c r="N1276" s="32"/>
      <c r="O1276" s="34"/>
      <c r="P1276" s="32"/>
      <c r="Q1276" s="32"/>
      <c r="R1276" s="32"/>
      <c r="S1276" s="32"/>
      <c r="T1276" s="32"/>
      <c r="U1276" s="32"/>
      <c r="V1276" s="31"/>
      <c r="W1276" s="35" t="str">
        <f aca="true">IF(OR(V1276="",AG1276&gt;=8),"",IF(V1276&lt;TODAY(),"Vencida",IF(V1276=TODAY(),"Hoy","")))</f>
        <v/>
      </c>
      <c r="X1276" s="36" t="str">
        <f aca="false">IF(A1276="","",IF(COUNTIF(Seguimiento!$B$2:$B$5001,A1276)=0,"",_xlfn.MAXIFS(Seguimiento!$A$2:$A$5001,Seguimiento!$B$2:$B$5001,A1276)))</f>
        <v/>
      </c>
      <c r="Y1276" s="37" t="str">
        <f aca="true">IF(B1276="","",TODAY()-B1276)</f>
        <v/>
      </c>
      <c r="Z1276" s="38" t="str">
        <f aca="false">IF(OR(O1276="",G1276=""),"",O1276*IFERROR(INDEX(Listas!$B$2:$B$50,MATCH(G1276,Listas!$A$2:$A$50,0)),0))</f>
        <v/>
      </c>
      <c r="AA1276" s="32"/>
      <c r="AB1276" s="32"/>
      <c r="AC1276" s="32"/>
      <c r="AD1276" s="35" t="str">
        <f aca="false">IF(OR(LEFT(H1276,4)="Meta",LEFT(H1276,6)="Google"),IF(AG1276=3,"Lead calificado",IF(OR(AG1276=4,AG1276=5),"Tasación/visita",IF(OR(AG1276=6,AG1276=7),"Captación/oferta",IF(AG1276=8,"Cierre","")))),"")</f>
        <v/>
      </c>
      <c r="AE1276" s="32"/>
      <c r="AF1276" s="32"/>
      <c r="AG1276" s="37" t="n">
        <f aca="false">IF(R1276="",0,IFERROR(MATCH(R1276,Listas!$L$2:$L$50,0),0))</f>
        <v>0</v>
      </c>
    </row>
    <row r="1277" customFormat="false" ht="15" hidden="false" customHeight="false" outlineLevel="0" collapsed="false">
      <c r="A1277" s="30"/>
      <c r="B1277" s="31"/>
      <c r="C1277" s="32"/>
      <c r="D1277" s="32"/>
      <c r="E1277" s="33"/>
      <c r="F1277" s="32"/>
      <c r="G1277" s="32"/>
      <c r="H1277" s="32"/>
      <c r="I1277" s="32"/>
      <c r="J1277" s="32"/>
      <c r="K1277" s="32"/>
      <c r="L1277" s="32"/>
      <c r="M1277" s="30"/>
      <c r="N1277" s="32"/>
      <c r="O1277" s="34"/>
      <c r="P1277" s="32"/>
      <c r="Q1277" s="32"/>
      <c r="R1277" s="32"/>
      <c r="S1277" s="32"/>
      <c r="T1277" s="32"/>
      <c r="U1277" s="32"/>
      <c r="V1277" s="31"/>
      <c r="W1277" s="35" t="str">
        <f aca="true">IF(OR(V1277="",AG1277&gt;=8),"",IF(V1277&lt;TODAY(),"Vencida",IF(V1277=TODAY(),"Hoy","")))</f>
        <v/>
      </c>
      <c r="X1277" s="36" t="str">
        <f aca="false">IF(A1277="","",IF(COUNTIF(Seguimiento!$B$2:$B$5001,A1277)=0,"",_xlfn.MAXIFS(Seguimiento!$A$2:$A$5001,Seguimiento!$B$2:$B$5001,A1277)))</f>
        <v/>
      </c>
      <c r="Y1277" s="37" t="str">
        <f aca="true">IF(B1277="","",TODAY()-B1277)</f>
        <v/>
      </c>
      <c r="Z1277" s="38" t="str">
        <f aca="false">IF(OR(O1277="",G1277=""),"",O1277*IFERROR(INDEX(Listas!$B$2:$B$50,MATCH(G1277,Listas!$A$2:$A$50,0)),0))</f>
        <v/>
      </c>
      <c r="AA1277" s="32"/>
      <c r="AB1277" s="32"/>
      <c r="AC1277" s="32"/>
      <c r="AD1277" s="35" t="str">
        <f aca="false">IF(OR(LEFT(H1277,4)="Meta",LEFT(H1277,6)="Google"),IF(AG1277=3,"Lead calificado",IF(OR(AG1277=4,AG1277=5),"Tasación/visita",IF(OR(AG1277=6,AG1277=7),"Captación/oferta",IF(AG1277=8,"Cierre","")))),"")</f>
        <v/>
      </c>
      <c r="AE1277" s="32"/>
      <c r="AF1277" s="32"/>
      <c r="AG1277" s="37" t="n">
        <f aca="false">IF(R1277="",0,IFERROR(MATCH(R1277,Listas!$L$2:$L$50,0),0))</f>
        <v>0</v>
      </c>
    </row>
    <row r="1278" customFormat="false" ht="15" hidden="false" customHeight="false" outlineLevel="0" collapsed="false">
      <c r="A1278" s="30"/>
      <c r="B1278" s="31"/>
      <c r="C1278" s="32"/>
      <c r="D1278" s="32"/>
      <c r="E1278" s="33"/>
      <c r="F1278" s="32"/>
      <c r="G1278" s="32"/>
      <c r="H1278" s="32"/>
      <c r="I1278" s="32"/>
      <c r="J1278" s="32"/>
      <c r="K1278" s="32"/>
      <c r="L1278" s="32"/>
      <c r="M1278" s="30"/>
      <c r="N1278" s="32"/>
      <c r="O1278" s="34"/>
      <c r="P1278" s="32"/>
      <c r="Q1278" s="32"/>
      <c r="R1278" s="32"/>
      <c r="S1278" s="32"/>
      <c r="T1278" s="32"/>
      <c r="U1278" s="32"/>
      <c r="V1278" s="31"/>
      <c r="W1278" s="35" t="str">
        <f aca="true">IF(OR(V1278="",AG1278&gt;=8),"",IF(V1278&lt;TODAY(),"Vencida",IF(V1278=TODAY(),"Hoy","")))</f>
        <v/>
      </c>
      <c r="X1278" s="36" t="str">
        <f aca="false">IF(A1278="","",IF(COUNTIF(Seguimiento!$B$2:$B$5001,A1278)=0,"",_xlfn.MAXIFS(Seguimiento!$A$2:$A$5001,Seguimiento!$B$2:$B$5001,A1278)))</f>
        <v/>
      </c>
      <c r="Y1278" s="37" t="str">
        <f aca="true">IF(B1278="","",TODAY()-B1278)</f>
        <v/>
      </c>
      <c r="Z1278" s="38" t="str">
        <f aca="false">IF(OR(O1278="",G1278=""),"",O1278*IFERROR(INDEX(Listas!$B$2:$B$50,MATCH(G1278,Listas!$A$2:$A$50,0)),0))</f>
        <v/>
      </c>
      <c r="AA1278" s="32"/>
      <c r="AB1278" s="32"/>
      <c r="AC1278" s="32"/>
      <c r="AD1278" s="35" t="str">
        <f aca="false">IF(OR(LEFT(H1278,4)="Meta",LEFT(H1278,6)="Google"),IF(AG1278=3,"Lead calificado",IF(OR(AG1278=4,AG1278=5),"Tasación/visita",IF(OR(AG1278=6,AG1278=7),"Captación/oferta",IF(AG1278=8,"Cierre","")))),"")</f>
        <v/>
      </c>
      <c r="AE1278" s="32"/>
      <c r="AF1278" s="32"/>
      <c r="AG1278" s="37" t="n">
        <f aca="false">IF(R1278="",0,IFERROR(MATCH(R1278,Listas!$L$2:$L$50,0),0))</f>
        <v>0</v>
      </c>
    </row>
    <row r="1279" customFormat="false" ht="15" hidden="false" customHeight="false" outlineLevel="0" collapsed="false">
      <c r="A1279" s="30"/>
      <c r="B1279" s="31"/>
      <c r="C1279" s="32"/>
      <c r="D1279" s="32"/>
      <c r="E1279" s="33"/>
      <c r="F1279" s="32"/>
      <c r="G1279" s="32"/>
      <c r="H1279" s="32"/>
      <c r="I1279" s="32"/>
      <c r="J1279" s="32"/>
      <c r="K1279" s="32"/>
      <c r="L1279" s="32"/>
      <c r="M1279" s="30"/>
      <c r="N1279" s="32"/>
      <c r="O1279" s="34"/>
      <c r="P1279" s="32"/>
      <c r="Q1279" s="32"/>
      <c r="R1279" s="32"/>
      <c r="S1279" s="32"/>
      <c r="T1279" s="32"/>
      <c r="U1279" s="32"/>
      <c r="V1279" s="31"/>
      <c r="W1279" s="35" t="str">
        <f aca="true">IF(OR(V1279="",AG1279&gt;=8),"",IF(V1279&lt;TODAY(),"Vencida",IF(V1279=TODAY(),"Hoy","")))</f>
        <v/>
      </c>
      <c r="X1279" s="36" t="str">
        <f aca="false">IF(A1279="","",IF(COUNTIF(Seguimiento!$B$2:$B$5001,A1279)=0,"",_xlfn.MAXIFS(Seguimiento!$A$2:$A$5001,Seguimiento!$B$2:$B$5001,A1279)))</f>
        <v/>
      </c>
      <c r="Y1279" s="37" t="str">
        <f aca="true">IF(B1279="","",TODAY()-B1279)</f>
        <v/>
      </c>
      <c r="Z1279" s="38" t="str">
        <f aca="false">IF(OR(O1279="",G1279=""),"",O1279*IFERROR(INDEX(Listas!$B$2:$B$50,MATCH(G1279,Listas!$A$2:$A$50,0)),0))</f>
        <v/>
      </c>
      <c r="AA1279" s="32"/>
      <c r="AB1279" s="32"/>
      <c r="AC1279" s="32"/>
      <c r="AD1279" s="35" t="str">
        <f aca="false">IF(OR(LEFT(H1279,4)="Meta",LEFT(H1279,6)="Google"),IF(AG1279=3,"Lead calificado",IF(OR(AG1279=4,AG1279=5),"Tasación/visita",IF(OR(AG1279=6,AG1279=7),"Captación/oferta",IF(AG1279=8,"Cierre","")))),"")</f>
        <v/>
      </c>
      <c r="AE1279" s="32"/>
      <c r="AF1279" s="32"/>
      <c r="AG1279" s="37" t="n">
        <f aca="false">IF(R1279="",0,IFERROR(MATCH(R1279,Listas!$L$2:$L$50,0),0))</f>
        <v>0</v>
      </c>
    </row>
    <row r="1280" customFormat="false" ht="15" hidden="false" customHeight="false" outlineLevel="0" collapsed="false">
      <c r="A1280" s="30"/>
      <c r="B1280" s="31"/>
      <c r="C1280" s="32"/>
      <c r="D1280" s="32"/>
      <c r="E1280" s="33"/>
      <c r="F1280" s="32"/>
      <c r="G1280" s="32"/>
      <c r="H1280" s="32"/>
      <c r="I1280" s="32"/>
      <c r="J1280" s="32"/>
      <c r="K1280" s="32"/>
      <c r="L1280" s="32"/>
      <c r="M1280" s="30"/>
      <c r="N1280" s="32"/>
      <c r="O1280" s="34"/>
      <c r="P1280" s="32"/>
      <c r="Q1280" s="32"/>
      <c r="R1280" s="32"/>
      <c r="S1280" s="32"/>
      <c r="T1280" s="32"/>
      <c r="U1280" s="32"/>
      <c r="V1280" s="31"/>
      <c r="W1280" s="35" t="str">
        <f aca="true">IF(OR(V1280="",AG1280&gt;=8),"",IF(V1280&lt;TODAY(),"Vencida",IF(V1280=TODAY(),"Hoy","")))</f>
        <v/>
      </c>
      <c r="X1280" s="36" t="str">
        <f aca="false">IF(A1280="","",IF(COUNTIF(Seguimiento!$B$2:$B$5001,A1280)=0,"",_xlfn.MAXIFS(Seguimiento!$A$2:$A$5001,Seguimiento!$B$2:$B$5001,A1280)))</f>
        <v/>
      </c>
      <c r="Y1280" s="37" t="str">
        <f aca="true">IF(B1280="","",TODAY()-B1280)</f>
        <v/>
      </c>
      <c r="Z1280" s="38" t="str">
        <f aca="false">IF(OR(O1280="",G1280=""),"",O1280*IFERROR(INDEX(Listas!$B$2:$B$50,MATCH(G1280,Listas!$A$2:$A$50,0)),0))</f>
        <v/>
      </c>
      <c r="AA1280" s="32"/>
      <c r="AB1280" s="32"/>
      <c r="AC1280" s="32"/>
      <c r="AD1280" s="35" t="str">
        <f aca="false">IF(OR(LEFT(H1280,4)="Meta",LEFT(H1280,6)="Google"),IF(AG1280=3,"Lead calificado",IF(OR(AG1280=4,AG1280=5),"Tasación/visita",IF(OR(AG1280=6,AG1280=7),"Captación/oferta",IF(AG1280=8,"Cierre","")))),"")</f>
        <v/>
      </c>
      <c r="AE1280" s="32"/>
      <c r="AF1280" s="32"/>
      <c r="AG1280" s="37" t="n">
        <f aca="false">IF(R1280="",0,IFERROR(MATCH(R1280,Listas!$L$2:$L$50,0),0))</f>
        <v>0</v>
      </c>
    </row>
    <row r="1281" customFormat="false" ht="15" hidden="false" customHeight="false" outlineLevel="0" collapsed="false">
      <c r="A1281" s="30"/>
      <c r="B1281" s="31"/>
      <c r="C1281" s="32"/>
      <c r="D1281" s="32"/>
      <c r="E1281" s="33"/>
      <c r="F1281" s="32"/>
      <c r="G1281" s="32"/>
      <c r="H1281" s="32"/>
      <c r="I1281" s="32"/>
      <c r="J1281" s="32"/>
      <c r="K1281" s="32"/>
      <c r="L1281" s="32"/>
      <c r="M1281" s="30"/>
      <c r="N1281" s="32"/>
      <c r="O1281" s="34"/>
      <c r="P1281" s="32"/>
      <c r="Q1281" s="32"/>
      <c r="R1281" s="32"/>
      <c r="S1281" s="32"/>
      <c r="T1281" s="32"/>
      <c r="U1281" s="32"/>
      <c r="V1281" s="31"/>
      <c r="W1281" s="35" t="str">
        <f aca="true">IF(OR(V1281="",AG1281&gt;=8),"",IF(V1281&lt;TODAY(),"Vencida",IF(V1281=TODAY(),"Hoy","")))</f>
        <v/>
      </c>
      <c r="X1281" s="36" t="str">
        <f aca="false">IF(A1281="","",IF(COUNTIF(Seguimiento!$B$2:$B$5001,A1281)=0,"",_xlfn.MAXIFS(Seguimiento!$A$2:$A$5001,Seguimiento!$B$2:$B$5001,A1281)))</f>
        <v/>
      </c>
      <c r="Y1281" s="37" t="str">
        <f aca="true">IF(B1281="","",TODAY()-B1281)</f>
        <v/>
      </c>
      <c r="Z1281" s="38" t="str">
        <f aca="false">IF(OR(O1281="",G1281=""),"",O1281*IFERROR(INDEX(Listas!$B$2:$B$50,MATCH(G1281,Listas!$A$2:$A$50,0)),0))</f>
        <v/>
      </c>
      <c r="AA1281" s="32"/>
      <c r="AB1281" s="32"/>
      <c r="AC1281" s="32"/>
      <c r="AD1281" s="35" t="str">
        <f aca="false">IF(OR(LEFT(H1281,4)="Meta",LEFT(H1281,6)="Google"),IF(AG1281=3,"Lead calificado",IF(OR(AG1281=4,AG1281=5),"Tasación/visita",IF(OR(AG1281=6,AG1281=7),"Captación/oferta",IF(AG1281=8,"Cierre","")))),"")</f>
        <v/>
      </c>
      <c r="AE1281" s="32"/>
      <c r="AF1281" s="32"/>
      <c r="AG1281" s="37" t="n">
        <f aca="false">IF(R1281="",0,IFERROR(MATCH(R1281,Listas!$L$2:$L$50,0),0))</f>
        <v>0</v>
      </c>
    </row>
    <row r="1282" customFormat="false" ht="15" hidden="false" customHeight="false" outlineLevel="0" collapsed="false">
      <c r="A1282" s="30"/>
      <c r="B1282" s="31"/>
      <c r="C1282" s="32"/>
      <c r="D1282" s="32"/>
      <c r="E1282" s="33"/>
      <c r="F1282" s="32"/>
      <c r="G1282" s="32"/>
      <c r="H1282" s="32"/>
      <c r="I1282" s="32"/>
      <c r="J1282" s="32"/>
      <c r="K1282" s="32"/>
      <c r="L1282" s="32"/>
      <c r="M1282" s="30"/>
      <c r="N1282" s="32"/>
      <c r="O1282" s="34"/>
      <c r="P1282" s="32"/>
      <c r="Q1282" s="32"/>
      <c r="R1282" s="32"/>
      <c r="S1282" s="32"/>
      <c r="T1282" s="32"/>
      <c r="U1282" s="32"/>
      <c r="V1282" s="31"/>
      <c r="W1282" s="35" t="str">
        <f aca="true">IF(OR(V1282="",AG1282&gt;=8),"",IF(V1282&lt;TODAY(),"Vencida",IF(V1282=TODAY(),"Hoy","")))</f>
        <v/>
      </c>
      <c r="X1282" s="36" t="str">
        <f aca="false">IF(A1282="","",IF(COUNTIF(Seguimiento!$B$2:$B$5001,A1282)=0,"",_xlfn.MAXIFS(Seguimiento!$A$2:$A$5001,Seguimiento!$B$2:$B$5001,A1282)))</f>
        <v/>
      </c>
      <c r="Y1282" s="37" t="str">
        <f aca="true">IF(B1282="","",TODAY()-B1282)</f>
        <v/>
      </c>
      <c r="Z1282" s="38" t="str">
        <f aca="false">IF(OR(O1282="",G1282=""),"",O1282*IFERROR(INDEX(Listas!$B$2:$B$50,MATCH(G1282,Listas!$A$2:$A$50,0)),0))</f>
        <v/>
      </c>
      <c r="AA1282" s="32"/>
      <c r="AB1282" s="32"/>
      <c r="AC1282" s="32"/>
      <c r="AD1282" s="35" t="str">
        <f aca="false">IF(OR(LEFT(H1282,4)="Meta",LEFT(H1282,6)="Google"),IF(AG1282=3,"Lead calificado",IF(OR(AG1282=4,AG1282=5),"Tasación/visita",IF(OR(AG1282=6,AG1282=7),"Captación/oferta",IF(AG1282=8,"Cierre","")))),"")</f>
        <v/>
      </c>
      <c r="AE1282" s="32"/>
      <c r="AF1282" s="32"/>
      <c r="AG1282" s="37" t="n">
        <f aca="false">IF(R1282="",0,IFERROR(MATCH(R1282,Listas!$L$2:$L$50,0),0))</f>
        <v>0</v>
      </c>
    </row>
    <row r="1283" customFormat="false" ht="15" hidden="false" customHeight="false" outlineLevel="0" collapsed="false">
      <c r="A1283" s="30"/>
      <c r="B1283" s="31"/>
      <c r="C1283" s="32"/>
      <c r="D1283" s="32"/>
      <c r="E1283" s="33"/>
      <c r="F1283" s="32"/>
      <c r="G1283" s="32"/>
      <c r="H1283" s="32"/>
      <c r="I1283" s="32"/>
      <c r="J1283" s="32"/>
      <c r="K1283" s="32"/>
      <c r="L1283" s="32"/>
      <c r="M1283" s="30"/>
      <c r="N1283" s="32"/>
      <c r="O1283" s="34"/>
      <c r="P1283" s="32"/>
      <c r="Q1283" s="32"/>
      <c r="R1283" s="32"/>
      <c r="S1283" s="32"/>
      <c r="T1283" s="32"/>
      <c r="U1283" s="32"/>
      <c r="V1283" s="31"/>
      <c r="W1283" s="35" t="str">
        <f aca="true">IF(OR(V1283="",AG1283&gt;=8),"",IF(V1283&lt;TODAY(),"Vencida",IF(V1283=TODAY(),"Hoy","")))</f>
        <v/>
      </c>
      <c r="X1283" s="36" t="str">
        <f aca="false">IF(A1283="","",IF(COUNTIF(Seguimiento!$B$2:$B$5001,A1283)=0,"",_xlfn.MAXIFS(Seguimiento!$A$2:$A$5001,Seguimiento!$B$2:$B$5001,A1283)))</f>
        <v/>
      </c>
      <c r="Y1283" s="37" t="str">
        <f aca="true">IF(B1283="","",TODAY()-B1283)</f>
        <v/>
      </c>
      <c r="Z1283" s="38" t="str">
        <f aca="false">IF(OR(O1283="",G1283=""),"",O1283*IFERROR(INDEX(Listas!$B$2:$B$50,MATCH(G1283,Listas!$A$2:$A$50,0)),0))</f>
        <v/>
      </c>
      <c r="AA1283" s="32"/>
      <c r="AB1283" s="32"/>
      <c r="AC1283" s="32"/>
      <c r="AD1283" s="35" t="str">
        <f aca="false">IF(OR(LEFT(H1283,4)="Meta",LEFT(H1283,6)="Google"),IF(AG1283=3,"Lead calificado",IF(OR(AG1283=4,AG1283=5),"Tasación/visita",IF(OR(AG1283=6,AG1283=7),"Captación/oferta",IF(AG1283=8,"Cierre","")))),"")</f>
        <v/>
      </c>
      <c r="AE1283" s="32"/>
      <c r="AF1283" s="32"/>
      <c r="AG1283" s="37" t="n">
        <f aca="false">IF(R1283="",0,IFERROR(MATCH(R1283,Listas!$L$2:$L$50,0),0))</f>
        <v>0</v>
      </c>
    </row>
    <row r="1284" customFormat="false" ht="15" hidden="false" customHeight="false" outlineLevel="0" collapsed="false">
      <c r="A1284" s="30"/>
      <c r="B1284" s="31"/>
      <c r="C1284" s="32"/>
      <c r="D1284" s="32"/>
      <c r="E1284" s="33"/>
      <c r="F1284" s="32"/>
      <c r="G1284" s="32"/>
      <c r="H1284" s="32"/>
      <c r="I1284" s="32"/>
      <c r="J1284" s="32"/>
      <c r="K1284" s="32"/>
      <c r="L1284" s="32"/>
      <c r="M1284" s="30"/>
      <c r="N1284" s="32"/>
      <c r="O1284" s="34"/>
      <c r="P1284" s="32"/>
      <c r="Q1284" s="32"/>
      <c r="R1284" s="32"/>
      <c r="S1284" s="32"/>
      <c r="T1284" s="32"/>
      <c r="U1284" s="32"/>
      <c r="V1284" s="31"/>
      <c r="W1284" s="35" t="str">
        <f aca="true">IF(OR(V1284="",AG1284&gt;=8),"",IF(V1284&lt;TODAY(),"Vencida",IF(V1284=TODAY(),"Hoy","")))</f>
        <v/>
      </c>
      <c r="X1284" s="36" t="str">
        <f aca="false">IF(A1284="","",IF(COUNTIF(Seguimiento!$B$2:$B$5001,A1284)=0,"",_xlfn.MAXIFS(Seguimiento!$A$2:$A$5001,Seguimiento!$B$2:$B$5001,A1284)))</f>
        <v/>
      </c>
      <c r="Y1284" s="37" t="str">
        <f aca="true">IF(B1284="","",TODAY()-B1284)</f>
        <v/>
      </c>
      <c r="Z1284" s="38" t="str">
        <f aca="false">IF(OR(O1284="",G1284=""),"",O1284*IFERROR(INDEX(Listas!$B$2:$B$50,MATCH(G1284,Listas!$A$2:$A$50,0)),0))</f>
        <v/>
      </c>
      <c r="AA1284" s="32"/>
      <c r="AB1284" s="32"/>
      <c r="AC1284" s="32"/>
      <c r="AD1284" s="35" t="str">
        <f aca="false">IF(OR(LEFT(H1284,4)="Meta",LEFT(H1284,6)="Google"),IF(AG1284=3,"Lead calificado",IF(OR(AG1284=4,AG1284=5),"Tasación/visita",IF(OR(AG1284=6,AG1284=7),"Captación/oferta",IF(AG1284=8,"Cierre","")))),"")</f>
        <v/>
      </c>
      <c r="AE1284" s="32"/>
      <c r="AF1284" s="32"/>
      <c r="AG1284" s="37" t="n">
        <f aca="false">IF(R1284="",0,IFERROR(MATCH(R1284,Listas!$L$2:$L$50,0),0))</f>
        <v>0</v>
      </c>
    </row>
    <row r="1285" customFormat="false" ht="15" hidden="false" customHeight="false" outlineLevel="0" collapsed="false">
      <c r="A1285" s="30"/>
      <c r="B1285" s="31"/>
      <c r="C1285" s="32"/>
      <c r="D1285" s="32"/>
      <c r="E1285" s="33"/>
      <c r="F1285" s="32"/>
      <c r="G1285" s="32"/>
      <c r="H1285" s="32"/>
      <c r="I1285" s="32"/>
      <c r="J1285" s="32"/>
      <c r="K1285" s="32"/>
      <c r="L1285" s="32"/>
      <c r="M1285" s="30"/>
      <c r="N1285" s="32"/>
      <c r="O1285" s="34"/>
      <c r="P1285" s="32"/>
      <c r="Q1285" s="32"/>
      <c r="R1285" s="32"/>
      <c r="S1285" s="32"/>
      <c r="T1285" s="32"/>
      <c r="U1285" s="32"/>
      <c r="V1285" s="31"/>
      <c r="W1285" s="35" t="str">
        <f aca="true">IF(OR(V1285="",AG1285&gt;=8),"",IF(V1285&lt;TODAY(),"Vencida",IF(V1285=TODAY(),"Hoy","")))</f>
        <v/>
      </c>
      <c r="X1285" s="36" t="str">
        <f aca="false">IF(A1285="","",IF(COUNTIF(Seguimiento!$B$2:$B$5001,A1285)=0,"",_xlfn.MAXIFS(Seguimiento!$A$2:$A$5001,Seguimiento!$B$2:$B$5001,A1285)))</f>
        <v/>
      </c>
      <c r="Y1285" s="37" t="str">
        <f aca="true">IF(B1285="","",TODAY()-B1285)</f>
        <v/>
      </c>
      <c r="Z1285" s="38" t="str">
        <f aca="false">IF(OR(O1285="",G1285=""),"",O1285*IFERROR(INDEX(Listas!$B$2:$B$50,MATCH(G1285,Listas!$A$2:$A$50,0)),0))</f>
        <v/>
      </c>
      <c r="AA1285" s="32"/>
      <c r="AB1285" s="32"/>
      <c r="AC1285" s="32"/>
      <c r="AD1285" s="35" t="str">
        <f aca="false">IF(OR(LEFT(H1285,4)="Meta",LEFT(H1285,6)="Google"),IF(AG1285=3,"Lead calificado",IF(OR(AG1285=4,AG1285=5),"Tasación/visita",IF(OR(AG1285=6,AG1285=7),"Captación/oferta",IF(AG1285=8,"Cierre","")))),"")</f>
        <v/>
      </c>
      <c r="AE1285" s="32"/>
      <c r="AF1285" s="32"/>
      <c r="AG1285" s="37" t="n">
        <f aca="false">IF(R1285="",0,IFERROR(MATCH(R1285,Listas!$L$2:$L$50,0),0))</f>
        <v>0</v>
      </c>
    </row>
    <row r="1286" customFormat="false" ht="15" hidden="false" customHeight="false" outlineLevel="0" collapsed="false">
      <c r="A1286" s="30"/>
      <c r="B1286" s="31"/>
      <c r="C1286" s="32"/>
      <c r="D1286" s="32"/>
      <c r="E1286" s="33"/>
      <c r="F1286" s="32"/>
      <c r="G1286" s="32"/>
      <c r="H1286" s="32"/>
      <c r="I1286" s="32"/>
      <c r="J1286" s="32"/>
      <c r="K1286" s="32"/>
      <c r="L1286" s="32"/>
      <c r="M1286" s="30"/>
      <c r="N1286" s="32"/>
      <c r="O1286" s="34"/>
      <c r="P1286" s="32"/>
      <c r="Q1286" s="32"/>
      <c r="R1286" s="32"/>
      <c r="S1286" s="32"/>
      <c r="T1286" s="32"/>
      <c r="U1286" s="32"/>
      <c r="V1286" s="31"/>
      <c r="W1286" s="35" t="str">
        <f aca="true">IF(OR(V1286="",AG1286&gt;=8),"",IF(V1286&lt;TODAY(),"Vencida",IF(V1286=TODAY(),"Hoy","")))</f>
        <v/>
      </c>
      <c r="X1286" s="36" t="str">
        <f aca="false">IF(A1286="","",IF(COUNTIF(Seguimiento!$B$2:$B$5001,A1286)=0,"",_xlfn.MAXIFS(Seguimiento!$A$2:$A$5001,Seguimiento!$B$2:$B$5001,A1286)))</f>
        <v/>
      </c>
      <c r="Y1286" s="37" t="str">
        <f aca="true">IF(B1286="","",TODAY()-B1286)</f>
        <v/>
      </c>
      <c r="Z1286" s="38" t="str">
        <f aca="false">IF(OR(O1286="",G1286=""),"",O1286*IFERROR(INDEX(Listas!$B$2:$B$50,MATCH(G1286,Listas!$A$2:$A$50,0)),0))</f>
        <v/>
      </c>
      <c r="AA1286" s="32"/>
      <c r="AB1286" s="32"/>
      <c r="AC1286" s="32"/>
      <c r="AD1286" s="35" t="str">
        <f aca="false">IF(OR(LEFT(H1286,4)="Meta",LEFT(H1286,6)="Google"),IF(AG1286=3,"Lead calificado",IF(OR(AG1286=4,AG1286=5),"Tasación/visita",IF(OR(AG1286=6,AG1286=7),"Captación/oferta",IF(AG1286=8,"Cierre","")))),"")</f>
        <v/>
      </c>
      <c r="AE1286" s="32"/>
      <c r="AF1286" s="32"/>
      <c r="AG1286" s="37" t="n">
        <f aca="false">IF(R1286="",0,IFERROR(MATCH(R1286,Listas!$L$2:$L$50,0),0))</f>
        <v>0</v>
      </c>
    </row>
    <row r="1287" customFormat="false" ht="15" hidden="false" customHeight="false" outlineLevel="0" collapsed="false">
      <c r="A1287" s="30"/>
      <c r="B1287" s="31"/>
      <c r="C1287" s="32"/>
      <c r="D1287" s="32"/>
      <c r="E1287" s="33"/>
      <c r="F1287" s="32"/>
      <c r="G1287" s="32"/>
      <c r="H1287" s="32"/>
      <c r="I1287" s="32"/>
      <c r="J1287" s="32"/>
      <c r="K1287" s="32"/>
      <c r="L1287" s="32"/>
      <c r="M1287" s="30"/>
      <c r="N1287" s="32"/>
      <c r="O1287" s="34"/>
      <c r="P1287" s="32"/>
      <c r="Q1287" s="32"/>
      <c r="R1287" s="32"/>
      <c r="S1287" s="32"/>
      <c r="T1287" s="32"/>
      <c r="U1287" s="32"/>
      <c r="V1287" s="31"/>
      <c r="W1287" s="35" t="str">
        <f aca="true">IF(OR(V1287="",AG1287&gt;=8),"",IF(V1287&lt;TODAY(),"Vencida",IF(V1287=TODAY(),"Hoy","")))</f>
        <v/>
      </c>
      <c r="X1287" s="36" t="str">
        <f aca="false">IF(A1287="","",IF(COUNTIF(Seguimiento!$B$2:$B$5001,A1287)=0,"",_xlfn.MAXIFS(Seguimiento!$A$2:$A$5001,Seguimiento!$B$2:$B$5001,A1287)))</f>
        <v/>
      </c>
      <c r="Y1287" s="37" t="str">
        <f aca="true">IF(B1287="","",TODAY()-B1287)</f>
        <v/>
      </c>
      <c r="Z1287" s="38" t="str">
        <f aca="false">IF(OR(O1287="",G1287=""),"",O1287*IFERROR(INDEX(Listas!$B$2:$B$50,MATCH(G1287,Listas!$A$2:$A$50,0)),0))</f>
        <v/>
      </c>
      <c r="AA1287" s="32"/>
      <c r="AB1287" s="32"/>
      <c r="AC1287" s="32"/>
      <c r="AD1287" s="35" t="str">
        <f aca="false">IF(OR(LEFT(H1287,4)="Meta",LEFT(H1287,6)="Google"),IF(AG1287=3,"Lead calificado",IF(OR(AG1287=4,AG1287=5),"Tasación/visita",IF(OR(AG1287=6,AG1287=7),"Captación/oferta",IF(AG1287=8,"Cierre","")))),"")</f>
        <v/>
      </c>
      <c r="AE1287" s="32"/>
      <c r="AF1287" s="32"/>
      <c r="AG1287" s="37" t="n">
        <f aca="false">IF(R1287="",0,IFERROR(MATCH(R1287,Listas!$L$2:$L$50,0),0))</f>
        <v>0</v>
      </c>
    </row>
    <row r="1288" customFormat="false" ht="15" hidden="false" customHeight="false" outlineLevel="0" collapsed="false">
      <c r="A1288" s="30"/>
      <c r="B1288" s="31"/>
      <c r="C1288" s="32"/>
      <c r="D1288" s="32"/>
      <c r="E1288" s="33"/>
      <c r="F1288" s="32"/>
      <c r="G1288" s="32"/>
      <c r="H1288" s="32"/>
      <c r="I1288" s="32"/>
      <c r="J1288" s="32"/>
      <c r="K1288" s="32"/>
      <c r="L1288" s="32"/>
      <c r="M1288" s="30"/>
      <c r="N1288" s="32"/>
      <c r="O1288" s="34"/>
      <c r="P1288" s="32"/>
      <c r="Q1288" s="32"/>
      <c r="R1288" s="32"/>
      <c r="S1288" s="32"/>
      <c r="T1288" s="32"/>
      <c r="U1288" s="32"/>
      <c r="V1288" s="31"/>
      <c r="W1288" s="35" t="str">
        <f aca="true">IF(OR(V1288="",AG1288&gt;=8),"",IF(V1288&lt;TODAY(),"Vencida",IF(V1288=TODAY(),"Hoy","")))</f>
        <v/>
      </c>
      <c r="X1288" s="36" t="str">
        <f aca="false">IF(A1288="","",IF(COUNTIF(Seguimiento!$B$2:$B$5001,A1288)=0,"",_xlfn.MAXIFS(Seguimiento!$A$2:$A$5001,Seguimiento!$B$2:$B$5001,A1288)))</f>
        <v/>
      </c>
      <c r="Y1288" s="37" t="str">
        <f aca="true">IF(B1288="","",TODAY()-B1288)</f>
        <v/>
      </c>
      <c r="Z1288" s="38" t="str">
        <f aca="false">IF(OR(O1288="",G1288=""),"",O1288*IFERROR(INDEX(Listas!$B$2:$B$50,MATCH(G1288,Listas!$A$2:$A$50,0)),0))</f>
        <v/>
      </c>
      <c r="AA1288" s="32"/>
      <c r="AB1288" s="32"/>
      <c r="AC1288" s="32"/>
      <c r="AD1288" s="35" t="str">
        <f aca="false">IF(OR(LEFT(H1288,4)="Meta",LEFT(H1288,6)="Google"),IF(AG1288=3,"Lead calificado",IF(OR(AG1288=4,AG1288=5),"Tasación/visita",IF(OR(AG1288=6,AG1288=7),"Captación/oferta",IF(AG1288=8,"Cierre","")))),"")</f>
        <v/>
      </c>
      <c r="AE1288" s="32"/>
      <c r="AF1288" s="32"/>
      <c r="AG1288" s="37" t="n">
        <f aca="false">IF(R1288="",0,IFERROR(MATCH(R1288,Listas!$L$2:$L$50,0),0))</f>
        <v>0</v>
      </c>
    </row>
    <row r="1289" customFormat="false" ht="15" hidden="false" customHeight="false" outlineLevel="0" collapsed="false">
      <c r="A1289" s="30"/>
      <c r="B1289" s="31"/>
      <c r="C1289" s="32"/>
      <c r="D1289" s="32"/>
      <c r="E1289" s="33"/>
      <c r="F1289" s="32"/>
      <c r="G1289" s="32"/>
      <c r="H1289" s="32"/>
      <c r="I1289" s="32"/>
      <c r="J1289" s="32"/>
      <c r="K1289" s="32"/>
      <c r="L1289" s="32"/>
      <c r="M1289" s="30"/>
      <c r="N1289" s="32"/>
      <c r="O1289" s="34"/>
      <c r="P1289" s="32"/>
      <c r="Q1289" s="32"/>
      <c r="R1289" s="32"/>
      <c r="S1289" s="32"/>
      <c r="T1289" s="32"/>
      <c r="U1289" s="32"/>
      <c r="V1289" s="31"/>
      <c r="W1289" s="35" t="str">
        <f aca="true">IF(OR(V1289="",AG1289&gt;=8),"",IF(V1289&lt;TODAY(),"Vencida",IF(V1289=TODAY(),"Hoy","")))</f>
        <v/>
      </c>
      <c r="X1289" s="36" t="str">
        <f aca="false">IF(A1289="","",IF(COUNTIF(Seguimiento!$B$2:$B$5001,A1289)=0,"",_xlfn.MAXIFS(Seguimiento!$A$2:$A$5001,Seguimiento!$B$2:$B$5001,A1289)))</f>
        <v/>
      </c>
      <c r="Y1289" s="37" t="str">
        <f aca="true">IF(B1289="","",TODAY()-B1289)</f>
        <v/>
      </c>
      <c r="Z1289" s="38" t="str">
        <f aca="false">IF(OR(O1289="",G1289=""),"",O1289*IFERROR(INDEX(Listas!$B$2:$B$50,MATCH(G1289,Listas!$A$2:$A$50,0)),0))</f>
        <v/>
      </c>
      <c r="AA1289" s="32"/>
      <c r="AB1289" s="32"/>
      <c r="AC1289" s="32"/>
      <c r="AD1289" s="35" t="str">
        <f aca="false">IF(OR(LEFT(H1289,4)="Meta",LEFT(H1289,6)="Google"),IF(AG1289=3,"Lead calificado",IF(OR(AG1289=4,AG1289=5),"Tasación/visita",IF(OR(AG1289=6,AG1289=7),"Captación/oferta",IF(AG1289=8,"Cierre","")))),"")</f>
        <v/>
      </c>
      <c r="AE1289" s="32"/>
      <c r="AF1289" s="32"/>
      <c r="AG1289" s="37" t="n">
        <f aca="false">IF(R1289="",0,IFERROR(MATCH(R1289,Listas!$L$2:$L$50,0),0))</f>
        <v>0</v>
      </c>
    </row>
    <row r="1290" customFormat="false" ht="15" hidden="false" customHeight="false" outlineLevel="0" collapsed="false">
      <c r="A1290" s="30"/>
      <c r="B1290" s="31"/>
      <c r="C1290" s="32"/>
      <c r="D1290" s="32"/>
      <c r="E1290" s="33"/>
      <c r="F1290" s="32"/>
      <c r="G1290" s="32"/>
      <c r="H1290" s="32"/>
      <c r="I1290" s="32"/>
      <c r="J1290" s="32"/>
      <c r="K1290" s="32"/>
      <c r="L1290" s="32"/>
      <c r="M1290" s="30"/>
      <c r="N1290" s="32"/>
      <c r="O1290" s="34"/>
      <c r="P1290" s="32"/>
      <c r="Q1290" s="32"/>
      <c r="R1290" s="32"/>
      <c r="S1290" s="32"/>
      <c r="T1290" s="32"/>
      <c r="U1290" s="32"/>
      <c r="V1290" s="31"/>
      <c r="W1290" s="35" t="str">
        <f aca="true">IF(OR(V1290="",AG1290&gt;=8),"",IF(V1290&lt;TODAY(),"Vencida",IF(V1290=TODAY(),"Hoy","")))</f>
        <v/>
      </c>
      <c r="X1290" s="36" t="str">
        <f aca="false">IF(A1290="","",IF(COUNTIF(Seguimiento!$B$2:$B$5001,A1290)=0,"",_xlfn.MAXIFS(Seguimiento!$A$2:$A$5001,Seguimiento!$B$2:$B$5001,A1290)))</f>
        <v/>
      </c>
      <c r="Y1290" s="37" t="str">
        <f aca="true">IF(B1290="","",TODAY()-B1290)</f>
        <v/>
      </c>
      <c r="Z1290" s="38" t="str">
        <f aca="false">IF(OR(O1290="",G1290=""),"",O1290*IFERROR(INDEX(Listas!$B$2:$B$50,MATCH(G1290,Listas!$A$2:$A$50,0)),0))</f>
        <v/>
      </c>
      <c r="AA1290" s="32"/>
      <c r="AB1290" s="32"/>
      <c r="AC1290" s="32"/>
      <c r="AD1290" s="35" t="str">
        <f aca="false">IF(OR(LEFT(H1290,4)="Meta",LEFT(H1290,6)="Google"),IF(AG1290=3,"Lead calificado",IF(OR(AG1290=4,AG1290=5),"Tasación/visita",IF(OR(AG1290=6,AG1290=7),"Captación/oferta",IF(AG1290=8,"Cierre","")))),"")</f>
        <v/>
      </c>
      <c r="AE1290" s="32"/>
      <c r="AF1290" s="32"/>
      <c r="AG1290" s="37" t="n">
        <f aca="false">IF(R1290="",0,IFERROR(MATCH(R1290,Listas!$L$2:$L$50,0),0))</f>
        <v>0</v>
      </c>
    </row>
    <row r="1291" customFormat="false" ht="15" hidden="false" customHeight="false" outlineLevel="0" collapsed="false">
      <c r="A1291" s="30"/>
      <c r="B1291" s="31"/>
      <c r="C1291" s="32"/>
      <c r="D1291" s="32"/>
      <c r="E1291" s="33"/>
      <c r="F1291" s="32"/>
      <c r="G1291" s="32"/>
      <c r="H1291" s="32"/>
      <c r="I1291" s="32"/>
      <c r="J1291" s="32"/>
      <c r="K1291" s="32"/>
      <c r="L1291" s="32"/>
      <c r="M1291" s="30"/>
      <c r="N1291" s="32"/>
      <c r="O1291" s="34"/>
      <c r="P1291" s="32"/>
      <c r="Q1291" s="32"/>
      <c r="R1291" s="32"/>
      <c r="S1291" s="32"/>
      <c r="T1291" s="32"/>
      <c r="U1291" s="32"/>
      <c r="V1291" s="31"/>
      <c r="W1291" s="35" t="str">
        <f aca="true">IF(OR(V1291="",AG1291&gt;=8),"",IF(V1291&lt;TODAY(),"Vencida",IF(V1291=TODAY(),"Hoy","")))</f>
        <v/>
      </c>
      <c r="X1291" s="36" t="str">
        <f aca="false">IF(A1291="","",IF(COUNTIF(Seguimiento!$B$2:$B$5001,A1291)=0,"",_xlfn.MAXIFS(Seguimiento!$A$2:$A$5001,Seguimiento!$B$2:$B$5001,A1291)))</f>
        <v/>
      </c>
      <c r="Y1291" s="37" t="str">
        <f aca="true">IF(B1291="","",TODAY()-B1291)</f>
        <v/>
      </c>
      <c r="Z1291" s="38" t="str">
        <f aca="false">IF(OR(O1291="",G1291=""),"",O1291*IFERROR(INDEX(Listas!$B$2:$B$50,MATCH(G1291,Listas!$A$2:$A$50,0)),0))</f>
        <v/>
      </c>
      <c r="AA1291" s="32"/>
      <c r="AB1291" s="32"/>
      <c r="AC1291" s="32"/>
      <c r="AD1291" s="35" t="str">
        <f aca="false">IF(OR(LEFT(H1291,4)="Meta",LEFT(H1291,6)="Google"),IF(AG1291=3,"Lead calificado",IF(OR(AG1291=4,AG1291=5),"Tasación/visita",IF(OR(AG1291=6,AG1291=7),"Captación/oferta",IF(AG1291=8,"Cierre","")))),"")</f>
        <v/>
      </c>
      <c r="AE1291" s="32"/>
      <c r="AF1291" s="32"/>
      <c r="AG1291" s="37" t="n">
        <f aca="false">IF(R1291="",0,IFERROR(MATCH(R1291,Listas!$L$2:$L$50,0),0))</f>
        <v>0</v>
      </c>
    </row>
    <row r="1292" customFormat="false" ht="15" hidden="false" customHeight="false" outlineLevel="0" collapsed="false">
      <c r="A1292" s="30"/>
      <c r="B1292" s="31"/>
      <c r="C1292" s="32"/>
      <c r="D1292" s="32"/>
      <c r="E1292" s="33"/>
      <c r="F1292" s="32"/>
      <c r="G1292" s="32"/>
      <c r="H1292" s="32"/>
      <c r="I1292" s="32"/>
      <c r="J1292" s="32"/>
      <c r="K1292" s="32"/>
      <c r="L1292" s="32"/>
      <c r="M1292" s="30"/>
      <c r="N1292" s="32"/>
      <c r="O1292" s="34"/>
      <c r="P1292" s="32"/>
      <c r="Q1292" s="32"/>
      <c r="R1292" s="32"/>
      <c r="S1292" s="32"/>
      <c r="T1292" s="32"/>
      <c r="U1292" s="32"/>
      <c r="V1292" s="31"/>
      <c r="W1292" s="35" t="str">
        <f aca="true">IF(OR(V1292="",AG1292&gt;=8),"",IF(V1292&lt;TODAY(),"Vencida",IF(V1292=TODAY(),"Hoy","")))</f>
        <v/>
      </c>
      <c r="X1292" s="36" t="str">
        <f aca="false">IF(A1292="","",IF(COUNTIF(Seguimiento!$B$2:$B$5001,A1292)=0,"",_xlfn.MAXIFS(Seguimiento!$A$2:$A$5001,Seguimiento!$B$2:$B$5001,A1292)))</f>
        <v/>
      </c>
      <c r="Y1292" s="37" t="str">
        <f aca="true">IF(B1292="","",TODAY()-B1292)</f>
        <v/>
      </c>
      <c r="Z1292" s="38" t="str">
        <f aca="false">IF(OR(O1292="",G1292=""),"",O1292*IFERROR(INDEX(Listas!$B$2:$B$50,MATCH(G1292,Listas!$A$2:$A$50,0)),0))</f>
        <v/>
      </c>
      <c r="AA1292" s="32"/>
      <c r="AB1292" s="32"/>
      <c r="AC1292" s="32"/>
      <c r="AD1292" s="35" t="str">
        <f aca="false">IF(OR(LEFT(H1292,4)="Meta",LEFT(H1292,6)="Google"),IF(AG1292=3,"Lead calificado",IF(OR(AG1292=4,AG1292=5),"Tasación/visita",IF(OR(AG1292=6,AG1292=7),"Captación/oferta",IF(AG1292=8,"Cierre","")))),"")</f>
        <v/>
      </c>
      <c r="AE1292" s="32"/>
      <c r="AF1292" s="32"/>
      <c r="AG1292" s="37" t="n">
        <f aca="false">IF(R1292="",0,IFERROR(MATCH(R1292,Listas!$L$2:$L$50,0),0))</f>
        <v>0</v>
      </c>
    </row>
    <row r="1293" customFormat="false" ht="15" hidden="false" customHeight="false" outlineLevel="0" collapsed="false">
      <c r="A1293" s="30"/>
      <c r="B1293" s="31"/>
      <c r="C1293" s="32"/>
      <c r="D1293" s="32"/>
      <c r="E1293" s="33"/>
      <c r="F1293" s="32"/>
      <c r="G1293" s="32"/>
      <c r="H1293" s="32"/>
      <c r="I1293" s="32"/>
      <c r="J1293" s="32"/>
      <c r="K1293" s="32"/>
      <c r="L1293" s="32"/>
      <c r="M1293" s="30"/>
      <c r="N1293" s="32"/>
      <c r="O1293" s="34"/>
      <c r="P1293" s="32"/>
      <c r="Q1293" s="32"/>
      <c r="R1293" s="32"/>
      <c r="S1293" s="32"/>
      <c r="T1293" s="32"/>
      <c r="U1293" s="32"/>
      <c r="V1293" s="31"/>
      <c r="W1293" s="35" t="str">
        <f aca="true">IF(OR(V1293="",AG1293&gt;=8),"",IF(V1293&lt;TODAY(),"Vencida",IF(V1293=TODAY(),"Hoy","")))</f>
        <v/>
      </c>
      <c r="X1293" s="36" t="str">
        <f aca="false">IF(A1293="","",IF(COUNTIF(Seguimiento!$B$2:$B$5001,A1293)=0,"",_xlfn.MAXIFS(Seguimiento!$A$2:$A$5001,Seguimiento!$B$2:$B$5001,A1293)))</f>
        <v/>
      </c>
      <c r="Y1293" s="37" t="str">
        <f aca="true">IF(B1293="","",TODAY()-B1293)</f>
        <v/>
      </c>
      <c r="Z1293" s="38" t="str">
        <f aca="false">IF(OR(O1293="",G1293=""),"",O1293*IFERROR(INDEX(Listas!$B$2:$B$50,MATCH(G1293,Listas!$A$2:$A$50,0)),0))</f>
        <v/>
      </c>
      <c r="AA1293" s="32"/>
      <c r="AB1293" s="32"/>
      <c r="AC1293" s="32"/>
      <c r="AD1293" s="35" t="str">
        <f aca="false">IF(OR(LEFT(H1293,4)="Meta",LEFT(H1293,6)="Google"),IF(AG1293=3,"Lead calificado",IF(OR(AG1293=4,AG1293=5),"Tasación/visita",IF(OR(AG1293=6,AG1293=7),"Captación/oferta",IF(AG1293=8,"Cierre","")))),"")</f>
        <v/>
      </c>
      <c r="AE1293" s="32"/>
      <c r="AF1293" s="32"/>
      <c r="AG1293" s="37" t="n">
        <f aca="false">IF(R1293="",0,IFERROR(MATCH(R1293,Listas!$L$2:$L$50,0),0))</f>
        <v>0</v>
      </c>
    </row>
    <row r="1294" customFormat="false" ht="15" hidden="false" customHeight="false" outlineLevel="0" collapsed="false">
      <c r="A1294" s="30"/>
      <c r="B1294" s="31"/>
      <c r="C1294" s="32"/>
      <c r="D1294" s="32"/>
      <c r="E1294" s="33"/>
      <c r="F1294" s="32"/>
      <c r="G1294" s="32"/>
      <c r="H1294" s="32"/>
      <c r="I1294" s="32"/>
      <c r="J1294" s="32"/>
      <c r="K1294" s="32"/>
      <c r="L1294" s="32"/>
      <c r="M1294" s="30"/>
      <c r="N1294" s="32"/>
      <c r="O1294" s="34"/>
      <c r="P1294" s="32"/>
      <c r="Q1294" s="32"/>
      <c r="R1294" s="32"/>
      <c r="S1294" s="32"/>
      <c r="T1294" s="32"/>
      <c r="U1294" s="32"/>
      <c r="V1294" s="31"/>
      <c r="W1294" s="35" t="str">
        <f aca="true">IF(OR(V1294="",AG1294&gt;=8),"",IF(V1294&lt;TODAY(),"Vencida",IF(V1294=TODAY(),"Hoy","")))</f>
        <v/>
      </c>
      <c r="X1294" s="36" t="str">
        <f aca="false">IF(A1294="","",IF(COUNTIF(Seguimiento!$B$2:$B$5001,A1294)=0,"",_xlfn.MAXIFS(Seguimiento!$A$2:$A$5001,Seguimiento!$B$2:$B$5001,A1294)))</f>
        <v/>
      </c>
      <c r="Y1294" s="37" t="str">
        <f aca="true">IF(B1294="","",TODAY()-B1294)</f>
        <v/>
      </c>
      <c r="Z1294" s="38" t="str">
        <f aca="false">IF(OR(O1294="",G1294=""),"",O1294*IFERROR(INDEX(Listas!$B$2:$B$50,MATCH(G1294,Listas!$A$2:$A$50,0)),0))</f>
        <v/>
      </c>
      <c r="AA1294" s="32"/>
      <c r="AB1294" s="32"/>
      <c r="AC1294" s="32"/>
      <c r="AD1294" s="35" t="str">
        <f aca="false">IF(OR(LEFT(H1294,4)="Meta",LEFT(H1294,6)="Google"),IF(AG1294=3,"Lead calificado",IF(OR(AG1294=4,AG1294=5),"Tasación/visita",IF(OR(AG1294=6,AG1294=7),"Captación/oferta",IF(AG1294=8,"Cierre","")))),"")</f>
        <v/>
      </c>
      <c r="AE1294" s="32"/>
      <c r="AF1294" s="32"/>
      <c r="AG1294" s="37" t="n">
        <f aca="false">IF(R1294="",0,IFERROR(MATCH(R1294,Listas!$L$2:$L$50,0),0))</f>
        <v>0</v>
      </c>
    </row>
    <row r="1295" customFormat="false" ht="15" hidden="false" customHeight="false" outlineLevel="0" collapsed="false">
      <c r="A1295" s="30"/>
      <c r="B1295" s="31"/>
      <c r="C1295" s="32"/>
      <c r="D1295" s="32"/>
      <c r="E1295" s="33"/>
      <c r="F1295" s="32"/>
      <c r="G1295" s="32"/>
      <c r="H1295" s="32"/>
      <c r="I1295" s="32"/>
      <c r="J1295" s="32"/>
      <c r="K1295" s="32"/>
      <c r="L1295" s="32"/>
      <c r="M1295" s="30"/>
      <c r="N1295" s="32"/>
      <c r="O1295" s="34"/>
      <c r="P1295" s="32"/>
      <c r="Q1295" s="32"/>
      <c r="R1295" s="32"/>
      <c r="S1295" s="32"/>
      <c r="T1295" s="32"/>
      <c r="U1295" s="32"/>
      <c r="V1295" s="31"/>
      <c r="W1295" s="35" t="str">
        <f aca="true">IF(OR(V1295="",AG1295&gt;=8),"",IF(V1295&lt;TODAY(),"Vencida",IF(V1295=TODAY(),"Hoy","")))</f>
        <v/>
      </c>
      <c r="X1295" s="36" t="str">
        <f aca="false">IF(A1295="","",IF(COUNTIF(Seguimiento!$B$2:$B$5001,A1295)=0,"",_xlfn.MAXIFS(Seguimiento!$A$2:$A$5001,Seguimiento!$B$2:$B$5001,A1295)))</f>
        <v/>
      </c>
      <c r="Y1295" s="37" t="str">
        <f aca="true">IF(B1295="","",TODAY()-B1295)</f>
        <v/>
      </c>
      <c r="Z1295" s="38" t="str">
        <f aca="false">IF(OR(O1295="",G1295=""),"",O1295*IFERROR(INDEX(Listas!$B$2:$B$50,MATCH(G1295,Listas!$A$2:$A$50,0)),0))</f>
        <v/>
      </c>
      <c r="AA1295" s="32"/>
      <c r="AB1295" s="32"/>
      <c r="AC1295" s="32"/>
      <c r="AD1295" s="35" t="str">
        <f aca="false">IF(OR(LEFT(H1295,4)="Meta",LEFT(H1295,6)="Google"),IF(AG1295=3,"Lead calificado",IF(OR(AG1295=4,AG1295=5),"Tasación/visita",IF(OR(AG1295=6,AG1295=7),"Captación/oferta",IF(AG1295=8,"Cierre","")))),"")</f>
        <v/>
      </c>
      <c r="AE1295" s="32"/>
      <c r="AF1295" s="32"/>
      <c r="AG1295" s="37" t="n">
        <f aca="false">IF(R1295="",0,IFERROR(MATCH(R1295,Listas!$L$2:$L$50,0),0))</f>
        <v>0</v>
      </c>
    </row>
    <row r="1296" customFormat="false" ht="15" hidden="false" customHeight="false" outlineLevel="0" collapsed="false">
      <c r="A1296" s="30"/>
      <c r="B1296" s="31"/>
      <c r="C1296" s="32"/>
      <c r="D1296" s="32"/>
      <c r="E1296" s="33"/>
      <c r="F1296" s="32"/>
      <c r="G1296" s="32"/>
      <c r="H1296" s="32"/>
      <c r="I1296" s="32"/>
      <c r="J1296" s="32"/>
      <c r="K1296" s="32"/>
      <c r="L1296" s="32"/>
      <c r="M1296" s="30"/>
      <c r="N1296" s="32"/>
      <c r="O1296" s="34"/>
      <c r="P1296" s="32"/>
      <c r="Q1296" s="32"/>
      <c r="R1296" s="32"/>
      <c r="S1296" s="32"/>
      <c r="T1296" s="32"/>
      <c r="U1296" s="32"/>
      <c r="V1296" s="31"/>
      <c r="W1296" s="35" t="str">
        <f aca="true">IF(OR(V1296="",AG1296&gt;=8),"",IF(V1296&lt;TODAY(),"Vencida",IF(V1296=TODAY(),"Hoy","")))</f>
        <v/>
      </c>
      <c r="X1296" s="36" t="str">
        <f aca="false">IF(A1296="","",IF(COUNTIF(Seguimiento!$B$2:$B$5001,A1296)=0,"",_xlfn.MAXIFS(Seguimiento!$A$2:$A$5001,Seguimiento!$B$2:$B$5001,A1296)))</f>
        <v/>
      </c>
      <c r="Y1296" s="37" t="str">
        <f aca="true">IF(B1296="","",TODAY()-B1296)</f>
        <v/>
      </c>
      <c r="Z1296" s="38" t="str">
        <f aca="false">IF(OR(O1296="",G1296=""),"",O1296*IFERROR(INDEX(Listas!$B$2:$B$50,MATCH(G1296,Listas!$A$2:$A$50,0)),0))</f>
        <v/>
      </c>
      <c r="AA1296" s="32"/>
      <c r="AB1296" s="32"/>
      <c r="AC1296" s="32"/>
      <c r="AD1296" s="35" t="str">
        <f aca="false">IF(OR(LEFT(H1296,4)="Meta",LEFT(H1296,6)="Google"),IF(AG1296=3,"Lead calificado",IF(OR(AG1296=4,AG1296=5),"Tasación/visita",IF(OR(AG1296=6,AG1296=7),"Captación/oferta",IF(AG1296=8,"Cierre","")))),"")</f>
        <v/>
      </c>
      <c r="AE1296" s="32"/>
      <c r="AF1296" s="32"/>
      <c r="AG1296" s="37" t="n">
        <f aca="false">IF(R1296="",0,IFERROR(MATCH(R1296,Listas!$L$2:$L$50,0),0))</f>
        <v>0</v>
      </c>
    </row>
    <row r="1297" customFormat="false" ht="15" hidden="false" customHeight="false" outlineLevel="0" collapsed="false">
      <c r="A1297" s="30"/>
      <c r="B1297" s="31"/>
      <c r="C1297" s="32"/>
      <c r="D1297" s="32"/>
      <c r="E1297" s="33"/>
      <c r="F1297" s="32"/>
      <c r="G1297" s="32"/>
      <c r="H1297" s="32"/>
      <c r="I1297" s="32"/>
      <c r="J1297" s="32"/>
      <c r="K1297" s="32"/>
      <c r="L1297" s="32"/>
      <c r="M1297" s="30"/>
      <c r="N1297" s="32"/>
      <c r="O1297" s="34"/>
      <c r="P1297" s="32"/>
      <c r="Q1297" s="32"/>
      <c r="R1297" s="32"/>
      <c r="S1297" s="32"/>
      <c r="T1297" s="32"/>
      <c r="U1297" s="32"/>
      <c r="V1297" s="31"/>
      <c r="W1297" s="35" t="str">
        <f aca="true">IF(OR(V1297="",AG1297&gt;=8),"",IF(V1297&lt;TODAY(),"Vencida",IF(V1297=TODAY(),"Hoy","")))</f>
        <v/>
      </c>
      <c r="X1297" s="36" t="str">
        <f aca="false">IF(A1297="","",IF(COUNTIF(Seguimiento!$B$2:$B$5001,A1297)=0,"",_xlfn.MAXIFS(Seguimiento!$A$2:$A$5001,Seguimiento!$B$2:$B$5001,A1297)))</f>
        <v/>
      </c>
      <c r="Y1297" s="37" t="str">
        <f aca="true">IF(B1297="","",TODAY()-B1297)</f>
        <v/>
      </c>
      <c r="Z1297" s="38" t="str">
        <f aca="false">IF(OR(O1297="",G1297=""),"",O1297*IFERROR(INDEX(Listas!$B$2:$B$50,MATCH(G1297,Listas!$A$2:$A$50,0)),0))</f>
        <v/>
      </c>
      <c r="AA1297" s="32"/>
      <c r="AB1297" s="32"/>
      <c r="AC1297" s="32"/>
      <c r="AD1297" s="35" t="str">
        <f aca="false">IF(OR(LEFT(H1297,4)="Meta",LEFT(H1297,6)="Google"),IF(AG1297=3,"Lead calificado",IF(OR(AG1297=4,AG1297=5),"Tasación/visita",IF(OR(AG1297=6,AG1297=7),"Captación/oferta",IF(AG1297=8,"Cierre","")))),"")</f>
        <v/>
      </c>
      <c r="AE1297" s="32"/>
      <c r="AF1297" s="32"/>
      <c r="AG1297" s="37" t="n">
        <f aca="false">IF(R1297="",0,IFERROR(MATCH(R1297,Listas!$L$2:$L$50,0),0))</f>
        <v>0</v>
      </c>
    </row>
    <row r="1298" customFormat="false" ht="15" hidden="false" customHeight="false" outlineLevel="0" collapsed="false">
      <c r="A1298" s="30"/>
      <c r="B1298" s="31"/>
      <c r="C1298" s="32"/>
      <c r="D1298" s="32"/>
      <c r="E1298" s="33"/>
      <c r="F1298" s="32"/>
      <c r="G1298" s="32"/>
      <c r="H1298" s="32"/>
      <c r="I1298" s="32"/>
      <c r="J1298" s="32"/>
      <c r="K1298" s="32"/>
      <c r="L1298" s="32"/>
      <c r="M1298" s="30"/>
      <c r="N1298" s="32"/>
      <c r="O1298" s="34"/>
      <c r="P1298" s="32"/>
      <c r="Q1298" s="32"/>
      <c r="R1298" s="32"/>
      <c r="S1298" s="32"/>
      <c r="T1298" s="32"/>
      <c r="U1298" s="32"/>
      <c r="V1298" s="31"/>
      <c r="W1298" s="35" t="str">
        <f aca="true">IF(OR(V1298="",AG1298&gt;=8),"",IF(V1298&lt;TODAY(),"Vencida",IF(V1298=TODAY(),"Hoy","")))</f>
        <v/>
      </c>
      <c r="X1298" s="36" t="str">
        <f aca="false">IF(A1298="","",IF(COUNTIF(Seguimiento!$B$2:$B$5001,A1298)=0,"",_xlfn.MAXIFS(Seguimiento!$A$2:$A$5001,Seguimiento!$B$2:$B$5001,A1298)))</f>
        <v/>
      </c>
      <c r="Y1298" s="37" t="str">
        <f aca="true">IF(B1298="","",TODAY()-B1298)</f>
        <v/>
      </c>
      <c r="Z1298" s="38" t="str">
        <f aca="false">IF(OR(O1298="",G1298=""),"",O1298*IFERROR(INDEX(Listas!$B$2:$B$50,MATCH(G1298,Listas!$A$2:$A$50,0)),0))</f>
        <v/>
      </c>
      <c r="AA1298" s="32"/>
      <c r="AB1298" s="32"/>
      <c r="AC1298" s="32"/>
      <c r="AD1298" s="35" t="str">
        <f aca="false">IF(OR(LEFT(H1298,4)="Meta",LEFT(H1298,6)="Google"),IF(AG1298=3,"Lead calificado",IF(OR(AG1298=4,AG1298=5),"Tasación/visita",IF(OR(AG1298=6,AG1298=7),"Captación/oferta",IF(AG1298=8,"Cierre","")))),"")</f>
        <v/>
      </c>
      <c r="AE1298" s="32"/>
      <c r="AF1298" s="32"/>
      <c r="AG1298" s="37" t="n">
        <f aca="false">IF(R1298="",0,IFERROR(MATCH(R1298,Listas!$L$2:$L$50,0),0))</f>
        <v>0</v>
      </c>
    </row>
    <row r="1299" customFormat="false" ht="15" hidden="false" customHeight="false" outlineLevel="0" collapsed="false">
      <c r="A1299" s="30"/>
      <c r="B1299" s="31"/>
      <c r="C1299" s="32"/>
      <c r="D1299" s="32"/>
      <c r="E1299" s="33"/>
      <c r="F1299" s="32"/>
      <c r="G1299" s="32"/>
      <c r="H1299" s="32"/>
      <c r="I1299" s="32"/>
      <c r="J1299" s="32"/>
      <c r="K1299" s="32"/>
      <c r="L1299" s="32"/>
      <c r="M1299" s="30"/>
      <c r="N1299" s="32"/>
      <c r="O1299" s="34"/>
      <c r="P1299" s="32"/>
      <c r="Q1299" s="32"/>
      <c r="R1299" s="32"/>
      <c r="S1299" s="32"/>
      <c r="T1299" s="32"/>
      <c r="U1299" s="32"/>
      <c r="V1299" s="31"/>
      <c r="W1299" s="35" t="str">
        <f aca="true">IF(OR(V1299="",AG1299&gt;=8),"",IF(V1299&lt;TODAY(),"Vencida",IF(V1299=TODAY(),"Hoy","")))</f>
        <v/>
      </c>
      <c r="X1299" s="36" t="str">
        <f aca="false">IF(A1299="","",IF(COUNTIF(Seguimiento!$B$2:$B$5001,A1299)=0,"",_xlfn.MAXIFS(Seguimiento!$A$2:$A$5001,Seguimiento!$B$2:$B$5001,A1299)))</f>
        <v/>
      </c>
      <c r="Y1299" s="37" t="str">
        <f aca="true">IF(B1299="","",TODAY()-B1299)</f>
        <v/>
      </c>
      <c r="Z1299" s="38" t="str">
        <f aca="false">IF(OR(O1299="",G1299=""),"",O1299*IFERROR(INDEX(Listas!$B$2:$B$50,MATCH(G1299,Listas!$A$2:$A$50,0)),0))</f>
        <v/>
      </c>
      <c r="AA1299" s="32"/>
      <c r="AB1299" s="32"/>
      <c r="AC1299" s="32"/>
      <c r="AD1299" s="35" t="str">
        <f aca="false">IF(OR(LEFT(H1299,4)="Meta",LEFT(H1299,6)="Google"),IF(AG1299=3,"Lead calificado",IF(OR(AG1299=4,AG1299=5),"Tasación/visita",IF(OR(AG1299=6,AG1299=7),"Captación/oferta",IF(AG1299=8,"Cierre","")))),"")</f>
        <v/>
      </c>
      <c r="AE1299" s="32"/>
      <c r="AF1299" s="32"/>
      <c r="AG1299" s="37" t="n">
        <f aca="false">IF(R1299="",0,IFERROR(MATCH(R1299,Listas!$L$2:$L$50,0),0))</f>
        <v>0</v>
      </c>
    </row>
    <row r="1300" customFormat="false" ht="15" hidden="false" customHeight="false" outlineLevel="0" collapsed="false">
      <c r="A1300" s="30"/>
      <c r="B1300" s="31"/>
      <c r="C1300" s="32"/>
      <c r="D1300" s="32"/>
      <c r="E1300" s="33"/>
      <c r="F1300" s="32"/>
      <c r="G1300" s="32"/>
      <c r="H1300" s="32"/>
      <c r="I1300" s="32"/>
      <c r="J1300" s="32"/>
      <c r="K1300" s="32"/>
      <c r="L1300" s="32"/>
      <c r="M1300" s="30"/>
      <c r="N1300" s="32"/>
      <c r="O1300" s="34"/>
      <c r="P1300" s="32"/>
      <c r="Q1300" s="32"/>
      <c r="R1300" s="32"/>
      <c r="S1300" s="32"/>
      <c r="T1300" s="32"/>
      <c r="U1300" s="32"/>
      <c r="V1300" s="31"/>
      <c r="W1300" s="35" t="str">
        <f aca="true">IF(OR(V1300="",AG1300&gt;=8),"",IF(V1300&lt;TODAY(),"Vencida",IF(V1300=TODAY(),"Hoy","")))</f>
        <v/>
      </c>
      <c r="X1300" s="36" t="str">
        <f aca="false">IF(A1300="","",IF(COUNTIF(Seguimiento!$B$2:$B$5001,A1300)=0,"",_xlfn.MAXIFS(Seguimiento!$A$2:$A$5001,Seguimiento!$B$2:$B$5001,A1300)))</f>
        <v/>
      </c>
      <c r="Y1300" s="37" t="str">
        <f aca="true">IF(B1300="","",TODAY()-B1300)</f>
        <v/>
      </c>
      <c r="Z1300" s="38" t="str">
        <f aca="false">IF(OR(O1300="",G1300=""),"",O1300*IFERROR(INDEX(Listas!$B$2:$B$50,MATCH(G1300,Listas!$A$2:$A$50,0)),0))</f>
        <v/>
      </c>
      <c r="AA1300" s="32"/>
      <c r="AB1300" s="32"/>
      <c r="AC1300" s="32"/>
      <c r="AD1300" s="35" t="str">
        <f aca="false">IF(OR(LEFT(H1300,4)="Meta",LEFT(H1300,6)="Google"),IF(AG1300=3,"Lead calificado",IF(OR(AG1300=4,AG1300=5),"Tasación/visita",IF(OR(AG1300=6,AG1300=7),"Captación/oferta",IF(AG1300=8,"Cierre","")))),"")</f>
        <v/>
      </c>
      <c r="AE1300" s="32"/>
      <c r="AF1300" s="32"/>
      <c r="AG1300" s="37" t="n">
        <f aca="false">IF(R1300="",0,IFERROR(MATCH(R1300,Listas!$L$2:$L$50,0),0))</f>
        <v>0</v>
      </c>
    </row>
    <row r="1301" customFormat="false" ht="15" hidden="false" customHeight="false" outlineLevel="0" collapsed="false">
      <c r="A1301" s="30"/>
      <c r="B1301" s="31"/>
      <c r="C1301" s="32"/>
      <c r="D1301" s="32"/>
      <c r="E1301" s="33"/>
      <c r="F1301" s="32"/>
      <c r="G1301" s="32"/>
      <c r="H1301" s="32"/>
      <c r="I1301" s="32"/>
      <c r="J1301" s="32"/>
      <c r="K1301" s="32"/>
      <c r="L1301" s="32"/>
      <c r="M1301" s="30"/>
      <c r="N1301" s="32"/>
      <c r="O1301" s="34"/>
      <c r="P1301" s="32"/>
      <c r="Q1301" s="32"/>
      <c r="R1301" s="32"/>
      <c r="S1301" s="32"/>
      <c r="T1301" s="32"/>
      <c r="U1301" s="32"/>
      <c r="V1301" s="31"/>
      <c r="W1301" s="35" t="str">
        <f aca="true">IF(OR(V1301="",AG1301&gt;=8),"",IF(V1301&lt;TODAY(),"Vencida",IF(V1301=TODAY(),"Hoy","")))</f>
        <v/>
      </c>
      <c r="X1301" s="36" t="str">
        <f aca="false">IF(A1301="","",IF(COUNTIF(Seguimiento!$B$2:$B$5001,A1301)=0,"",_xlfn.MAXIFS(Seguimiento!$A$2:$A$5001,Seguimiento!$B$2:$B$5001,A1301)))</f>
        <v/>
      </c>
      <c r="Y1301" s="37" t="str">
        <f aca="true">IF(B1301="","",TODAY()-B1301)</f>
        <v/>
      </c>
      <c r="Z1301" s="38" t="str">
        <f aca="false">IF(OR(O1301="",G1301=""),"",O1301*IFERROR(INDEX(Listas!$B$2:$B$50,MATCH(G1301,Listas!$A$2:$A$50,0)),0))</f>
        <v/>
      </c>
      <c r="AA1301" s="32"/>
      <c r="AB1301" s="32"/>
      <c r="AC1301" s="32"/>
      <c r="AD1301" s="35" t="str">
        <f aca="false">IF(OR(LEFT(H1301,4)="Meta",LEFT(H1301,6)="Google"),IF(AG1301=3,"Lead calificado",IF(OR(AG1301=4,AG1301=5),"Tasación/visita",IF(OR(AG1301=6,AG1301=7),"Captación/oferta",IF(AG1301=8,"Cierre","")))),"")</f>
        <v/>
      </c>
      <c r="AE1301" s="32"/>
      <c r="AF1301" s="32"/>
      <c r="AG1301" s="37" t="n">
        <f aca="false">IF(R1301="",0,IFERROR(MATCH(R1301,Listas!$L$2:$L$50,0),0))</f>
        <v>0</v>
      </c>
    </row>
    <row r="1302" customFormat="false" ht="15" hidden="false" customHeight="false" outlineLevel="0" collapsed="false">
      <c r="A1302" s="30"/>
      <c r="B1302" s="31"/>
      <c r="C1302" s="32"/>
      <c r="D1302" s="32"/>
      <c r="E1302" s="33"/>
      <c r="F1302" s="32"/>
      <c r="G1302" s="32"/>
      <c r="H1302" s="32"/>
      <c r="I1302" s="32"/>
      <c r="J1302" s="32"/>
      <c r="K1302" s="32"/>
      <c r="L1302" s="32"/>
      <c r="M1302" s="30"/>
      <c r="N1302" s="32"/>
      <c r="O1302" s="34"/>
      <c r="P1302" s="32"/>
      <c r="Q1302" s="32"/>
      <c r="R1302" s="32"/>
      <c r="S1302" s="32"/>
      <c r="T1302" s="32"/>
      <c r="U1302" s="32"/>
      <c r="V1302" s="31"/>
      <c r="W1302" s="35" t="str">
        <f aca="true">IF(OR(V1302="",AG1302&gt;=8),"",IF(V1302&lt;TODAY(),"Vencida",IF(V1302=TODAY(),"Hoy","")))</f>
        <v/>
      </c>
      <c r="X1302" s="36" t="str">
        <f aca="false">IF(A1302="","",IF(COUNTIF(Seguimiento!$B$2:$B$5001,A1302)=0,"",_xlfn.MAXIFS(Seguimiento!$A$2:$A$5001,Seguimiento!$B$2:$B$5001,A1302)))</f>
        <v/>
      </c>
      <c r="Y1302" s="37" t="str">
        <f aca="true">IF(B1302="","",TODAY()-B1302)</f>
        <v/>
      </c>
      <c r="Z1302" s="38" t="str">
        <f aca="false">IF(OR(O1302="",G1302=""),"",O1302*IFERROR(INDEX(Listas!$B$2:$B$50,MATCH(G1302,Listas!$A$2:$A$50,0)),0))</f>
        <v/>
      </c>
      <c r="AA1302" s="32"/>
      <c r="AB1302" s="32"/>
      <c r="AC1302" s="32"/>
      <c r="AD1302" s="35" t="str">
        <f aca="false">IF(OR(LEFT(H1302,4)="Meta",LEFT(H1302,6)="Google"),IF(AG1302=3,"Lead calificado",IF(OR(AG1302=4,AG1302=5),"Tasación/visita",IF(OR(AG1302=6,AG1302=7),"Captación/oferta",IF(AG1302=8,"Cierre","")))),"")</f>
        <v/>
      </c>
      <c r="AE1302" s="32"/>
      <c r="AF1302" s="32"/>
      <c r="AG1302" s="37" t="n">
        <f aca="false">IF(R1302="",0,IFERROR(MATCH(R1302,Listas!$L$2:$L$50,0),0))</f>
        <v>0</v>
      </c>
    </row>
    <row r="1303" customFormat="false" ht="15" hidden="false" customHeight="false" outlineLevel="0" collapsed="false">
      <c r="A1303" s="30"/>
      <c r="B1303" s="31"/>
      <c r="C1303" s="32"/>
      <c r="D1303" s="32"/>
      <c r="E1303" s="33"/>
      <c r="F1303" s="32"/>
      <c r="G1303" s="32"/>
      <c r="H1303" s="32"/>
      <c r="I1303" s="32"/>
      <c r="J1303" s="32"/>
      <c r="K1303" s="32"/>
      <c r="L1303" s="32"/>
      <c r="M1303" s="30"/>
      <c r="N1303" s="32"/>
      <c r="O1303" s="34"/>
      <c r="P1303" s="32"/>
      <c r="Q1303" s="32"/>
      <c r="R1303" s="32"/>
      <c r="S1303" s="32"/>
      <c r="T1303" s="32"/>
      <c r="U1303" s="32"/>
      <c r="V1303" s="31"/>
      <c r="W1303" s="35" t="str">
        <f aca="true">IF(OR(V1303="",AG1303&gt;=8),"",IF(V1303&lt;TODAY(),"Vencida",IF(V1303=TODAY(),"Hoy","")))</f>
        <v/>
      </c>
      <c r="X1303" s="36" t="str">
        <f aca="false">IF(A1303="","",IF(COUNTIF(Seguimiento!$B$2:$B$5001,A1303)=0,"",_xlfn.MAXIFS(Seguimiento!$A$2:$A$5001,Seguimiento!$B$2:$B$5001,A1303)))</f>
        <v/>
      </c>
      <c r="Y1303" s="37" t="str">
        <f aca="true">IF(B1303="","",TODAY()-B1303)</f>
        <v/>
      </c>
      <c r="Z1303" s="38" t="str">
        <f aca="false">IF(OR(O1303="",G1303=""),"",O1303*IFERROR(INDEX(Listas!$B$2:$B$50,MATCH(G1303,Listas!$A$2:$A$50,0)),0))</f>
        <v/>
      </c>
      <c r="AA1303" s="32"/>
      <c r="AB1303" s="32"/>
      <c r="AC1303" s="32"/>
      <c r="AD1303" s="35" t="str">
        <f aca="false">IF(OR(LEFT(H1303,4)="Meta",LEFT(H1303,6)="Google"),IF(AG1303=3,"Lead calificado",IF(OR(AG1303=4,AG1303=5),"Tasación/visita",IF(OR(AG1303=6,AG1303=7),"Captación/oferta",IF(AG1303=8,"Cierre","")))),"")</f>
        <v/>
      </c>
      <c r="AE1303" s="32"/>
      <c r="AF1303" s="32"/>
      <c r="AG1303" s="37" t="n">
        <f aca="false">IF(R1303="",0,IFERROR(MATCH(R1303,Listas!$L$2:$L$50,0),0))</f>
        <v>0</v>
      </c>
    </row>
    <row r="1304" customFormat="false" ht="15" hidden="false" customHeight="false" outlineLevel="0" collapsed="false">
      <c r="A1304" s="30"/>
      <c r="B1304" s="31"/>
      <c r="C1304" s="32"/>
      <c r="D1304" s="32"/>
      <c r="E1304" s="33"/>
      <c r="F1304" s="32"/>
      <c r="G1304" s="32"/>
      <c r="H1304" s="32"/>
      <c r="I1304" s="32"/>
      <c r="J1304" s="32"/>
      <c r="K1304" s="32"/>
      <c r="L1304" s="32"/>
      <c r="M1304" s="30"/>
      <c r="N1304" s="32"/>
      <c r="O1304" s="34"/>
      <c r="P1304" s="32"/>
      <c r="Q1304" s="32"/>
      <c r="R1304" s="32"/>
      <c r="S1304" s="32"/>
      <c r="T1304" s="32"/>
      <c r="U1304" s="32"/>
      <c r="V1304" s="31"/>
      <c r="W1304" s="35" t="str">
        <f aca="true">IF(OR(V1304="",AG1304&gt;=8),"",IF(V1304&lt;TODAY(),"Vencida",IF(V1304=TODAY(),"Hoy","")))</f>
        <v/>
      </c>
      <c r="X1304" s="36" t="str">
        <f aca="false">IF(A1304="","",IF(COUNTIF(Seguimiento!$B$2:$B$5001,A1304)=0,"",_xlfn.MAXIFS(Seguimiento!$A$2:$A$5001,Seguimiento!$B$2:$B$5001,A1304)))</f>
        <v/>
      </c>
      <c r="Y1304" s="37" t="str">
        <f aca="true">IF(B1304="","",TODAY()-B1304)</f>
        <v/>
      </c>
      <c r="Z1304" s="38" t="str">
        <f aca="false">IF(OR(O1304="",G1304=""),"",O1304*IFERROR(INDEX(Listas!$B$2:$B$50,MATCH(G1304,Listas!$A$2:$A$50,0)),0))</f>
        <v/>
      </c>
      <c r="AA1304" s="32"/>
      <c r="AB1304" s="32"/>
      <c r="AC1304" s="32"/>
      <c r="AD1304" s="35" t="str">
        <f aca="false">IF(OR(LEFT(H1304,4)="Meta",LEFT(H1304,6)="Google"),IF(AG1304=3,"Lead calificado",IF(OR(AG1304=4,AG1304=5),"Tasación/visita",IF(OR(AG1304=6,AG1304=7),"Captación/oferta",IF(AG1304=8,"Cierre","")))),"")</f>
        <v/>
      </c>
      <c r="AE1304" s="32"/>
      <c r="AF1304" s="32"/>
      <c r="AG1304" s="37" t="n">
        <f aca="false">IF(R1304="",0,IFERROR(MATCH(R1304,Listas!$L$2:$L$50,0),0))</f>
        <v>0</v>
      </c>
    </row>
    <row r="1305" customFormat="false" ht="15" hidden="false" customHeight="false" outlineLevel="0" collapsed="false">
      <c r="A1305" s="30"/>
      <c r="B1305" s="31"/>
      <c r="C1305" s="32"/>
      <c r="D1305" s="32"/>
      <c r="E1305" s="33"/>
      <c r="F1305" s="32"/>
      <c r="G1305" s="32"/>
      <c r="H1305" s="32"/>
      <c r="I1305" s="32"/>
      <c r="J1305" s="32"/>
      <c r="K1305" s="32"/>
      <c r="L1305" s="32"/>
      <c r="M1305" s="30"/>
      <c r="N1305" s="32"/>
      <c r="O1305" s="34"/>
      <c r="P1305" s="32"/>
      <c r="Q1305" s="32"/>
      <c r="R1305" s="32"/>
      <c r="S1305" s="32"/>
      <c r="T1305" s="32"/>
      <c r="U1305" s="32"/>
      <c r="V1305" s="31"/>
      <c r="W1305" s="35" t="str">
        <f aca="true">IF(OR(V1305="",AG1305&gt;=8),"",IF(V1305&lt;TODAY(),"Vencida",IF(V1305=TODAY(),"Hoy","")))</f>
        <v/>
      </c>
      <c r="X1305" s="36" t="str">
        <f aca="false">IF(A1305="","",IF(COUNTIF(Seguimiento!$B$2:$B$5001,A1305)=0,"",_xlfn.MAXIFS(Seguimiento!$A$2:$A$5001,Seguimiento!$B$2:$B$5001,A1305)))</f>
        <v/>
      </c>
      <c r="Y1305" s="37" t="str">
        <f aca="true">IF(B1305="","",TODAY()-B1305)</f>
        <v/>
      </c>
      <c r="Z1305" s="38" t="str">
        <f aca="false">IF(OR(O1305="",G1305=""),"",O1305*IFERROR(INDEX(Listas!$B$2:$B$50,MATCH(G1305,Listas!$A$2:$A$50,0)),0))</f>
        <v/>
      </c>
      <c r="AA1305" s="32"/>
      <c r="AB1305" s="32"/>
      <c r="AC1305" s="32"/>
      <c r="AD1305" s="35" t="str">
        <f aca="false">IF(OR(LEFT(H1305,4)="Meta",LEFT(H1305,6)="Google"),IF(AG1305=3,"Lead calificado",IF(OR(AG1305=4,AG1305=5),"Tasación/visita",IF(OR(AG1305=6,AG1305=7),"Captación/oferta",IF(AG1305=8,"Cierre","")))),"")</f>
        <v/>
      </c>
      <c r="AE1305" s="32"/>
      <c r="AF1305" s="32"/>
      <c r="AG1305" s="37" t="n">
        <f aca="false">IF(R1305="",0,IFERROR(MATCH(R1305,Listas!$L$2:$L$50,0),0))</f>
        <v>0</v>
      </c>
    </row>
    <row r="1306" customFormat="false" ht="15" hidden="false" customHeight="false" outlineLevel="0" collapsed="false">
      <c r="A1306" s="30"/>
      <c r="B1306" s="31"/>
      <c r="C1306" s="32"/>
      <c r="D1306" s="32"/>
      <c r="E1306" s="33"/>
      <c r="F1306" s="32"/>
      <c r="G1306" s="32"/>
      <c r="H1306" s="32"/>
      <c r="I1306" s="32"/>
      <c r="J1306" s="32"/>
      <c r="K1306" s="32"/>
      <c r="L1306" s="32"/>
      <c r="M1306" s="30"/>
      <c r="N1306" s="32"/>
      <c r="O1306" s="34"/>
      <c r="P1306" s="32"/>
      <c r="Q1306" s="32"/>
      <c r="R1306" s="32"/>
      <c r="S1306" s="32"/>
      <c r="T1306" s="32"/>
      <c r="U1306" s="32"/>
      <c r="V1306" s="31"/>
      <c r="W1306" s="35" t="str">
        <f aca="true">IF(OR(V1306="",AG1306&gt;=8),"",IF(V1306&lt;TODAY(),"Vencida",IF(V1306=TODAY(),"Hoy","")))</f>
        <v/>
      </c>
      <c r="X1306" s="36" t="str">
        <f aca="false">IF(A1306="","",IF(COUNTIF(Seguimiento!$B$2:$B$5001,A1306)=0,"",_xlfn.MAXIFS(Seguimiento!$A$2:$A$5001,Seguimiento!$B$2:$B$5001,A1306)))</f>
        <v/>
      </c>
      <c r="Y1306" s="37" t="str">
        <f aca="true">IF(B1306="","",TODAY()-B1306)</f>
        <v/>
      </c>
      <c r="Z1306" s="38" t="str">
        <f aca="false">IF(OR(O1306="",G1306=""),"",O1306*IFERROR(INDEX(Listas!$B$2:$B$50,MATCH(G1306,Listas!$A$2:$A$50,0)),0))</f>
        <v/>
      </c>
      <c r="AA1306" s="32"/>
      <c r="AB1306" s="32"/>
      <c r="AC1306" s="32"/>
      <c r="AD1306" s="35" t="str">
        <f aca="false">IF(OR(LEFT(H1306,4)="Meta",LEFT(H1306,6)="Google"),IF(AG1306=3,"Lead calificado",IF(OR(AG1306=4,AG1306=5),"Tasación/visita",IF(OR(AG1306=6,AG1306=7),"Captación/oferta",IF(AG1306=8,"Cierre","")))),"")</f>
        <v/>
      </c>
      <c r="AE1306" s="32"/>
      <c r="AF1306" s="32"/>
      <c r="AG1306" s="37" t="n">
        <f aca="false">IF(R1306="",0,IFERROR(MATCH(R1306,Listas!$L$2:$L$50,0),0))</f>
        <v>0</v>
      </c>
    </row>
    <row r="1307" customFormat="false" ht="15" hidden="false" customHeight="false" outlineLevel="0" collapsed="false">
      <c r="A1307" s="30"/>
      <c r="B1307" s="31"/>
      <c r="C1307" s="32"/>
      <c r="D1307" s="32"/>
      <c r="E1307" s="33"/>
      <c r="F1307" s="32"/>
      <c r="G1307" s="32"/>
      <c r="H1307" s="32"/>
      <c r="I1307" s="32"/>
      <c r="J1307" s="32"/>
      <c r="K1307" s="32"/>
      <c r="L1307" s="32"/>
      <c r="M1307" s="30"/>
      <c r="N1307" s="32"/>
      <c r="O1307" s="34"/>
      <c r="P1307" s="32"/>
      <c r="Q1307" s="32"/>
      <c r="R1307" s="32"/>
      <c r="S1307" s="32"/>
      <c r="T1307" s="32"/>
      <c r="U1307" s="32"/>
      <c r="V1307" s="31"/>
      <c r="W1307" s="35" t="str">
        <f aca="true">IF(OR(V1307="",AG1307&gt;=8),"",IF(V1307&lt;TODAY(),"Vencida",IF(V1307=TODAY(),"Hoy","")))</f>
        <v/>
      </c>
      <c r="X1307" s="36" t="str">
        <f aca="false">IF(A1307="","",IF(COUNTIF(Seguimiento!$B$2:$B$5001,A1307)=0,"",_xlfn.MAXIFS(Seguimiento!$A$2:$A$5001,Seguimiento!$B$2:$B$5001,A1307)))</f>
        <v/>
      </c>
      <c r="Y1307" s="37" t="str">
        <f aca="true">IF(B1307="","",TODAY()-B1307)</f>
        <v/>
      </c>
      <c r="Z1307" s="38" t="str">
        <f aca="false">IF(OR(O1307="",G1307=""),"",O1307*IFERROR(INDEX(Listas!$B$2:$B$50,MATCH(G1307,Listas!$A$2:$A$50,0)),0))</f>
        <v/>
      </c>
      <c r="AA1307" s="32"/>
      <c r="AB1307" s="32"/>
      <c r="AC1307" s="32"/>
      <c r="AD1307" s="35" t="str">
        <f aca="false">IF(OR(LEFT(H1307,4)="Meta",LEFT(H1307,6)="Google"),IF(AG1307=3,"Lead calificado",IF(OR(AG1307=4,AG1307=5),"Tasación/visita",IF(OR(AG1307=6,AG1307=7),"Captación/oferta",IF(AG1307=8,"Cierre","")))),"")</f>
        <v/>
      </c>
      <c r="AE1307" s="32"/>
      <c r="AF1307" s="32"/>
      <c r="AG1307" s="37" t="n">
        <f aca="false">IF(R1307="",0,IFERROR(MATCH(R1307,Listas!$L$2:$L$50,0),0))</f>
        <v>0</v>
      </c>
    </row>
    <row r="1308" customFormat="false" ht="15" hidden="false" customHeight="false" outlineLevel="0" collapsed="false">
      <c r="A1308" s="30"/>
      <c r="B1308" s="31"/>
      <c r="C1308" s="32"/>
      <c r="D1308" s="32"/>
      <c r="E1308" s="33"/>
      <c r="F1308" s="32"/>
      <c r="G1308" s="32"/>
      <c r="H1308" s="32"/>
      <c r="I1308" s="32"/>
      <c r="J1308" s="32"/>
      <c r="K1308" s="32"/>
      <c r="L1308" s="32"/>
      <c r="M1308" s="30"/>
      <c r="N1308" s="32"/>
      <c r="O1308" s="34"/>
      <c r="P1308" s="32"/>
      <c r="Q1308" s="32"/>
      <c r="R1308" s="32"/>
      <c r="S1308" s="32"/>
      <c r="T1308" s="32"/>
      <c r="U1308" s="32"/>
      <c r="V1308" s="31"/>
      <c r="W1308" s="35" t="str">
        <f aca="true">IF(OR(V1308="",AG1308&gt;=8),"",IF(V1308&lt;TODAY(),"Vencida",IF(V1308=TODAY(),"Hoy","")))</f>
        <v/>
      </c>
      <c r="X1308" s="36" t="str">
        <f aca="false">IF(A1308="","",IF(COUNTIF(Seguimiento!$B$2:$B$5001,A1308)=0,"",_xlfn.MAXIFS(Seguimiento!$A$2:$A$5001,Seguimiento!$B$2:$B$5001,A1308)))</f>
        <v/>
      </c>
      <c r="Y1308" s="37" t="str">
        <f aca="true">IF(B1308="","",TODAY()-B1308)</f>
        <v/>
      </c>
      <c r="Z1308" s="38" t="str">
        <f aca="false">IF(OR(O1308="",G1308=""),"",O1308*IFERROR(INDEX(Listas!$B$2:$B$50,MATCH(G1308,Listas!$A$2:$A$50,0)),0))</f>
        <v/>
      </c>
      <c r="AA1308" s="32"/>
      <c r="AB1308" s="32"/>
      <c r="AC1308" s="32"/>
      <c r="AD1308" s="35" t="str">
        <f aca="false">IF(OR(LEFT(H1308,4)="Meta",LEFT(H1308,6)="Google"),IF(AG1308=3,"Lead calificado",IF(OR(AG1308=4,AG1308=5),"Tasación/visita",IF(OR(AG1308=6,AG1308=7),"Captación/oferta",IF(AG1308=8,"Cierre","")))),"")</f>
        <v/>
      </c>
      <c r="AE1308" s="32"/>
      <c r="AF1308" s="32"/>
      <c r="AG1308" s="37" t="n">
        <f aca="false">IF(R1308="",0,IFERROR(MATCH(R1308,Listas!$L$2:$L$50,0),0))</f>
        <v>0</v>
      </c>
    </row>
    <row r="1309" customFormat="false" ht="15" hidden="false" customHeight="false" outlineLevel="0" collapsed="false">
      <c r="A1309" s="30"/>
      <c r="B1309" s="31"/>
      <c r="C1309" s="32"/>
      <c r="D1309" s="32"/>
      <c r="E1309" s="33"/>
      <c r="F1309" s="32"/>
      <c r="G1309" s="32"/>
      <c r="H1309" s="32"/>
      <c r="I1309" s="32"/>
      <c r="J1309" s="32"/>
      <c r="K1309" s="32"/>
      <c r="L1309" s="32"/>
      <c r="M1309" s="30"/>
      <c r="N1309" s="32"/>
      <c r="O1309" s="34"/>
      <c r="P1309" s="32"/>
      <c r="Q1309" s="32"/>
      <c r="R1309" s="32"/>
      <c r="S1309" s="32"/>
      <c r="T1309" s="32"/>
      <c r="U1309" s="32"/>
      <c r="V1309" s="31"/>
      <c r="W1309" s="35" t="str">
        <f aca="true">IF(OR(V1309="",AG1309&gt;=8),"",IF(V1309&lt;TODAY(),"Vencida",IF(V1309=TODAY(),"Hoy","")))</f>
        <v/>
      </c>
      <c r="X1309" s="36" t="str">
        <f aca="false">IF(A1309="","",IF(COUNTIF(Seguimiento!$B$2:$B$5001,A1309)=0,"",_xlfn.MAXIFS(Seguimiento!$A$2:$A$5001,Seguimiento!$B$2:$B$5001,A1309)))</f>
        <v/>
      </c>
      <c r="Y1309" s="37" t="str">
        <f aca="true">IF(B1309="","",TODAY()-B1309)</f>
        <v/>
      </c>
      <c r="Z1309" s="38" t="str">
        <f aca="false">IF(OR(O1309="",G1309=""),"",O1309*IFERROR(INDEX(Listas!$B$2:$B$50,MATCH(G1309,Listas!$A$2:$A$50,0)),0))</f>
        <v/>
      </c>
      <c r="AA1309" s="32"/>
      <c r="AB1309" s="32"/>
      <c r="AC1309" s="32"/>
      <c r="AD1309" s="35" t="str">
        <f aca="false">IF(OR(LEFT(H1309,4)="Meta",LEFT(H1309,6)="Google"),IF(AG1309=3,"Lead calificado",IF(OR(AG1309=4,AG1309=5),"Tasación/visita",IF(OR(AG1309=6,AG1309=7),"Captación/oferta",IF(AG1309=8,"Cierre","")))),"")</f>
        <v/>
      </c>
      <c r="AE1309" s="32"/>
      <c r="AF1309" s="32"/>
      <c r="AG1309" s="37" t="n">
        <f aca="false">IF(R1309="",0,IFERROR(MATCH(R1309,Listas!$L$2:$L$50,0),0))</f>
        <v>0</v>
      </c>
    </row>
    <row r="1310" customFormat="false" ht="15" hidden="false" customHeight="false" outlineLevel="0" collapsed="false">
      <c r="A1310" s="30"/>
      <c r="B1310" s="31"/>
      <c r="C1310" s="32"/>
      <c r="D1310" s="32"/>
      <c r="E1310" s="33"/>
      <c r="F1310" s="32"/>
      <c r="G1310" s="32"/>
      <c r="H1310" s="32"/>
      <c r="I1310" s="32"/>
      <c r="J1310" s="32"/>
      <c r="K1310" s="32"/>
      <c r="L1310" s="32"/>
      <c r="M1310" s="30"/>
      <c r="N1310" s="32"/>
      <c r="O1310" s="34"/>
      <c r="P1310" s="32"/>
      <c r="Q1310" s="32"/>
      <c r="R1310" s="32"/>
      <c r="S1310" s="32"/>
      <c r="T1310" s="32"/>
      <c r="U1310" s="32"/>
      <c r="V1310" s="31"/>
      <c r="W1310" s="35" t="str">
        <f aca="true">IF(OR(V1310="",AG1310&gt;=8),"",IF(V1310&lt;TODAY(),"Vencida",IF(V1310=TODAY(),"Hoy","")))</f>
        <v/>
      </c>
      <c r="X1310" s="36" t="str">
        <f aca="false">IF(A1310="","",IF(COUNTIF(Seguimiento!$B$2:$B$5001,A1310)=0,"",_xlfn.MAXIFS(Seguimiento!$A$2:$A$5001,Seguimiento!$B$2:$B$5001,A1310)))</f>
        <v/>
      </c>
      <c r="Y1310" s="37" t="str">
        <f aca="true">IF(B1310="","",TODAY()-B1310)</f>
        <v/>
      </c>
      <c r="Z1310" s="38" t="str">
        <f aca="false">IF(OR(O1310="",G1310=""),"",O1310*IFERROR(INDEX(Listas!$B$2:$B$50,MATCH(G1310,Listas!$A$2:$A$50,0)),0))</f>
        <v/>
      </c>
      <c r="AA1310" s="32"/>
      <c r="AB1310" s="32"/>
      <c r="AC1310" s="32"/>
      <c r="AD1310" s="35" t="str">
        <f aca="false">IF(OR(LEFT(H1310,4)="Meta",LEFT(H1310,6)="Google"),IF(AG1310=3,"Lead calificado",IF(OR(AG1310=4,AG1310=5),"Tasación/visita",IF(OR(AG1310=6,AG1310=7),"Captación/oferta",IF(AG1310=8,"Cierre","")))),"")</f>
        <v/>
      </c>
      <c r="AE1310" s="32"/>
      <c r="AF1310" s="32"/>
      <c r="AG1310" s="37" t="n">
        <f aca="false">IF(R1310="",0,IFERROR(MATCH(R1310,Listas!$L$2:$L$50,0),0))</f>
        <v>0</v>
      </c>
    </row>
    <row r="1311" customFormat="false" ht="15" hidden="false" customHeight="false" outlineLevel="0" collapsed="false">
      <c r="A1311" s="30"/>
      <c r="B1311" s="31"/>
      <c r="C1311" s="32"/>
      <c r="D1311" s="32"/>
      <c r="E1311" s="33"/>
      <c r="F1311" s="32"/>
      <c r="G1311" s="32"/>
      <c r="H1311" s="32"/>
      <c r="I1311" s="32"/>
      <c r="J1311" s="32"/>
      <c r="K1311" s="32"/>
      <c r="L1311" s="32"/>
      <c r="M1311" s="30"/>
      <c r="N1311" s="32"/>
      <c r="O1311" s="34"/>
      <c r="P1311" s="32"/>
      <c r="Q1311" s="32"/>
      <c r="R1311" s="32"/>
      <c r="S1311" s="32"/>
      <c r="T1311" s="32"/>
      <c r="U1311" s="32"/>
      <c r="V1311" s="31"/>
      <c r="W1311" s="35" t="str">
        <f aca="true">IF(OR(V1311="",AG1311&gt;=8),"",IF(V1311&lt;TODAY(),"Vencida",IF(V1311=TODAY(),"Hoy","")))</f>
        <v/>
      </c>
      <c r="X1311" s="36" t="str">
        <f aca="false">IF(A1311="","",IF(COUNTIF(Seguimiento!$B$2:$B$5001,A1311)=0,"",_xlfn.MAXIFS(Seguimiento!$A$2:$A$5001,Seguimiento!$B$2:$B$5001,A1311)))</f>
        <v/>
      </c>
      <c r="Y1311" s="37" t="str">
        <f aca="true">IF(B1311="","",TODAY()-B1311)</f>
        <v/>
      </c>
      <c r="Z1311" s="38" t="str">
        <f aca="false">IF(OR(O1311="",G1311=""),"",O1311*IFERROR(INDEX(Listas!$B$2:$B$50,MATCH(G1311,Listas!$A$2:$A$50,0)),0))</f>
        <v/>
      </c>
      <c r="AA1311" s="32"/>
      <c r="AB1311" s="32"/>
      <c r="AC1311" s="32"/>
      <c r="AD1311" s="35" t="str">
        <f aca="false">IF(OR(LEFT(H1311,4)="Meta",LEFT(H1311,6)="Google"),IF(AG1311=3,"Lead calificado",IF(OR(AG1311=4,AG1311=5),"Tasación/visita",IF(OR(AG1311=6,AG1311=7),"Captación/oferta",IF(AG1311=8,"Cierre","")))),"")</f>
        <v/>
      </c>
      <c r="AE1311" s="32"/>
      <c r="AF1311" s="32"/>
      <c r="AG1311" s="37" t="n">
        <f aca="false">IF(R1311="",0,IFERROR(MATCH(R1311,Listas!$L$2:$L$50,0),0))</f>
        <v>0</v>
      </c>
    </row>
    <row r="1312" customFormat="false" ht="15" hidden="false" customHeight="false" outlineLevel="0" collapsed="false">
      <c r="A1312" s="30"/>
      <c r="B1312" s="31"/>
      <c r="C1312" s="32"/>
      <c r="D1312" s="32"/>
      <c r="E1312" s="33"/>
      <c r="F1312" s="32"/>
      <c r="G1312" s="32"/>
      <c r="H1312" s="32"/>
      <c r="I1312" s="32"/>
      <c r="J1312" s="32"/>
      <c r="K1312" s="32"/>
      <c r="L1312" s="32"/>
      <c r="M1312" s="30"/>
      <c r="N1312" s="32"/>
      <c r="O1312" s="34"/>
      <c r="P1312" s="32"/>
      <c r="Q1312" s="32"/>
      <c r="R1312" s="32"/>
      <c r="S1312" s="32"/>
      <c r="T1312" s="32"/>
      <c r="U1312" s="32"/>
      <c r="V1312" s="31"/>
      <c r="W1312" s="35" t="str">
        <f aca="true">IF(OR(V1312="",AG1312&gt;=8),"",IF(V1312&lt;TODAY(),"Vencida",IF(V1312=TODAY(),"Hoy","")))</f>
        <v/>
      </c>
      <c r="X1312" s="36" t="str">
        <f aca="false">IF(A1312="","",IF(COUNTIF(Seguimiento!$B$2:$B$5001,A1312)=0,"",_xlfn.MAXIFS(Seguimiento!$A$2:$A$5001,Seguimiento!$B$2:$B$5001,A1312)))</f>
        <v/>
      </c>
      <c r="Y1312" s="37" t="str">
        <f aca="true">IF(B1312="","",TODAY()-B1312)</f>
        <v/>
      </c>
      <c r="Z1312" s="38" t="str">
        <f aca="false">IF(OR(O1312="",G1312=""),"",O1312*IFERROR(INDEX(Listas!$B$2:$B$50,MATCH(G1312,Listas!$A$2:$A$50,0)),0))</f>
        <v/>
      </c>
      <c r="AA1312" s="32"/>
      <c r="AB1312" s="32"/>
      <c r="AC1312" s="32"/>
      <c r="AD1312" s="35" t="str">
        <f aca="false">IF(OR(LEFT(H1312,4)="Meta",LEFT(H1312,6)="Google"),IF(AG1312=3,"Lead calificado",IF(OR(AG1312=4,AG1312=5),"Tasación/visita",IF(OR(AG1312=6,AG1312=7),"Captación/oferta",IF(AG1312=8,"Cierre","")))),"")</f>
        <v/>
      </c>
      <c r="AE1312" s="32"/>
      <c r="AF1312" s="32"/>
      <c r="AG1312" s="37" t="n">
        <f aca="false">IF(R1312="",0,IFERROR(MATCH(R1312,Listas!$L$2:$L$50,0),0))</f>
        <v>0</v>
      </c>
    </row>
    <row r="1313" customFormat="false" ht="15" hidden="false" customHeight="false" outlineLevel="0" collapsed="false">
      <c r="A1313" s="30"/>
      <c r="B1313" s="31"/>
      <c r="C1313" s="32"/>
      <c r="D1313" s="32"/>
      <c r="E1313" s="33"/>
      <c r="F1313" s="32"/>
      <c r="G1313" s="32"/>
      <c r="H1313" s="32"/>
      <c r="I1313" s="32"/>
      <c r="J1313" s="32"/>
      <c r="K1313" s="32"/>
      <c r="L1313" s="32"/>
      <c r="M1313" s="30"/>
      <c r="N1313" s="32"/>
      <c r="O1313" s="34"/>
      <c r="P1313" s="32"/>
      <c r="Q1313" s="32"/>
      <c r="R1313" s="32"/>
      <c r="S1313" s="32"/>
      <c r="T1313" s="32"/>
      <c r="U1313" s="32"/>
      <c r="V1313" s="31"/>
      <c r="W1313" s="35" t="str">
        <f aca="true">IF(OR(V1313="",AG1313&gt;=8),"",IF(V1313&lt;TODAY(),"Vencida",IF(V1313=TODAY(),"Hoy","")))</f>
        <v/>
      </c>
      <c r="X1313" s="36" t="str">
        <f aca="false">IF(A1313="","",IF(COUNTIF(Seguimiento!$B$2:$B$5001,A1313)=0,"",_xlfn.MAXIFS(Seguimiento!$A$2:$A$5001,Seguimiento!$B$2:$B$5001,A1313)))</f>
        <v/>
      </c>
      <c r="Y1313" s="37" t="str">
        <f aca="true">IF(B1313="","",TODAY()-B1313)</f>
        <v/>
      </c>
      <c r="Z1313" s="38" t="str">
        <f aca="false">IF(OR(O1313="",G1313=""),"",O1313*IFERROR(INDEX(Listas!$B$2:$B$50,MATCH(G1313,Listas!$A$2:$A$50,0)),0))</f>
        <v/>
      </c>
      <c r="AA1313" s="32"/>
      <c r="AB1313" s="32"/>
      <c r="AC1313" s="32"/>
      <c r="AD1313" s="35" t="str">
        <f aca="false">IF(OR(LEFT(H1313,4)="Meta",LEFT(H1313,6)="Google"),IF(AG1313=3,"Lead calificado",IF(OR(AG1313=4,AG1313=5),"Tasación/visita",IF(OR(AG1313=6,AG1313=7),"Captación/oferta",IF(AG1313=8,"Cierre","")))),"")</f>
        <v/>
      </c>
      <c r="AE1313" s="32"/>
      <c r="AF1313" s="32"/>
      <c r="AG1313" s="37" t="n">
        <f aca="false">IF(R1313="",0,IFERROR(MATCH(R1313,Listas!$L$2:$L$50,0),0))</f>
        <v>0</v>
      </c>
    </row>
    <row r="1314" customFormat="false" ht="15" hidden="false" customHeight="false" outlineLevel="0" collapsed="false">
      <c r="A1314" s="30"/>
      <c r="B1314" s="31"/>
      <c r="C1314" s="32"/>
      <c r="D1314" s="32"/>
      <c r="E1314" s="33"/>
      <c r="F1314" s="32"/>
      <c r="G1314" s="32"/>
      <c r="H1314" s="32"/>
      <c r="I1314" s="32"/>
      <c r="J1314" s="32"/>
      <c r="K1314" s="32"/>
      <c r="L1314" s="32"/>
      <c r="M1314" s="30"/>
      <c r="N1314" s="32"/>
      <c r="O1314" s="34"/>
      <c r="P1314" s="32"/>
      <c r="Q1314" s="32"/>
      <c r="R1314" s="32"/>
      <c r="S1314" s="32"/>
      <c r="T1314" s="32"/>
      <c r="U1314" s="32"/>
      <c r="V1314" s="31"/>
      <c r="W1314" s="35" t="str">
        <f aca="true">IF(OR(V1314="",AG1314&gt;=8),"",IF(V1314&lt;TODAY(),"Vencida",IF(V1314=TODAY(),"Hoy","")))</f>
        <v/>
      </c>
      <c r="X1314" s="36" t="str">
        <f aca="false">IF(A1314="","",IF(COUNTIF(Seguimiento!$B$2:$B$5001,A1314)=0,"",_xlfn.MAXIFS(Seguimiento!$A$2:$A$5001,Seguimiento!$B$2:$B$5001,A1314)))</f>
        <v/>
      </c>
      <c r="Y1314" s="37" t="str">
        <f aca="true">IF(B1314="","",TODAY()-B1314)</f>
        <v/>
      </c>
      <c r="Z1314" s="38" t="str">
        <f aca="false">IF(OR(O1314="",G1314=""),"",O1314*IFERROR(INDEX(Listas!$B$2:$B$50,MATCH(G1314,Listas!$A$2:$A$50,0)),0))</f>
        <v/>
      </c>
      <c r="AA1314" s="32"/>
      <c r="AB1314" s="32"/>
      <c r="AC1314" s="32"/>
      <c r="AD1314" s="35" t="str">
        <f aca="false">IF(OR(LEFT(H1314,4)="Meta",LEFT(H1314,6)="Google"),IF(AG1314=3,"Lead calificado",IF(OR(AG1314=4,AG1314=5),"Tasación/visita",IF(OR(AG1314=6,AG1314=7),"Captación/oferta",IF(AG1314=8,"Cierre","")))),"")</f>
        <v/>
      </c>
      <c r="AE1314" s="32"/>
      <c r="AF1314" s="32"/>
      <c r="AG1314" s="37" t="n">
        <f aca="false">IF(R1314="",0,IFERROR(MATCH(R1314,Listas!$L$2:$L$50,0),0))</f>
        <v>0</v>
      </c>
    </row>
    <row r="1315" customFormat="false" ht="15" hidden="false" customHeight="false" outlineLevel="0" collapsed="false">
      <c r="A1315" s="30"/>
      <c r="B1315" s="31"/>
      <c r="C1315" s="32"/>
      <c r="D1315" s="32"/>
      <c r="E1315" s="33"/>
      <c r="F1315" s="32"/>
      <c r="G1315" s="32"/>
      <c r="H1315" s="32"/>
      <c r="I1315" s="32"/>
      <c r="J1315" s="32"/>
      <c r="K1315" s="32"/>
      <c r="L1315" s="32"/>
      <c r="M1315" s="30"/>
      <c r="N1315" s="32"/>
      <c r="O1315" s="34"/>
      <c r="P1315" s="32"/>
      <c r="Q1315" s="32"/>
      <c r="R1315" s="32"/>
      <c r="S1315" s="32"/>
      <c r="T1315" s="32"/>
      <c r="U1315" s="32"/>
      <c r="V1315" s="31"/>
      <c r="W1315" s="35" t="str">
        <f aca="true">IF(OR(V1315="",AG1315&gt;=8),"",IF(V1315&lt;TODAY(),"Vencida",IF(V1315=TODAY(),"Hoy","")))</f>
        <v/>
      </c>
      <c r="X1315" s="36" t="str">
        <f aca="false">IF(A1315="","",IF(COUNTIF(Seguimiento!$B$2:$B$5001,A1315)=0,"",_xlfn.MAXIFS(Seguimiento!$A$2:$A$5001,Seguimiento!$B$2:$B$5001,A1315)))</f>
        <v/>
      </c>
      <c r="Y1315" s="37" t="str">
        <f aca="true">IF(B1315="","",TODAY()-B1315)</f>
        <v/>
      </c>
      <c r="Z1315" s="38" t="str">
        <f aca="false">IF(OR(O1315="",G1315=""),"",O1315*IFERROR(INDEX(Listas!$B$2:$B$50,MATCH(G1315,Listas!$A$2:$A$50,0)),0))</f>
        <v/>
      </c>
      <c r="AA1315" s="32"/>
      <c r="AB1315" s="32"/>
      <c r="AC1315" s="32"/>
      <c r="AD1315" s="35" t="str">
        <f aca="false">IF(OR(LEFT(H1315,4)="Meta",LEFT(H1315,6)="Google"),IF(AG1315=3,"Lead calificado",IF(OR(AG1315=4,AG1315=5),"Tasación/visita",IF(OR(AG1315=6,AG1315=7),"Captación/oferta",IF(AG1315=8,"Cierre","")))),"")</f>
        <v/>
      </c>
      <c r="AE1315" s="32"/>
      <c r="AF1315" s="32"/>
      <c r="AG1315" s="37" t="n">
        <f aca="false">IF(R1315="",0,IFERROR(MATCH(R1315,Listas!$L$2:$L$50,0),0))</f>
        <v>0</v>
      </c>
    </row>
    <row r="1316" customFormat="false" ht="15" hidden="false" customHeight="false" outlineLevel="0" collapsed="false">
      <c r="A1316" s="30"/>
      <c r="B1316" s="31"/>
      <c r="C1316" s="32"/>
      <c r="D1316" s="32"/>
      <c r="E1316" s="33"/>
      <c r="F1316" s="32"/>
      <c r="G1316" s="32"/>
      <c r="H1316" s="32"/>
      <c r="I1316" s="32"/>
      <c r="J1316" s="32"/>
      <c r="K1316" s="32"/>
      <c r="L1316" s="32"/>
      <c r="M1316" s="30"/>
      <c r="N1316" s="32"/>
      <c r="O1316" s="34"/>
      <c r="P1316" s="32"/>
      <c r="Q1316" s="32"/>
      <c r="R1316" s="32"/>
      <c r="S1316" s="32"/>
      <c r="T1316" s="32"/>
      <c r="U1316" s="32"/>
      <c r="V1316" s="31"/>
      <c r="W1316" s="35" t="str">
        <f aca="true">IF(OR(V1316="",AG1316&gt;=8),"",IF(V1316&lt;TODAY(),"Vencida",IF(V1316=TODAY(),"Hoy","")))</f>
        <v/>
      </c>
      <c r="X1316" s="36" t="str">
        <f aca="false">IF(A1316="","",IF(COUNTIF(Seguimiento!$B$2:$B$5001,A1316)=0,"",_xlfn.MAXIFS(Seguimiento!$A$2:$A$5001,Seguimiento!$B$2:$B$5001,A1316)))</f>
        <v/>
      </c>
      <c r="Y1316" s="37" t="str">
        <f aca="true">IF(B1316="","",TODAY()-B1316)</f>
        <v/>
      </c>
      <c r="Z1316" s="38" t="str">
        <f aca="false">IF(OR(O1316="",G1316=""),"",O1316*IFERROR(INDEX(Listas!$B$2:$B$50,MATCH(G1316,Listas!$A$2:$A$50,0)),0))</f>
        <v/>
      </c>
      <c r="AA1316" s="32"/>
      <c r="AB1316" s="32"/>
      <c r="AC1316" s="32"/>
      <c r="AD1316" s="35" t="str">
        <f aca="false">IF(OR(LEFT(H1316,4)="Meta",LEFT(H1316,6)="Google"),IF(AG1316=3,"Lead calificado",IF(OR(AG1316=4,AG1316=5),"Tasación/visita",IF(OR(AG1316=6,AG1316=7),"Captación/oferta",IF(AG1316=8,"Cierre","")))),"")</f>
        <v/>
      </c>
      <c r="AE1316" s="32"/>
      <c r="AF1316" s="32"/>
      <c r="AG1316" s="37" t="n">
        <f aca="false">IF(R1316="",0,IFERROR(MATCH(R1316,Listas!$L$2:$L$50,0),0))</f>
        <v>0</v>
      </c>
    </row>
    <row r="1317" customFormat="false" ht="15" hidden="false" customHeight="false" outlineLevel="0" collapsed="false">
      <c r="A1317" s="30"/>
      <c r="B1317" s="31"/>
      <c r="C1317" s="32"/>
      <c r="D1317" s="32"/>
      <c r="E1317" s="33"/>
      <c r="F1317" s="32"/>
      <c r="G1317" s="32"/>
      <c r="H1317" s="32"/>
      <c r="I1317" s="32"/>
      <c r="J1317" s="32"/>
      <c r="K1317" s="32"/>
      <c r="L1317" s="32"/>
      <c r="M1317" s="30"/>
      <c r="N1317" s="32"/>
      <c r="O1317" s="34"/>
      <c r="P1317" s="32"/>
      <c r="Q1317" s="32"/>
      <c r="R1317" s="32"/>
      <c r="S1317" s="32"/>
      <c r="T1317" s="32"/>
      <c r="U1317" s="32"/>
      <c r="V1317" s="31"/>
      <c r="W1317" s="35" t="str">
        <f aca="true">IF(OR(V1317="",AG1317&gt;=8),"",IF(V1317&lt;TODAY(),"Vencida",IF(V1317=TODAY(),"Hoy","")))</f>
        <v/>
      </c>
      <c r="X1317" s="36" t="str">
        <f aca="false">IF(A1317="","",IF(COUNTIF(Seguimiento!$B$2:$B$5001,A1317)=0,"",_xlfn.MAXIFS(Seguimiento!$A$2:$A$5001,Seguimiento!$B$2:$B$5001,A1317)))</f>
        <v/>
      </c>
      <c r="Y1317" s="37" t="str">
        <f aca="true">IF(B1317="","",TODAY()-B1317)</f>
        <v/>
      </c>
      <c r="Z1317" s="38" t="str">
        <f aca="false">IF(OR(O1317="",G1317=""),"",O1317*IFERROR(INDEX(Listas!$B$2:$B$50,MATCH(G1317,Listas!$A$2:$A$50,0)),0))</f>
        <v/>
      </c>
      <c r="AA1317" s="32"/>
      <c r="AB1317" s="32"/>
      <c r="AC1317" s="32"/>
      <c r="AD1317" s="35" t="str">
        <f aca="false">IF(OR(LEFT(H1317,4)="Meta",LEFT(H1317,6)="Google"),IF(AG1317=3,"Lead calificado",IF(OR(AG1317=4,AG1317=5),"Tasación/visita",IF(OR(AG1317=6,AG1317=7),"Captación/oferta",IF(AG1317=8,"Cierre","")))),"")</f>
        <v/>
      </c>
      <c r="AE1317" s="32"/>
      <c r="AF1317" s="32"/>
      <c r="AG1317" s="37" t="n">
        <f aca="false">IF(R1317="",0,IFERROR(MATCH(R1317,Listas!$L$2:$L$50,0),0))</f>
        <v>0</v>
      </c>
    </row>
    <row r="1318" customFormat="false" ht="15" hidden="false" customHeight="false" outlineLevel="0" collapsed="false">
      <c r="A1318" s="30"/>
      <c r="B1318" s="31"/>
      <c r="C1318" s="32"/>
      <c r="D1318" s="32"/>
      <c r="E1318" s="33"/>
      <c r="F1318" s="32"/>
      <c r="G1318" s="32"/>
      <c r="H1318" s="32"/>
      <c r="I1318" s="32"/>
      <c r="J1318" s="32"/>
      <c r="K1318" s="32"/>
      <c r="L1318" s="32"/>
      <c r="M1318" s="30"/>
      <c r="N1318" s="32"/>
      <c r="O1318" s="34"/>
      <c r="P1318" s="32"/>
      <c r="Q1318" s="32"/>
      <c r="R1318" s="32"/>
      <c r="S1318" s="32"/>
      <c r="T1318" s="32"/>
      <c r="U1318" s="32"/>
      <c r="V1318" s="31"/>
      <c r="W1318" s="35" t="str">
        <f aca="true">IF(OR(V1318="",AG1318&gt;=8),"",IF(V1318&lt;TODAY(),"Vencida",IF(V1318=TODAY(),"Hoy","")))</f>
        <v/>
      </c>
      <c r="X1318" s="36" t="str">
        <f aca="false">IF(A1318="","",IF(COUNTIF(Seguimiento!$B$2:$B$5001,A1318)=0,"",_xlfn.MAXIFS(Seguimiento!$A$2:$A$5001,Seguimiento!$B$2:$B$5001,A1318)))</f>
        <v/>
      </c>
      <c r="Y1318" s="37" t="str">
        <f aca="true">IF(B1318="","",TODAY()-B1318)</f>
        <v/>
      </c>
      <c r="Z1318" s="38" t="str">
        <f aca="false">IF(OR(O1318="",G1318=""),"",O1318*IFERROR(INDEX(Listas!$B$2:$B$50,MATCH(G1318,Listas!$A$2:$A$50,0)),0))</f>
        <v/>
      </c>
      <c r="AA1318" s="32"/>
      <c r="AB1318" s="32"/>
      <c r="AC1318" s="32"/>
      <c r="AD1318" s="35" t="str">
        <f aca="false">IF(OR(LEFT(H1318,4)="Meta",LEFT(H1318,6)="Google"),IF(AG1318=3,"Lead calificado",IF(OR(AG1318=4,AG1318=5),"Tasación/visita",IF(OR(AG1318=6,AG1318=7),"Captación/oferta",IF(AG1318=8,"Cierre","")))),"")</f>
        <v/>
      </c>
      <c r="AE1318" s="32"/>
      <c r="AF1318" s="32"/>
      <c r="AG1318" s="37" t="n">
        <f aca="false">IF(R1318="",0,IFERROR(MATCH(R1318,Listas!$L$2:$L$50,0),0))</f>
        <v>0</v>
      </c>
    </row>
    <row r="1319" customFormat="false" ht="15" hidden="false" customHeight="false" outlineLevel="0" collapsed="false">
      <c r="A1319" s="30"/>
      <c r="B1319" s="31"/>
      <c r="C1319" s="32"/>
      <c r="D1319" s="32"/>
      <c r="E1319" s="33"/>
      <c r="F1319" s="32"/>
      <c r="G1319" s="32"/>
      <c r="H1319" s="32"/>
      <c r="I1319" s="32"/>
      <c r="J1319" s="32"/>
      <c r="K1319" s="32"/>
      <c r="L1319" s="32"/>
      <c r="M1319" s="30"/>
      <c r="N1319" s="32"/>
      <c r="O1319" s="34"/>
      <c r="P1319" s="32"/>
      <c r="Q1319" s="32"/>
      <c r="R1319" s="32"/>
      <c r="S1319" s="32"/>
      <c r="T1319" s="32"/>
      <c r="U1319" s="32"/>
      <c r="V1319" s="31"/>
      <c r="W1319" s="35" t="str">
        <f aca="true">IF(OR(V1319="",AG1319&gt;=8),"",IF(V1319&lt;TODAY(),"Vencida",IF(V1319=TODAY(),"Hoy","")))</f>
        <v/>
      </c>
      <c r="X1319" s="36" t="str">
        <f aca="false">IF(A1319="","",IF(COUNTIF(Seguimiento!$B$2:$B$5001,A1319)=0,"",_xlfn.MAXIFS(Seguimiento!$A$2:$A$5001,Seguimiento!$B$2:$B$5001,A1319)))</f>
        <v/>
      </c>
      <c r="Y1319" s="37" t="str">
        <f aca="true">IF(B1319="","",TODAY()-B1319)</f>
        <v/>
      </c>
      <c r="Z1319" s="38" t="str">
        <f aca="false">IF(OR(O1319="",G1319=""),"",O1319*IFERROR(INDEX(Listas!$B$2:$B$50,MATCH(G1319,Listas!$A$2:$A$50,0)),0))</f>
        <v/>
      </c>
      <c r="AA1319" s="32"/>
      <c r="AB1319" s="32"/>
      <c r="AC1319" s="32"/>
      <c r="AD1319" s="35" t="str">
        <f aca="false">IF(OR(LEFT(H1319,4)="Meta",LEFT(H1319,6)="Google"),IF(AG1319=3,"Lead calificado",IF(OR(AG1319=4,AG1319=5),"Tasación/visita",IF(OR(AG1319=6,AG1319=7),"Captación/oferta",IF(AG1319=8,"Cierre","")))),"")</f>
        <v/>
      </c>
      <c r="AE1319" s="32"/>
      <c r="AF1319" s="32"/>
      <c r="AG1319" s="37" t="n">
        <f aca="false">IF(R1319="",0,IFERROR(MATCH(R1319,Listas!$L$2:$L$50,0),0))</f>
        <v>0</v>
      </c>
    </row>
    <row r="1320" customFormat="false" ht="15" hidden="false" customHeight="false" outlineLevel="0" collapsed="false">
      <c r="A1320" s="30"/>
      <c r="B1320" s="31"/>
      <c r="C1320" s="32"/>
      <c r="D1320" s="32"/>
      <c r="E1320" s="33"/>
      <c r="F1320" s="32"/>
      <c r="G1320" s="32"/>
      <c r="H1320" s="32"/>
      <c r="I1320" s="32"/>
      <c r="J1320" s="32"/>
      <c r="K1320" s="32"/>
      <c r="L1320" s="32"/>
      <c r="M1320" s="30"/>
      <c r="N1320" s="32"/>
      <c r="O1320" s="34"/>
      <c r="P1320" s="32"/>
      <c r="Q1320" s="32"/>
      <c r="R1320" s="32"/>
      <c r="S1320" s="32"/>
      <c r="T1320" s="32"/>
      <c r="U1320" s="32"/>
      <c r="V1320" s="31"/>
      <c r="W1320" s="35" t="str">
        <f aca="true">IF(OR(V1320="",AG1320&gt;=8),"",IF(V1320&lt;TODAY(),"Vencida",IF(V1320=TODAY(),"Hoy","")))</f>
        <v/>
      </c>
      <c r="X1320" s="36" t="str">
        <f aca="false">IF(A1320="","",IF(COUNTIF(Seguimiento!$B$2:$B$5001,A1320)=0,"",_xlfn.MAXIFS(Seguimiento!$A$2:$A$5001,Seguimiento!$B$2:$B$5001,A1320)))</f>
        <v/>
      </c>
      <c r="Y1320" s="37" t="str">
        <f aca="true">IF(B1320="","",TODAY()-B1320)</f>
        <v/>
      </c>
      <c r="Z1320" s="38" t="str">
        <f aca="false">IF(OR(O1320="",G1320=""),"",O1320*IFERROR(INDEX(Listas!$B$2:$B$50,MATCH(G1320,Listas!$A$2:$A$50,0)),0))</f>
        <v/>
      </c>
      <c r="AA1320" s="32"/>
      <c r="AB1320" s="32"/>
      <c r="AC1320" s="32"/>
      <c r="AD1320" s="35" t="str">
        <f aca="false">IF(OR(LEFT(H1320,4)="Meta",LEFT(H1320,6)="Google"),IF(AG1320=3,"Lead calificado",IF(OR(AG1320=4,AG1320=5),"Tasación/visita",IF(OR(AG1320=6,AG1320=7),"Captación/oferta",IF(AG1320=8,"Cierre","")))),"")</f>
        <v/>
      </c>
      <c r="AE1320" s="32"/>
      <c r="AF1320" s="32"/>
      <c r="AG1320" s="37" t="n">
        <f aca="false">IF(R1320="",0,IFERROR(MATCH(R1320,Listas!$L$2:$L$50,0),0))</f>
        <v>0</v>
      </c>
    </row>
    <row r="1321" customFormat="false" ht="15" hidden="false" customHeight="false" outlineLevel="0" collapsed="false">
      <c r="A1321" s="30"/>
      <c r="B1321" s="31"/>
      <c r="C1321" s="32"/>
      <c r="D1321" s="32"/>
      <c r="E1321" s="33"/>
      <c r="F1321" s="32"/>
      <c r="G1321" s="32"/>
      <c r="H1321" s="32"/>
      <c r="I1321" s="32"/>
      <c r="J1321" s="32"/>
      <c r="K1321" s="32"/>
      <c r="L1321" s="32"/>
      <c r="M1321" s="30"/>
      <c r="N1321" s="32"/>
      <c r="O1321" s="34"/>
      <c r="P1321" s="32"/>
      <c r="Q1321" s="32"/>
      <c r="R1321" s="32"/>
      <c r="S1321" s="32"/>
      <c r="T1321" s="32"/>
      <c r="U1321" s="32"/>
      <c r="V1321" s="31"/>
      <c r="W1321" s="35" t="str">
        <f aca="true">IF(OR(V1321="",AG1321&gt;=8),"",IF(V1321&lt;TODAY(),"Vencida",IF(V1321=TODAY(),"Hoy","")))</f>
        <v/>
      </c>
      <c r="X1321" s="36" t="str">
        <f aca="false">IF(A1321="","",IF(COUNTIF(Seguimiento!$B$2:$B$5001,A1321)=0,"",_xlfn.MAXIFS(Seguimiento!$A$2:$A$5001,Seguimiento!$B$2:$B$5001,A1321)))</f>
        <v/>
      </c>
      <c r="Y1321" s="37" t="str">
        <f aca="true">IF(B1321="","",TODAY()-B1321)</f>
        <v/>
      </c>
      <c r="Z1321" s="38" t="str">
        <f aca="false">IF(OR(O1321="",G1321=""),"",O1321*IFERROR(INDEX(Listas!$B$2:$B$50,MATCH(G1321,Listas!$A$2:$A$50,0)),0))</f>
        <v/>
      </c>
      <c r="AA1321" s="32"/>
      <c r="AB1321" s="32"/>
      <c r="AC1321" s="32"/>
      <c r="AD1321" s="35" t="str">
        <f aca="false">IF(OR(LEFT(H1321,4)="Meta",LEFT(H1321,6)="Google"),IF(AG1321=3,"Lead calificado",IF(OR(AG1321=4,AG1321=5),"Tasación/visita",IF(OR(AG1321=6,AG1321=7),"Captación/oferta",IF(AG1321=8,"Cierre","")))),"")</f>
        <v/>
      </c>
      <c r="AE1321" s="32"/>
      <c r="AF1321" s="32"/>
      <c r="AG1321" s="37" t="n">
        <f aca="false">IF(R1321="",0,IFERROR(MATCH(R1321,Listas!$L$2:$L$50,0),0))</f>
        <v>0</v>
      </c>
    </row>
    <row r="1322" customFormat="false" ht="15" hidden="false" customHeight="false" outlineLevel="0" collapsed="false">
      <c r="A1322" s="30"/>
      <c r="B1322" s="31"/>
      <c r="C1322" s="32"/>
      <c r="D1322" s="32"/>
      <c r="E1322" s="33"/>
      <c r="F1322" s="32"/>
      <c r="G1322" s="32"/>
      <c r="H1322" s="32"/>
      <c r="I1322" s="32"/>
      <c r="J1322" s="32"/>
      <c r="K1322" s="32"/>
      <c r="L1322" s="32"/>
      <c r="M1322" s="30"/>
      <c r="N1322" s="32"/>
      <c r="O1322" s="34"/>
      <c r="P1322" s="32"/>
      <c r="Q1322" s="32"/>
      <c r="R1322" s="32"/>
      <c r="S1322" s="32"/>
      <c r="T1322" s="32"/>
      <c r="U1322" s="32"/>
      <c r="V1322" s="31"/>
      <c r="W1322" s="35" t="str">
        <f aca="true">IF(OR(V1322="",AG1322&gt;=8),"",IF(V1322&lt;TODAY(),"Vencida",IF(V1322=TODAY(),"Hoy","")))</f>
        <v/>
      </c>
      <c r="X1322" s="36" t="str">
        <f aca="false">IF(A1322="","",IF(COUNTIF(Seguimiento!$B$2:$B$5001,A1322)=0,"",_xlfn.MAXIFS(Seguimiento!$A$2:$A$5001,Seguimiento!$B$2:$B$5001,A1322)))</f>
        <v/>
      </c>
      <c r="Y1322" s="37" t="str">
        <f aca="true">IF(B1322="","",TODAY()-B1322)</f>
        <v/>
      </c>
      <c r="Z1322" s="38" t="str">
        <f aca="false">IF(OR(O1322="",G1322=""),"",O1322*IFERROR(INDEX(Listas!$B$2:$B$50,MATCH(G1322,Listas!$A$2:$A$50,0)),0))</f>
        <v/>
      </c>
      <c r="AA1322" s="32"/>
      <c r="AB1322" s="32"/>
      <c r="AC1322" s="32"/>
      <c r="AD1322" s="35" t="str">
        <f aca="false">IF(OR(LEFT(H1322,4)="Meta",LEFT(H1322,6)="Google"),IF(AG1322=3,"Lead calificado",IF(OR(AG1322=4,AG1322=5),"Tasación/visita",IF(OR(AG1322=6,AG1322=7),"Captación/oferta",IF(AG1322=8,"Cierre","")))),"")</f>
        <v/>
      </c>
      <c r="AE1322" s="32"/>
      <c r="AF1322" s="32"/>
      <c r="AG1322" s="37" t="n">
        <f aca="false">IF(R1322="",0,IFERROR(MATCH(R1322,Listas!$L$2:$L$50,0),0))</f>
        <v>0</v>
      </c>
    </row>
    <row r="1323" customFormat="false" ht="15" hidden="false" customHeight="false" outlineLevel="0" collapsed="false">
      <c r="A1323" s="30"/>
      <c r="B1323" s="31"/>
      <c r="C1323" s="32"/>
      <c r="D1323" s="32"/>
      <c r="E1323" s="33"/>
      <c r="F1323" s="32"/>
      <c r="G1323" s="32"/>
      <c r="H1323" s="32"/>
      <c r="I1323" s="32"/>
      <c r="J1323" s="32"/>
      <c r="K1323" s="32"/>
      <c r="L1323" s="32"/>
      <c r="M1323" s="30"/>
      <c r="N1323" s="32"/>
      <c r="O1323" s="34"/>
      <c r="P1323" s="32"/>
      <c r="Q1323" s="32"/>
      <c r="R1323" s="32"/>
      <c r="S1323" s="32"/>
      <c r="T1323" s="32"/>
      <c r="U1323" s="32"/>
      <c r="V1323" s="31"/>
      <c r="W1323" s="35" t="str">
        <f aca="true">IF(OR(V1323="",AG1323&gt;=8),"",IF(V1323&lt;TODAY(),"Vencida",IF(V1323=TODAY(),"Hoy","")))</f>
        <v/>
      </c>
      <c r="X1323" s="36" t="str">
        <f aca="false">IF(A1323="","",IF(COUNTIF(Seguimiento!$B$2:$B$5001,A1323)=0,"",_xlfn.MAXIFS(Seguimiento!$A$2:$A$5001,Seguimiento!$B$2:$B$5001,A1323)))</f>
        <v/>
      </c>
      <c r="Y1323" s="37" t="str">
        <f aca="true">IF(B1323="","",TODAY()-B1323)</f>
        <v/>
      </c>
      <c r="Z1323" s="38" t="str">
        <f aca="false">IF(OR(O1323="",G1323=""),"",O1323*IFERROR(INDEX(Listas!$B$2:$B$50,MATCH(G1323,Listas!$A$2:$A$50,0)),0))</f>
        <v/>
      </c>
      <c r="AA1323" s="32"/>
      <c r="AB1323" s="32"/>
      <c r="AC1323" s="32"/>
      <c r="AD1323" s="35" t="str">
        <f aca="false">IF(OR(LEFT(H1323,4)="Meta",LEFT(H1323,6)="Google"),IF(AG1323=3,"Lead calificado",IF(OR(AG1323=4,AG1323=5),"Tasación/visita",IF(OR(AG1323=6,AG1323=7),"Captación/oferta",IF(AG1323=8,"Cierre","")))),"")</f>
        <v/>
      </c>
      <c r="AE1323" s="32"/>
      <c r="AF1323" s="32"/>
      <c r="AG1323" s="37" t="n">
        <f aca="false">IF(R1323="",0,IFERROR(MATCH(R1323,Listas!$L$2:$L$50,0),0))</f>
        <v>0</v>
      </c>
    </row>
    <row r="1324" customFormat="false" ht="15" hidden="false" customHeight="false" outlineLevel="0" collapsed="false">
      <c r="A1324" s="30"/>
      <c r="B1324" s="31"/>
      <c r="C1324" s="32"/>
      <c r="D1324" s="32"/>
      <c r="E1324" s="33"/>
      <c r="F1324" s="32"/>
      <c r="G1324" s="32"/>
      <c r="H1324" s="32"/>
      <c r="I1324" s="32"/>
      <c r="J1324" s="32"/>
      <c r="K1324" s="32"/>
      <c r="L1324" s="32"/>
      <c r="M1324" s="30"/>
      <c r="N1324" s="32"/>
      <c r="O1324" s="34"/>
      <c r="P1324" s="32"/>
      <c r="Q1324" s="32"/>
      <c r="R1324" s="32"/>
      <c r="S1324" s="32"/>
      <c r="T1324" s="32"/>
      <c r="U1324" s="32"/>
      <c r="V1324" s="31"/>
      <c r="W1324" s="35" t="str">
        <f aca="true">IF(OR(V1324="",AG1324&gt;=8),"",IF(V1324&lt;TODAY(),"Vencida",IF(V1324=TODAY(),"Hoy","")))</f>
        <v/>
      </c>
      <c r="X1324" s="36" t="str">
        <f aca="false">IF(A1324="","",IF(COUNTIF(Seguimiento!$B$2:$B$5001,A1324)=0,"",_xlfn.MAXIFS(Seguimiento!$A$2:$A$5001,Seguimiento!$B$2:$B$5001,A1324)))</f>
        <v/>
      </c>
      <c r="Y1324" s="37" t="str">
        <f aca="true">IF(B1324="","",TODAY()-B1324)</f>
        <v/>
      </c>
      <c r="Z1324" s="38" t="str">
        <f aca="false">IF(OR(O1324="",G1324=""),"",O1324*IFERROR(INDEX(Listas!$B$2:$B$50,MATCH(G1324,Listas!$A$2:$A$50,0)),0))</f>
        <v/>
      </c>
      <c r="AA1324" s="32"/>
      <c r="AB1324" s="32"/>
      <c r="AC1324" s="32"/>
      <c r="AD1324" s="35" t="str">
        <f aca="false">IF(OR(LEFT(H1324,4)="Meta",LEFT(H1324,6)="Google"),IF(AG1324=3,"Lead calificado",IF(OR(AG1324=4,AG1324=5),"Tasación/visita",IF(OR(AG1324=6,AG1324=7),"Captación/oferta",IF(AG1324=8,"Cierre","")))),"")</f>
        <v/>
      </c>
      <c r="AE1324" s="32"/>
      <c r="AF1324" s="32"/>
      <c r="AG1324" s="37" t="n">
        <f aca="false">IF(R1324="",0,IFERROR(MATCH(R1324,Listas!$L$2:$L$50,0),0))</f>
        <v>0</v>
      </c>
    </row>
    <row r="1325" customFormat="false" ht="15" hidden="false" customHeight="false" outlineLevel="0" collapsed="false">
      <c r="A1325" s="30"/>
      <c r="B1325" s="31"/>
      <c r="C1325" s="32"/>
      <c r="D1325" s="32"/>
      <c r="E1325" s="33"/>
      <c r="F1325" s="32"/>
      <c r="G1325" s="32"/>
      <c r="H1325" s="32"/>
      <c r="I1325" s="32"/>
      <c r="J1325" s="32"/>
      <c r="K1325" s="32"/>
      <c r="L1325" s="32"/>
      <c r="M1325" s="30"/>
      <c r="N1325" s="32"/>
      <c r="O1325" s="34"/>
      <c r="P1325" s="32"/>
      <c r="Q1325" s="32"/>
      <c r="R1325" s="32"/>
      <c r="S1325" s="32"/>
      <c r="T1325" s="32"/>
      <c r="U1325" s="32"/>
      <c r="V1325" s="31"/>
      <c r="W1325" s="35" t="str">
        <f aca="true">IF(OR(V1325="",AG1325&gt;=8),"",IF(V1325&lt;TODAY(),"Vencida",IF(V1325=TODAY(),"Hoy","")))</f>
        <v/>
      </c>
      <c r="X1325" s="36" t="str">
        <f aca="false">IF(A1325="","",IF(COUNTIF(Seguimiento!$B$2:$B$5001,A1325)=0,"",_xlfn.MAXIFS(Seguimiento!$A$2:$A$5001,Seguimiento!$B$2:$B$5001,A1325)))</f>
        <v/>
      </c>
      <c r="Y1325" s="37" t="str">
        <f aca="true">IF(B1325="","",TODAY()-B1325)</f>
        <v/>
      </c>
      <c r="Z1325" s="38" t="str">
        <f aca="false">IF(OR(O1325="",G1325=""),"",O1325*IFERROR(INDEX(Listas!$B$2:$B$50,MATCH(G1325,Listas!$A$2:$A$50,0)),0))</f>
        <v/>
      </c>
      <c r="AA1325" s="32"/>
      <c r="AB1325" s="32"/>
      <c r="AC1325" s="32"/>
      <c r="AD1325" s="35" t="str">
        <f aca="false">IF(OR(LEFT(H1325,4)="Meta",LEFT(H1325,6)="Google"),IF(AG1325=3,"Lead calificado",IF(OR(AG1325=4,AG1325=5),"Tasación/visita",IF(OR(AG1325=6,AG1325=7),"Captación/oferta",IF(AG1325=8,"Cierre","")))),"")</f>
        <v/>
      </c>
      <c r="AE1325" s="32"/>
      <c r="AF1325" s="32"/>
      <c r="AG1325" s="37" t="n">
        <f aca="false">IF(R1325="",0,IFERROR(MATCH(R1325,Listas!$L$2:$L$50,0),0))</f>
        <v>0</v>
      </c>
    </row>
    <row r="1326" customFormat="false" ht="15" hidden="false" customHeight="false" outlineLevel="0" collapsed="false">
      <c r="A1326" s="30"/>
      <c r="B1326" s="31"/>
      <c r="C1326" s="32"/>
      <c r="D1326" s="32"/>
      <c r="E1326" s="33"/>
      <c r="F1326" s="32"/>
      <c r="G1326" s="32"/>
      <c r="H1326" s="32"/>
      <c r="I1326" s="32"/>
      <c r="J1326" s="32"/>
      <c r="K1326" s="32"/>
      <c r="L1326" s="32"/>
      <c r="M1326" s="30"/>
      <c r="N1326" s="32"/>
      <c r="O1326" s="34"/>
      <c r="P1326" s="32"/>
      <c r="Q1326" s="32"/>
      <c r="R1326" s="32"/>
      <c r="S1326" s="32"/>
      <c r="T1326" s="32"/>
      <c r="U1326" s="32"/>
      <c r="V1326" s="31"/>
      <c r="W1326" s="35" t="str">
        <f aca="true">IF(OR(V1326="",AG1326&gt;=8),"",IF(V1326&lt;TODAY(),"Vencida",IF(V1326=TODAY(),"Hoy","")))</f>
        <v/>
      </c>
      <c r="X1326" s="36" t="str">
        <f aca="false">IF(A1326="","",IF(COUNTIF(Seguimiento!$B$2:$B$5001,A1326)=0,"",_xlfn.MAXIFS(Seguimiento!$A$2:$A$5001,Seguimiento!$B$2:$B$5001,A1326)))</f>
        <v/>
      </c>
      <c r="Y1326" s="37" t="str">
        <f aca="true">IF(B1326="","",TODAY()-B1326)</f>
        <v/>
      </c>
      <c r="Z1326" s="38" t="str">
        <f aca="false">IF(OR(O1326="",G1326=""),"",O1326*IFERROR(INDEX(Listas!$B$2:$B$50,MATCH(G1326,Listas!$A$2:$A$50,0)),0))</f>
        <v/>
      </c>
      <c r="AA1326" s="32"/>
      <c r="AB1326" s="32"/>
      <c r="AC1326" s="32"/>
      <c r="AD1326" s="35" t="str">
        <f aca="false">IF(OR(LEFT(H1326,4)="Meta",LEFT(H1326,6)="Google"),IF(AG1326=3,"Lead calificado",IF(OR(AG1326=4,AG1326=5),"Tasación/visita",IF(OR(AG1326=6,AG1326=7),"Captación/oferta",IF(AG1326=8,"Cierre","")))),"")</f>
        <v/>
      </c>
      <c r="AE1326" s="32"/>
      <c r="AF1326" s="32"/>
      <c r="AG1326" s="37" t="n">
        <f aca="false">IF(R1326="",0,IFERROR(MATCH(R1326,Listas!$L$2:$L$50,0),0))</f>
        <v>0</v>
      </c>
    </row>
    <row r="1327" customFormat="false" ht="15" hidden="false" customHeight="false" outlineLevel="0" collapsed="false">
      <c r="A1327" s="30"/>
      <c r="B1327" s="31"/>
      <c r="C1327" s="32"/>
      <c r="D1327" s="32"/>
      <c r="E1327" s="33"/>
      <c r="F1327" s="32"/>
      <c r="G1327" s="32"/>
      <c r="H1327" s="32"/>
      <c r="I1327" s="32"/>
      <c r="J1327" s="32"/>
      <c r="K1327" s="32"/>
      <c r="L1327" s="32"/>
      <c r="M1327" s="30"/>
      <c r="N1327" s="32"/>
      <c r="O1327" s="34"/>
      <c r="P1327" s="32"/>
      <c r="Q1327" s="32"/>
      <c r="R1327" s="32"/>
      <c r="S1327" s="32"/>
      <c r="T1327" s="32"/>
      <c r="U1327" s="32"/>
      <c r="V1327" s="31"/>
      <c r="W1327" s="35" t="str">
        <f aca="true">IF(OR(V1327="",AG1327&gt;=8),"",IF(V1327&lt;TODAY(),"Vencida",IF(V1327=TODAY(),"Hoy","")))</f>
        <v/>
      </c>
      <c r="X1327" s="36" t="str">
        <f aca="false">IF(A1327="","",IF(COUNTIF(Seguimiento!$B$2:$B$5001,A1327)=0,"",_xlfn.MAXIFS(Seguimiento!$A$2:$A$5001,Seguimiento!$B$2:$B$5001,A1327)))</f>
        <v/>
      </c>
      <c r="Y1327" s="37" t="str">
        <f aca="true">IF(B1327="","",TODAY()-B1327)</f>
        <v/>
      </c>
      <c r="Z1327" s="38" t="str">
        <f aca="false">IF(OR(O1327="",G1327=""),"",O1327*IFERROR(INDEX(Listas!$B$2:$B$50,MATCH(G1327,Listas!$A$2:$A$50,0)),0))</f>
        <v/>
      </c>
      <c r="AA1327" s="32"/>
      <c r="AB1327" s="32"/>
      <c r="AC1327" s="32"/>
      <c r="AD1327" s="35" t="str">
        <f aca="false">IF(OR(LEFT(H1327,4)="Meta",LEFT(H1327,6)="Google"),IF(AG1327=3,"Lead calificado",IF(OR(AG1327=4,AG1327=5),"Tasación/visita",IF(OR(AG1327=6,AG1327=7),"Captación/oferta",IF(AG1327=8,"Cierre","")))),"")</f>
        <v/>
      </c>
      <c r="AE1327" s="32"/>
      <c r="AF1327" s="32"/>
      <c r="AG1327" s="37" t="n">
        <f aca="false">IF(R1327="",0,IFERROR(MATCH(R1327,Listas!$L$2:$L$50,0),0))</f>
        <v>0</v>
      </c>
    </row>
    <row r="1328" customFormat="false" ht="15" hidden="false" customHeight="false" outlineLevel="0" collapsed="false">
      <c r="A1328" s="30"/>
      <c r="B1328" s="31"/>
      <c r="C1328" s="32"/>
      <c r="D1328" s="32"/>
      <c r="E1328" s="33"/>
      <c r="F1328" s="32"/>
      <c r="G1328" s="32"/>
      <c r="H1328" s="32"/>
      <c r="I1328" s="32"/>
      <c r="J1328" s="32"/>
      <c r="K1328" s="32"/>
      <c r="L1328" s="32"/>
      <c r="M1328" s="30"/>
      <c r="N1328" s="32"/>
      <c r="O1328" s="34"/>
      <c r="P1328" s="32"/>
      <c r="Q1328" s="32"/>
      <c r="R1328" s="32"/>
      <c r="S1328" s="32"/>
      <c r="T1328" s="32"/>
      <c r="U1328" s="32"/>
      <c r="V1328" s="31"/>
      <c r="W1328" s="35" t="str">
        <f aca="true">IF(OR(V1328="",AG1328&gt;=8),"",IF(V1328&lt;TODAY(),"Vencida",IF(V1328=TODAY(),"Hoy","")))</f>
        <v/>
      </c>
      <c r="X1328" s="36" t="str">
        <f aca="false">IF(A1328="","",IF(COUNTIF(Seguimiento!$B$2:$B$5001,A1328)=0,"",_xlfn.MAXIFS(Seguimiento!$A$2:$A$5001,Seguimiento!$B$2:$B$5001,A1328)))</f>
        <v/>
      </c>
      <c r="Y1328" s="37" t="str">
        <f aca="true">IF(B1328="","",TODAY()-B1328)</f>
        <v/>
      </c>
      <c r="Z1328" s="38" t="str">
        <f aca="false">IF(OR(O1328="",G1328=""),"",O1328*IFERROR(INDEX(Listas!$B$2:$B$50,MATCH(G1328,Listas!$A$2:$A$50,0)),0))</f>
        <v/>
      </c>
      <c r="AA1328" s="32"/>
      <c r="AB1328" s="32"/>
      <c r="AC1328" s="32"/>
      <c r="AD1328" s="35" t="str">
        <f aca="false">IF(OR(LEFT(H1328,4)="Meta",LEFT(H1328,6)="Google"),IF(AG1328=3,"Lead calificado",IF(OR(AG1328=4,AG1328=5),"Tasación/visita",IF(OR(AG1328=6,AG1328=7),"Captación/oferta",IF(AG1328=8,"Cierre","")))),"")</f>
        <v/>
      </c>
      <c r="AE1328" s="32"/>
      <c r="AF1328" s="32"/>
      <c r="AG1328" s="37" t="n">
        <f aca="false">IF(R1328="",0,IFERROR(MATCH(R1328,Listas!$L$2:$L$50,0),0))</f>
        <v>0</v>
      </c>
    </row>
    <row r="1329" customFormat="false" ht="15" hidden="false" customHeight="false" outlineLevel="0" collapsed="false">
      <c r="A1329" s="30"/>
      <c r="B1329" s="31"/>
      <c r="C1329" s="32"/>
      <c r="D1329" s="32"/>
      <c r="E1329" s="33"/>
      <c r="F1329" s="32"/>
      <c r="G1329" s="32"/>
      <c r="H1329" s="32"/>
      <c r="I1329" s="32"/>
      <c r="J1329" s="32"/>
      <c r="K1329" s="32"/>
      <c r="L1329" s="32"/>
      <c r="M1329" s="30"/>
      <c r="N1329" s="32"/>
      <c r="O1329" s="34"/>
      <c r="P1329" s="32"/>
      <c r="Q1329" s="32"/>
      <c r="R1329" s="32"/>
      <c r="S1329" s="32"/>
      <c r="T1329" s="32"/>
      <c r="U1329" s="32"/>
      <c r="V1329" s="31"/>
      <c r="W1329" s="35" t="str">
        <f aca="true">IF(OR(V1329="",AG1329&gt;=8),"",IF(V1329&lt;TODAY(),"Vencida",IF(V1329=TODAY(),"Hoy","")))</f>
        <v/>
      </c>
      <c r="X1329" s="36" t="str">
        <f aca="false">IF(A1329="","",IF(COUNTIF(Seguimiento!$B$2:$B$5001,A1329)=0,"",_xlfn.MAXIFS(Seguimiento!$A$2:$A$5001,Seguimiento!$B$2:$B$5001,A1329)))</f>
        <v/>
      </c>
      <c r="Y1329" s="37" t="str">
        <f aca="true">IF(B1329="","",TODAY()-B1329)</f>
        <v/>
      </c>
      <c r="Z1329" s="38" t="str">
        <f aca="false">IF(OR(O1329="",G1329=""),"",O1329*IFERROR(INDEX(Listas!$B$2:$B$50,MATCH(G1329,Listas!$A$2:$A$50,0)),0))</f>
        <v/>
      </c>
      <c r="AA1329" s="32"/>
      <c r="AB1329" s="32"/>
      <c r="AC1329" s="32"/>
      <c r="AD1329" s="35" t="str">
        <f aca="false">IF(OR(LEFT(H1329,4)="Meta",LEFT(H1329,6)="Google"),IF(AG1329=3,"Lead calificado",IF(OR(AG1329=4,AG1329=5),"Tasación/visita",IF(OR(AG1329=6,AG1329=7),"Captación/oferta",IF(AG1329=8,"Cierre","")))),"")</f>
        <v/>
      </c>
      <c r="AE1329" s="32"/>
      <c r="AF1329" s="32"/>
      <c r="AG1329" s="37" t="n">
        <f aca="false">IF(R1329="",0,IFERROR(MATCH(R1329,Listas!$L$2:$L$50,0),0))</f>
        <v>0</v>
      </c>
    </row>
    <row r="1330" customFormat="false" ht="15" hidden="false" customHeight="false" outlineLevel="0" collapsed="false">
      <c r="A1330" s="30"/>
      <c r="B1330" s="31"/>
      <c r="C1330" s="32"/>
      <c r="D1330" s="32"/>
      <c r="E1330" s="33"/>
      <c r="F1330" s="32"/>
      <c r="G1330" s="32"/>
      <c r="H1330" s="32"/>
      <c r="I1330" s="32"/>
      <c r="J1330" s="32"/>
      <c r="K1330" s="32"/>
      <c r="L1330" s="32"/>
      <c r="M1330" s="30"/>
      <c r="N1330" s="32"/>
      <c r="O1330" s="34"/>
      <c r="P1330" s="32"/>
      <c r="Q1330" s="32"/>
      <c r="R1330" s="32"/>
      <c r="S1330" s="32"/>
      <c r="T1330" s="32"/>
      <c r="U1330" s="32"/>
      <c r="V1330" s="31"/>
      <c r="W1330" s="35" t="str">
        <f aca="true">IF(OR(V1330="",AG1330&gt;=8),"",IF(V1330&lt;TODAY(),"Vencida",IF(V1330=TODAY(),"Hoy","")))</f>
        <v/>
      </c>
      <c r="X1330" s="36" t="str">
        <f aca="false">IF(A1330="","",IF(COUNTIF(Seguimiento!$B$2:$B$5001,A1330)=0,"",_xlfn.MAXIFS(Seguimiento!$A$2:$A$5001,Seguimiento!$B$2:$B$5001,A1330)))</f>
        <v/>
      </c>
      <c r="Y1330" s="37" t="str">
        <f aca="true">IF(B1330="","",TODAY()-B1330)</f>
        <v/>
      </c>
      <c r="Z1330" s="38" t="str">
        <f aca="false">IF(OR(O1330="",G1330=""),"",O1330*IFERROR(INDEX(Listas!$B$2:$B$50,MATCH(G1330,Listas!$A$2:$A$50,0)),0))</f>
        <v/>
      </c>
      <c r="AA1330" s="32"/>
      <c r="AB1330" s="32"/>
      <c r="AC1330" s="32"/>
      <c r="AD1330" s="35" t="str">
        <f aca="false">IF(OR(LEFT(H1330,4)="Meta",LEFT(H1330,6)="Google"),IF(AG1330=3,"Lead calificado",IF(OR(AG1330=4,AG1330=5),"Tasación/visita",IF(OR(AG1330=6,AG1330=7),"Captación/oferta",IF(AG1330=8,"Cierre","")))),"")</f>
        <v/>
      </c>
      <c r="AE1330" s="32"/>
      <c r="AF1330" s="32"/>
      <c r="AG1330" s="37" t="n">
        <f aca="false">IF(R1330="",0,IFERROR(MATCH(R1330,Listas!$L$2:$L$50,0),0))</f>
        <v>0</v>
      </c>
    </row>
    <row r="1331" customFormat="false" ht="15" hidden="false" customHeight="false" outlineLevel="0" collapsed="false">
      <c r="A1331" s="30"/>
      <c r="B1331" s="31"/>
      <c r="C1331" s="32"/>
      <c r="D1331" s="32"/>
      <c r="E1331" s="33"/>
      <c r="F1331" s="32"/>
      <c r="G1331" s="32"/>
      <c r="H1331" s="32"/>
      <c r="I1331" s="32"/>
      <c r="J1331" s="32"/>
      <c r="K1331" s="32"/>
      <c r="L1331" s="32"/>
      <c r="M1331" s="30"/>
      <c r="N1331" s="32"/>
      <c r="O1331" s="34"/>
      <c r="P1331" s="32"/>
      <c r="Q1331" s="32"/>
      <c r="R1331" s="32"/>
      <c r="S1331" s="32"/>
      <c r="T1331" s="32"/>
      <c r="U1331" s="32"/>
      <c r="V1331" s="31"/>
      <c r="W1331" s="35" t="str">
        <f aca="true">IF(OR(V1331="",AG1331&gt;=8),"",IF(V1331&lt;TODAY(),"Vencida",IF(V1331=TODAY(),"Hoy","")))</f>
        <v/>
      </c>
      <c r="X1331" s="36" t="str">
        <f aca="false">IF(A1331="","",IF(COUNTIF(Seguimiento!$B$2:$B$5001,A1331)=0,"",_xlfn.MAXIFS(Seguimiento!$A$2:$A$5001,Seguimiento!$B$2:$B$5001,A1331)))</f>
        <v/>
      </c>
      <c r="Y1331" s="37" t="str">
        <f aca="true">IF(B1331="","",TODAY()-B1331)</f>
        <v/>
      </c>
      <c r="Z1331" s="38" t="str">
        <f aca="false">IF(OR(O1331="",G1331=""),"",O1331*IFERROR(INDEX(Listas!$B$2:$B$50,MATCH(G1331,Listas!$A$2:$A$50,0)),0))</f>
        <v/>
      </c>
      <c r="AA1331" s="32"/>
      <c r="AB1331" s="32"/>
      <c r="AC1331" s="32"/>
      <c r="AD1331" s="35" t="str">
        <f aca="false">IF(OR(LEFT(H1331,4)="Meta",LEFT(H1331,6)="Google"),IF(AG1331=3,"Lead calificado",IF(OR(AG1331=4,AG1331=5),"Tasación/visita",IF(OR(AG1331=6,AG1331=7),"Captación/oferta",IF(AG1331=8,"Cierre","")))),"")</f>
        <v/>
      </c>
      <c r="AE1331" s="32"/>
      <c r="AF1331" s="32"/>
      <c r="AG1331" s="37" t="n">
        <f aca="false">IF(R1331="",0,IFERROR(MATCH(R1331,Listas!$L$2:$L$50,0),0))</f>
        <v>0</v>
      </c>
    </row>
    <row r="1332" customFormat="false" ht="15" hidden="false" customHeight="false" outlineLevel="0" collapsed="false">
      <c r="A1332" s="30"/>
      <c r="B1332" s="31"/>
      <c r="C1332" s="32"/>
      <c r="D1332" s="32"/>
      <c r="E1332" s="33"/>
      <c r="F1332" s="32"/>
      <c r="G1332" s="32"/>
      <c r="H1332" s="32"/>
      <c r="I1332" s="32"/>
      <c r="J1332" s="32"/>
      <c r="K1332" s="32"/>
      <c r="L1332" s="32"/>
      <c r="M1332" s="30"/>
      <c r="N1332" s="32"/>
      <c r="O1332" s="34"/>
      <c r="P1332" s="32"/>
      <c r="Q1332" s="32"/>
      <c r="R1332" s="32"/>
      <c r="S1332" s="32"/>
      <c r="T1332" s="32"/>
      <c r="U1332" s="32"/>
      <c r="V1332" s="31"/>
      <c r="W1332" s="35" t="str">
        <f aca="true">IF(OR(V1332="",AG1332&gt;=8),"",IF(V1332&lt;TODAY(),"Vencida",IF(V1332=TODAY(),"Hoy","")))</f>
        <v/>
      </c>
      <c r="X1332" s="36" t="str">
        <f aca="false">IF(A1332="","",IF(COUNTIF(Seguimiento!$B$2:$B$5001,A1332)=0,"",_xlfn.MAXIFS(Seguimiento!$A$2:$A$5001,Seguimiento!$B$2:$B$5001,A1332)))</f>
        <v/>
      </c>
      <c r="Y1332" s="37" t="str">
        <f aca="true">IF(B1332="","",TODAY()-B1332)</f>
        <v/>
      </c>
      <c r="Z1332" s="38" t="str">
        <f aca="false">IF(OR(O1332="",G1332=""),"",O1332*IFERROR(INDEX(Listas!$B$2:$B$50,MATCH(G1332,Listas!$A$2:$A$50,0)),0))</f>
        <v/>
      </c>
      <c r="AA1332" s="32"/>
      <c r="AB1332" s="32"/>
      <c r="AC1332" s="32"/>
      <c r="AD1332" s="35" t="str">
        <f aca="false">IF(OR(LEFT(H1332,4)="Meta",LEFT(H1332,6)="Google"),IF(AG1332=3,"Lead calificado",IF(OR(AG1332=4,AG1332=5),"Tasación/visita",IF(OR(AG1332=6,AG1332=7),"Captación/oferta",IF(AG1332=8,"Cierre","")))),"")</f>
        <v/>
      </c>
      <c r="AE1332" s="32"/>
      <c r="AF1332" s="32"/>
      <c r="AG1332" s="37" t="n">
        <f aca="false">IF(R1332="",0,IFERROR(MATCH(R1332,Listas!$L$2:$L$50,0),0))</f>
        <v>0</v>
      </c>
    </row>
    <row r="1333" customFormat="false" ht="15" hidden="false" customHeight="false" outlineLevel="0" collapsed="false">
      <c r="A1333" s="30"/>
      <c r="B1333" s="31"/>
      <c r="C1333" s="32"/>
      <c r="D1333" s="32"/>
      <c r="E1333" s="33"/>
      <c r="F1333" s="32"/>
      <c r="G1333" s="32"/>
      <c r="H1333" s="32"/>
      <c r="I1333" s="32"/>
      <c r="J1333" s="32"/>
      <c r="K1333" s="32"/>
      <c r="L1333" s="32"/>
      <c r="M1333" s="30"/>
      <c r="N1333" s="32"/>
      <c r="O1333" s="34"/>
      <c r="P1333" s="32"/>
      <c r="Q1333" s="32"/>
      <c r="R1333" s="32"/>
      <c r="S1333" s="32"/>
      <c r="T1333" s="32"/>
      <c r="U1333" s="32"/>
      <c r="V1333" s="31"/>
      <c r="W1333" s="35" t="str">
        <f aca="true">IF(OR(V1333="",AG1333&gt;=8),"",IF(V1333&lt;TODAY(),"Vencida",IF(V1333=TODAY(),"Hoy","")))</f>
        <v/>
      </c>
      <c r="X1333" s="36" t="str">
        <f aca="false">IF(A1333="","",IF(COUNTIF(Seguimiento!$B$2:$B$5001,A1333)=0,"",_xlfn.MAXIFS(Seguimiento!$A$2:$A$5001,Seguimiento!$B$2:$B$5001,A1333)))</f>
        <v/>
      </c>
      <c r="Y1333" s="37" t="str">
        <f aca="true">IF(B1333="","",TODAY()-B1333)</f>
        <v/>
      </c>
      <c r="Z1333" s="38" t="str">
        <f aca="false">IF(OR(O1333="",G1333=""),"",O1333*IFERROR(INDEX(Listas!$B$2:$B$50,MATCH(G1333,Listas!$A$2:$A$50,0)),0))</f>
        <v/>
      </c>
      <c r="AA1333" s="32"/>
      <c r="AB1333" s="32"/>
      <c r="AC1333" s="32"/>
      <c r="AD1333" s="35" t="str">
        <f aca="false">IF(OR(LEFT(H1333,4)="Meta",LEFT(H1333,6)="Google"),IF(AG1333=3,"Lead calificado",IF(OR(AG1333=4,AG1333=5),"Tasación/visita",IF(OR(AG1333=6,AG1333=7),"Captación/oferta",IF(AG1333=8,"Cierre","")))),"")</f>
        <v/>
      </c>
      <c r="AE1333" s="32"/>
      <c r="AF1333" s="32"/>
      <c r="AG1333" s="37" t="n">
        <f aca="false">IF(R1333="",0,IFERROR(MATCH(R1333,Listas!$L$2:$L$50,0),0))</f>
        <v>0</v>
      </c>
    </row>
    <row r="1334" customFormat="false" ht="15" hidden="false" customHeight="false" outlineLevel="0" collapsed="false">
      <c r="A1334" s="30"/>
      <c r="B1334" s="31"/>
      <c r="C1334" s="32"/>
      <c r="D1334" s="32"/>
      <c r="E1334" s="33"/>
      <c r="F1334" s="32"/>
      <c r="G1334" s="32"/>
      <c r="H1334" s="32"/>
      <c r="I1334" s="32"/>
      <c r="J1334" s="32"/>
      <c r="K1334" s="32"/>
      <c r="L1334" s="32"/>
      <c r="M1334" s="30"/>
      <c r="N1334" s="32"/>
      <c r="O1334" s="34"/>
      <c r="P1334" s="32"/>
      <c r="Q1334" s="32"/>
      <c r="R1334" s="32"/>
      <c r="S1334" s="32"/>
      <c r="T1334" s="32"/>
      <c r="U1334" s="32"/>
      <c r="V1334" s="31"/>
      <c r="W1334" s="35" t="str">
        <f aca="true">IF(OR(V1334="",AG1334&gt;=8),"",IF(V1334&lt;TODAY(),"Vencida",IF(V1334=TODAY(),"Hoy","")))</f>
        <v/>
      </c>
      <c r="X1334" s="36" t="str">
        <f aca="false">IF(A1334="","",IF(COUNTIF(Seguimiento!$B$2:$B$5001,A1334)=0,"",_xlfn.MAXIFS(Seguimiento!$A$2:$A$5001,Seguimiento!$B$2:$B$5001,A1334)))</f>
        <v/>
      </c>
      <c r="Y1334" s="37" t="str">
        <f aca="true">IF(B1334="","",TODAY()-B1334)</f>
        <v/>
      </c>
      <c r="Z1334" s="38" t="str">
        <f aca="false">IF(OR(O1334="",G1334=""),"",O1334*IFERROR(INDEX(Listas!$B$2:$B$50,MATCH(G1334,Listas!$A$2:$A$50,0)),0))</f>
        <v/>
      </c>
      <c r="AA1334" s="32"/>
      <c r="AB1334" s="32"/>
      <c r="AC1334" s="32"/>
      <c r="AD1334" s="35" t="str">
        <f aca="false">IF(OR(LEFT(H1334,4)="Meta",LEFT(H1334,6)="Google"),IF(AG1334=3,"Lead calificado",IF(OR(AG1334=4,AG1334=5),"Tasación/visita",IF(OR(AG1334=6,AG1334=7),"Captación/oferta",IF(AG1334=8,"Cierre","")))),"")</f>
        <v/>
      </c>
      <c r="AE1334" s="32"/>
      <c r="AF1334" s="32"/>
      <c r="AG1334" s="37" t="n">
        <f aca="false">IF(R1334="",0,IFERROR(MATCH(R1334,Listas!$L$2:$L$50,0),0))</f>
        <v>0</v>
      </c>
    </row>
    <row r="1335" customFormat="false" ht="15" hidden="false" customHeight="false" outlineLevel="0" collapsed="false">
      <c r="A1335" s="30"/>
      <c r="B1335" s="31"/>
      <c r="C1335" s="32"/>
      <c r="D1335" s="32"/>
      <c r="E1335" s="33"/>
      <c r="F1335" s="32"/>
      <c r="G1335" s="32"/>
      <c r="H1335" s="32"/>
      <c r="I1335" s="32"/>
      <c r="J1335" s="32"/>
      <c r="K1335" s="32"/>
      <c r="L1335" s="32"/>
      <c r="M1335" s="30"/>
      <c r="N1335" s="32"/>
      <c r="O1335" s="34"/>
      <c r="P1335" s="32"/>
      <c r="Q1335" s="32"/>
      <c r="R1335" s="32"/>
      <c r="S1335" s="32"/>
      <c r="T1335" s="32"/>
      <c r="U1335" s="32"/>
      <c r="V1335" s="31"/>
      <c r="W1335" s="35" t="str">
        <f aca="true">IF(OR(V1335="",AG1335&gt;=8),"",IF(V1335&lt;TODAY(),"Vencida",IF(V1335=TODAY(),"Hoy","")))</f>
        <v/>
      </c>
      <c r="X1335" s="36" t="str">
        <f aca="false">IF(A1335="","",IF(COUNTIF(Seguimiento!$B$2:$B$5001,A1335)=0,"",_xlfn.MAXIFS(Seguimiento!$A$2:$A$5001,Seguimiento!$B$2:$B$5001,A1335)))</f>
        <v/>
      </c>
      <c r="Y1335" s="37" t="str">
        <f aca="true">IF(B1335="","",TODAY()-B1335)</f>
        <v/>
      </c>
      <c r="Z1335" s="38" t="str">
        <f aca="false">IF(OR(O1335="",G1335=""),"",O1335*IFERROR(INDEX(Listas!$B$2:$B$50,MATCH(G1335,Listas!$A$2:$A$50,0)),0))</f>
        <v/>
      </c>
      <c r="AA1335" s="32"/>
      <c r="AB1335" s="32"/>
      <c r="AC1335" s="32"/>
      <c r="AD1335" s="35" t="str">
        <f aca="false">IF(OR(LEFT(H1335,4)="Meta",LEFT(H1335,6)="Google"),IF(AG1335=3,"Lead calificado",IF(OR(AG1335=4,AG1335=5),"Tasación/visita",IF(OR(AG1335=6,AG1335=7),"Captación/oferta",IF(AG1335=8,"Cierre","")))),"")</f>
        <v/>
      </c>
      <c r="AE1335" s="32"/>
      <c r="AF1335" s="32"/>
      <c r="AG1335" s="37" t="n">
        <f aca="false">IF(R1335="",0,IFERROR(MATCH(R1335,Listas!$L$2:$L$50,0),0))</f>
        <v>0</v>
      </c>
    </row>
    <row r="1336" customFormat="false" ht="15" hidden="false" customHeight="false" outlineLevel="0" collapsed="false">
      <c r="A1336" s="30"/>
      <c r="B1336" s="31"/>
      <c r="C1336" s="32"/>
      <c r="D1336" s="32"/>
      <c r="E1336" s="33"/>
      <c r="F1336" s="32"/>
      <c r="G1336" s="32"/>
      <c r="H1336" s="32"/>
      <c r="I1336" s="32"/>
      <c r="J1336" s="32"/>
      <c r="K1336" s="32"/>
      <c r="L1336" s="32"/>
      <c r="M1336" s="30"/>
      <c r="N1336" s="32"/>
      <c r="O1336" s="34"/>
      <c r="P1336" s="32"/>
      <c r="Q1336" s="32"/>
      <c r="R1336" s="32"/>
      <c r="S1336" s="32"/>
      <c r="T1336" s="32"/>
      <c r="U1336" s="32"/>
      <c r="V1336" s="31"/>
      <c r="W1336" s="35" t="str">
        <f aca="true">IF(OR(V1336="",AG1336&gt;=8),"",IF(V1336&lt;TODAY(),"Vencida",IF(V1336=TODAY(),"Hoy","")))</f>
        <v/>
      </c>
      <c r="X1336" s="36" t="str">
        <f aca="false">IF(A1336="","",IF(COUNTIF(Seguimiento!$B$2:$B$5001,A1336)=0,"",_xlfn.MAXIFS(Seguimiento!$A$2:$A$5001,Seguimiento!$B$2:$B$5001,A1336)))</f>
        <v/>
      </c>
      <c r="Y1336" s="37" t="str">
        <f aca="true">IF(B1336="","",TODAY()-B1336)</f>
        <v/>
      </c>
      <c r="Z1336" s="38" t="str">
        <f aca="false">IF(OR(O1336="",G1336=""),"",O1336*IFERROR(INDEX(Listas!$B$2:$B$50,MATCH(G1336,Listas!$A$2:$A$50,0)),0))</f>
        <v/>
      </c>
      <c r="AA1336" s="32"/>
      <c r="AB1336" s="32"/>
      <c r="AC1336" s="32"/>
      <c r="AD1336" s="35" t="str">
        <f aca="false">IF(OR(LEFT(H1336,4)="Meta",LEFT(H1336,6)="Google"),IF(AG1336=3,"Lead calificado",IF(OR(AG1336=4,AG1336=5),"Tasación/visita",IF(OR(AG1336=6,AG1336=7),"Captación/oferta",IF(AG1336=8,"Cierre","")))),"")</f>
        <v/>
      </c>
      <c r="AE1336" s="32"/>
      <c r="AF1336" s="32"/>
      <c r="AG1336" s="37" t="n">
        <f aca="false">IF(R1336="",0,IFERROR(MATCH(R1336,Listas!$L$2:$L$50,0),0))</f>
        <v>0</v>
      </c>
    </row>
    <row r="1337" customFormat="false" ht="15" hidden="false" customHeight="false" outlineLevel="0" collapsed="false">
      <c r="A1337" s="30"/>
      <c r="B1337" s="31"/>
      <c r="C1337" s="32"/>
      <c r="D1337" s="32"/>
      <c r="E1337" s="33"/>
      <c r="F1337" s="32"/>
      <c r="G1337" s="32"/>
      <c r="H1337" s="32"/>
      <c r="I1337" s="32"/>
      <c r="J1337" s="32"/>
      <c r="K1337" s="32"/>
      <c r="L1337" s="32"/>
      <c r="M1337" s="30"/>
      <c r="N1337" s="32"/>
      <c r="O1337" s="34"/>
      <c r="P1337" s="32"/>
      <c r="Q1337" s="32"/>
      <c r="R1337" s="32"/>
      <c r="S1337" s="32"/>
      <c r="T1337" s="32"/>
      <c r="U1337" s="32"/>
      <c r="V1337" s="31"/>
      <c r="W1337" s="35" t="str">
        <f aca="true">IF(OR(V1337="",AG1337&gt;=8),"",IF(V1337&lt;TODAY(),"Vencida",IF(V1337=TODAY(),"Hoy","")))</f>
        <v/>
      </c>
      <c r="X1337" s="36" t="str">
        <f aca="false">IF(A1337="","",IF(COUNTIF(Seguimiento!$B$2:$B$5001,A1337)=0,"",_xlfn.MAXIFS(Seguimiento!$A$2:$A$5001,Seguimiento!$B$2:$B$5001,A1337)))</f>
        <v/>
      </c>
      <c r="Y1337" s="37" t="str">
        <f aca="true">IF(B1337="","",TODAY()-B1337)</f>
        <v/>
      </c>
      <c r="Z1337" s="38" t="str">
        <f aca="false">IF(OR(O1337="",G1337=""),"",O1337*IFERROR(INDEX(Listas!$B$2:$B$50,MATCH(G1337,Listas!$A$2:$A$50,0)),0))</f>
        <v/>
      </c>
      <c r="AA1337" s="32"/>
      <c r="AB1337" s="32"/>
      <c r="AC1337" s="32"/>
      <c r="AD1337" s="35" t="str">
        <f aca="false">IF(OR(LEFT(H1337,4)="Meta",LEFT(H1337,6)="Google"),IF(AG1337=3,"Lead calificado",IF(OR(AG1337=4,AG1337=5),"Tasación/visita",IF(OR(AG1337=6,AG1337=7),"Captación/oferta",IF(AG1337=8,"Cierre","")))),"")</f>
        <v/>
      </c>
      <c r="AE1337" s="32"/>
      <c r="AF1337" s="32"/>
      <c r="AG1337" s="37" t="n">
        <f aca="false">IF(R1337="",0,IFERROR(MATCH(R1337,Listas!$L$2:$L$50,0),0))</f>
        <v>0</v>
      </c>
    </row>
    <row r="1338" customFormat="false" ht="15" hidden="false" customHeight="false" outlineLevel="0" collapsed="false">
      <c r="A1338" s="30"/>
      <c r="B1338" s="31"/>
      <c r="C1338" s="32"/>
      <c r="D1338" s="32"/>
      <c r="E1338" s="33"/>
      <c r="F1338" s="32"/>
      <c r="G1338" s="32"/>
      <c r="H1338" s="32"/>
      <c r="I1338" s="32"/>
      <c r="J1338" s="32"/>
      <c r="K1338" s="32"/>
      <c r="L1338" s="32"/>
      <c r="M1338" s="30"/>
      <c r="N1338" s="32"/>
      <c r="O1338" s="34"/>
      <c r="P1338" s="32"/>
      <c r="Q1338" s="32"/>
      <c r="R1338" s="32"/>
      <c r="S1338" s="32"/>
      <c r="T1338" s="32"/>
      <c r="U1338" s="32"/>
      <c r="V1338" s="31"/>
      <c r="W1338" s="35" t="str">
        <f aca="true">IF(OR(V1338="",AG1338&gt;=8),"",IF(V1338&lt;TODAY(),"Vencida",IF(V1338=TODAY(),"Hoy","")))</f>
        <v/>
      </c>
      <c r="X1338" s="36" t="str">
        <f aca="false">IF(A1338="","",IF(COUNTIF(Seguimiento!$B$2:$B$5001,A1338)=0,"",_xlfn.MAXIFS(Seguimiento!$A$2:$A$5001,Seguimiento!$B$2:$B$5001,A1338)))</f>
        <v/>
      </c>
      <c r="Y1338" s="37" t="str">
        <f aca="true">IF(B1338="","",TODAY()-B1338)</f>
        <v/>
      </c>
      <c r="Z1338" s="38" t="str">
        <f aca="false">IF(OR(O1338="",G1338=""),"",O1338*IFERROR(INDEX(Listas!$B$2:$B$50,MATCH(G1338,Listas!$A$2:$A$50,0)),0))</f>
        <v/>
      </c>
      <c r="AA1338" s="32"/>
      <c r="AB1338" s="32"/>
      <c r="AC1338" s="32"/>
      <c r="AD1338" s="35" t="str">
        <f aca="false">IF(OR(LEFT(H1338,4)="Meta",LEFT(H1338,6)="Google"),IF(AG1338=3,"Lead calificado",IF(OR(AG1338=4,AG1338=5),"Tasación/visita",IF(OR(AG1338=6,AG1338=7),"Captación/oferta",IF(AG1338=8,"Cierre","")))),"")</f>
        <v/>
      </c>
      <c r="AE1338" s="32"/>
      <c r="AF1338" s="32"/>
      <c r="AG1338" s="37" t="n">
        <f aca="false">IF(R1338="",0,IFERROR(MATCH(R1338,Listas!$L$2:$L$50,0),0))</f>
        <v>0</v>
      </c>
    </row>
    <row r="1339" customFormat="false" ht="15" hidden="false" customHeight="false" outlineLevel="0" collapsed="false">
      <c r="A1339" s="30"/>
      <c r="B1339" s="31"/>
      <c r="C1339" s="32"/>
      <c r="D1339" s="32"/>
      <c r="E1339" s="33"/>
      <c r="F1339" s="32"/>
      <c r="G1339" s="32"/>
      <c r="H1339" s="32"/>
      <c r="I1339" s="32"/>
      <c r="J1339" s="32"/>
      <c r="K1339" s="32"/>
      <c r="L1339" s="32"/>
      <c r="M1339" s="30"/>
      <c r="N1339" s="32"/>
      <c r="O1339" s="34"/>
      <c r="P1339" s="32"/>
      <c r="Q1339" s="32"/>
      <c r="R1339" s="32"/>
      <c r="S1339" s="32"/>
      <c r="T1339" s="32"/>
      <c r="U1339" s="32"/>
      <c r="V1339" s="31"/>
      <c r="W1339" s="35" t="str">
        <f aca="true">IF(OR(V1339="",AG1339&gt;=8),"",IF(V1339&lt;TODAY(),"Vencida",IF(V1339=TODAY(),"Hoy","")))</f>
        <v/>
      </c>
      <c r="X1339" s="36" t="str">
        <f aca="false">IF(A1339="","",IF(COUNTIF(Seguimiento!$B$2:$B$5001,A1339)=0,"",_xlfn.MAXIFS(Seguimiento!$A$2:$A$5001,Seguimiento!$B$2:$B$5001,A1339)))</f>
        <v/>
      </c>
      <c r="Y1339" s="37" t="str">
        <f aca="true">IF(B1339="","",TODAY()-B1339)</f>
        <v/>
      </c>
      <c r="Z1339" s="38" t="str">
        <f aca="false">IF(OR(O1339="",G1339=""),"",O1339*IFERROR(INDEX(Listas!$B$2:$B$50,MATCH(G1339,Listas!$A$2:$A$50,0)),0))</f>
        <v/>
      </c>
      <c r="AA1339" s="32"/>
      <c r="AB1339" s="32"/>
      <c r="AC1339" s="32"/>
      <c r="AD1339" s="35" t="str">
        <f aca="false">IF(OR(LEFT(H1339,4)="Meta",LEFT(H1339,6)="Google"),IF(AG1339=3,"Lead calificado",IF(OR(AG1339=4,AG1339=5),"Tasación/visita",IF(OR(AG1339=6,AG1339=7),"Captación/oferta",IF(AG1339=8,"Cierre","")))),"")</f>
        <v/>
      </c>
      <c r="AE1339" s="32"/>
      <c r="AF1339" s="32"/>
      <c r="AG1339" s="37" t="n">
        <f aca="false">IF(R1339="",0,IFERROR(MATCH(R1339,Listas!$L$2:$L$50,0),0))</f>
        <v>0</v>
      </c>
    </row>
    <row r="1340" customFormat="false" ht="15" hidden="false" customHeight="false" outlineLevel="0" collapsed="false">
      <c r="A1340" s="30"/>
      <c r="B1340" s="31"/>
      <c r="C1340" s="32"/>
      <c r="D1340" s="32"/>
      <c r="E1340" s="33"/>
      <c r="F1340" s="32"/>
      <c r="G1340" s="32"/>
      <c r="H1340" s="32"/>
      <c r="I1340" s="32"/>
      <c r="J1340" s="32"/>
      <c r="K1340" s="32"/>
      <c r="L1340" s="32"/>
      <c r="M1340" s="30"/>
      <c r="N1340" s="32"/>
      <c r="O1340" s="34"/>
      <c r="P1340" s="32"/>
      <c r="Q1340" s="32"/>
      <c r="R1340" s="32"/>
      <c r="S1340" s="32"/>
      <c r="T1340" s="32"/>
      <c r="U1340" s="32"/>
      <c r="V1340" s="31"/>
      <c r="W1340" s="35" t="str">
        <f aca="true">IF(OR(V1340="",AG1340&gt;=8),"",IF(V1340&lt;TODAY(),"Vencida",IF(V1340=TODAY(),"Hoy","")))</f>
        <v/>
      </c>
      <c r="X1340" s="36" t="str">
        <f aca="false">IF(A1340="","",IF(COUNTIF(Seguimiento!$B$2:$B$5001,A1340)=0,"",_xlfn.MAXIFS(Seguimiento!$A$2:$A$5001,Seguimiento!$B$2:$B$5001,A1340)))</f>
        <v/>
      </c>
      <c r="Y1340" s="37" t="str">
        <f aca="true">IF(B1340="","",TODAY()-B1340)</f>
        <v/>
      </c>
      <c r="Z1340" s="38" t="str">
        <f aca="false">IF(OR(O1340="",G1340=""),"",O1340*IFERROR(INDEX(Listas!$B$2:$B$50,MATCH(G1340,Listas!$A$2:$A$50,0)),0))</f>
        <v/>
      </c>
      <c r="AA1340" s="32"/>
      <c r="AB1340" s="32"/>
      <c r="AC1340" s="32"/>
      <c r="AD1340" s="35" t="str">
        <f aca="false">IF(OR(LEFT(H1340,4)="Meta",LEFT(H1340,6)="Google"),IF(AG1340=3,"Lead calificado",IF(OR(AG1340=4,AG1340=5),"Tasación/visita",IF(OR(AG1340=6,AG1340=7),"Captación/oferta",IF(AG1340=8,"Cierre","")))),"")</f>
        <v/>
      </c>
      <c r="AE1340" s="32"/>
      <c r="AF1340" s="32"/>
      <c r="AG1340" s="37" t="n">
        <f aca="false">IF(R1340="",0,IFERROR(MATCH(R1340,Listas!$L$2:$L$50,0),0))</f>
        <v>0</v>
      </c>
    </row>
    <row r="1341" customFormat="false" ht="15" hidden="false" customHeight="false" outlineLevel="0" collapsed="false">
      <c r="A1341" s="30"/>
      <c r="B1341" s="31"/>
      <c r="C1341" s="32"/>
      <c r="D1341" s="32"/>
      <c r="E1341" s="33"/>
      <c r="F1341" s="32"/>
      <c r="G1341" s="32"/>
      <c r="H1341" s="32"/>
      <c r="I1341" s="32"/>
      <c r="J1341" s="32"/>
      <c r="K1341" s="32"/>
      <c r="L1341" s="32"/>
      <c r="M1341" s="30"/>
      <c r="N1341" s="32"/>
      <c r="O1341" s="34"/>
      <c r="P1341" s="32"/>
      <c r="Q1341" s="32"/>
      <c r="R1341" s="32"/>
      <c r="S1341" s="32"/>
      <c r="T1341" s="32"/>
      <c r="U1341" s="32"/>
      <c r="V1341" s="31"/>
      <c r="W1341" s="35" t="str">
        <f aca="true">IF(OR(V1341="",AG1341&gt;=8),"",IF(V1341&lt;TODAY(),"Vencida",IF(V1341=TODAY(),"Hoy","")))</f>
        <v/>
      </c>
      <c r="X1341" s="36" t="str">
        <f aca="false">IF(A1341="","",IF(COUNTIF(Seguimiento!$B$2:$B$5001,A1341)=0,"",_xlfn.MAXIFS(Seguimiento!$A$2:$A$5001,Seguimiento!$B$2:$B$5001,A1341)))</f>
        <v/>
      </c>
      <c r="Y1341" s="37" t="str">
        <f aca="true">IF(B1341="","",TODAY()-B1341)</f>
        <v/>
      </c>
      <c r="Z1341" s="38" t="str">
        <f aca="false">IF(OR(O1341="",G1341=""),"",O1341*IFERROR(INDEX(Listas!$B$2:$B$50,MATCH(G1341,Listas!$A$2:$A$50,0)),0))</f>
        <v/>
      </c>
      <c r="AA1341" s="32"/>
      <c r="AB1341" s="32"/>
      <c r="AC1341" s="32"/>
      <c r="AD1341" s="35" t="str">
        <f aca="false">IF(OR(LEFT(H1341,4)="Meta",LEFT(H1341,6)="Google"),IF(AG1341=3,"Lead calificado",IF(OR(AG1341=4,AG1341=5),"Tasación/visita",IF(OR(AG1341=6,AG1341=7),"Captación/oferta",IF(AG1341=8,"Cierre","")))),"")</f>
        <v/>
      </c>
      <c r="AE1341" s="32"/>
      <c r="AF1341" s="32"/>
      <c r="AG1341" s="37" t="n">
        <f aca="false">IF(R1341="",0,IFERROR(MATCH(R1341,Listas!$L$2:$L$50,0),0))</f>
        <v>0</v>
      </c>
    </row>
    <row r="1342" customFormat="false" ht="15" hidden="false" customHeight="false" outlineLevel="0" collapsed="false">
      <c r="A1342" s="30"/>
      <c r="B1342" s="31"/>
      <c r="C1342" s="32"/>
      <c r="D1342" s="32"/>
      <c r="E1342" s="33"/>
      <c r="F1342" s="32"/>
      <c r="G1342" s="32"/>
      <c r="H1342" s="32"/>
      <c r="I1342" s="32"/>
      <c r="J1342" s="32"/>
      <c r="K1342" s="32"/>
      <c r="L1342" s="32"/>
      <c r="M1342" s="30"/>
      <c r="N1342" s="32"/>
      <c r="O1342" s="34"/>
      <c r="P1342" s="32"/>
      <c r="Q1342" s="32"/>
      <c r="R1342" s="32"/>
      <c r="S1342" s="32"/>
      <c r="T1342" s="32"/>
      <c r="U1342" s="32"/>
      <c r="V1342" s="31"/>
      <c r="W1342" s="35" t="str">
        <f aca="true">IF(OR(V1342="",AG1342&gt;=8),"",IF(V1342&lt;TODAY(),"Vencida",IF(V1342=TODAY(),"Hoy","")))</f>
        <v/>
      </c>
      <c r="X1342" s="36" t="str">
        <f aca="false">IF(A1342="","",IF(COUNTIF(Seguimiento!$B$2:$B$5001,A1342)=0,"",_xlfn.MAXIFS(Seguimiento!$A$2:$A$5001,Seguimiento!$B$2:$B$5001,A1342)))</f>
        <v/>
      </c>
      <c r="Y1342" s="37" t="str">
        <f aca="true">IF(B1342="","",TODAY()-B1342)</f>
        <v/>
      </c>
      <c r="Z1342" s="38" t="str">
        <f aca="false">IF(OR(O1342="",G1342=""),"",O1342*IFERROR(INDEX(Listas!$B$2:$B$50,MATCH(G1342,Listas!$A$2:$A$50,0)),0))</f>
        <v/>
      </c>
      <c r="AA1342" s="32"/>
      <c r="AB1342" s="32"/>
      <c r="AC1342" s="32"/>
      <c r="AD1342" s="35" t="str">
        <f aca="false">IF(OR(LEFT(H1342,4)="Meta",LEFT(H1342,6)="Google"),IF(AG1342=3,"Lead calificado",IF(OR(AG1342=4,AG1342=5),"Tasación/visita",IF(OR(AG1342=6,AG1342=7),"Captación/oferta",IF(AG1342=8,"Cierre","")))),"")</f>
        <v/>
      </c>
      <c r="AE1342" s="32"/>
      <c r="AF1342" s="32"/>
      <c r="AG1342" s="37" t="n">
        <f aca="false">IF(R1342="",0,IFERROR(MATCH(R1342,Listas!$L$2:$L$50,0),0))</f>
        <v>0</v>
      </c>
    </row>
    <row r="1343" customFormat="false" ht="15" hidden="false" customHeight="false" outlineLevel="0" collapsed="false">
      <c r="A1343" s="30"/>
      <c r="B1343" s="31"/>
      <c r="C1343" s="32"/>
      <c r="D1343" s="32"/>
      <c r="E1343" s="33"/>
      <c r="F1343" s="32"/>
      <c r="G1343" s="32"/>
      <c r="H1343" s="32"/>
      <c r="I1343" s="32"/>
      <c r="J1343" s="32"/>
      <c r="K1343" s="32"/>
      <c r="L1343" s="32"/>
      <c r="M1343" s="30"/>
      <c r="N1343" s="32"/>
      <c r="O1343" s="34"/>
      <c r="P1343" s="32"/>
      <c r="Q1343" s="32"/>
      <c r="R1343" s="32"/>
      <c r="S1343" s="32"/>
      <c r="T1343" s="32"/>
      <c r="U1343" s="32"/>
      <c r="V1343" s="31"/>
      <c r="W1343" s="35" t="str">
        <f aca="true">IF(OR(V1343="",AG1343&gt;=8),"",IF(V1343&lt;TODAY(),"Vencida",IF(V1343=TODAY(),"Hoy","")))</f>
        <v/>
      </c>
      <c r="X1343" s="36" t="str">
        <f aca="false">IF(A1343="","",IF(COUNTIF(Seguimiento!$B$2:$B$5001,A1343)=0,"",_xlfn.MAXIFS(Seguimiento!$A$2:$A$5001,Seguimiento!$B$2:$B$5001,A1343)))</f>
        <v/>
      </c>
      <c r="Y1343" s="37" t="str">
        <f aca="true">IF(B1343="","",TODAY()-B1343)</f>
        <v/>
      </c>
      <c r="Z1343" s="38" t="str">
        <f aca="false">IF(OR(O1343="",G1343=""),"",O1343*IFERROR(INDEX(Listas!$B$2:$B$50,MATCH(G1343,Listas!$A$2:$A$50,0)),0))</f>
        <v/>
      </c>
      <c r="AA1343" s="32"/>
      <c r="AB1343" s="32"/>
      <c r="AC1343" s="32"/>
      <c r="AD1343" s="35" t="str">
        <f aca="false">IF(OR(LEFT(H1343,4)="Meta",LEFT(H1343,6)="Google"),IF(AG1343=3,"Lead calificado",IF(OR(AG1343=4,AG1343=5),"Tasación/visita",IF(OR(AG1343=6,AG1343=7),"Captación/oferta",IF(AG1343=8,"Cierre","")))),"")</f>
        <v/>
      </c>
      <c r="AE1343" s="32"/>
      <c r="AF1343" s="32"/>
      <c r="AG1343" s="37" t="n">
        <f aca="false">IF(R1343="",0,IFERROR(MATCH(R1343,Listas!$L$2:$L$50,0),0))</f>
        <v>0</v>
      </c>
    </row>
    <row r="1344" customFormat="false" ht="15" hidden="false" customHeight="false" outlineLevel="0" collapsed="false">
      <c r="A1344" s="30"/>
      <c r="B1344" s="31"/>
      <c r="C1344" s="32"/>
      <c r="D1344" s="32"/>
      <c r="E1344" s="33"/>
      <c r="F1344" s="32"/>
      <c r="G1344" s="32"/>
      <c r="H1344" s="32"/>
      <c r="I1344" s="32"/>
      <c r="J1344" s="32"/>
      <c r="K1344" s="32"/>
      <c r="L1344" s="32"/>
      <c r="M1344" s="30"/>
      <c r="N1344" s="32"/>
      <c r="O1344" s="34"/>
      <c r="P1344" s="32"/>
      <c r="Q1344" s="32"/>
      <c r="R1344" s="32"/>
      <c r="S1344" s="32"/>
      <c r="T1344" s="32"/>
      <c r="U1344" s="32"/>
      <c r="V1344" s="31"/>
      <c r="W1344" s="35" t="str">
        <f aca="true">IF(OR(V1344="",AG1344&gt;=8),"",IF(V1344&lt;TODAY(),"Vencida",IF(V1344=TODAY(),"Hoy","")))</f>
        <v/>
      </c>
      <c r="X1344" s="36" t="str">
        <f aca="false">IF(A1344="","",IF(COUNTIF(Seguimiento!$B$2:$B$5001,A1344)=0,"",_xlfn.MAXIFS(Seguimiento!$A$2:$A$5001,Seguimiento!$B$2:$B$5001,A1344)))</f>
        <v/>
      </c>
      <c r="Y1344" s="37" t="str">
        <f aca="true">IF(B1344="","",TODAY()-B1344)</f>
        <v/>
      </c>
      <c r="Z1344" s="38" t="str">
        <f aca="false">IF(OR(O1344="",G1344=""),"",O1344*IFERROR(INDEX(Listas!$B$2:$B$50,MATCH(G1344,Listas!$A$2:$A$50,0)),0))</f>
        <v/>
      </c>
      <c r="AA1344" s="32"/>
      <c r="AB1344" s="32"/>
      <c r="AC1344" s="32"/>
      <c r="AD1344" s="35" t="str">
        <f aca="false">IF(OR(LEFT(H1344,4)="Meta",LEFT(H1344,6)="Google"),IF(AG1344=3,"Lead calificado",IF(OR(AG1344=4,AG1344=5),"Tasación/visita",IF(OR(AG1344=6,AG1344=7),"Captación/oferta",IF(AG1344=8,"Cierre","")))),"")</f>
        <v/>
      </c>
      <c r="AE1344" s="32"/>
      <c r="AF1344" s="32"/>
      <c r="AG1344" s="37" t="n">
        <f aca="false">IF(R1344="",0,IFERROR(MATCH(R1344,Listas!$L$2:$L$50,0),0))</f>
        <v>0</v>
      </c>
    </row>
    <row r="1345" customFormat="false" ht="15" hidden="false" customHeight="false" outlineLevel="0" collapsed="false">
      <c r="A1345" s="30"/>
      <c r="B1345" s="31"/>
      <c r="C1345" s="32"/>
      <c r="D1345" s="32"/>
      <c r="E1345" s="33"/>
      <c r="F1345" s="32"/>
      <c r="G1345" s="32"/>
      <c r="H1345" s="32"/>
      <c r="I1345" s="32"/>
      <c r="J1345" s="32"/>
      <c r="K1345" s="32"/>
      <c r="L1345" s="32"/>
      <c r="M1345" s="30"/>
      <c r="N1345" s="32"/>
      <c r="O1345" s="34"/>
      <c r="P1345" s="32"/>
      <c r="Q1345" s="32"/>
      <c r="R1345" s="32"/>
      <c r="S1345" s="32"/>
      <c r="T1345" s="32"/>
      <c r="U1345" s="32"/>
      <c r="V1345" s="31"/>
      <c r="W1345" s="35" t="str">
        <f aca="true">IF(OR(V1345="",AG1345&gt;=8),"",IF(V1345&lt;TODAY(),"Vencida",IF(V1345=TODAY(),"Hoy","")))</f>
        <v/>
      </c>
      <c r="X1345" s="36" t="str">
        <f aca="false">IF(A1345="","",IF(COUNTIF(Seguimiento!$B$2:$B$5001,A1345)=0,"",_xlfn.MAXIFS(Seguimiento!$A$2:$A$5001,Seguimiento!$B$2:$B$5001,A1345)))</f>
        <v/>
      </c>
      <c r="Y1345" s="37" t="str">
        <f aca="true">IF(B1345="","",TODAY()-B1345)</f>
        <v/>
      </c>
      <c r="Z1345" s="38" t="str">
        <f aca="false">IF(OR(O1345="",G1345=""),"",O1345*IFERROR(INDEX(Listas!$B$2:$B$50,MATCH(G1345,Listas!$A$2:$A$50,0)),0))</f>
        <v/>
      </c>
      <c r="AA1345" s="32"/>
      <c r="AB1345" s="32"/>
      <c r="AC1345" s="32"/>
      <c r="AD1345" s="35" t="str">
        <f aca="false">IF(OR(LEFT(H1345,4)="Meta",LEFT(H1345,6)="Google"),IF(AG1345=3,"Lead calificado",IF(OR(AG1345=4,AG1345=5),"Tasación/visita",IF(OR(AG1345=6,AG1345=7),"Captación/oferta",IF(AG1345=8,"Cierre","")))),"")</f>
        <v/>
      </c>
      <c r="AE1345" s="32"/>
      <c r="AF1345" s="32"/>
      <c r="AG1345" s="37" t="n">
        <f aca="false">IF(R1345="",0,IFERROR(MATCH(R1345,Listas!$L$2:$L$50,0),0))</f>
        <v>0</v>
      </c>
    </row>
    <row r="1346" customFormat="false" ht="15" hidden="false" customHeight="false" outlineLevel="0" collapsed="false">
      <c r="A1346" s="30"/>
      <c r="B1346" s="31"/>
      <c r="C1346" s="32"/>
      <c r="D1346" s="32"/>
      <c r="E1346" s="33"/>
      <c r="F1346" s="32"/>
      <c r="G1346" s="32"/>
      <c r="H1346" s="32"/>
      <c r="I1346" s="32"/>
      <c r="J1346" s="32"/>
      <c r="K1346" s="32"/>
      <c r="L1346" s="32"/>
      <c r="M1346" s="30"/>
      <c r="N1346" s="32"/>
      <c r="O1346" s="34"/>
      <c r="P1346" s="32"/>
      <c r="Q1346" s="32"/>
      <c r="R1346" s="32"/>
      <c r="S1346" s="32"/>
      <c r="T1346" s="32"/>
      <c r="U1346" s="32"/>
      <c r="V1346" s="31"/>
      <c r="W1346" s="35" t="str">
        <f aca="true">IF(OR(V1346="",AG1346&gt;=8),"",IF(V1346&lt;TODAY(),"Vencida",IF(V1346=TODAY(),"Hoy","")))</f>
        <v/>
      </c>
      <c r="X1346" s="36" t="str">
        <f aca="false">IF(A1346="","",IF(COUNTIF(Seguimiento!$B$2:$B$5001,A1346)=0,"",_xlfn.MAXIFS(Seguimiento!$A$2:$A$5001,Seguimiento!$B$2:$B$5001,A1346)))</f>
        <v/>
      </c>
      <c r="Y1346" s="37" t="str">
        <f aca="true">IF(B1346="","",TODAY()-B1346)</f>
        <v/>
      </c>
      <c r="Z1346" s="38" t="str">
        <f aca="false">IF(OR(O1346="",G1346=""),"",O1346*IFERROR(INDEX(Listas!$B$2:$B$50,MATCH(G1346,Listas!$A$2:$A$50,0)),0))</f>
        <v/>
      </c>
      <c r="AA1346" s="32"/>
      <c r="AB1346" s="32"/>
      <c r="AC1346" s="32"/>
      <c r="AD1346" s="35" t="str">
        <f aca="false">IF(OR(LEFT(H1346,4)="Meta",LEFT(H1346,6)="Google"),IF(AG1346=3,"Lead calificado",IF(OR(AG1346=4,AG1346=5),"Tasación/visita",IF(OR(AG1346=6,AG1346=7),"Captación/oferta",IF(AG1346=8,"Cierre","")))),"")</f>
        <v/>
      </c>
      <c r="AE1346" s="32"/>
      <c r="AF1346" s="32"/>
      <c r="AG1346" s="37" t="n">
        <f aca="false">IF(R1346="",0,IFERROR(MATCH(R1346,Listas!$L$2:$L$50,0),0))</f>
        <v>0</v>
      </c>
    </row>
    <row r="1347" customFormat="false" ht="15" hidden="false" customHeight="false" outlineLevel="0" collapsed="false">
      <c r="A1347" s="30"/>
      <c r="B1347" s="31"/>
      <c r="C1347" s="32"/>
      <c r="D1347" s="32"/>
      <c r="E1347" s="33"/>
      <c r="F1347" s="32"/>
      <c r="G1347" s="32"/>
      <c r="H1347" s="32"/>
      <c r="I1347" s="32"/>
      <c r="J1347" s="32"/>
      <c r="K1347" s="32"/>
      <c r="L1347" s="32"/>
      <c r="M1347" s="30"/>
      <c r="N1347" s="32"/>
      <c r="O1347" s="34"/>
      <c r="P1347" s="32"/>
      <c r="Q1347" s="32"/>
      <c r="R1347" s="32"/>
      <c r="S1347" s="32"/>
      <c r="T1347" s="32"/>
      <c r="U1347" s="32"/>
      <c r="V1347" s="31"/>
      <c r="W1347" s="35" t="str">
        <f aca="true">IF(OR(V1347="",AG1347&gt;=8),"",IF(V1347&lt;TODAY(),"Vencida",IF(V1347=TODAY(),"Hoy","")))</f>
        <v/>
      </c>
      <c r="X1347" s="36" t="str">
        <f aca="false">IF(A1347="","",IF(COUNTIF(Seguimiento!$B$2:$B$5001,A1347)=0,"",_xlfn.MAXIFS(Seguimiento!$A$2:$A$5001,Seguimiento!$B$2:$B$5001,A1347)))</f>
        <v/>
      </c>
      <c r="Y1347" s="37" t="str">
        <f aca="true">IF(B1347="","",TODAY()-B1347)</f>
        <v/>
      </c>
      <c r="Z1347" s="38" t="str">
        <f aca="false">IF(OR(O1347="",G1347=""),"",O1347*IFERROR(INDEX(Listas!$B$2:$B$50,MATCH(G1347,Listas!$A$2:$A$50,0)),0))</f>
        <v/>
      </c>
      <c r="AA1347" s="32"/>
      <c r="AB1347" s="32"/>
      <c r="AC1347" s="32"/>
      <c r="AD1347" s="35" t="str">
        <f aca="false">IF(OR(LEFT(H1347,4)="Meta",LEFT(H1347,6)="Google"),IF(AG1347=3,"Lead calificado",IF(OR(AG1347=4,AG1347=5),"Tasación/visita",IF(OR(AG1347=6,AG1347=7),"Captación/oferta",IF(AG1347=8,"Cierre","")))),"")</f>
        <v/>
      </c>
      <c r="AE1347" s="32"/>
      <c r="AF1347" s="32"/>
      <c r="AG1347" s="37" t="n">
        <f aca="false">IF(R1347="",0,IFERROR(MATCH(R1347,Listas!$L$2:$L$50,0),0))</f>
        <v>0</v>
      </c>
    </row>
    <row r="1348" customFormat="false" ht="15" hidden="false" customHeight="false" outlineLevel="0" collapsed="false">
      <c r="A1348" s="30"/>
      <c r="B1348" s="31"/>
      <c r="C1348" s="32"/>
      <c r="D1348" s="32"/>
      <c r="E1348" s="33"/>
      <c r="F1348" s="32"/>
      <c r="G1348" s="32"/>
      <c r="H1348" s="32"/>
      <c r="I1348" s="32"/>
      <c r="J1348" s="32"/>
      <c r="K1348" s="32"/>
      <c r="L1348" s="32"/>
      <c r="M1348" s="30"/>
      <c r="N1348" s="32"/>
      <c r="O1348" s="34"/>
      <c r="P1348" s="32"/>
      <c r="Q1348" s="32"/>
      <c r="R1348" s="32"/>
      <c r="S1348" s="32"/>
      <c r="T1348" s="32"/>
      <c r="U1348" s="32"/>
      <c r="V1348" s="31"/>
      <c r="W1348" s="35" t="str">
        <f aca="true">IF(OR(V1348="",AG1348&gt;=8),"",IF(V1348&lt;TODAY(),"Vencida",IF(V1348=TODAY(),"Hoy","")))</f>
        <v/>
      </c>
      <c r="X1348" s="36" t="str">
        <f aca="false">IF(A1348="","",IF(COUNTIF(Seguimiento!$B$2:$B$5001,A1348)=0,"",_xlfn.MAXIFS(Seguimiento!$A$2:$A$5001,Seguimiento!$B$2:$B$5001,A1348)))</f>
        <v/>
      </c>
      <c r="Y1348" s="37" t="str">
        <f aca="true">IF(B1348="","",TODAY()-B1348)</f>
        <v/>
      </c>
      <c r="Z1348" s="38" t="str">
        <f aca="false">IF(OR(O1348="",G1348=""),"",O1348*IFERROR(INDEX(Listas!$B$2:$B$50,MATCH(G1348,Listas!$A$2:$A$50,0)),0))</f>
        <v/>
      </c>
      <c r="AA1348" s="32"/>
      <c r="AB1348" s="32"/>
      <c r="AC1348" s="32"/>
      <c r="AD1348" s="35" t="str">
        <f aca="false">IF(OR(LEFT(H1348,4)="Meta",LEFT(H1348,6)="Google"),IF(AG1348=3,"Lead calificado",IF(OR(AG1348=4,AG1348=5),"Tasación/visita",IF(OR(AG1348=6,AG1348=7),"Captación/oferta",IF(AG1348=8,"Cierre","")))),"")</f>
        <v/>
      </c>
      <c r="AE1348" s="32"/>
      <c r="AF1348" s="32"/>
      <c r="AG1348" s="37" t="n">
        <f aca="false">IF(R1348="",0,IFERROR(MATCH(R1348,Listas!$L$2:$L$50,0),0))</f>
        <v>0</v>
      </c>
    </row>
    <row r="1349" customFormat="false" ht="15" hidden="false" customHeight="false" outlineLevel="0" collapsed="false">
      <c r="A1349" s="30"/>
      <c r="B1349" s="31"/>
      <c r="C1349" s="32"/>
      <c r="D1349" s="32"/>
      <c r="E1349" s="33"/>
      <c r="F1349" s="32"/>
      <c r="G1349" s="32"/>
      <c r="H1349" s="32"/>
      <c r="I1349" s="32"/>
      <c r="J1349" s="32"/>
      <c r="K1349" s="32"/>
      <c r="L1349" s="32"/>
      <c r="M1349" s="30"/>
      <c r="N1349" s="32"/>
      <c r="O1349" s="34"/>
      <c r="P1349" s="32"/>
      <c r="Q1349" s="32"/>
      <c r="R1349" s="32"/>
      <c r="S1349" s="32"/>
      <c r="T1349" s="32"/>
      <c r="U1349" s="32"/>
      <c r="V1349" s="31"/>
      <c r="W1349" s="35" t="str">
        <f aca="true">IF(OR(V1349="",AG1349&gt;=8),"",IF(V1349&lt;TODAY(),"Vencida",IF(V1349=TODAY(),"Hoy","")))</f>
        <v/>
      </c>
      <c r="X1349" s="36" t="str">
        <f aca="false">IF(A1349="","",IF(COUNTIF(Seguimiento!$B$2:$B$5001,A1349)=0,"",_xlfn.MAXIFS(Seguimiento!$A$2:$A$5001,Seguimiento!$B$2:$B$5001,A1349)))</f>
        <v/>
      </c>
      <c r="Y1349" s="37" t="str">
        <f aca="true">IF(B1349="","",TODAY()-B1349)</f>
        <v/>
      </c>
      <c r="Z1349" s="38" t="str">
        <f aca="false">IF(OR(O1349="",G1349=""),"",O1349*IFERROR(INDEX(Listas!$B$2:$B$50,MATCH(G1349,Listas!$A$2:$A$50,0)),0))</f>
        <v/>
      </c>
      <c r="AA1349" s="32"/>
      <c r="AB1349" s="32"/>
      <c r="AC1349" s="32"/>
      <c r="AD1349" s="35" t="str">
        <f aca="false">IF(OR(LEFT(H1349,4)="Meta",LEFT(H1349,6)="Google"),IF(AG1349=3,"Lead calificado",IF(OR(AG1349=4,AG1349=5),"Tasación/visita",IF(OR(AG1349=6,AG1349=7),"Captación/oferta",IF(AG1349=8,"Cierre","")))),"")</f>
        <v/>
      </c>
      <c r="AE1349" s="32"/>
      <c r="AF1349" s="32"/>
      <c r="AG1349" s="37" t="n">
        <f aca="false">IF(R1349="",0,IFERROR(MATCH(R1349,Listas!$L$2:$L$50,0),0))</f>
        <v>0</v>
      </c>
    </row>
    <row r="1350" customFormat="false" ht="15" hidden="false" customHeight="false" outlineLevel="0" collapsed="false">
      <c r="A1350" s="30"/>
      <c r="B1350" s="31"/>
      <c r="C1350" s="32"/>
      <c r="D1350" s="32"/>
      <c r="E1350" s="33"/>
      <c r="F1350" s="32"/>
      <c r="G1350" s="32"/>
      <c r="H1350" s="32"/>
      <c r="I1350" s="32"/>
      <c r="J1350" s="32"/>
      <c r="K1350" s="32"/>
      <c r="L1350" s="32"/>
      <c r="M1350" s="30"/>
      <c r="N1350" s="32"/>
      <c r="O1350" s="34"/>
      <c r="P1350" s="32"/>
      <c r="Q1350" s="32"/>
      <c r="R1350" s="32"/>
      <c r="S1350" s="32"/>
      <c r="T1350" s="32"/>
      <c r="U1350" s="32"/>
      <c r="V1350" s="31"/>
      <c r="W1350" s="35" t="str">
        <f aca="true">IF(OR(V1350="",AG1350&gt;=8),"",IF(V1350&lt;TODAY(),"Vencida",IF(V1350=TODAY(),"Hoy","")))</f>
        <v/>
      </c>
      <c r="X1350" s="36" t="str">
        <f aca="false">IF(A1350="","",IF(COUNTIF(Seguimiento!$B$2:$B$5001,A1350)=0,"",_xlfn.MAXIFS(Seguimiento!$A$2:$A$5001,Seguimiento!$B$2:$B$5001,A1350)))</f>
        <v/>
      </c>
      <c r="Y1350" s="37" t="str">
        <f aca="true">IF(B1350="","",TODAY()-B1350)</f>
        <v/>
      </c>
      <c r="Z1350" s="38" t="str">
        <f aca="false">IF(OR(O1350="",G1350=""),"",O1350*IFERROR(INDEX(Listas!$B$2:$B$50,MATCH(G1350,Listas!$A$2:$A$50,0)),0))</f>
        <v/>
      </c>
      <c r="AA1350" s="32"/>
      <c r="AB1350" s="32"/>
      <c r="AC1350" s="32"/>
      <c r="AD1350" s="35" t="str">
        <f aca="false">IF(OR(LEFT(H1350,4)="Meta",LEFT(H1350,6)="Google"),IF(AG1350=3,"Lead calificado",IF(OR(AG1350=4,AG1350=5),"Tasación/visita",IF(OR(AG1350=6,AG1350=7),"Captación/oferta",IF(AG1350=8,"Cierre","")))),"")</f>
        <v/>
      </c>
      <c r="AE1350" s="32"/>
      <c r="AF1350" s="32"/>
      <c r="AG1350" s="37" t="n">
        <f aca="false">IF(R1350="",0,IFERROR(MATCH(R1350,Listas!$L$2:$L$50,0),0))</f>
        <v>0</v>
      </c>
    </row>
    <row r="1351" customFormat="false" ht="15" hidden="false" customHeight="false" outlineLevel="0" collapsed="false">
      <c r="A1351" s="30"/>
      <c r="B1351" s="31"/>
      <c r="C1351" s="32"/>
      <c r="D1351" s="32"/>
      <c r="E1351" s="33"/>
      <c r="F1351" s="32"/>
      <c r="G1351" s="32"/>
      <c r="H1351" s="32"/>
      <c r="I1351" s="32"/>
      <c r="J1351" s="32"/>
      <c r="K1351" s="32"/>
      <c r="L1351" s="32"/>
      <c r="M1351" s="30"/>
      <c r="N1351" s="32"/>
      <c r="O1351" s="34"/>
      <c r="P1351" s="32"/>
      <c r="Q1351" s="32"/>
      <c r="R1351" s="32"/>
      <c r="S1351" s="32"/>
      <c r="T1351" s="32"/>
      <c r="U1351" s="32"/>
      <c r="V1351" s="31"/>
      <c r="W1351" s="35" t="str">
        <f aca="true">IF(OR(V1351="",AG1351&gt;=8),"",IF(V1351&lt;TODAY(),"Vencida",IF(V1351=TODAY(),"Hoy","")))</f>
        <v/>
      </c>
      <c r="X1351" s="36" t="str">
        <f aca="false">IF(A1351="","",IF(COUNTIF(Seguimiento!$B$2:$B$5001,A1351)=0,"",_xlfn.MAXIFS(Seguimiento!$A$2:$A$5001,Seguimiento!$B$2:$B$5001,A1351)))</f>
        <v/>
      </c>
      <c r="Y1351" s="37" t="str">
        <f aca="true">IF(B1351="","",TODAY()-B1351)</f>
        <v/>
      </c>
      <c r="Z1351" s="38" t="str">
        <f aca="false">IF(OR(O1351="",G1351=""),"",O1351*IFERROR(INDEX(Listas!$B$2:$B$50,MATCH(G1351,Listas!$A$2:$A$50,0)),0))</f>
        <v/>
      </c>
      <c r="AA1351" s="32"/>
      <c r="AB1351" s="32"/>
      <c r="AC1351" s="32"/>
      <c r="AD1351" s="35" t="str">
        <f aca="false">IF(OR(LEFT(H1351,4)="Meta",LEFT(H1351,6)="Google"),IF(AG1351=3,"Lead calificado",IF(OR(AG1351=4,AG1351=5),"Tasación/visita",IF(OR(AG1351=6,AG1351=7),"Captación/oferta",IF(AG1351=8,"Cierre","")))),"")</f>
        <v/>
      </c>
      <c r="AE1351" s="32"/>
      <c r="AF1351" s="32"/>
      <c r="AG1351" s="37" t="n">
        <f aca="false">IF(R1351="",0,IFERROR(MATCH(R1351,Listas!$L$2:$L$50,0),0))</f>
        <v>0</v>
      </c>
    </row>
    <row r="1352" customFormat="false" ht="15" hidden="false" customHeight="false" outlineLevel="0" collapsed="false">
      <c r="A1352" s="30"/>
      <c r="B1352" s="31"/>
      <c r="C1352" s="32"/>
      <c r="D1352" s="32"/>
      <c r="E1352" s="33"/>
      <c r="F1352" s="32"/>
      <c r="G1352" s="32"/>
      <c r="H1352" s="32"/>
      <c r="I1352" s="32"/>
      <c r="J1352" s="32"/>
      <c r="K1352" s="32"/>
      <c r="L1352" s="32"/>
      <c r="M1352" s="30"/>
      <c r="N1352" s="32"/>
      <c r="O1352" s="34"/>
      <c r="P1352" s="32"/>
      <c r="Q1352" s="32"/>
      <c r="R1352" s="32"/>
      <c r="S1352" s="32"/>
      <c r="T1352" s="32"/>
      <c r="U1352" s="32"/>
      <c r="V1352" s="31"/>
      <c r="W1352" s="35" t="str">
        <f aca="true">IF(OR(V1352="",AG1352&gt;=8),"",IF(V1352&lt;TODAY(),"Vencida",IF(V1352=TODAY(),"Hoy","")))</f>
        <v/>
      </c>
      <c r="X1352" s="36" t="str">
        <f aca="false">IF(A1352="","",IF(COUNTIF(Seguimiento!$B$2:$B$5001,A1352)=0,"",_xlfn.MAXIFS(Seguimiento!$A$2:$A$5001,Seguimiento!$B$2:$B$5001,A1352)))</f>
        <v/>
      </c>
      <c r="Y1352" s="37" t="str">
        <f aca="true">IF(B1352="","",TODAY()-B1352)</f>
        <v/>
      </c>
      <c r="Z1352" s="38" t="str">
        <f aca="false">IF(OR(O1352="",G1352=""),"",O1352*IFERROR(INDEX(Listas!$B$2:$B$50,MATCH(G1352,Listas!$A$2:$A$50,0)),0))</f>
        <v/>
      </c>
      <c r="AA1352" s="32"/>
      <c r="AB1352" s="32"/>
      <c r="AC1352" s="32"/>
      <c r="AD1352" s="35" t="str">
        <f aca="false">IF(OR(LEFT(H1352,4)="Meta",LEFT(H1352,6)="Google"),IF(AG1352=3,"Lead calificado",IF(OR(AG1352=4,AG1352=5),"Tasación/visita",IF(OR(AG1352=6,AG1352=7),"Captación/oferta",IF(AG1352=8,"Cierre","")))),"")</f>
        <v/>
      </c>
      <c r="AE1352" s="32"/>
      <c r="AF1352" s="32"/>
      <c r="AG1352" s="37" t="n">
        <f aca="false">IF(R1352="",0,IFERROR(MATCH(R1352,Listas!$L$2:$L$50,0),0))</f>
        <v>0</v>
      </c>
    </row>
    <row r="1353" customFormat="false" ht="15" hidden="false" customHeight="false" outlineLevel="0" collapsed="false">
      <c r="A1353" s="30"/>
      <c r="B1353" s="31"/>
      <c r="C1353" s="32"/>
      <c r="D1353" s="32"/>
      <c r="E1353" s="33"/>
      <c r="F1353" s="32"/>
      <c r="G1353" s="32"/>
      <c r="H1353" s="32"/>
      <c r="I1353" s="32"/>
      <c r="J1353" s="32"/>
      <c r="K1353" s="32"/>
      <c r="L1353" s="32"/>
      <c r="M1353" s="30"/>
      <c r="N1353" s="32"/>
      <c r="O1353" s="34"/>
      <c r="P1353" s="32"/>
      <c r="Q1353" s="32"/>
      <c r="R1353" s="32"/>
      <c r="S1353" s="32"/>
      <c r="T1353" s="32"/>
      <c r="U1353" s="32"/>
      <c r="V1353" s="31"/>
      <c r="W1353" s="35" t="str">
        <f aca="true">IF(OR(V1353="",AG1353&gt;=8),"",IF(V1353&lt;TODAY(),"Vencida",IF(V1353=TODAY(),"Hoy","")))</f>
        <v/>
      </c>
      <c r="X1353" s="36" t="str">
        <f aca="false">IF(A1353="","",IF(COUNTIF(Seguimiento!$B$2:$B$5001,A1353)=0,"",_xlfn.MAXIFS(Seguimiento!$A$2:$A$5001,Seguimiento!$B$2:$B$5001,A1353)))</f>
        <v/>
      </c>
      <c r="Y1353" s="37" t="str">
        <f aca="true">IF(B1353="","",TODAY()-B1353)</f>
        <v/>
      </c>
      <c r="Z1353" s="38" t="str">
        <f aca="false">IF(OR(O1353="",G1353=""),"",O1353*IFERROR(INDEX(Listas!$B$2:$B$50,MATCH(G1353,Listas!$A$2:$A$50,0)),0))</f>
        <v/>
      </c>
      <c r="AA1353" s="32"/>
      <c r="AB1353" s="32"/>
      <c r="AC1353" s="32"/>
      <c r="AD1353" s="35" t="str">
        <f aca="false">IF(OR(LEFT(H1353,4)="Meta",LEFT(H1353,6)="Google"),IF(AG1353=3,"Lead calificado",IF(OR(AG1353=4,AG1353=5),"Tasación/visita",IF(OR(AG1353=6,AG1353=7),"Captación/oferta",IF(AG1353=8,"Cierre","")))),"")</f>
        <v/>
      </c>
      <c r="AE1353" s="32"/>
      <c r="AF1353" s="32"/>
      <c r="AG1353" s="37" t="n">
        <f aca="false">IF(R1353="",0,IFERROR(MATCH(R1353,Listas!$L$2:$L$50,0),0))</f>
        <v>0</v>
      </c>
    </row>
    <row r="1354" customFormat="false" ht="15" hidden="false" customHeight="false" outlineLevel="0" collapsed="false">
      <c r="A1354" s="30"/>
      <c r="B1354" s="31"/>
      <c r="C1354" s="32"/>
      <c r="D1354" s="32"/>
      <c r="E1354" s="33"/>
      <c r="F1354" s="32"/>
      <c r="G1354" s="32"/>
      <c r="H1354" s="32"/>
      <c r="I1354" s="32"/>
      <c r="J1354" s="32"/>
      <c r="K1354" s="32"/>
      <c r="L1354" s="32"/>
      <c r="M1354" s="30"/>
      <c r="N1354" s="32"/>
      <c r="O1354" s="34"/>
      <c r="P1354" s="32"/>
      <c r="Q1354" s="32"/>
      <c r="R1354" s="32"/>
      <c r="S1354" s="32"/>
      <c r="T1354" s="32"/>
      <c r="U1354" s="32"/>
      <c r="V1354" s="31"/>
      <c r="W1354" s="35" t="str">
        <f aca="true">IF(OR(V1354="",AG1354&gt;=8),"",IF(V1354&lt;TODAY(),"Vencida",IF(V1354=TODAY(),"Hoy","")))</f>
        <v/>
      </c>
      <c r="X1354" s="36" t="str">
        <f aca="false">IF(A1354="","",IF(COUNTIF(Seguimiento!$B$2:$B$5001,A1354)=0,"",_xlfn.MAXIFS(Seguimiento!$A$2:$A$5001,Seguimiento!$B$2:$B$5001,A1354)))</f>
        <v/>
      </c>
      <c r="Y1354" s="37" t="str">
        <f aca="true">IF(B1354="","",TODAY()-B1354)</f>
        <v/>
      </c>
      <c r="Z1354" s="38" t="str">
        <f aca="false">IF(OR(O1354="",G1354=""),"",O1354*IFERROR(INDEX(Listas!$B$2:$B$50,MATCH(G1354,Listas!$A$2:$A$50,0)),0))</f>
        <v/>
      </c>
      <c r="AA1354" s="32"/>
      <c r="AB1354" s="32"/>
      <c r="AC1354" s="32"/>
      <c r="AD1354" s="35" t="str">
        <f aca="false">IF(OR(LEFT(H1354,4)="Meta",LEFT(H1354,6)="Google"),IF(AG1354=3,"Lead calificado",IF(OR(AG1354=4,AG1354=5),"Tasación/visita",IF(OR(AG1354=6,AG1354=7),"Captación/oferta",IF(AG1354=8,"Cierre","")))),"")</f>
        <v/>
      </c>
      <c r="AE1354" s="32"/>
      <c r="AF1354" s="32"/>
      <c r="AG1354" s="37" t="n">
        <f aca="false">IF(R1354="",0,IFERROR(MATCH(R1354,Listas!$L$2:$L$50,0),0))</f>
        <v>0</v>
      </c>
    </row>
    <row r="1355" customFormat="false" ht="15" hidden="false" customHeight="false" outlineLevel="0" collapsed="false">
      <c r="A1355" s="30"/>
      <c r="B1355" s="31"/>
      <c r="C1355" s="32"/>
      <c r="D1355" s="32"/>
      <c r="E1355" s="33"/>
      <c r="F1355" s="32"/>
      <c r="G1355" s="32"/>
      <c r="H1355" s="32"/>
      <c r="I1355" s="32"/>
      <c r="J1355" s="32"/>
      <c r="K1355" s="32"/>
      <c r="L1355" s="32"/>
      <c r="M1355" s="30"/>
      <c r="N1355" s="32"/>
      <c r="O1355" s="34"/>
      <c r="P1355" s="32"/>
      <c r="Q1355" s="32"/>
      <c r="R1355" s="32"/>
      <c r="S1355" s="32"/>
      <c r="T1355" s="32"/>
      <c r="U1355" s="32"/>
      <c r="V1355" s="31"/>
      <c r="W1355" s="35" t="str">
        <f aca="true">IF(OR(V1355="",AG1355&gt;=8),"",IF(V1355&lt;TODAY(),"Vencida",IF(V1355=TODAY(),"Hoy","")))</f>
        <v/>
      </c>
      <c r="X1355" s="36" t="str">
        <f aca="false">IF(A1355="","",IF(COUNTIF(Seguimiento!$B$2:$B$5001,A1355)=0,"",_xlfn.MAXIFS(Seguimiento!$A$2:$A$5001,Seguimiento!$B$2:$B$5001,A1355)))</f>
        <v/>
      </c>
      <c r="Y1355" s="37" t="str">
        <f aca="true">IF(B1355="","",TODAY()-B1355)</f>
        <v/>
      </c>
      <c r="Z1355" s="38" t="str">
        <f aca="false">IF(OR(O1355="",G1355=""),"",O1355*IFERROR(INDEX(Listas!$B$2:$B$50,MATCH(G1355,Listas!$A$2:$A$50,0)),0))</f>
        <v/>
      </c>
      <c r="AA1355" s="32"/>
      <c r="AB1355" s="32"/>
      <c r="AC1355" s="32"/>
      <c r="AD1355" s="35" t="str">
        <f aca="false">IF(OR(LEFT(H1355,4)="Meta",LEFT(H1355,6)="Google"),IF(AG1355=3,"Lead calificado",IF(OR(AG1355=4,AG1355=5),"Tasación/visita",IF(OR(AG1355=6,AG1355=7),"Captación/oferta",IF(AG1355=8,"Cierre","")))),"")</f>
        <v/>
      </c>
      <c r="AE1355" s="32"/>
      <c r="AF1355" s="32"/>
      <c r="AG1355" s="37" t="n">
        <f aca="false">IF(R1355="",0,IFERROR(MATCH(R1355,Listas!$L$2:$L$50,0),0))</f>
        <v>0</v>
      </c>
    </row>
    <row r="1356" customFormat="false" ht="15" hidden="false" customHeight="false" outlineLevel="0" collapsed="false">
      <c r="A1356" s="30"/>
      <c r="B1356" s="31"/>
      <c r="C1356" s="32"/>
      <c r="D1356" s="32"/>
      <c r="E1356" s="33"/>
      <c r="F1356" s="32"/>
      <c r="G1356" s="32"/>
      <c r="H1356" s="32"/>
      <c r="I1356" s="32"/>
      <c r="J1356" s="32"/>
      <c r="K1356" s="32"/>
      <c r="L1356" s="32"/>
      <c r="M1356" s="30"/>
      <c r="N1356" s="32"/>
      <c r="O1356" s="34"/>
      <c r="P1356" s="32"/>
      <c r="Q1356" s="32"/>
      <c r="R1356" s="32"/>
      <c r="S1356" s="32"/>
      <c r="T1356" s="32"/>
      <c r="U1356" s="32"/>
      <c r="V1356" s="31"/>
      <c r="W1356" s="35" t="str">
        <f aca="true">IF(OR(V1356="",AG1356&gt;=8),"",IF(V1356&lt;TODAY(),"Vencida",IF(V1356=TODAY(),"Hoy","")))</f>
        <v/>
      </c>
      <c r="X1356" s="36" t="str">
        <f aca="false">IF(A1356="","",IF(COUNTIF(Seguimiento!$B$2:$B$5001,A1356)=0,"",_xlfn.MAXIFS(Seguimiento!$A$2:$A$5001,Seguimiento!$B$2:$B$5001,A1356)))</f>
        <v/>
      </c>
      <c r="Y1356" s="37" t="str">
        <f aca="true">IF(B1356="","",TODAY()-B1356)</f>
        <v/>
      </c>
      <c r="Z1356" s="38" t="str">
        <f aca="false">IF(OR(O1356="",G1356=""),"",O1356*IFERROR(INDEX(Listas!$B$2:$B$50,MATCH(G1356,Listas!$A$2:$A$50,0)),0))</f>
        <v/>
      </c>
      <c r="AA1356" s="32"/>
      <c r="AB1356" s="32"/>
      <c r="AC1356" s="32"/>
      <c r="AD1356" s="35" t="str">
        <f aca="false">IF(OR(LEFT(H1356,4)="Meta",LEFT(H1356,6)="Google"),IF(AG1356=3,"Lead calificado",IF(OR(AG1356=4,AG1356=5),"Tasación/visita",IF(OR(AG1356=6,AG1356=7),"Captación/oferta",IF(AG1356=8,"Cierre","")))),"")</f>
        <v/>
      </c>
      <c r="AE1356" s="32"/>
      <c r="AF1356" s="32"/>
      <c r="AG1356" s="37" t="n">
        <f aca="false">IF(R1356="",0,IFERROR(MATCH(R1356,Listas!$L$2:$L$50,0),0))</f>
        <v>0</v>
      </c>
    </row>
    <row r="1357" customFormat="false" ht="15" hidden="false" customHeight="false" outlineLevel="0" collapsed="false">
      <c r="A1357" s="30"/>
      <c r="B1357" s="31"/>
      <c r="C1357" s="32"/>
      <c r="D1357" s="32"/>
      <c r="E1357" s="33"/>
      <c r="F1357" s="32"/>
      <c r="G1357" s="32"/>
      <c r="H1357" s="32"/>
      <c r="I1357" s="32"/>
      <c r="J1357" s="32"/>
      <c r="K1357" s="32"/>
      <c r="L1357" s="32"/>
      <c r="M1357" s="30"/>
      <c r="N1357" s="32"/>
      <c r="O1357" s="34"/>
      <c r="P1357" s="32"/>
      <c r="Q1357" s="32"/>
      <c r="R1357" s="32"/>
      <c r="S1357" s="32"/>
      <c r="T1357" s="32"/>
      <c r="U1357" s="32"/>
      <c r="V1357" s="31"/>
      <c r="W1357" s="35" t="str">
        <f aca="true">IF(OR(V1357="",AG1357&gt;=8),"",IF(V1357&lt;TODAY(),"Vencida",IF(V1357=TODAY(),"Hoy","")))</f>
        <v/>
      </c>
      <c r="X1357" s="36" t="str">
        <f aca="false">IF(A1357="","",IF(COUNTIF(Seguimiento!$B$2:$B$5001,A1357)=0,"",_xlfn.MAXIFS(Seguimiento!$A$2:$A$5001,Seguimiento!$B$2:$B$5001,A1357)))</f>
        <v/>
      </c>
      <c r="Y1357" s="37" t="str">
        <f aca="true">IF(B1357="","",TODAY()-B1357)</f>
        <v/>
      </c>
      <c r="Z1357" s="38" t="str">
        <f aca="false">IF(OR(O1357="",G1357=""),"",O1357*IFERROR(INDEX(Listas!$B$2:$B$50,MATCH(G1357,Listas!$A$2:$A$50,0)),0))</f>
        <v/>
      </c>
      <c r="AA1357" s="32"/>
      <c r="AB1357" s="32"/>
      <c r="AC1357" s="32"/>
      <c r="AD1357" s="35" t="str">
        <f aca="false">IF(OR(LEFT(H1357,4)="Meta",LEFT(H1357,6)="Google"),IF(AG1357=3,"Lead calificado",IF(OR(AG1357=4,AG1357=5),"Tasación/visita",IF(OR(AG1357=6,AG1357=7),"Captación/oferta",IF(AG1357=8,"Cierre","")))),"")</f>
        <v/>
      </c>
      <c r="AE1357" s="32"/>
      <c r="AF1357" s="32"/>
      <c r="AG1357" s="37" t="n">
        <f aca="false">IF(R1357="",0,IFERROR(MATCH(R1357,Listas!$L$2:$L$50,0),0))</f>
        <v>0</v>
      </c>
    </row>
    <row r="1358" customFormat="false" ht="15" hidden="false" customHeight="false" outlineLevel="0" collapsed="false">
      <c r="A1358" s="30"/>
      <c r="B1358" s="31"/>
      <c r="C1358" s="32"/>
      <c r="D1358" s="32"/>
      <c r="E1358" s="33"/>
      <c r="F1358" s="32"/>
      <c r="G1358" s="32"/>
      <c r="H1358" s="32"/>
      <c r="I1358" s="32"/>
      <c r="J1358" s="32"/>
      <c r="K1358" s="32"/>
      <c r="L1358" s="32"/>
      <c r="M1358" s="30"/>
      <c r="N1358" s="32"/>
      <c r="O1358" s="34"/>
      <c r="P1358" s="32"/>
      <c r="Q1358" s="32"/>
      <c r="R1358" s="32"/>
      <c r="S1358" s="32"/>
      <c r="T1358" s="32"/>
      <c r="U1358" s="32"/>
      <c r="V1358" s="31"/>
      <c r="W1358" s="35" t="str">
        <f aca="true">IF(OR(V1358="",AG1358&gt;=8),"",IF(V1358&lt;TODAY(),"Vencida",IF(V1358=TODAY(),"Hoy","")))</f>
        <v/>
      </c>
      <c r="X1358" s="36" t="str">
        <f aca="false">IF(A1358="","",IF(COUNTIF(Seguimiento!$B$2:$B$5001,A1358)=0,"",_xlfn.MAXIFS(Seguimiento!$A$2:$A$5001,Seguimiento!$B$2:$B$5001,A1358)))</f>
        <v/>
      </c>
      <c r="Y1358" s="37" t="str">
        <f aca="true">IF(B1358="","",TODAY()-B1358)</f>
        <v/>
      </c>
      <c r="Z1358" s="38" t="str">
        <f aca="false">IF(OR(O1358="",G1358=""),"",O1358*IFERROR(INDEX(Listas!$B$2:$B$50,MATCH(G1358,Listas!$A$2:$A$50,0)),0))</f>
        <v/>
      </c>
      <c r="AA1358" s="32"/>
      <c r="AB1358" s="32"/>
      <c r="AC1358" s="32"/>
      <c r="AD1358" s="35" t="str">
        <f aca="false">IF(OR(LEFT(H1358,4)="Meta",LEFT(H1358,6)="Google"),IF(AG1358=3,"Lead calificado",IF(OR(AG1358=4,AG1358=5),"Tasación/visita",IF(OR(AG1358=6,AG1358=7),"Captación/oferta",IF(AG1358=8,"Cierre","")))),"")</f>
        <v/>
      </c>
      <c r="AE1358" s="32"/>
      <c r="AF1358" s="32"/>
      <c r="AG1358" s="37" t="n">
        <f aca="false">IF(R1358="",0,IFERROR(MATCH(R1358,Listas!$L$2:$L$50,0),0))</f>
        <v>0</v>
      </c>
    </row>
    <row r="1359" customFormat="false" ht="15" hidden="false" customHeight="false" outlineLevel="0" collapsed="false">
      <c r="A1359" s="30"/>
      <c r="B1359" s="31"/>
      <c r="C1359" s="32"/>
      <c r="D1359" s="32"/>
      <c r="E1359" s="33"/>
      <c r="F1359" s="32"/>
      <c r="G1359" s="32"/>
      <c r="H1359" s="32"/>
      <c r="I1359" s="32"/>
      <c r="J1359" s="32"/>
      <c r="K1359" s="32"/>
      <c r="L1359" s="32"/>
      <c r="M1359" s="30"/>
      <c r="N1359" s="32"/>
      <c r="O1359" s="34"/>
      <c r="P1359" s="32"/>
      <c r="Q1359" s="32"/>
      <c r="R1359" s="32"/>
      <c r="S1359" s="32"/>
      <c r="T1359" s="32"/>
      <c r="U1359" s="32"/>
      <c r="V1359" s="31"/>
      <c r="W1359" s="35" t="str">
        <f aca="true">IF(OR(V1359="",AG1359&gt;=8),"",IF(V1359&lt;TODAY(),"Vencida",IF(V1359=TODAY(),"Hoy","")))</f>
        <v/>
      </c>
      <c r="X1359" s="36" t="str">
        <f aca="false">IF(A1359="","",IF(COUNTIF(Seguimiento!$B$2:$B$5001,A1359)=0,"",_xlfn.MAXIFS(Seguimiento!$A$2:$A$5001,Seguimiento!$B$2:$B$5001,A1359)))</f>
        <v/>
      </c>
      <c r="Y1359" s="37" t="str">
        <f aca="true">IF(B1359="","",TODAY()-B1359)</f>
        <v/>
      </c>
      <c r="Z1359" s="38" t="str">
        <f aca="false">IF(OR(O1359="",G1359=""),"",O1359*IFERROR(INDEX(Listas!$B$2:$B$50,MATCH(G1359,Listas!$A$2:$A$50,0)),0))</f>
        <v/>
      </c>
      <c r="AA1359" s="32"/>
      <c r="AB1359" s="32"/>
      <c r="AC1359" s="32"/>
      <c r="AD1359" s="35" t="str">
        <f aca="false">IF(OR(LEFT(H1359,4)="Meta",LEFT(H1359,6)="Google"),IF(AG1359=3,"Lead calificado",IF(OR(AG1359=4,AG1359=5),"Tasación/visita",IF(OR(AG1359=6,AG1359=7),"Captación/oferta",IF(AG1359=8,"Cierre","")))),"")</f>
        <v/>
      </c>
      <c r="AE1359" s="32"/>
      <c r="AF1359" s="32"/>
      <c r="AG1359" s="37" t="n">
        <f aca="false">IF(R1359="",0,IFERROR(MATCH(R1359,Listas!$L$2:$L$50,0),0))</f>
        <v>0</v>
      </c>
    </row>
    <row r="1360" customFormat="false" ht="15" hidden="false" customHeight="false" outlineLevel="0" collapsed="false">
      <c r="A1360" s="30"/>
      <c r="B1360" s="31"/>
      <c r="C1360" s="32"/>
      <c r="D1360" s="32"/>
      <c r="E1360" s="33"/>
      <c r="F1360" s="32"/>
      <c r="G1360" s="32"/>
      <c r="H1360" s="32"/>
      <c r="I1360" s="32"/>
      <c r="J1360" s="32"/>
      <c r="K1360" s="32"/>
      <c r="L1360" s="32"/>
      <c r="M1360" s="30"/>
      <c r="N1360" s="32"/>
      <c r="O1360" s="34"/>
      <c r="P1360" s="32"/>
      <c r="Q1360" s="32"/>
      <c r="R1360" s="32"/>
      <c r="S1360" s="32"/>
      <c r="T1360" s="32"/>
      <c r="U1360" s="32"/>
      <c r="V1360" s="31"/>
      <c r="W1360" s="35" t="str">
        <f aca="true">IF(OR(V1360="",AG1360&gt;=8),"",IF(V1360&lt;TODAY(),"Vencida",IF(V1360=TODAY(),"Hoy","")))</f>
        <v/>
      </c>
      <c r="X1360" s="36" t="str">
        <f aca="false">IF(A1360="","",IF(COUNTIF(Seguimiento!$B$2:$B$5001,A1360)=0,"",_xlfn.MAXIFS(Seguimiento!$A$2:$A$5001,Seguimiento!$B$2:$B$5001,A1360)))</f>
        <v/>
      </c>
      <c r="Y1360" s="37" t="str">
        <f aca="true">IF(B1360="","",TODAY()-B1360)</f>
        <v/>
      </c>
      <c r="Z1360" s="38" t="str">
        <f aca="false">IF(OR(O1360="",G1360=""),"",O1360*IFERROR(INDEX(Listas!$B$2:$B$50,MATCH(G1360,Listas!$A$2:$A$50,0)),0))</f>
        <v/>
      </c>
      <c r="AA1360" s="32"/>
      <c r="AB1360" s="32"/>
      <c r="AC1360" s="32"/>
      <c r="AD1360" s="35" t="str">
        <f aca="false">IF(OR(LEFT(H1360,4)="Meta",LEFT(H1360,6)="Google"),IF(AG1360=3,"Lead calificado",IF(OR(AG1360=4,AG1360=5),"Tasación/visita",IF(OR(AG1360=6,AG1360=7),"Captación/oferta",IF(AG1360=8,"Cierre","")))),"")</f>
        <v/>
      </c>
      <c r="AE1360" s="32"/>
      <c r="AF1360" s="32"/>
      <c r="AG1360" s="37" t="n">
        <f aca="false">IF(R1360="",0,IFERROR(MATCH(R1360,Listas!$L$2:$L$50,0),0))</f>
        <v>0</v>
      </c>
    </row>
    <row r="1361" customFormat="false" ht="15" hidden="false" customHeight="false" outlineLevel="0" collapsed="false">
      <c r="A1361" s="30"/>
      <c r="B1361" s="31"/>
      <c r="C1361" s="32"/>
      <c r="D1361" s="32"/>
      <c r="E1361" s="33"/>
      <c r="F1361" s="32"/>
      <c r="G1361" s="32"/>
      <c r="H1361" s="32"/>
      <c r="I1361" s="32"/>
      <c r="J1361" s="32"/>
      <c r="K1361" s="32"/>
      <c r="L1361" s="32"/>
      <c r="M1361" s="30"/>
      <c r="N1361" s="32"/>
      <c r="O1361" s="34"/>
      <c r="P1361" s="32"/>
      <c r="Q1361" s="32"/>
      <c r="R1361" s="32"/>
      <c r="S1361" s="32"/>
      <c r="T1361" s="32"/>
      <c r="U1361" s="32"/>
      <c r="V1361" s="31"/>
      <c r="W1361" s="35" t="str">
        <f aca="true">IF(OR(V1361="",AG1361&gt;=8),"",IF(V1361&lt;TODAY(),"Vencida",IF(V1361=TODAY(),"Hoy","")))</f>
        <v/>
      </c>
      <c r="X1361" s="36" t="str">
        <f aca="false">IF(A1361="","",IF(COUNTIF(Seguimiento!$B$2:$B$5001,A1361)=0,"",_xlfn.MAXIFS(Seguimiento!$A$2:$A$5001,Seguimiento!$B$2:$B$5001,A1361)))</f>
        <v/>
      </c>
      <c r="Y1361" s="37" t="str">
        <f aca="true">IF(B1361="","",TODAY()-B1361)</f>
        <v/>
      </c>
      <c r="Z1361" s="38" t="str">
        <f aca="false">IF(OR(O1361="",G1361=""),"",O1361*IFERROR(INDEX(Listas!$B$2:$B$50,MATCH(G1361,Listas!$A$2:$A$50,0)),0))</f>
        <v/>
      </c>
      <c r="AA1361" s="32"/>
      <c r="AB1361" s="32"/>
      <c r="AC1361" s="32"/>
      <c r="AD1361" s="35" t="str">
        <f aca="false">IF(OR(LEFT(H1361,4)="Meta",LEFT(H1361,6)="Google"),IF(AG1361=3,"Lead calificado",IF(OR(AG1361=4,AG1361=5),"Tasación/visita",IF(OR(AG1361=6,AG1361=7),"Captación/oferta",IF(AG1361=8,"Cierre","")))),"")</f>
        <v/>
      </c>
      <c r="AE1361" s="32"/>
      <c r="AF1361" s="32"/>
      <c r="AG1361" s="37" t="n">
        <f aca="false">IF(R1361="",0,IFERROR(MATCH(R1361,Listas!$L$2:$L$50,0),0))</f>
        <v>0</v>
      </c>
    </row>
    <row r="1362" customFormat="false" ht="15" hidden="false" customHeight="false" outlineLevel="0" collapsed="false">
      <c r="A1362" s="30"/>
      <c r="B1362" s="31"/>
      <c r="C1362" s="32"/>
      <c r="D1362" s="32"/>
      <c r="E1362" s="33"/>
      <c r="F1362" s="32"/>
      <c r="G1362" s="32"/>
      <c r="H1362" s="32"/>
      <c r="I1362" s="32"/>
      <c r="J1362" s="32"/>
      <c r="K1362" s="32"/>
      <c r="L1362" s="32"/>
      <c r="M1362" s="30"/>
      <c r="N1362" s="32"/>
      <c r="O1362" s="34"/>
      <c r="P1362" s="32"/>
      <c r="Q1362" s="32"/>
      <c r="R1362" s="32"/>
      <c r="S1362" s="32"/>
      <c r="T1362" s="32"/>
      <c r="U1362" s="32"/>
      <c r="V1362" s="31"/>
      <c r="W1362" s="35" t="str">
        <f aca="true">IF(OR(V1362="",AG1362&gt;=8),"",IF(V1362&lt;TODAY(),"Vencida",IF(V1362=TODAY(),"Hoy","")))</f>
        <v/>
      </c>
      <c r="X1362" s="36" t="str">
        <f aca="false">IF(A1362="","",IF(COUNTIF(Seguimiento!$B$2:$B$5001,A1362)=0,"",_xlfn.MAXIFS(Seguimiento!$A$2:$A$5001,Seguimiento!$B$2:$B$5001,A1362)))</f>
        <v/>
      </c>
      <c r="Y1362" s="37" t="str">
        <f aca="true">IF(B1362="","",TODAY()-B1362)</f>
        <v/>
      </c>
      <c r="Z1362" s="38" t="str">
        <f aca="false">IF(OR(O1362="",G1362=""),"",O1362*IFERROR(INDEX(Listas!$B$2:$B$50,MATCH(G1362,Listas!$A$2:$A$50,0)),0))</f>
        <v/>
      </c>
      <c r="AA1362" s="32"/>
      <c r="AB1362" s="32"/>
      <c r="AC1362" s="32"/>
      <c r="AD1362" s="35" t="str">
        <f aca="false">IF(OR(LEFT(H1362,4)="Meta",LEFT(H1362,6)="Google"),IF(AG1362=3,"Lead calificado",IF(OR(AG1362=4,AG1362=5),"Tasación/visita",IF(OR(AG1362=6,AG1362=7),"Captación/oferta",IF(AG1362=8,"Cierre","")))),"")</f>
        <v/>
      </c>
      <c r="AE1362" s="32"/>
      <c r="AF1362" s="32"/>
      <c r="AG1362" s="37" t="n">
        <f aca="false">IF(R1362="",0,IFERROR(MATCH(R1362,Listas!$L$2:$L$50,0),0))</f>
        <v>0</v>
      </c>
    </row>
    <row r="1363" customFormat="false" ht="15" hidden="false" customHeight="false" outlineLevel="0" collapsed="false">
      <c r="A1363" s="30"/>
      <c r="B1363" s="31"/>
      <c r="C1363" s="32"/>
      <c r="D1363" s="32"/>
      <c r="E1363" s="33"/>
      <c r="F1363" s="32"/>
      <c r="G1363" s="32"/>
      <c r="H1363" s="32"/>
      <c r="I1363" s="32"/>
      <c r="J1363" s="32"/>
      <c r="K1363" s="32"/>
      <c r="L1363" s="32"/>
      <c r="M1363" s="30"/>
      <c r="N1363" s="32"/>
      <c r="O1363" s="34"/>
      <c r="P1363" s="32"/>
      <c r="Q1363" s="32"/>
      <c r="R1363" s="32"/>
      <c r="S1363" s="32"/>
      <c r="T1363" s="32"/>
      <c r="U1363" s="32"/>
      <c r="V1363" s="31"/>
      <c r="W1363" s="35" t="str">
        <f aca="true">IF(OR(V1363="",AG1363&gt;=8),"",IF(V1363&lt;TODAY(),"Vencida",IF(V1363=TODAY(),"Hoy","")))</f>
        <v/>
      </c>
      <c r="X1363" s="36" t="str">
        <f aca="false">IF(A1363="","",IF(COUNTIF(Seguimiento!$B$2:$B$5001,A1363)=0,"",_xlfn.MAXIFS(Seguimiento!$A$2:$A$5001,Seguimiento!$B$2:$B$5001,A1363)))</f>
        <v/>
      </c>
      <c r="Y1363" s="37" t="str">
        <f aca="true">IF(B1363="","",TODAY()-B1363)</f>
        <v/>
      </c>
      <c r="Z1363" s="38" t="str">
        <f aca="false">IF(OR(O1363="",G1363=""),"",O1363*IFERROR(INDEX(Listas!$B$2:$B$50,MATCH(G1363,Listas!$A$2:$A$50,0)),0))</f>
        <v/>
      </c>
      <c r="AA1363" s="32"/>
      <c r="AB1363" s="32"/>
      <c r="AC1363" s="32"/>
      <c r="AD1363" s="35" t="str">
        <f aca="false">IF(OR(LEFT(H1363,4)="Meta",LEFT(H1363,6)="Google"),IF(AG1363=3,"Lead calificado",IF(OR(AG1363=4,AG1363=5),"Tasación/visita",IF(OR(AG1363=6,AG1363=7),"Captación/oferta",IF(AG1363=8,"Cierre","")))),"")</f>
        <v/>
      </c>
      <c r="AE1363" s="32"/>
      <c r="AF1363" s="32"/>
      <c r="AG1363" s="37" t="n">
        <f aca="false">IF(R1363="",0,IFERROR(MATCH(R1363,Listas!$L$2:$L$50,0),0))</f>
        <v>0</v>
      </c>
    </row>
    <row r="1364" customFormat="false" ht="15" hidden="false" customHeight="false" outlineLevel="0" collapsed="false">
      <c r="A1364" s="30"/>
      <c r="B1364" s="31"/>
      <c r="C1364" s="32"/>
      <c r="D1364" s="32"/>
      <c r="E1364" s="33"/>
      <c r="F1364" s="32"/>
      <c r="G1364" s="32"/>
      <c r="H1364" s="32"/>
      <c r="I1364" s="32"/>
      <c r="J1364" s="32"/>
      <c r="K1364" s="32"/>
      <c r="L1364" s="32"/>
      <c r="M1364" s="30"/>
      <c r="N1364" s="32"/>
      <c r="O1364" s="34"/>
      <c r="P1364" s="32"/>
      <c r="Q1364" s="32"/>
      <c r="R1364" s="32"/>
      <c r="S1364" s="32"/>
      <c r="T1364" s="32"/>
      <c r="U1364" s="32"/>
      <c r="V1364" s="31"/>
      <c r="W1364" s="35" t="str">
        <f aca="true">IF(OR(V1364="",AG1364&gt;=8),"",IF(V1364&lt;TODAY(),"Vencida",IF(V1364=TODAY(),"Hoy","")))</f>
        <v/>
      </c>
      <c r="X1364" s="36" t="str">
        <f aca="false">IF(A1364="","",IF(COUNTIF(Seguimiento!$B$2:$B$5001,A1364)=0,"",_xlfn.MAXIFS(Seguimiento!$A$2:$A$5001,Seguimiento!$B$2:$B$5001,A1364)))</f>
        <v/>
      </c>
      <c r="Y1364" s="37" t="str">
        <f aca="true">IF(B1364="","",TODAY()-B1364)</f>
        <v/>
      </c>
      <c r="Z1364" s="38" t="str">
        <f aca="false">IF(OR(O1364="",G1364=""),"",O1364*IFERROR(INDEX(Listas!$B$2:$B$50,MATCH(G1364,Listas!$A$2:$A$50,0)),0))</f>
        <v/>
      </c>
      <c r="AA1364" s="32"/>
      <c r="AB1364" s="32"/>
      <c r="AC1364" s="32"/>
      <c r="AD1364" s="35" t="str">
        <f aca="false">IF(OR(LEFT(H1364,4)="Meta",LEFT(H1364,6)="Google"),IF(AG1364=3,"Lead calificado",IF(OR(AG1364=4,AG1364=5),"Tasación/visita",IF(OR(AG1364=6,AG1364=7),"Captación/oferta",IF(AG1364=8,"Cierre","")))),"")</f>
        <v/>
      </c>
      <c r="AE1364" s="32"/>
      <c r="AF1364" s="32"/>
      <c r="AG1364" s="37" t="n">
        <f aca="false">IF(R1364="",0,IFERROR(MATCH(R1364,Listas!$L$2:$L$50,0),0))</f>
        <v>0</v>
      </c>
    </row>
    <row r="1365" customFormat="false" ht="15" hidden="false" customHeight="false" outlineLevel="0" collapsed="false">
      <c r="A1365" s="30"/>
      <c r="B1365" s="31"/>
      <c r="C1365" s="32"/>
      <c r="D1365" s="32"/>
      <c r="E1365" s="33"/>
      <c r="F1365" s="32"/>
      <c r="G1365" s="32"/>
      <c r="H1365" s="32"/>
      <c r="I1365" s="32"/>
      <c r="J1365" s="32"/>
      <c r="K1365" s="32"/>
      <c r="L1365" s="32"/>
      <c r="M1365" s="30"/>
      <c r="N1365" s="32"/>
      <c r="O1365" s="34"/>
      <c r="P1365" s="32"/>
      <c r="Q1365" s="32"/>
      <c r="R1365" s="32"/>
      <c r="S1365" s="32"/>
      <c r="T1365" s="32"/>
      <c r="U1365" s="32"/>
      <c r="V1365" s="31"/>
      <c r="W1365" s="35" t="str">
        <f aca="true">IF(OR(V1365="",AG1365&gt;=8),"",IF(V1365&lt;TODAY(),"Vencida",IF(V1365=TODAY(),"Hoy","")))</f>
        <v/>
      </c>
      <c r="X1365" s="36" t="str">
        <f aca="false">IF(A1365="","",IF(COUNTIF(Seguimiento!$B$2:$B$5001,A1365)=0,"",_xlfn.MAXIFS(Seguimiento!$A$2:$A$5001,Seguimiento!$B$2:$B$5001,A1365)))</f>
        <v/>
      </c>
      <c r="Y1365" s="37" t="str">
        <f aca="true">IF(B1365="","",TODAY()-B1365)</f>
        <v/>
      </c>
      <c r="Z1365" s="38" t="str">
        <f aca="false">IF(OR(O1365="",G1365=""),"",O1365*IFERROR(INDEX(Listas!$B$2:$B$50,MATCH(G1365,Listas!$A$2:$A$50,0)),0))</f>
        <v/>
      </c>
      <c r="AA1365" s="32"/>
      <c r="AB1365" s="32"/>
      <c r="AC1365" s="32"/>
      <c r="AD1365" s="35" t="str">
        <f aca="false">IF(OR(LEFT(H1365,4)="Meta",LEFT(H1365,6)="Google"),IF(AG1365=3,"Lead calificado",IF(OR(AG1365=4,AG1365=5),"Tasación/visita",IF(OR(AG1365=6,AG1365=7),"Captación/oferta",IF(AG1365=8,"Cierre","")))),"")</f>
        <v/>
      </c>
      <c r="AE1365" s="32"/>
      <c r="AF1365" s="32"/>
      <c r="AG1365" s="37" t="n">
        <f aca="false">IF(R1365="",0,IFERROR(MATCH(R1365,Listas!$L$2:$L$50,0),0))</f>
        <v>0</v>
      </c>
    </row>
    <row r="1366" customFormat="false" ht="15" hidden="false" customHeight="false" outlineLevel="0" collapsed="false">
      <c r="A1366" s="30"/>
      <c r="B1366" s="31"/>
      <c r="C1366" s="32"/>
      <c r="D1366" s="32"/>
      <c r="E1366" s="33"/>
      <c r="F1366" s="32"/>
      <c r="G1366" s="32"/>
      <c r="H1366" s="32"/>
      <c r="I1366" s="32"/>
      <c r="J1366" s="32"/>
      <c r="K1366" s="32"/>
      <c r="L1366" s="32"/>
      <c r="M1366" s="30"/>
      <c r="N1366" s="32"/>
      <c r="O1366" s="34"/>
      <c r="P1366" s="32"/>
      <c r="Q1366" s="32"/>
      <c r="R1366" s="32"/>
      <c r="S1366" s="32"/>
      <c r="T1366" s="32"/>
      <c r="U1366" s="32"/>
      <c r="V1366" s="31"/>
      <c r="W1366" s="35" t="str">
        <f aca="true">IF(OR(V1366="",AG1366&gt;=8),"",IF(V1366&lt;TODAY(),"Vencida",IF(V1366=TODAY(),"Hoy","")))</f>
        <v/>
      </c>
      <c r="X1366" s="36" t="str">
        <f aca="false">IF(A1366="","",IF(COUNTIF(Seguimiento!$B$2:$B$5001,A1366)=0,"",_xlfn.MAXIFS(Seguimiento!$A$2:$A$5001,Seguimiento!$B$2:$B$5001,A1366)))</f>
        <v/>
      </c>
      <c r="Y1366" s="37" t="str">
        <f aca="true">IF(B1366="","",TODAY()-B1366)</f>
        <v/>
      </c>
      <c r="Z1366" s="38" t="str">
        <f aca="false">IF(OR(O1366="",G1366=""),"",O1366*IFERROR(INDEX(Listas!$B$2:$B$50,MATCH(G1366,Listas!$A$2:$A$50,0)),0))</f>
        <v/>
      </c>
      <c r="AA1366" s="32"/>
      <c r="AB1366" s="32"/>
      <c r="AC1366" s="32"/>
      <c r="AD1366" s="35" t="str">
        <f aca="false">IF(OR(LEFT(H1366,4)="Meta",LEFT(H1366,6)="Google"),IF(AG1366=3,"Lead calificado",IF(OR(AG1366=4,AG1366=5),"Tasación/visita",IF(OR(AG1366=6,AG1366=7),"Captación/oferta",IF(AG1366=8,"Cierre","")))),"")</f>
        <v/>
      </c>
      <c r="AE1366" s="32"/>
      <c r="AF1366" s="32"/>
      <c r="AG1366" s="37" t="n">
        <f aca="false">IF(R1366="",0,IFERROR(MATCH(R1366,Listas!$L$2:$L$50,0),0))</f>
        <v>0</v>
      </c>
    </row>
    <row r="1367" customFormat="false" ht="15" hidden="false" customHeight="false" outlineLevel="0" collapsed="false">
      <c r="A1367" s="30"/>
      <c r="B1367" s="31"/>
      <c r="C1367" s="32"/>
      <c r="D1367" s="32"/>
      <c r="E1367" s="33"/>
      <c r="F1367" s="32"/>
      <c r="G1367" s="32"/>
      <c r="H1367" s="32"/>
      <c r="I1367" s="32"/>
      <c r="J1367" s="32"/>
      <c r="K1367" s="32"/>
      <c r="L1367" s="32"/>
      <c r="M1367" s="30"/>
      <c r="N1367" s="32"/>
      <c r="O1367" s="34"/>
      <c r="P1367" s="32"/>
      <c r="Q1367" s="32"/>
      <c r="R1367" s="32"/>
      <c r="S1367" s="32"/>
      <c r="T1367" s="32"/>
      <c r="U1367" s="32"/>
      <c r="V1367" s="31"/>
      <c r="W1367" s="35" t="str">
        <f aca="true">IF(OR(V1367="",AG1367&gt;=8),"",IF(V1367&lt;TODAY(),"Vencida",IF(V1367=TODAY(),"Hoy","")))</f>
        <v/>
      </c>
      <c r="X1367" s="36" t="str">
        <f aca="false">IF(A1367="","",IF(COUNTIF(Seguimiento!$B$2:$B$5001,A1367)=0,"",_xlfn.MAXIFS(Seguimiento!$A$2:$A$5001,Seguimiento!$B$2:$B$5001,A1367)))</f>
        <v/>
      </c>
      <c r="Y1367" s="37" t="str">
        <f aca="true">IF(B1367="","",TODAY()-B1367)</f>
        <v/>
      </c>
      <c r="Z1367" s="38" t="str">
        <f aca="false">IF(OR(O1367="",G1367=""),"",O1367*IFERROR(INDEX(Listas!$B$2:$B$50,MATCH(G1367,Listas!$A$2:$A$50,0)),0))</f>
        <v/>
      </c>
      <c r="AA1367" s="32"/>
      <c r="AB1367" s="32"/>
      <c r="AC1367" s="32"/>
      <c r="AD1367" s="35" t="str">
        <f aca="false">IF(OR(LEFT(H1367,4)="Meta",LEFT(H1367,6)="Google"),IF(AG1367=3,"Lead calificado",IF(OR(AG1367=4,AG1367=5),"Tasación/visita",IF(OR(AG1367=6,AG1367=7),"Captación/oferta",IF(AG1367=8,"Cierre","")))),"")</f>
        <v/>
      </c>
      <c r="AE1367" s="32"/>
      <c r="AF1367" s="32"/>
      <c r="AG1367" s="37" t="n">
        <f aca="false">IF(R1367="",0,IFERROR(MATCH(R1367,Listas!$L$2:$L$50,0),0))</f>
        <v>0</v>
      </c>
    </row>
    <row r="1368" customFormat="false" ht="15" hidden="false" customHeight="false" outlineLevel="0" collapsed="false">
      <c r="A1368" s="30"/>
      <c r="B1368" s="31"/>
      <c r="C1368" s="32"/>
      <c r="D1368" s="32"/>
      <c r="E1368" s="33"/>
      <c r="F1368" s="32"/>
      <c r="G1368" s="32"/>
      <c r="H1368" s="32"/>
      <c r="I1368" s="32"/>
      <c r="J1368" s="32"/>
      <c r="K1368" s="32"/>
      <c r="L1368" s="32"/>
      <c r="M1368" s="30"/>
      <c r="N1368" s="32"/>
      <c r="O1368" s="34"/>
      <c r="P1368" s="32"/>
      <c r="Q1368" s="32"/>
      <c r="R1368" s="32"/>
      <c r="S1368" s="32"/>
      <c r="T1368" s="32"/>
      <c r="U1368" s="32"/>
      <c r="V1368" s="31"/>
      <c r="W1368" s="35" t="str">
        <f aca="true">IF(OR(V1368="",AG1368&gt;=8),"",IF(V1368&lt;TODAY(),"Vencida",IF(V1368=TODAY(),"Hoy","")))</f>
        <v/>
      </c>
      <c r="X1368" s="36" t="str">
        <f aca="false">IF(A1368="","",IF(COUNTIF(Seguimiento!$B$2:$B$5001,A1368)=0,"",_xlfn.MAXIFS(Seguimiento!$A$2:$A$5001,Seguimiento!$B$2:$B$5001,A1368)))</f>
        <v/>
      </c>
      <c r="Y1368" s="37" t="str">
        <f aca="true">IF(B1368="","",TODAY()-B1368)</f>
        <v/>
      </c>
      <c r="Z1368" s="38" t="str">
        <f aca="false">IF(OR(O1368="",G1368=""),"",O1368*IFERROR(INDEX(Listas!$B$2:$B$50,MATCH(G1368,Listas!$A$2:$A$50,0)),0))</f>
        <v/>
      </c>
      <c r="AA1368" s="32"/>
      <c r="AB1368" s="32"/>
      <c r="AC1368" s="32"/>
      <c r="AD1368" s="35" t="str">
        <f aca="false">IF(OR(LEFT(H1368,4)="Meta",LEFT(H1368,6)="Google"),IF(AG1368=3,"Lead calificado",IF(OR(AG1368=4,AG1368=5),"Tasación/visita",IF(OR(AG1368=6,AG1368=7),"Captación/oferta",IF(AG1368=8,"Cierre","")))),"")</f>
        <v/>
      </c>
      <c r="AE1368" s="32"/>
      <c r="AF1368" s="32"/>
      <c r="AG1368" s="37" t="n">
        <f aca="false">IF(R1368="",0,IFERROR(MATCH(R1368,Listas!$L$2:$L$50,0),0))</f>
        <v>0</v>
      </c>
    </row>
    <row r="1369" customFormat="false" ht="15" hidden="false" customHeight="false" outlineLevel="0" collapsed="false">
      <c r="A1369" s="30"/>
      <c r="B1369" s="31"/>
      <c r="C1369" s="32"/>
      <c r="D1369" s="32"/>
      <c r="E1369" s="33"/>
      <c r="F1369" s="32"/>
      <c r="G1369" s="32"/>
      <c r="H1369" s="32"/>
      <c r="I1369" s="32"/>
      <c r="J1369" s="32"/>
      <c r="K1369" s="32"/>
      <c r="L1369" s="32"/>
      <c r="M1369" s="30"/>
      <c r="N1369" s="32"/>
      <c r="O1369" s="34"/>
      <c r="P1369" s="32"/>
      <c r="Q1369" s="32"/>
      <c r="R1369" s="32"/>
      <c r="S1369" s="32"/>
      <c r="T1369" s="32"/>
      <c r="U1369" s="32"/>
      <c r="V1369" s="31"/>
      <c r="W1369" s="35" t="str">
        <f aca="true">IF(OR(V1369="",AG1369&gt;=8),"",IF(V1369&lt;TODAY(),"Vencida",IF(V1369=TODAY(),"Hoy","")))</f>
        <v/>
      </c>
      <c r="X1369" s="36" t="str">
        <f aca="false">IF(A1369="","",IF(COUNTIF(Seguimiento!$B$2:$B$5001,A1369)=0,"",_xlfn.MAXIFS(Seguimiento!$A$2:$A$5001,Seguimiento!$B$2:$B$5001,A1369)))</f>
        <v/>
      </c>
      <c r="Y1369" s="37" t="str">
        <f aca="true">IF(B1369="","",TODAY()-B1369)</f>
        <v/>
      </c>
      <c r="Z1369" s="38" t="str">
        <f aca="false">IF(OR(O1369="",G1369=""),"",O1369*IFERROR(INDEX(Listas!$B$2:$B$50,MATCH(G1369,Listas!$A$2:$A$50,0)),0))</f>
        <v/>
      </c>
      <c r="AA1369" s="32"/>
      <c r="AB1369" s="32"/>
      <c r="AC1369" s="32"/>
      <c r="AD1369" s="35" t="str">
        <f aca="false">IF(OR(LEFT(H1369,4)="Meta",LEFT(H1369,6)="Google"),IF(AG1369=3,"Lead calificado",IF(OR(AG1369=4,AG1369=5),"Tasación/visita",IF(OR(AG1369=6,AG1369=7),"Captación/oferta",IF(AG1369=8,"Cierre","")))),"")</f>
        <v/>
      </c>
      <c r="AE1369" s="32"/>
      <c r="AF1369" s="32"/>
      <c r="AG1369" s="37" t="n">
        <f aca="false">IF(R1369="",0,IFERROR(MATCH(R1369,Listas!$L$2:$L$50,0),0))</f>
        <v>0</v>
      </c>
    </row>
    <row r="1370" customFormat="false" ht="15" hidden="false" customHeight="false" outlineLevel="0" collapsed="false">
      <c r="A1370" s="30"/>
      <c r="B1370" s="31"/>
      <c r="C1370" s="32"/>
      <c r="D1370" s="32"/>
      <c r="E1370" s="33"/>
      <c r="F1370" s="32"/>
      <c r="G1370" s="32"/>
      <c r="H1370" s="32"/>
      <c r="I1370" s="32"/>
      <c r="J1370" s="32"/>
      <c r="K1370" s="32"/>
      <c r="L1370" s="32"/>
      <c r="M1370" s="30"/>
      <c r="N1370" s="32"/>
      <c r="O1370" s="34"/>
      <c r="P1370" s="32"/>
      <c r="Q1370" s="32"/>
      <c r="R1370" s="32"/>
      <c r="S1370" s="32"/>
      <c r="T1370" s="32"/>
      <c r="U1370" s="32"/>
      <c r="V1370" s="31"/>
      <c r="W1370" s="35" t="str">
        <f aca="true">IF(OR(V1370="",AG1370&gt;=8),"",IF(V1370&lt;TODAY(),"Vencida",IF(V1370=TODAY(),"Hoy","")))</f>
        <v/>
      </c>
      <c r="X1370" s="36" t="str">
        <f aca="false">IF(A1370="","",IF(COUNTIF(Seguimiento!$B$2:$B$5001,A1370)=0,"",_xlfn.MAXIFS(Seguimiento!$A$2:$A$5001,Seguimiento!$B$2:$B$5001,A1370)))</f>
        <v/>
      </c>
      <c r="Y1370" s="37" t="str">
        <f aca="true">IF(B1370="","",TODAY()-B1370)</f>
        <v/>
      </c>
      <c r="Z1370" s="38" t="str">
        <f aca="false">IF(OR(O1370="",G1370=""),"",O1370*IFERROR(INDEX(Listas!$B$2:$B$50,MATCH(G1370,Listas!$A$2:$A$50,0)),0))</f>
        <v/>
      </c>
      <c r="AA1370" s="32"/>
      <c r="AB1370" s="32"/>
      <c r="AC1370" s="32"/>
      <c r="AD1370" s="35" t="str">
        <f aca="false">IF(OR(LEFT(H1370,4)="Meta",LEFT(H1370,6)="Google"),IF(AG1370=3,"Lead calificado",IF(OR(AG1370=4,AG1370=5),"Tasación/visita",IF(OR(AG1370=6,AG1370=7),"Captación/oferta",IF(AG1370=8,"Cierre","")))),"")</f>
        <v/>
      </c>
      <c r="AE1370" s="32"/>
      <c r="AF1370" s="32"/>
      <c r="AG1370" s="37" t="n">
        <f aca="false">IF(R1370="",0,IFERROR(MATCH(R1370,Listas!$L$2:$L$50,0),0))</f>
        <v>0</v>
      </c>
    </row>
    <row r="1371" customFormat="false" ht="15" hidden="false" customHeight="false" outlineLevel="0" collapsed="false">
      <c r="A1371" s="30"/>
      <c r="B1371" s="31"/>
      <c r="C1371" s="32"/>
      <c r="D1371" s="32"/>
      <c r="E1371" s="33"/>
      <c r="F1371" s="32"/>
      <c r="G1371" s="32"/>
      <c r="H1371" s="32"/>
      <c r="I1371" s="32"/>
      <c r="J1371" s="32"/>
      <c r="K1371" s="32"/>
      <c r="L1371" s="32"/>
      <c r="M1371" s="30"/>
      <c r="N1371" s="32"/>
      <c r="O1371" s="34"/>
      <c r="P1371" s="32"/>
      <c r="Q1371" s="32"/>
      <c r="R1371" s="32"/>
      <c r="S1371" s="32"/>
      <c r="T1371" s="32"/>
      <c r="U1371" s="32"/>
      <c r="V1371" s="31"/>
      <c r="W1371" s="35" t="str">
        <f aca="true">IF(OR(V1371="",AG1371&gt;=8),"",IF(V1371&lt;TODAY(),"Vencida",IF(V1371=TODAY(),"Hoy","")))</f>
        <v/>
      </c>
      <c r="X1371" s="36" t="str">
        <f aca="false">IF(A1371="","",IF(COUNTIF(Seguimiento!$B$2:$B$5001,A1371)=0,"",_xlfn.MAXIFS(Seguimiento!$A$2:$A$5001,Seguimiento!$B$2:$B$5001,A1371)))</f>
        <v/>
      </c>
      <c r="Y1371" s="37" t="str">
        <f aca="true">IF(B1371="","",TODAY()-B1371)</f>
        <v/>
      </c>
      <c r="Z1371" s="38" t="str">
        <f aca="false">IF(OR(O1371="",G1371=""),"",O1371*IFERROR(INDEX(Listas!$B$2:$B$50,MATCH(G1371,Listas!$A$2:$A$50,0)),0))</f>
        <v/>
      </c>
      <c r="AA1371" s="32"/>
      <c r="AB1371" s="32"/>
      <c r="AC1371" s="32"/>
      <c r="AD1371" s="35" t="str">
        <f aca="false">IF(OR(LEFT(H1371,4)="Meta",LEFT(H1371,6)="Google"),IF(AG1371=3,"Lead calificado",IF(OR(AG1371=4,AG1371=5),"Tasación/visita",IF(OR(AG1371=6,AG1371=7),"Captación/oferta",IF(AG1371=8,"Cierre","")))),"")</f>
        <v/>
      </c>
      <c r="AE1371" s="32"/>
      <c r="AF1371" s="32"/>
      <c r="AG1371" s="37" t="n">
        <f aca="false">IF(R1371="",0,IFERROR(MATCH(R1371,Listas!$L$2:$L$50,0),0))</f>
        <v>0</v>
      </c>
    </row>
    <row r="1372" customFormat="false" ht="15" hidden="false" customHeight="false" outlineLevel="0" collapsed="false">
      <c r="A1372" s="30"/>
      <c r="B1372" s="31"/>
      <c r="C1372" s="32"/>
      <c r="D1372" s="32"/>
      <c r="E1372" s="33"/>
      <c r="F1372" s="32"/>
      <c r="G1372" s="32"/>
      <c r="H1372" s="32"/>
      <c r="I1372" s="32"/>
      <c r="J1372" s="32"/>
      <c r="K1372" s="32"/>
      <c r="L1372" s="32"/>
      <c r="M1372" s="30"/>
      <c r="N1372" s="32"/>
      <c r="O1372" s="34"/>
      <c r="P1372" s="32"/>
      <c r="Q1372" s="32"/>
      <c r="R1372" s="32"/>
      <c r="S1372" s="32"/>
      <c r="T1372" s="32"/>
      <c r="U1372" s="32"/>
      <c r="V1372" s="31"/>
      <c r="W1372" s="35" t="str">
        <f aca="true">IF(OR(V1372="",AG1372&gt;=8),"",IF(V1372&lt;TODAY(),"Vencida",IF(V1372=TODAY(),"Hoy","")))</f>
        <v/>
      </c>
      <c r="X1372" s="36" t="str">
        <f aca="false">IF(A1372="","",IF(COUNTIF(Seguimiento!$B$2:$B$5001,A1372)=0,"",_xlfn.MAXIFS(Seguimiento!$A$2:$A$5001,Seguimiento!$B$2:$B$5001,A1372)))</f>
        <v/>
      </c>
      <c r="Y1372" s="37" t="str">
        <f aca="true">IF(B1372="","",TODAY()-B1372)</f>
        <v/>
      </c>
      <c r="Z1372" s="38" t="str">
        <f aca="false">IF(OR(O1372="",G1372=""),"",O1372*IFERROR(INDEX(Listas!$B$2:$B$50,MATCH(G1372,Listas!$A$2:$A$50,0)),0))</f>
        <v/>
      </c>
      <c r="AA1372" s="32"/>
      <c r="AB1372" s="32"/>
      <c r="AC1372" s="32"/>
      <c r="AD1372" s="35" t="str">
        <f aca="false">IF(OR(LEFT(H1372,4)="Meta",LEFT(H1372,6)="Google"),IF(AG1372=3,"Lead calificado",IF(OR(AG1372=4,AG1372=5),"Tasación/visita",IF(OR(AG1372=6,AG1372=7),"Captación/oferta",IF(AG1372=8,"Cierre","")))),"")</f>
        <v/>
      </c>
      <c r="AE1372" s="32"/>
      <c r="AF1372" s="32"/>
      <c r="AG1372" s="37" t="n">
        <f aca="false">IF(R1372="",0,IFERROR(MATCH(R1372,Listas!$L$2:$L$50,0),0))</f>
        <v>0</v>
      </c>
    </row>
    <row r="1373" customFormat="false" ht="15" hidden="false" customHeight="false" outlineLevel="0" collapsed="false">
      <c r="A1373" s="30"/>
      <c r="B1373" s="31"/>
      <c r="C1373" s="32"/>
      <c r="D1373" s="32"/>
      <c r="E1373" s="33"/>
      <c r="F1373" s="32"/>
      <c r="G1373" s="32"/>
      <c r="H1373" s="32"/>
      <c r="I1373" s="32"/>
      <c r="J1373" s="32"/>
      <c r="K1373" s="32"/>
      <c r="L1373" s="32"/>
      <c r="M1373" s="30"/>
      <c r="N1373" s="32"/>
      <c r="O1373" s="34"/>
      <c r="P1373" s="32"/>
      <c r="Q1373" s="32"/>
      <c r="R1373" s="32"/>
      <c r="S1373" s="32"/>
      <c r="T1373" s="32"/>
      <c r="U1373" s="32"/>
      <c r="V1373" s="31"/>
      <c r="W1373" s="35" t="str">
        <f aca="true">IF(OR(V1373="",AG1373&gt;=8),"",IF(V1373&lt;TODAY(),"Vencida",IF(V1373=TODAY(),"Hoy","")))</f>
        <v/>
      </c>
      <c r="X1373" s="36" t="str">
        <f aca="false">IF(A1373="","",IF(COUNTIF(Seguimiento!$B$2:$B$5001,A1373)=0,"",_xlfn.MAXIFS(Seguimiento!$A$2:$A$5001,Seguimiento!$B$2:$B$5001,A1373)))</f>
        <v/>
      </c>
      <c r="Y1373" s="37" t="str">
        <f aca="true">IF(B1373="","",TODAY()-B1373)</f>
        <v/>
      </c>
      <c r="Z1373" s="38" t="str">
        <f aca="false">IF(OR(O1373="",G1373=""),"",O1373*IFERROR(INDEX(Listas!$B$2:$B$50,MATCH(G1373,Listas!$A$2:$A$50,0)),0))</f>
        <v/>
      </c>
      <c r="AA1373" s="32"/>
      <c r="AB1373" s="32"/>
      <c r="AC1373" s="32"/>
      <c r="AD1373" s="35" t="str">
        <f aca="false">IF(OR(LEFT(H1373,4)="Meta",LEFT(H1373,6)="Google"),IF(AG1373=3,"Lead calificado",IF(OR(AG1373=4,AG1373=5),"Tasación/visita",IF(OR(AG1373=6,AG1373=7),"Captación/oferta",IF(AG1373=8,"Cierre","")))),"")</f>
        <v/>
      </c>
      <c r="AE1373" s="32"/>
      <c r="AF1373" s="32"/>
      <c r="AG1373" s="37" t="n">
        <f aca="false">IF(R1373="",0,IFERROR(MATCH(R1373,Listas!$L$2:$L$50,0),0))</f>
        <v>0</v>
      </c>
    </row>
    <row r="1374" customFormat="false" ht="15" hidden="false" customHeight="false" outlineLevel="0" collapsed="false">
      <c r="A1374" s="30"/>
      <c r="B1374" s="31"/>
      <c r="C1374" s="32"/>
      <c r="D1374" s="32"/>
      <c r="E1374" s="33"/>
      <c r="F1374" s="32"/>
      <c r="G1374" s="32"/>
      <c r="H1374" s="32"/>
      <c r="I1374" s="32"/>
      <c r="J1374" s="32"/>
      <c r="K1374" s="32"/>
      <c r="L1374" s="32"/>
      <c r="M1374" s="30"/>
      <c r="N1374" s="32"/>
      <c r="O1374" s="34"/>
      <c r="P1374" s="32"/>
      <c r="Q1374" s="32"/>
      <c r="R1374" s="32"/>
      <c r="S1374" s="32"/>
      <c r="T1374" s="32"/>
      <c r="U1374" s="32"/>
      <c r="V1374" s="31"/>
      <c r="W1374" s="35" t="str">
        <f aca="true">IF(OR(V1374="",AG1374&gt;=8),"",IF(V1374&lt;TODAY(),"Vencida",IF(V1374=TODAY(),"Hoy","")))</f>
        <v/>
      </c>
      <c r="X1374" s="36" t="str">
        <f aca="false">IF(A1374="","",IF(COUNTIF(Seguimiento!$B$2:$B$5001,A1374)=0,"",_xlfn.MAXIFS(Seguimiento!$A$2:$A$5001,Seguimiento!$B$2:$B$5001,A1374)))</f>
        <v/>
      </c>
      <c r="Y1374" s="37" t="str">
        <f aca="true">IF(B1374="","",TODAY()-B1374)</f>
        <v/>
      </c>
      <c r="Z1374" s="38" t="str">
        <f aca="false">IF(OR(O1374="",G1374=""),"",O1374*IFERROR(INDEX(Listas!$B$2:$B$50,MATCH(G1374,Listas!$A$2:$A$50,0)),0))</f>
        <v/>
      </c>
      <c r="AA1374" s="32"/>
      <c r="AB1374" s="32"/>
      <c r="AC1374" s="32"/>
      <c r="AD1374" s="35" t="str">
        <f aca="false">IF(OR(LEFT(H1374,4)="Meta",LEFT(H1374,6)="Google"),IF(AG1374=3,"Lead calificado",IF(OR(AG1374=4,AG1374=5),"Tasación/visita",IF(OR(AG1374=6,AG1374=7),"Captación/oferta",IF(AG1374=8,"Cierre","")))),"")</f>
        <v/>
      </c>
      <c r="AE1374" s="32"/>
      <c r="AF1374" s="32"/>
      <c r="AG1374" s="37" t="n">
        <f aca="false">IF(R1374="",0,IFERROR(MATCH(R1374,Listas!$L$2:$L$50,0),0))</f>
        <v>0</v>
      </c>
    </row>
    <row r="1375" customFormat="false" ht="15" hidden="false" customHeight="false" outlineLevel="0" collapsed="false">
      <c r="A1375" s="30"/>
      <c r="B1375" s="31"/>
      <c r="C1375" s="32"/>
      <c r="D1375" s="32"/>
      <c r="E1375" s="33"/>
      <c r="F1375" s="32"/>
      <c r="G1375" s="32"/>
      <c r="H1375" s="32"/>
      <c r="I1375" s="32"/>
      <c r="J1375" s="32"/>
      <c r="K1375" s="32"/>
      <c r="L1375" s="32"/>
      <c r="M1375" s="30"/>
      <c r="N1375" s="32"/>
      <c r="O1375" s="34"/>
      <c r="P1375" s="32"/>
      <c r="Q1375" s="32"/>
      <c r="R1375" s="32"/>
      <c r="S1375" s="32"/>
      <c r="T1375" s="32"/>
      <c r="U1375" s="32"/>
      <c r="V1375" s="31"/>
      <c r="W1375" s="35" t="str">
        <f aca="true">IF(OR(V1375="",AG1375&gt;=8),"",IF(V1375&lt;TODAY(),"Vencida",IF(V1375=TODAY(),"Hoy","")))</f>
        <v/>
      </c>
      <c r="X1375" s="36" t="str">
        <f aca="false">IF(A1375="","",IF(COUNTIF(Seguimiento!$B$2:$B$5001,A1375)=0,"",_xlfn.MAXIFS(Seguimiento!$A$2:$A$5001,Seguimiento!$B$2:$B$5001,A1375)))</f>
        <v/>
      </c>
      <c r="Y1375" s="37" t="str">
        <f aca="true">IF(B1375="","",TODAY()-B1375)</f>
        <v/>
      </c>
      <c r="Z1375" s="38" t="str">
        <f aca="false">IF(OR(O1375="",G1375=""),"",O1375*IFERROR(INDEX(Listas!$B$2:$B$50,MATCH(G1375,Listas!$A$2:$A$50,0)),0))</f>
        <v/>
      </c>
      <c r="AA1375" s="32"/>
      <c r="AB1375" s="32"/>
      <c r="AC1375" s="32"/>
      <c r="AD1375" s="35" t="str">
        <f aca="false">IF(OR(LEFT(H1375,4)="Meta",LEFT(H1375,6)="Google"),IF(AG1375=3,"Lead calificado",IF(OR(AG1375=4,AG1375=5),"Tasación/visita",IF(OR(AG1375=6,AG1375=7),"Captación/oferta",IF(AG1375=8,"Cierre","")))),"")</f>
        <v/>
      </c>
      <c r="AE1375" s="32"/>
      <c r="AF1375" s="32"/>
      <c r="AG1375" s="37" t="n">
        <f aca="false">IF(R1375="",0,IFERROR(MATCH(R1375,Listas!$L$2:$L$50,0),0))</f>
        <v>0</v>
      </c>
    </row>
    <row r="1376" customFormat="false" ht="15" hidden="false" customHeight="false" outlineLevel="0" collapsed="false">
      <c r="A1376" s="30"/>
      <c r="B1376" s="31"/>
      <c r="C1376" s="32"/>
      <c r="D1376" s="32"/>
      <c r="E1376" s="33"/>
      <c r="F1376" s="32"/>
      <c r="G1376" s="32"/>
      <c r="H1376" s="32"/>
      <c r="I1376" s="32"/>
      <c r="J1376" s="32"/>
      <c r="K1376" s="32"/>
      <c r="L1376" s="32"/>
      <c r="M1376" s="30"/>
      <c r="N1376" s="32"/>
      <c r="O1376" s="34"/>
      <c r="P1376" s="32"/>
      <c r="Q1376" s="32"/>
      <c r="R1376" s="32"/>
      <c r="S1376" s="32"/>
      <c r="T1376" s="32"/>
      <c r="U1376" s="32"/>
      <c r="V1376" s="31"/>
      <c r="W1376" s="35" t="str">
        <f aca="true">IF(OR(V1376="",AG1376&gt;=8),"",IF(V1376&lt;TODAY(),"Vencida",IF(V1376=TODAY(),"Hoy","")))</f>
        <v/>
      </c>
      <c r="X1376" s="36" t="str">
        <f aca="false">IF(A1376="","",IF(COUNTIF(Seguimiento!$B$2:$B$5001,A1376)=0,"",_xlfn.MAXIFS(Seguimiento!$A$2:$A$5001,Seguimiento!$B$2:$B$5001,A1376)))</f>
        <v/>
      </c>
      <c r="Y1376" s="37" t="str">
        <f aca="true">IF(B1376="","",TODAY()-B1376)</f>
        <v/>
      </c>
      <c r="Z1376" s="38" t="str">
        <f aca="false">IF(OR(O1376="",G1376=""),"",O1376*IFERROR(INDEX(Listas!$B$2:$B$50,MATCH(G1376,Listas!$A$2:$A$50,0)),0))</f>
        <v/>
      </c>
      <c r="AA1376" s="32"/>
      <c r="AB1376" s="32"/>
      <c r="AC1376" s="32"/>
      <c r="AD1376" s="35" t="str">
        <f aca="false">IF(OR(LEFT(H1376,4)="Meta",LEFT(H1376,6)="Google"),IF(AG1376=3,"Lead calificado",IF(OR(AG1376=4,AG1376=5),"Tasación/visita",IF(OR(AG1376=6,AG1376=7),"Captación/oferta",IF(AG1376=8,"Cierre","")))),"")</f>
        <v/>
      </c>
      <c r="AE1376" s="32"/>
      <c r="AF1376" s="32"/>
      <c r="AG1376" s="37" t="n">
        <f aca="false">IF(R1376="",0,IFERROR(MATCH(R1376,Listas!$L$2:$L$50,0),0))</f>
        <v>0</v>
      </c>
    </row>
    <row r="1377" customFormat="false" ht="15" hidden="false" customHeight="false" outlineLevel="0" collapsed="false">
      <c r="A1377" s="30"/>
      <c r="B1377" s="31"/>
      <c r="C1377" s="32"/>
      <c r="D1377" s="32"/>
      <c r="E1377" s="33"/>
      <c r="F1377" s="32"/>
      <c r="G1377" s="32"/>
      <c r="H1377" s="32"/>
      <c r="I1377" s="32"/>
      <c r="J1377" s="32"/>
      <c r="K1377" s="32"/>
      <c r="L1377" s="32"/>
      <c r="M1377" s="30"/>
      <c r="N1377" s="32"/>
      <c r="O1377" s="34"/>
      <c r="P1377" s="32"/>
      <c r="Q1377" s="32"/>
      <c r="R1377" s="32"/>
      <c r="S1377" s="32"/>
      <c r="T1377" s="32"/>
      <c r="U1377" s="32"/>
      <c r="V1377" s="31"/>
      <c r="W1377" s="35" t="str">
        <f aca="true">IF(OR(V1377="",AG1377&gt;=8),"",IF(V1377&lt;TODAY(),"Vencida",IF(V1377=TODAY(),"Hoy","")))</f>
        <v/>
      </c>
      <c r="X1377" s="36" t="str">
        <f aca="false">IF(A1377="","",IF(COUNTIF(Seguimiento!$B$2:$B$5001,A1377)=0,"",_xlfn.MAXIFS(Seguimiento!$A$2:$A$5001,Seguimiento!$B$2:$B$5001,A1377)))</f>
        <v/>
      </c>
      <c r="Y1377" s="37" t="str">
        <f aca="true">IF(B1377="","",TODAY()-B1377)</f>
        <v/>
      </c>
      <c r="Z1377" s="38" t="str">
        <f aca="false">IF(OR(O1377="",G1377=""),"",O1377*IFERROR(INDEX(Listas!$B$2:$B$50,MATCH(G1377,Listas!$A$2:$A$50,0)),0))</f>
        <v/>
      </c>
      <c r="AA1377" s="32"/>
      <c r="AB1377" s="32"/>
      <c r="AC1377" s="32"/>
      <c r="AD1377" s="35" t="str">
        <f aca="false">IF(OR(LEFT(H1377,4)="Meta",LEFT(H1377,6)="Google"),IF(AG1377=3,"Lead calificado",IF(OR(AG1377=4,AG1377=5),"Tasación/visita",IF(OR(AG1377=6,AG1377=7),"Captación/oferta",IF(AG1377=8,"Cierre","")))),"")</f>
        <v/>
      </c>
      <c r="AE1377" s="32"/>
      <c r="AF1377" s="32"/>
      <c r="AG1377" s="37" t="n">
        <f aca="false">IF(R1377="",0,IFERROR(MATCH(R1377,Listas!$L$2:$L$50,0),0))</f>
        <v>0</v>
      </c>
    </row>
    <row r="1378" customFormat="false" ht="15" hidden="false" customHeight="false" outlineLevel="0" collapsed="false">
      <c r="A1378" s="30"/>
      <c r="B1378" s="31"/>
      <c r="C1378" s="32"/>
      <c r="D1378" s="32"/>
      <c r="E1378" s="33"/>
      <c r="F1378" s="32"/>
      <c r="G1378" s="32"/>
      <c r="H1378" s="32"/>
      <c r="I1378" s="32"/>
      <c r="J1378" s="32"/>
      <c r="K1378" s="32"/>
      <c r="L1378" s="32"/>
      <c r="M1378" s="30"/>
      <c r="N1378" s="32"/>
      <c r="O1378" s="34"/>
      <c r="P1378" s="32"/>
      <c r="Q1378" s="32"/>
      <c r="R1378" s="32"/>
      <c r="S1378" s="32"/>
      <c r="T1378" s="32"/>
      <c r="U1378" s="32"/>
      <c r="V1378" s="31"/>
      <c r="W1378" s="35" t="str">
        <f aca="true">IF(OR(V1378="",AG1378&gt;=8),"",IF(V1378&lt;TODAY(),"Vencida",IF(V1378=TODAY(),"Hoy","")))</f>
        <v/>
      </c>
      <c r="X1378" s="36" t="str">
        <f aca="false">IF(A1378="","",IF(COUNTIF(Seguimiento!$B$2:$B$5001,A1378)=0,"",_xlfn.MAXIFS(Seguimiento!$A$2:$A$5001,Seguimiento!$B$2:$B$5001,A1378)))</f>
        <v/>
      </c>
      <c r="Y1378" s="37" t="str">
        <f aca="true">IF(B1378="","",TODAY()-B1378)</f>
        <v/>
      </c>
      <c r="Z1378" s="38" t="str">
        <f aca="false">IF(OR(O1378="",G1378=""),"",O1378*IFERROR(INDEX(Listas!$B$2:$B$50,MATCH(G1378,Listas!$A$2:$A$50,0)),0))</f>
        <v/>
      </c>
      <c r="AA1378" s="32"/>
      <c r="AB1378" s="32"/>
      <c r="AC1378" s="32"/>
      <c r="AD1378" s="35" t="str">
        <f aca="false">IF(OR(LEFT(H1378,4)="Meta",LEFT(H1378,6)="Google"),IF(AG1378=3,"Lead calificado",IF(OR(AG1378=4,AG1378=5),"Tasación/visita",IF(OR(AG1378=6,AG1378=7),"Captación/oferta",IF(AG1378=8,"Cierre","")))),"")</f>
        <v/>
      </c>
      <c r="AE1378" s="32"/>
      <c r="AF1378" s="32"/>
      <c r="AG1378" s="37" t="n">
        <f aca="false">IF(R1378="",0,IFERROR(MATCH(R1378,Listas!$L$2:$L$50,0),0))</f>
        <v>0</v>
      </c>
    </row>
    <row r="1379" customFormat="false" ht="15" hidden="false" customHeight="false" outlineLevel="0" collapsed="false">
      <c r="A1379" s="30"/>
      <c r="B1379" s="31"/>
      <c r="C1379" s="32"/>
      <c r="D1379" s="32"/>
      <c r="E1379" s="33"/>
      <c r="F1379" s="32"/>
      <c r="G1379" s="32"/>
      <c r="H1379" s="32"/>
      <c r="I1379" s="32"/>
      <c r="J1379" s="32"/>
      <c r="K1379" s="32"/>
      <c r="L1379" s="32"/>
      <c r="M1379" s="30"/>
      <c r="N1379" s="32"/>
      <c r="O1379" s="34"/>
      <c r="P1379" s="32"/>
      <c r="Q1379" s="32"/>
      <c r="R1379" s="32"/>
      <c r="S1379" s="32"/>
      <c r="T1379" s="32"/>
      <c r="U1379" s="32"/>
      <c r="V1379" s="31"/>
      <c r="W1379" s="35" t="str">
        <f aca="true">IF(OR(V1379="",AG1379&gt;=8),"",IF(V1379&lt;TODAY(),"Vencida",IF(V1379=TODAY(),"Hoy","")))</f>
        <v/>
      </c>
      <c r="X1379" s="36" t="str">
        <f aca="false">IF(A1379="","",IF(COUNTIF(Seguimiento!$B$2:$B$5001,A1379)=0,"",_xlfn.MAXIFS(Seguimiento!$A$2:$A$5001,Seguimiento!$B$2:$B$5001,A1379)))</f>
        <v/>
      </c>
      <c r="Y1379" s="37" t="str">
        <f aca="true">IF(B1379="","",TODAY()-B1379)</f>
        <v/>
      </c>
      <c r="Z1379" s="38" t="str">
        <f aca="false">IF(OR(O1379="",G1379=""),"",O1379*IFERROR(INDEX(Listas!$B$2:$B$50,MATCH(G1379,Listas!$A$2:$A$50,0)),0))</f>
        <v/>
      </c>
      <c r="AA1379" s="32"/>
      <c r="AB1379" s="32"/>
      <c r="AC1379" s="32"/>
      <c r="AD1379" s="35" t="str">
        <f aca="false">IF(OR(LEFT(H1379,4)="Meta",LEFT(H1379,6)="Google"),IF(AG1379=3,"Lead calificado",IF(OR(AG1379=4,AG1379=5),"Tasación/visita",IF(OR(AG1379=6,AG1379=7),"Captación/oferta",IF(AG1379=8,"Cierre","")))),"")</f>
        <v/>
      </c>
      <c r="AE1379" s="32"/>
      <c r="AF1379" s="32"/>
      <c r="AG1379" s="37" t="n">
        <f aca="false">IF(R1379="",0,IFERROR(MATCH(R1379,Listas!$L$2:$L$50,0),0))</f>
        <v>0</v>
      </c>
    </row>
    <row r="1380" customFormat="false" ht="15" hidden="false" customHeight="false" outlineLevel="0" collapsed="false">
      <c r="A1380" s="30"/>
      <c r="B1380" s="31"/>
      <c r="C1380" s="32"/>
      <c r="D1380" s="32"/>
      <c r="E1380" s="33"/>
      <c r="F1380" s="32"/>
      <c r="G1380" s="32"/>
      <c r="H1380" s="32"/>
      <c r="I1380" s="32"/>
      <c r="J1380" s="32"/>
      <c r="K1380" s="32"/>
      <c r="L1380" s="32"/>
      <c r="M1380" s="30"/>
      <c r="N1380" s="32"/>
      <c r="O1380" s="34"/>
      <c r="P1380" s="32"/>
      <c r="Q1380" s="32"/>
      <c r="R1380" s="32"/>
      <c r="S1380" s="32"/>
      <c r="T1380" s="32"/>
      <c r="U1380" s="32"/>
      <c r="V1380" s="31"/>
      <c r="W1380" s="35" t="str">
        <f aca="true">IF(OR(V1380="",AG1380&gt;=8),"",IF(V1380&lt;TODAY(),"Vencida",IF(V1380=TODAY(),"Hoy","")))</f>
        <v/>
      </c>
      <c r="X1380" s="36" t="str">
        <f aca="false">IF(A1380="","",IF(COUNTIF(Seguimiento!$B$2:$B$5001,A1380)=0,"",_xlfn.MAXIFS(Seguimiento!$A$2:$A$5001,Seguimiento!$B$2:$B$5001,A1380)))</f>
        <v/>
      </c>
      <c r="Y1380" s="37" t="str">
        <f aca="true">IF(B1380="","",TODAY()-B1380)</f>
        <v/>
      </c>
      <c r="Z1380" s="38" t="str">
        <f aca="false">IF(OR(O1380="",G1380=""),"",O1380*IFERROR(INDEX(Listas!$B$2:$B$50,MATCH(G1380,Listas!$A$2:$A$50,0)),0))</f>
        <v/>
      </c>
      <c r="AA1380" s="32"/>
      <c r="AB1380" s="32"/>
      <c r="AC1380" s="32"/>
      <c r="AD1380" s="35" t="str">
        <f aca="false">IF(OR(LEFT(H1380,4)="Meta",LEFT(H1380,6)="Google"),IF(AG1380=3,"Lead calificado",IF(OR(AG1380=4,AG1380=5),"Tasación/visita",IF(OR(AG1380=6,AG1380=7),"Captación/oferta",IF(AG1380=8,"Cierre","")))),"")</f>
        <v/>
      </c>
      <c r="AE1380" s="32"/>
      <c r="AF1380" s="32"/>
      <c r="AG1380" s="37" t="n">
        <f aca="false">IF(R1380="",0,IFERROR(MATCH(R1380,Listas!$L$2:$L$50,0),0))</f>
        <v>0</v>
      </c>
    </row>
    <row r="1381" customFormat="false" ht="15" hidden="false" customHeight="false" outlineLevel="0" collapsed="false">
      <c r="A1381" s="30"/>
      <c r="B1381" s="31"/>
      <c r="C1381" s="32"/>
      <c r="D1381" s="32"/>
      <c r="E1381" s="33"/>
      <c r="F1381" s="32"/>
      <c r="G1381" s="32"/>
      <c r="H1381" s="32"/>
      <c r="I1381" s="32"/>
      <c r="J1381" s="32"/>
      <c r="K1381" s="32"/>
      <c r="L1381" s="32"/>
      <c r="M1381" s="30"/>
      <c r="N1381" s="32"/>
      <c r="O1381" s="34"/>
      <c r="P1381" s="32"/>
      <c r="Q1381" s="32"/>
      <c r="R1381" s="32"/>
      <c r="S1381" s="32"/>
      <c r="T1381" s="32"/>
      <c r="U1381" s="32"/>
      <c r="V1381" s="31"/>
      <c r="W1381" s="35" t="str">
        <f aca="true">IF(OR(V1381="",AG1381&gt;=8),"",IF(V1381&lt;TODAY(),"Vencida",IF(V1381=TODAY(),"Hoy","")))</f>
        <v/>
      </c>
      <c r="X1381" s="36" t="str">
        <f aca="false">IF(A1381="","",IF(COUNTIF(Seguimiento!$B$2:$B$5001,A1381)=0,"",_xlfn.MAXIFS(Seguimiento!$A$2:$A$5001,Seguimiento!$B$2:$B$5001,A1381)))</f>
        <v/>
      </c>
      <c r="Y1381" s="37" t="str">
        <f aca="true">IF(B1381="","",TODAY()-B1381)</f>
        <v/>
      </c>
      <c r="Z1381" s="38" t="str">
        <f aca="false">IF(OR(O1381="",G1381=""),"",O1381*IFERROR(INDEX(Listas!$B$2:$B$50,MATCH(G1381,Listas!$A$2:$A$50,0)),0))</f>
        <v/>
      </c>
      <c r="AA1381" s="32"/>
      <c r="AB1381" s="32"/>
      <c r="AC1381" s="32"/>
      <c r="AD1381" s="35" t="str">
        <f aca="false">IF(OR(LEFT(H1381,4)="Meta",LEFT(H1381,6)="Google"),IF(AG1381=3,"Lead calificado",IF(OR(AG1381=4,AG1381=5),"Tasación/visita",IF(OR(AG1381=6,AG1381=7),"Captación/oferta",IF(AG1381=8,"Cierre","")))),"")</f>
        <v/>
      </c>
      <c r="AE1381" s="32"/>
      <c r="AF1381" s="32"/>
      <c r="AG1381" s="37" t="n">
        <f aca="false">IF(R1381="",0,IFERROR(MATCH(R1381,Listas!$L$2:$L$50,0),0))</f>
        <v>0</v>
      </c>
    </row>
    <row r="1382" customFormat="false" ht="15" hidden="false" customHeight="false" outlineLevel="0" collapsed="false">
      <c r="A1382" s="30"/>
      <c r="B1382" s="31"/>
      <c r="C1382" s="32"/>
      <c r="D1382" s="32"/>
      <c r="E1382" s="33"/>
      <c r="F1382" s="32"/>
      <c r="G1382" s="32"/>
      <c r="H1382" s="32"/>
      <c r="I1382" s="32"/>
      <c r="J1382" s="32"/>
      <c r="K1382" s="32"/>
      <c r="L1382" s="32"/>
      <c r="M1382" s="30"/>
      <c r="N1382" s="32"/>
      <c r="O1382" s="34"/>
      <c r="P1382" s="32"/>
      <c r="Q1382" s="32"/>
      <c r="R1382" s="32"/>
      <c r="S1382" s="32"/>
      <c r="T1382" s="32"/>
      <c r="U1382" s="32"/>
      <c r="V1382" s="31"/>
      <c r="W1382" s="35" t="str">
        <f aca="true">IF(OR(V1382="",AG1382&gt;=8),"",IF(V1382&lt;TODAY(),"Vencida",IF(V1382=TODAY(),"Hoy","")))</f>
        <v/>
      </c>
      <c r="X1382" s="36" t="str">
        <f aca="false">IF(A1382="","",IF(COUNTIF(Seguimiento!$B$2:$B$5001,A1382)=0,"",_xlfn.MAXIFS(Seguimiento!$A$2:$A$5001,Seguimiento!$B$2:$B$5001,A1382)))</f>
        <v/>
      </c>
      <c r="Y1382" s="37" t="str">
        <f aca="true">IF(B1382="","",TODAY()-B1382)</f>
        <v/>
      </c>
      <c r="Z1382" s="38" t="str">
        <f aca="false">IF(OR(O1382="",G1382=""),"",O1382*IFERROR(INDEX(Listas!$B$2:$B$50,MATCH(G1382,Listas!$A$2:$A$50,0)),0))</f>
        <v/>
      </c>
      <c r="AA1382" s="32"/>
      <c r="AB1382" s="32"/>
      <c r="AC1382" s="32"/>
      <c r="AD1382" s="35" t="str">
        <f aca="false">IF(OR(LEFT(H1382,4)="Meta",LEFT(H1382,6)="Google"),IF(AG1382=3,"Lead calificado",IF(OR(AG1382=4,AG1382=5),"Tasación/visita",IF(OR(AG1382=6,AG1382=7),"Captación/oferta",IF(AG1382=8,"Cierre","")))),"")</f>
        <v/>
      </c>
      <c r="AE1382" s="32"/>
      <c r="AF1382" s="32"/>
      <c r="AG1382" s="37" t="n">
        <f aca="false">IF(R1382="",0,IFERROR(MATCH(R1382,Listas!$L$2:$L$50,0),0))</f>
        <v>0</v>
      </c>
    </row>
    <row r="1383" customFormat="false" ht="15" hidden="false" customHeight="false" outlineLevel="0" collapsed="false">
      <c r="A1383" s="30"/>
      <c r="B1383" s="31"/>
      <c r="C1383" s="32"/>
      <c r="D1383" s="32"/>
      <c r="E1383" s="33"/>
      <c r="F1383" s="32"/>
      <c r="G1383" s="32"/>
      <c r="H1383" s="32"/>
      <c r="I1383" s="32"/>
      <c r="J1383" s="32"/>
      <c r="K1383" s="32"/>
      <c r="L1383" s="32"/>
      <c r="M1383" s="30"/>
      <c r="N1383" s="32"/>
      <c r="O1383" s="34"/>
      <c r="P1383" s="32"/>
      <c r="Q1383" s="32"/>
      <c r="R1383" s="32"/>
      <c r="S1383" s="32"/>
      <c r="T1383" s="32"/>
      <c r="U1383" s="32"/>
      <c r="V1383" s="31"/>
      <c r="W1383" s="35" t="str">
        <f aca="true">IF(OR(V1383="",AG1383&gt;=8),"",IF(V1383&lt;TODAY(),"Vencida",IF(V1383=TODAY(),"Hoy","")))</f>
        <v/>
      </c>
      <c r="X1383" s="36" t="str">
        <f aca="false">IF(A1383="","",IF(COUNTIF(Seguimiento!$B$2:$B$5001,A1383)=0,"",_xlfn.MAXIFS(Seguimiento!$A$2:$A$5001,Seguimiento!$B$2:$B$5001,A1383)))</f>
        <v/>
      </c>
      <c r="Y1383" s="37" t="str">
        <f aca="true">IF(B1383="","",TODAY()-B1383)</f>
        <v/>
      </c>
      <c r="Z1383" s="38" t="str">
        <f aca="false">IF(OR(O1383="",G1383=""),"",O1383*IFERROR(INDEX(Listas!$B$2:$B$50,MATCH(G1383,Listas!$A$2:$A$50,0)),0))</f>
        <v/>
      </c>
      <c r="AA1383" s="32"/>
      <c r="AB1383" s="32"/>
      <c r="AC1383" s="32"/>
      <c r="AD1383" s="35" t="str">
        <f aca="false">IF(OR(LEFT(H1383,4)="Meta",LEFT(H1383,6)="Google"),IF(AG1383=3,"Lead calificado",IF(OR(AG1383=4,AG1383=5),"Tasación/visita",IF(OR(AG1383=6,AG1383=7),"Captación/oferta",IF(AG1383=8,"Cierre","")))),"")</f>
        <v/>
      </c>
      <c r="AE1383" s="32"/>
      <c r="AF1383" s="32"/>
      <c r="AG1383" s="37" t="n">
        <f aca="false">IF(R1383="",0,IFERROR(MATCH(R1383,Listas!$L$2:$L$50,0),0))</f>
        <v>0</v>
      </c>
    </row>
    <row r="1384" customFormat="false" ht="15" hidden="false" customHeight="false" outlineLevel="0" collapsed="false">
      <c r="A1384" s="30"/>
      <c r="B1384" s="31"/>
      <c r="C1384" s="32"/>
      <c r="D1384" s="32"/>
      <c r="E1384" s="33"/>
      <c r="F1384" s="32"/>
      <c r="G1384" s="32"/>
      <c r="H1384" s="32"/>
      <c r="I1384" s="32"/>
      <c r="J1384" s="32"/>
      <c r="K1384" s="32"/>
      <c r="L1384" s="32"/>
      <c r="M1384" s="30"/>
      <c r="N1384" s="32"/>
      <c r="O1384" s="34"/>
      <c r="P1384" s="32"/>
      <c r="Q1384" s="32"/>
      <c r="R1384" s="32"/>
      <c r="S1384" s="32"/>
      <c r="T1384" s="32"/>
      <c r="U1384" s="32"/>
      <c r="V1384" s="31"/>
      <c r="W1384" s="35" t="str">
        <f aca="true">IF(OR(V1384="",AG1384&gt;=8),"",IF(V1384&lt;TODAY(),"Vencida",IF(V1384=TODAY(),"Hoy","")))</f>
        <v/>
      </c>
      <c r="X1384" s="36" t="str">
        <f aca="false">IF(A1384="","",IF(COUNTIF(Seguimiento!$B$2:$B$5001,A1384)=0,"",_xlfn.MAXIFS(Seguimiento!$A$2:$A$5001,Seguimiento!$B$2:$B$5001,A1384)))</f>
        <v/>
      </c>
      <c r="Y1384" s="37" t="str">
        <f aca="true">IF(B1384="","",TODAY()-B1384)</f>
        <v/>
      </c>
      <c r="Z1384" s="38" t="str">
        <f aca="false">IF(OR(O1384="",G1384=""),"",O1384*IFERROR(INDEX(Listas!$B$2:$B$50,MATCH(G1384,Listas!$A$2:$A$50,0)),0))</f>
        <v/>
      </c>
      <c r="AA1384" s="32"/>
      <c r="AB1384" s="32"/>
      <c r="AC1384" s="32"/>
      <c r="AD1384" s="35" t="str">
        <f aca="false">IF(OR(LEFT(H1384,4)="Meta",LEFT(H1384,6)="Google"),IF(AG1384=3,"Lead calificado",IF(OR(AG1384=4,AG1384=5),"Tasación/visita",IF(OR(AG1384=6,AG1384=7),"Captación/oferta",IF(AG1384=8,"Cierre","")))),"")</f>
        <v/>
      </c>
      <c r="AE1384" s="32"/>
      <c r="AF1384" s="32"/>
      <c r="AG1384" s="37" t="n">
        <f aca="false">IF(R1384="",0,IFERROR(MATCH(R1384,Listas!$L$2:$L$50,0),0))</f>
        <v>0</v>
      </c>
    </row>
    <row r="1385" customFormat="false" ht="15" hidden="false" customHeight="false" outlineLevel="0" collapsed="false">
      <c r="A1385" s="30"/>
      <c r="B1385" s="31"/>
      <c r="C1385" s="32"/>
      <c r="D1385" s="32"/>
      <c r="E1385" s="33"/>
      <c r="F1385" s="32"/>
      <c r="G1385" s="32"/>
      <c r="H1385" s="32"/>
      <c r="I1385" s="32"/>
      <c r="J1385" s="32"/>
      <c r="K1385" s="32"/>
      <c r="L1385" s="32"/>
      <c r="M1385" s="30"/>
      <c r="N1385" s="32"/>
      <c r="O1385" s="34"/>
      <c r="P1385" s="32"/>
      <c r="Q1385" s="32"/>
      <c r="R1385" s="32"/>
      <c r="S1385" s="32"/>
      <c r="T1385" s="32"/>
      <c r="U1385" s="32"/>
      <c r="V1385" s="31"/>
      <c r="W1385" s="35" t="str">
        <f aca="true">IF(OR(V1385="",AG1385&gt;=8),"",IF(V1385&lt;TODAY(),"Vencida",IF(V1385=TODAY(),"Hoy","")))</f>
        <v/>
      </c>
      <c r="X1385" s="36" t="str">
        <f aca="false">IF(A1385="","",IF(COUNTIF(Seguimiento!$B$2:$B$5001,A1385)=0,"",_xlfn.MAXIFS(Seguimiento!$A$2:$A$5001,Seguimiento!$B$2:$B$5001,A1385)))</f>
        <v/>
      </c>
      <c r="Y1385" s="37" t="str">
        <f aca="true">IF(B1385="","",TODAY()-B1385)</f>
        <v/>
      </c>
      <c r="Z1385" s="38" t="str">
        <f aca="false">IF(OR(O1385="",G1385=""),"",O1385*IFERROR(INDEX(Listas!$B$2:$B$50,MATCH(G1385,Listas!$A$2:$A$50,0)),0))</f>
        <v/>
      </c>
      <c r="AA1385" s="32"/>
      <c r="AB1385" s="32"/>
      <c r="AC1385" s="32"/>
      <c r="AD1385" s="35" t="str">
        <f aca="false">IF(OR(LEFT(H1385,4)="Meta",LEFT(H1385,6)="Google"),IF(AG1385=3,"Lead calificado",IF(OR(AG1385=4,AG1385=5),"Tasación/visita",IF(OR(AG1385=6,AG1385=7),"Captación/oferta",IF(AG1385=8,"Cierre","")))),"")</f>
        <v/>
      </c>
      <c r="AE1385" s="32"/>
      <c r="AF1385" s="32"/>
      <c r="AG1385" s="37" t="n">
        <f aca="false">IF(R1385="",0,IFERROR(MATCH(R1385,Listas!$L$2:$L$50,0),0))</f>
        <v>0</v>
      </c>
    </row>
    <row r="1386" customFormat="false" ht="15" hidden="false" customHeight="false" outlineLevel="0" collapsed="false">
      <c r="A1386" s="30"/>
      <c r="B1386" s="31"/>
      <c r="C1386" s="32"/>
      <c r="D1386" s="32"/>
      <c r="E1386" s="33"/>
      <c r="F1386" s="32"/>
      <c r="G1386" s="32"/>
      <c r="H1386" s="32"/>
      <c r="I1386" s="32"/>
      <c r="J1386" s="32"/>
      <c r="K1386" s="32"/>
      <c r="L1386" s="32"/>
      <c r="M1386" s="30"/>
      <c r="N1386" s="32"/>
      <c r="O1386" s="34"/>
      <c r="P1386" s="32"/>
      <c r="Q1386" s="32"/>
      <c r="R1386" s="32"/>
      <c r="S1386" s="32"/>
      <c r="T1386" s="32"/>
      <c r="U1386" s="32"/>
      <c r="V1386" s="31"/>
      <c r="W1386" s="35" t="str">
        <f aca="true">IF(OR(V1386="",AG1386&gt;=8),"",IF(V1386&lt;TODAY(),"Vencida",IF(V1386=TODAY(),"Hoy","")))</f>
        <v/>
      </c>
      <c r="X1386" s="36" t="str">
        <f aca="false">IF(A1386="","",IF(COUNTIF(Seguimiento!$B$2:$B$5001,A1386)=0,"",_xlfn.MAXIFS(Seguimiento!$A$2:$A$5001,Seguimiento!$B$2:$B$5001,A1386)))</f>
        <v/>
      </c>
      <c r="Y1386" s="37" t="str">
        <f aca="true">IF(B1386="","",TODAY()-B1386)</f>
        <v/>
      </c>
      <c r="Z1386" s="38" t="str">
        <f aca="false">IF(OR(O1386="",G1386=""),"",O1386*IFERROR(INDEX(Listas!$B$2:$B$50,MATCH(G1386,Listas!$A$2:$A$50,0)),0))</f>
        <v/>
      </c>
      <c r="AA1386" s="32"/>
      <c r="AB1386" s="32"/>
      <c r="AC1386" s="32"/>
      <c r="AD1386" s="35" t="str">
        <f aca="false">IF(OR(LEFT(H1386,4)="Meta",LEFT(H1386,6)="Google"),IF(AG1386=3,"Lead calificado",IF(OR(AG1386=4,AG1386=5),"Tasación/visita",IF(OR(AG1386=6,AG1386=7),"Captación/oferta",IF(AG1386=8,"Cierre","")))),"")</f>
        <v/>
      </c>
      <c r="AE1386" s="32"/>
      <c r="AF1386" s="32"/>
      <c r="AG1386" s="37" t="n">
        <f aca="false">IF(R1386="",0,IFERROR(MATCH(R1386,Listas!$L$2:$L$50,0),0))</f>
        <v>0</v>
      </c>
    </row>
    <row r="1387" customFormat="false" ht="15" hidden="false" customHeight="false" outlineLevel="0" collapsed="false">
      <c r="A1387" s="30"/>
      <c r="B1387" s="31"/>
      <c r="C1387" s="32"/>
      <c r="D1387" s="32"/>
      <c r="E1387" s="33"/>
      <c r="F1387" s="32"/>
      <c r="G1387" s="32"/>
      <c r="H1387" s="32"/>
      <c r="I1387" s="32"/>
      <c r="J1387" s="32"/>
      <c r="K1387" s="32"/>
      <c r="L1387" s="32"/>
      <c r="M1387" s="30"/>
      <c r="N1387" s="32"/>
      <c r="O1387" s="34"/>
      <c r="P1387" s="32"/>
      <c r="Q1387" s="32"/>
      <c r="R1387" s="32"/>
      <c r="S1387" s="32"/>
      <c r="T1387" s="32"/>
      <c r="U1387" s="32"/>
      <c r="V1387" s="31"/>
      <c r="W1387" s="35" t="str">
        <f aca="true">IF(OR(V1387="",AG1387&gt;=8),"",IF(V1387&lt;TODAY(),"Vencida",IF(V1387=TODAY(),"Hoy","")))</f>
        <v/>
      </c>
      <c r="X1387" s="36" t="str">
        <f aca="false">IF(A1387="","",IF(COUNTIF(Seguimiento!$B$2:$B$5001,A1387)=0,"",_xlfn.MAXIFS(Seguimiento!$A$2:$A$5001,Seguimiento!$B$2:$B$5001,A1387)))</f>
        <v/>
      </c>
      <c r="Y1387" s="37" t="str">
        <f aca="true">IF(B1387="","",TODAY()-B1387)</f>
        <v/>
      </c>
      <c r="Z1387" s="38" t="str">
        <f aca="false">IF(OR(O1387="",G1387=""),"",O1387*IFERROR(INDEX(Listas!$B$2:$B$50,MATCH(G1387,Listas!$A$2:$A$50,0)),0))</f>
        <v/>
      </c>
      <c r="AA1387" s="32"/>
      <c r="AB1387" s="32"/>
      <c r="AC1387" s="32"/>
      <c r="AD1387" s="35" t="str">
        <f aca="false">IF(OR(LEFT(H1387,4)="Meta",LEFT(H1387,6)="Google"),IF(AG1387=3,"Lead calificado",IF(OR(AG1387=4,AG1387=5),"Tasación/visita",IF(OR(AG1387=6,AG1387=7),"Captación/oferta",IF(AG1387=8,"Cierre","")))),"")</f>
        <v/>
      </c>
      <c r="AE1387" s="32"/>
      <c r="AF1387" s="32"/>
      <c r="AG1387" s="37" t="n">
        <f aca="false">IF(R1387="",0,IFERROR(MATCH(R1387,Listas!$L$2:$L$50,0),0))</f>
        <v>0</v>
      </c>
    </row>
    <row r="1388" customFormat="false" ht="15" hidden="false" customHeight="false" outlineLevel="0" collapsed="false">
      <c r="A1388" s="30"/>
      <c r="B1388" s="31"/>
      <c r="C1388" s="32"/>
      <c r="D1388" s="32"/>
      <c r="E1388" s="33"/>
      <c r="F1388" s="32"/>
      <c r="G1388" s="32"/>
      <c r="H1388" s="32"/>
      <c r="I1388" s="32"/>
      <c r="J1388" s="32"/>
      <c r="K1388" s="32"/>
      <c r="L1388" s="32"/>
      <c r="M1388" s="30"/>
      <c r="N1388" s="32"/>
      <c r="O1388" s="34"/>
      <c r="P1388" s="32"/>
      <c r="Q1388" s="32"/>
      <c r="R1388" s="32"/>
      <c r="S1388" s="32"/>
      <c r="T1388" s="32"/>
      <c r="U1388" s="32"/>
      <c r="V1388" s="31"/>
      <c r="W1388" s="35" t="str">
        <f aca="true">IF(OR(V1388="",AG1388&gt;=8),"",IF(V1388&lt;TODAY(),"Vencida",IF(V1388=TODAY(),"Hoy","")))</f>
        <v/>
      </c>
      <c r="X1388" s="36" t="str">
        <f aca="false">IF(A1388="","",IF(COUNTIF(Seguimiento!$B$2:$B$5001,A1388)=0,"",_xlfn.MAXIFS(Seguimiento!$A$2:$A$5001,Seguimiento!$B$2:$B$5001,A1388)))</f>
        <v/>
      </c>
      <c r="Y1388" s="37" t="str">
        <f aca="true">IF(B1388="","",TODAY()-B1388)</f>
        <v/>
      </c>
      <c r="Z1388" s="38" t="str">
        <f aca="false">IF(OR(O1388="",G1388=""),"",O1388*IFERROR(INDEX(Listas!$B$2:$B$50,MATCH(G1388,Listas!$A$2:$A$50,0)),0))</f>
        <v/>
      </c>
      <c r="AA1388" s="32"/>
      <c r="AB1388" s="32"/>
      <c r="AC1388" s="32"/>
      <c r="AD1388" s="35" t="str">
        <f aca="false">IF(OR(LEFT(H1388,4)="Meta",LEFT(H1388,6)="Google"),IF(AG1388=3,"Lead calificado",IF(OR(AG1388=4,AG1388=5),"Tasación/visita",IF(OR(AG1388=6,AG1388=7),"Captación/oferta",IF(AG1388=8,"Cierre","")))),"")</f>
        <v/>
      </c>
      <c r="AE1388" s="32"/>
      <c r="AF1388" s="32"/>
      <c r="AG1388" s="37" t="n">
        <f aca="false">IF(R1388="",0,IFERROR(MATCH(R1388,Listas!$L$2:$L$50,0),0))</f>
        <v>0</v>
      </c>
    </row>
    <row r="1389" customFormat="false" ht="15" hidden="false" customHeight="false" outlineLevel="0" collapsed="false">
      <c r="A1389" s="30"/>
      <c r="B1389" s="31"/>
      <c r="C1389" s="32"/>
      <c r="D1389" s="32"/>
      <c r="E1389" s="33"/>
      <c r="F1389" s="32"/>
      <c r="G1389" s="32"/>
      <c r="H1389" s="32"/>
      <c r="I1389" s="32"/>
      <c r="J1389" s="32"/>
      <c r="K1389" s="32"/>
      <c r="L1389" s="32"/>
      <c r="M1389" s="30"/>
      <c r="N1389" s="32"/>
      <c r="O1389" s="34"/>
      <c r="P1389" s="32"/>
      <c r="Q1389" s="32"/>
      <c r="R1389" s="32"/>
      <c r="S1389" s="32"/>
      <c r="T1389" s="32"/>
      <c r="U1389" s="32"/>
      <c r="V1389" s="31"/>
      <c r="W1389" s="35" t="str">
        <f aca="true">IF(OR(V1389="",AG1389&gt;=8),"",IF(V1389&lt;TODAY(),"Vencida",IF(V1389=TODAY(),"Hoy","")))</f>
        <v/>
      </c>
      <c r="X1389" s="36" t="str">
        <f aca="false">IF(A1389="","",IF(COUNTIF(Seguimiento!$B$2:$B$5001,A1389)=0,"",_xlfn.MAXIFS(Seguimiento!$A$2:$A$5001,Seguimiento!$B$2:$B$5001,A1389)))</f>
        <v/>
      </c>
      <c r="Y1389" s="37" t="str">
        <f aca="true">IF(B1389="","",TODAY()-B1389)</f>
        <v/>
      </c>
      <c r="Z1389" s="38" t="str">
        <f aca="false">IF(OR(O1389="",G1389=""),"",O1389*IFERROR(INDEX(Listas!$B$2:$B$50,MATCH(G1389,Listas!$A$2:$A$50,0)),0))</f>
        <v/>
      </c>
      <c r="AA1389" s="32"/>
      <c r="AB1389" s="32"/>
      <c r="AC1389" s="32"/>
      <c r="AD1389" s="35" t="str">
        <f aca="false">IF(OR(LEFT(H1389,4)="Meta",LEFT(H1389,6)="Google"),IF(AG1389=3,"Lead calificado",IF(OR(AG1389=4,AG1389=5),"Tasación/visita",IF(OR(AG1389=6,AG1389=7),"Captación/oferta",IF(AG1389=8,"Cierre","")))),"")</f>
        <v/>
      </c>
      <c r="AE1389" s="32"/>
      <c r="AF1389" s="32"/>
      <c r="AG1389" s="37" t="n">
        <f aca="false">IF(R1389="",0,IFERROR(MATCH(R1389,Listas!$L$2:$L$50,0),0))</f>
        <v>0</v>
      </c>
    </row>
    <row r="1390" customFormat="false" ht="15" hidden="false" customHeight="false" outlineLevel="0" collapsed="false">
      <c r="A1390" s="30"/>
      <c r="B1390" s="31"/>
      <c r="C1390" s="32"/>
      <c r="D1390" s="32"/>
      <c r="E1390" s="33"/>
      <c r="F1390" s="32"/>
      <c r="G1390" s="32"/>
      <c r="H1390" s="32"/>
      <c r="I1390" s="32"/>
      <c r="J1390" s="32"/>
      <c r="K1390" s="32"/>
      <c r="L1390" s="32"/>
      <c r="M1390" s="30"/>
      <c r="N1390" s="32"/>
      <c r="O1390" s="34"/>
      <c r="P1390" s="32"/>
      <c r="Q1390" s="32"/>
      <c r="R1390" s="32"/>
      <c r="S1390" s="32"/>
      <c r="T1390" s="32"/>
      <c r="U1390" s="32"/>
      <c r="V1390" s="31"/>
      <c r="W1390" s="35" t="str">
        <f aca="true">IF(OR(V1390="",AG1390&gt;=8),"",IF(V1390&lt;TODAY(),"Vencida",IF(V1390=TODAY(),"Hoy","")))</f>
        <v/>
      </c>
      <c r="X1390" s="36" t="str">
        <f aca="false">IF(A1390="","",IF(COUNTIF(Seguimiento!$B$2:$B$5001,A1390)=0,"",_xlfn.MAXIFS(Seguimiento!$A$2:$A$5001,Seguimiento!$B$2:$B$5001,A1390)))</f>
        <v/>
      </c>
      <c r="Y1390" s="37" t="str">
        <f aca="true">IF(B1390="","",TODAY()-B1390)</f>
        <v/>
      </c>
      <c r="Z1390" s="38" t="str">
        <f aca="false">IF(OR(O1390="",G1390=""),"",O1390*IFERROR(INDEX(Listas!$B$2:$B$50,MATCH(G1390,Listas!$A$2:$A$50,0)),0))</f>
        <v/>
      </c>
      <c r="AA1390" s="32"/>
      <c r="AB1390" s="32"/>
      <c r="AC1390" s="32"/>
      <c r="AD1390" s="35" t="str">
        <f aca="false">IF(OR(LEFT(H1390,4)="Meta",LEFT(H1390,6)="Google"),IF(AG1390=3,"Lead calificado",IF(OR(AG1390=4,AG1390=5),"Tasación/visita",IF(OR(AG1390=6,AG1390=7),"Captación/oferta",IF(AG1390=8,"Cierre","")))),"")</f>
        <v/>
      </c>
      <c r="AE1390" s="32"/>
      <c r="AF1390" s="32"/>
      <c r="AG1390" s="37" t="n">
        <f aca="false">IF(R1390="",0,IFERROR(MATCH(R1390,Listas!$L$2:$L$50,0),0))</f>
        <v>0</v>
      </c>
    </row>
    <row r="1391" customFormat="false" ht="15" hidden="false" customHeight="false" outlineLevel="0" collapsed="false">
      <c r="A1391" s="30"/>
      <c r="B1391" s="31"/>
      <c r="C1391" s="32"/>
      <c r="D1391" s="32"/>
      <c r="E1391" s="33"/>
      <c r="F1391" s="32"/>
      <c r="G1391" s="32"/>
      <c r="H1391" s="32"/>
      <c r="I1391" s="32"/>
      <c r="J1391" s="32"/>
      <c r="K1391" s="32"/>
      <c r="L1391" s="32"/>
      <c r="M1391" s="30"/>
      <c r="N1391" s="32"/>
      <c r="O1391" s="34"/>
      <c r="P1391" s="32"/>
      <c r="Q1391" s="32"/>
      <c r="R1391" s="32"/>
      <c r="S1391" s="32"/>
      <c r="T1391" s="32"/>
      <c r="U1391" s="32"/>
      <c r="V1391" s="31"/>
      <c r="W1391" s="35" t="str">
        <f aca="true">IF(OR(V1391="",AG1391&gt;=8),"",IF(V1391&lt;TODAY(),"Vencida",IF(V1391=TODAY(),"Hoy","")))</f>
        <v/>
      </c>
      <c r="X1391" s="36" t="str">
        <f aca="false">IF(A1391="","",IF(COUNTIF(Seguimiento!$B$2:$B$5001,A1391)=0,"",_xlfn.MAXIFS(Seguimiento!$A$2:$A$5001,Seguimiento!$B$2:$B$5001,A1391)))</f>
        <v/>
      </c>
      <c r="Y1391" s="37" t="str">
        <f aca="true">IF(B1391="","",TODAY()-B1391)</f>
        <v/>
      </c>
      <c r="Z1391" s="38" t="str">
        <f aca="false">IF(OR(O1391="",G1391=""),"",O1391*IFERROR(INDEX(Listas!$B$2:$B$50,MATCH(G1391,Listas!$A$2:$A$50,0)),0))</f>
        <v/>
      </c>
      <c r="AA1391" s="32"/>
      <c r="AB1391" s="32"/>
      <c r="AC1391" s="32"/>
      <c r="AD1391" s="35" t="str">
        <f aca="false">IF(OR(LEFT(H1391,4)="Meta",LEFT(H1391,6)="Google"),IF(AG1391=3,"Lead calificado",IF(OR(AG1391=4,AG1391=5),"Tasación/visita",IF(OR(AG1391=6,AG1391=7),"Captación/oferta",IF(AG1391=8,"Cierre","")))),"")</f>
        <v/>
      </c>
      <c r="AE1391" s="32"/>
      <c r="AF1391" s="32"/>
      <c r="AG1391" s="37" t="n">
        <f aca="false">IF(R1391="",0,IFERROR(MATCH(R1391,Listas!$L$2:$L$50,0),0))</f>
        <v>0</v>
      </c>
    </row>
    <row r="1392" customFormat="false" ht="15" hidden="false" customHeight="false" outlineLevel="0" collapsed="false">
      <c r="A1392" s="30"/>
      <c r="B1392" s="31"/>
      <c r="C1392" s="32"/>
      <c r="D1392" s="32"/>
      <c r="E1392" s="33"/>
      <c r="F1392" s="32"/>
      <c r="G1392" s="32"/>
      <c r="H1392" s="32"/>
      <c r="I1392" s="32"/>
      <c r="J1392" s="32"/>
      <c r="K1392" s="32"/>
      <c r="L1392" s="32"/>
      <c r="M1392" s="30"/>
      <c r="N1392" s="32"/>
      <c r="O1392" s="34"/>
      <c r="P1392" s="32"/>
      <c r="Q1392" s="32"/>
      <c r="R1392" s="32"/>
      <c r="S1392" s="32"/>
      <c r="T1392" s="32"/>
      <c r="U1392" s="32"/>
      <c r="V1392" s="31"/>
      <c r="W1392" s="35" t="str">
        <f aca="true">IF(OR(V1392="",AG1392&gt;=8),"",IF(V1392&lt;TODAY(),"Vencida",IF(V1392=TODAY(),"Hoy","")))</f>
        <v/>
      </c>
      <c r="X1392" s="36" t="str">
        <f aca="false">IF(A1392="","",IF(COUNTIF(Seguimiento!$B$2:$B$5001,A1392)=0,"",_xlfn.MAXIFS(Seguimiento!$A$2:$A$5001,Seguimiento!$B$2:$B$5001,A1392)))</f>
        <v/>
      </c>
      <c r="Y1392" s="37" t="str">
        <f aca="true">IF(B1392="","",TODAY()-B1392)</f>
        <v/>
      </c>
      <c r="Z1392" s="38" t="str">
        <f aca="false">IF(OR(O1392="",G1392=""),"",O1392*IFERROR(INDEX(Listas!$B$2:$B$50,MATCH(G1392,Listas!$A$2:$A$50,0)),0))</f>
        <v/>
      </c>
      <c r="AA1392" s="32"/>
      <c r="AB1392" s="32"/>
      <c r="AC1392" s="32"/>
      <c r="AD1392" s="35" t="str">
        <f aca="false">IF(OR(LEFT(H1392,4)="Meta",LEFT(H1392,6)="Google"),IF(AG1392=3,"Lead calificado",IF(OR(AG1392=4,AG1392=5),"Tasación/visita",IF(OR(AG1392=6,AG1392=7),"Captación/oferta",IF(AG1392=8,"Cierre","")))),"")</f>
        <v/>
      </c>
      <c r="AE1392" s="32"/>
      <c r="AF1392" s="32"/>
      <c r="AG1392" s="37" t="n">
        <f aca="false">IF(R1392="",0,IFERROR(MATCH(R1392,Listas!$L$2:$L$50,0),0))</f>
        <v>0</v>
      </c>
    </row>
    <row r="1393" customFormat="false" ht="15" hidden="false" customHeight="false" outlineLevel="0" collapsed="false">
      <c r="A1393" s="30"/>
      <c r="B1393" s="31"/>
      <c r="C1393" s="32"/>
      <c r="D1393" s="32"/>
      <c r="E1393" s="33"/>
      <c r="F1393" s="32"/>
      <c r="G1393" s="32"/>
      <c r="H1393" s="32"/>
      <c r="I1393" s="32"/>
      <c r="J1393" s="32"/>
      <c r="K1393" s="32"/>
      <c r="L1393" s="32"/>
      <c r="M1393" s="30"/>
      <c r="N1393" s="32"/>
      <c r="O1393" s="34"/>
      <c r="P1393" s="32"/>
      <c r="Q1393" s="32"/>
      <c r="R1393" s="32"/>
      <c r="S1393" s="32"/>
      <c r="T1393" s="32"/>
      <c r="U1393" s="32"/>
      <c r="V1393" s="31"/>
      <c r="W1393" s="35" t="str">
        <f aca="true">IF(OR(V1393="",AG1393&gt;=8),"",IF(V1393&lt;TODAY(),"Vencida",IF(V1393=TODAY(),"Hoy","")))</f>
        <v/>
      </c>
      <c r="X1393" s="36" t="str">
        <f aca="false">IF(A1393="","",IF(COUNTIF(Seguimiento!$B$2:$B$5001,A1393)=0,"",_xlfn.MAXIFS(Seguimiento!$A$2:$A$5001,Seguimiento!$B$2:$B$5001,A1393)))</f>
        <v/>
      </c>
      <c r="Y1393" s="37" t="str">
        <f aca="true">IF(B1393="","",TODAY()-B1393)</f>
        <v/>
      </c>
      <c r="Z1393" s="38" t="str">
        <f aca="false">IF(OR(O1393="",G1393=""),"",O1393*IFERROR(INDEX(Listas!$B$2:$B$50,MATCH(G1393,Listas!$A$2:$A$50,0)),0))</f>
        <v/>
      </c>
      <c r="AA1393" s="32"/>
      <c r="AB1393" s="32"/>
      <c r="AC1393" s="32"/>
      <c r="AD1393" s="35" t="str">
        <f aca="false">IF(OR(LEFT(H1393,4)="Meta",LEFT(H1393,6)="Google"),IF(AG1393=3,"Lead calificado",IF(OR(AG1393=4,AG1393=5),"Tasación/visita",IF(OR(AG1393=6,AG1393=7),"Captación/oferta",IF(AG1393=8,"Cierre","")))),"")</f>
        <v/>
      </c>
      <c r="AE1393" s="32"/>
      <c r="AF1393" s="32"/>
      <c r="AG1393" s="37" t="n">
        <f aca="false">IF(R1393="",0,IFERROR(MATCH(R1393,Listas!$L$2:$L$50,0),0))</f>
        <v>0</v>
      </c>
    </row>
    <row r="1394" customFormat="false" ht="15" hidden="false" customHeight="false" outlineLevel="0" collapsed="false">
      <c r="A1394" s="30"/>
      <c r="B1394" s="31"/>
      <c r="C1394" s="32"/>
      <c r="D1394" s="32"/>
      <c r="E1394" s="33"/>
      <c r="F1394" s="32"/>
      <c r="G1394" s="32"/>
      <c r="H1394" s="32"/>
      <c r="I1394" s="32"/>
      <c r="J1394" s="32"/>
      <c r="K1394" s="32"/>
      <c r="L1394" s="32"/>
      <c r="M1394" s="30"/>
      <c r="N1394" s="32"/>
      <c r="O1394" s="34"/>
      <c r="P1394" s="32"/>
      <c r="Q1394" s="32"/>
      <c r="R1394" s="32"/>
      <c r="S1394" s="32"/>
      <c r="T1394" s="32"/>
      <c r="U1394" s="32"/>
      <c r="V1394" s="31"/>
      <c r="W1394" s="35" t="str">
        <f aca="true">IF(OR(V1394="",AG1394&gt;=8),"",IF(V1394&lt;TODAY(),"Vencida",IF(V1394=TODAY(),"Hoy","")))</f>
        <v/>
      </c>
      <c r="X1394" s="36" t="str">
        <f aca="false">IF(A1394="","",IF(COUNTIF(Seguimiento!$B$2:$B$5001,A1394)=0,"",_xlfn.MAXIFS(Seguimiento!$A$2:$A$5001,Seguimiento!$B$2:$B$5001,A1394)))</f>
        <v/>
      </c>
      <c r="Y1394" s="37" t="str">
        <f aca="true">IF(B1394="","",TODAY()-B1394)</f>
        <v/>
      </c>
      <c r="Z1394" s="38" t="str">
        <f aca="false">IF(OR(O1394="",G1394=""),"",O1394*IFERROR(INDEX(Listas!$B$2:$B$50,MATCH(G1394,Listas!$A$2:$A$50,0)),0))</f>
        <v/>
      </c>
      <c r="AA1394" s="32"/>
      <c r="AB1394" s="32"/>
      <c r="AC1394" s="32"/>
      <c r="AD1394" s="35" t="str">
        <f aca="false">IF(OR(LEFT(H1394,4)="Meta",LEFT(H1394,6)="Google"),IF(AG1394=3,"Lead calificado",IF(OR(AG1394=4,AG1394=5),"Tasación/visita",IF(OR(AG1394=6,AG1394=7),"Captación/oferta",IF(AG1394=8,"Cierre","")))),"")</f>
        <v/>
      </c>
      <c r="AE1394" s="32"/>
      <c r="AF1394" s="32"/>
      <c r="AG1394" s="37" t="n">
        <f aca="false">IF(R1394="",0,IFERROR(MATCH(R1394,Listas!$L$2:$L$50,0),0))</f>
        <v>0</v>
      </c>
    </row>
    <row r="1395" customFormat="false" ht="15" hidden="false" customHeight="false" outlineLevel="0" collapsed="false">
      <c r="A1395" s="30"/>
      <c r="B1395" s="31"/>
      <c r="C1395" s="32"/>
      <c r="D1395" s="32"/>
      <c r="E1395" s="33"/>
      <c r="F1395" s="32"/>
      <c r="G1395" s="32"/>
      <c r="H1395" s="32"/>
      <c r="I1395" s="32"/>
      <c r="J1395" s="32"/>
      <c r="K1395" s="32"/>
      <c r="L1395" s="32"/>
      <c r="M1395" s="30"/>
      <c r="N1395" s="32"/>
      <c r="O1395" s="34"/>
      <c r="P1395" s="32"/>
      <c r="Q1395" s="32"/>
      <c r="R1395" s="32"/>
      <c r="S1395" s="32"/>
      <c r="T1395" s="32"/>
      <c r="U1395" s="32"/>
      <c r="V1395" s="31"/>
      <c r="W1395" s="35" t="str">
        <f aca="true">IF(OR(V1395="",AG1395&gt;=8),"",IF(V1395&lt;TODAY(),"Vencida",IF(V1395=TODAY(),"Hoy","")))</f>
        <v/>
      </c>
      <c r="X1395" s="36" t="str">
        <f aca="false">IF(A1395="","",IF(COUNTIF(Seguimiento!$B$2:$B$5001,A1395)=0,"",_xlfn.MAXIFS(Seguimiento!$A$2:$A$5001,Seguimiento!$B$2:$B$5001,A1395)))</f>
        <v/>
      </c>
      <c r="Y1395" s="37" t="str">
        <f aca="true">IF(B1395="","",TODAY()-B1395)</f>
        <v/>
      </c>
      <c r="Z1395" s="38" t="str">
        <f aca="false">IF(OR(O1395="",G1395=""),"",O1395*IFERROR(INDEX(Listas!$B$2:$B$50,MATCH(G1395,Listas!$A$2:$A$50,0)),0))</f>
        <v/>
      </c>
      <c r="AA1395" s="32"/>
      <c r="AB1395" s="32"/>
      <c r="AC1395" s="32"/>
      <c r="AD1395" s="35" t="str">
        <f aca="false">IF(OR(LEFT(H1395,4)="Meta",LEFT(H1395,6)="Google"),IF(AG1395=3,"Lead calificado",IF(OR(AG1395=4,AG1395=5),"Tasación/visita",IF(OR(AG1395=6,AG1395=7),"Captación/oferta",IF(AG1395=8,"Cierre","")))),"")</f>
        <v/>
      </c>
      <c r="AE1395" s="32"/>
      <c r="AF1395" s="32"/>
      <c r="AG1395" s="37" t="n">
        <f aca="false">IF(R1395="",0,IFERROR(MATCH(R1395,Listas!$L$2:$L$50,0),0))</f>
        <v>0</v>
      </c>
    </row>
    <row r="1396" customFormat="false" ht="15" hidden="false" customHeight="false" outlineLevel="0" collapsed="false">
      <c r="A1396" s="30"/>
      <c r="B1396" s="31"/>
      <c r="C1396" s="32"/>
      <c r="D1396" s="32"/>
      <c r="E1396" s="33"/>
      <c r="F1396" s="32"/>
      <c r="G1396" s="32"/>
      <c r="H1396" s="32"/>
      <c r="I1396" s="32"/>
      <c r="J1396" s="32"/>
      <c r="K1396" s="32"/>
      <c r="L1396" s="32"/>
      <c r="M1396" s="30"/>
      <c r="N1396" s="32"/>
      <c r="O1396" s="34"/>
      <c r="P1396" s="32"/>
      <c r="Q1396" s="32"/>
      <c r="R1396" s="32"/>
      <c r="S1396" s="32"/>
      <c r="T1396" s="32"/>
      <c r="U1396" s="32"/>
      <c r="V1396" s="31"/>
      <c r="W1396" s="35" t="str">
        <f aca="true">IF(OR(V1396="",AG1396&gt;=8),"",IF(V1396&lt;TODAY(),"Vencida",IF(V1396=TODAY(),"Hoy","")))</f>
        <v/>
      </c>
      <c r="X1396" s="36" t="str">
        <f aca="false">IF(A1396="","",IF(COUNTIF(Seguimiento!$B$2:$B$5001,A1396)=0,"",_xlfn.MAXIFS(Seguimiento!$A$2:$A$5001,Seguimiento!$B$2:$B$5001,A1396)))</f>
        <v/>
      </c>
      <c r="Y1396" s="37" t="str">
        <f aca="true">IF(B1396="","",TODAY()-B1396)</f>
        <v/>
      </c>
      <c r="Z1396" s="38" t="str">
        <f aca="false">IF(OR(O1396="",G1396=""),"",O1396*IFERROR(INDEX(Listas!$B$2:$B$50,MATCH(G1396,Listas!$A$2:$A$50,0)),0))</f>
        <v/>
      </c>
      <c r="AA1396" s="32"/>
      <c r="AB1396" s="32"/>
      <c r="AC1396" s="32"/>
      <c r="AD1396" s="35" t="str">
        <f aca="false">IF(OR(LEFT(H1396,4)="Meta",LEFT(H1396,6)="Google"),IF(AG1396=3,"Lead calificado",IF(OR(AG1396=4,AG1396=5),"Tasación/visita",IF(OR(AG1396=6,AG1396=7),"Captación/oferta",IF(AG1396=8,"Cierre","")))),"")</f>
        <v/>
      </c>
      <c r="AE1396" s="32"/>
      <c r="AF1396" s="32"/>
      <c r="AG1396" s="37" t="n">
        <f aca="false">IF(R1396="",0,IFERROR(MATCH(R1396,Listas!$L$2:$L$50,0),0))</f>
        <v>0</v>
      </c>
    </row>
    <row r="1397" customFormat="false" ht="15" hidden="false" customHeight="false" outlineLevel="0" collapsed="false">
      <c r="A1397" s="30"/>
      <c r="B1397" s="31"/>
      <c r="C1397" s="32"/>
      <c r="D1397" s="32"/>
      <c r="E1397" s="33"/>
      <c r="F1397" s="32"/>
      <c r="G1397" s="32"/>
      <c r="H1397" s="32"/>
      <c r="I1397" s="32"/>
      <c r="J1397" s="32"/>
      <c r="K1397" s="32"/>
      <c r="L1397" s="32"/>
      <c r="M1397" s="30"/>
      <c r="N1397" s="32"/>
      <c r="O1397" s="34"/>
      <c r="P1397" s="32"/>
      <c r="Q1397" s="32"/>
      <c r="R1397" s="32"/>
      <c r="S1397" s="32"/>
      <c r="T1397" s="32"/>
      <c r="U1397" s="32"/>
      <c r="V1397" s="31"/>
      <c r="W1397" s="35" t="str">
        <f aca="true">IF(OR(V1397="",AG1397&gt;=8),"",IF(V1397&lt;TODAY(),"Vencida",IF(V1397=TODAY(),"Hoy","")))</f>
        <v/>
      </c>
      <c r="X1397" s="36" t="str">
        <f aca="false">IF(A1397="","",IF(COUNTIF(Seguimiento!$B$2:$B$5001,A1397)=0,"",_xlfn.MAXIFS(Seguimiento!$A$2:$A$5001,Seguimiento!$B$2:$B$5001,A1397)))</f>
        <v/>
      </c>
      <c r="Y1397" s="37" t="str">
        <f aca="true">IF(B1397="","",TODAY()-B1397)</f>
        <v/>
      </c>
      <c r="Z1397" s="38" t="str">
        <f aca="false">IF(OR(O1397="",G1397=""),"",O1397*IFERROR(INDEX(Listas!$B$2:$B$50,MATCH(G1397,Listas!$A$2:$A$50,0)),0))</f>
        <v/>
      </c>
      <c r="AA1397" s="32"/>
      <c r="AB1397" s="32"/>
      <c r="AC1397" s="32"/>
      <c r="AD1397" s="35" t="str">
        <f aca="false">IF(OR(LEFT(H1397,4)="Meta",LEFT(H1397,6)="Google"),IF(AG1397=3,"Lead calificado",IF(OR(AG1397=4,AG1397=5),"Tasación/visita",IF(OR(AG1397=6,AG1397=7),"Captación/oferta",IF(AG1397=8,"Cierre","")))),"")</f>
        <v/>
      </c>
      <c r="AE1397" s="32"/>
      <c r="AF1397" s="32"/>
      <c r="AG1397" s="37" t="n">
        <f aca="false">IF(R1397="",0,IFERROR(MATCH(R1397,Listas!$L$2:$L$50,0),0))</f>
        <v>0</v>
      </c>
    </row>
    <row r="1398" customFormat="false" ht="15" hidden="false" customHeight="false" outlineLevel="0" collapsed="false">
      <c r="A1398" s="30"/>
      <c r="B1398" s="31"/>
      <c r="C1398" s="32"/>
      <c r="D1398" s="32"/>
      <c r="E1398" s="33"/>
      <c r="F1398" s="32"/>
      <c r="G1398" s="32"/>
      <c r="H1398" s="32"/>
      <c r="I1398" s="32"/>
      <c r="J1398" s="32"/>
      <c r="K1398" s="32"/>
      <c r="L1398" s="32"/>
      <c r="M1398" s="30"/>
      <c r="N1398" s="32"/>
      <c r="O1398" s="34"/>
      <c r="P1398" s="32"/>
      <c r="Q1398" s="32"/>
      <c r="R1398" s="32"/>
      <c r="S1398" s="32"/>
      <c r="T1398" s="32"/>
      <c r="U1398" s="32"/>
      <c r="V1398" s="31"/>
      <c r="W1398" s="35" t="str">
        <f aca="true">IF(OR(V1398="",AG1398&gt;=8),"",IF(V1398&lt;TODAY(),"Vencida",IF(V1398=TODAY(),"Hoy","")))</f>
        <v/>
      </c>
      <c r="X1398" s="36" t="str">
        <f aca="false">IF(A1398="","",IF(COUNTIF(Seguimiento!$B$2:$B$5001,A1398)=0,"",_xlfn.MAXIFS(Seguimiento!$A$2:$A$5001,Seguimiento!$B$2:$B$5001,A1398)))</f>
        <v/>
      </c>
      <c r="Y1398" s="37" t="str">
        <f aca="true">IF(B1398="","",TODAY()-B1398)</f>
        <v/>
      </c>
      <c r="Z1398" s="38" t="str">
        <f aca="false">IF(OR(O1398="",G1398=""),"",O1398*IFERROR(INDEX(Listas!$B$2:$B$50,MATCH(G1398,Listas!$A$2:$A$50,0)),0))</f>
        <v/>
      </c>
      <c r="AA1398" s="32"/>
      <c r="AB1398" s="32"/>
      <c r="AC1398" s="32"/>
      <c r="AD1398" s="35" t="str">
        <f aca="false">IF(OR(LEFT(H1398,4)="Meta",LEFT(H1398,6)="Google"),IF(AG1398=3,"Lead calificado",IF(OR(AG1398=4,AG1398=5),"Tasación/visita",IF(OR(AG1398=6,AG1398=7),"Captación/oferta",IF(AG1398=8,"Cierre","")))),"")</f>
        <v/>
      </c>
      <c r="AE1398" s="32"/>
      <c r="AF1398" s="32"/>
      <c r="AG1398" s="37" t="n">
        <f aca="false">IF(R1398="",0,IFERROR(MATCH(R1398,Listas!$L$2:$L$50,0),0))</f>
        <v>0</v>
      </c>
    </row>
    <row r="1399" customFormat="false" ht="15" hidden="false" customHeight="false" outlineLevel="0" collapsed="false">
      <c r="A1399" s="30"/>
      <c r="B1399" s="31"/>
      <c r="C1399" s="32"/>
      <c r="D1399" s="32"/>
      <c r="E1399" s="33"/>
      <c r="F1399" s="32"/>
      <c r="G1399" s="32"/>
      <c r="H1399" s="32"/>
      <c r="I1399" s="32"/>
      <c r="J1399" s="32"/>
      <c r="K1399" s="32"/>
      <c r="L1399" s="32"/>
      <c r="M1399" s="30"/>
      <c r="N1399" s="32"/>
      <c r="O1399" s="34"/>
      <c r="P1399" s="32"/>
      <c r="Q1399" s="32"/>
      <c r="R1399" s="32"/>
      <c r="S1399" s="32"/>
      <c r="T1399" s="32"/>
      <c r="U1399" s="32"/>
      <c r="V1399" s="31"/>
      <c r="W1399" s="35" t="str">
        <f aca="true">IF(OR(V1399="",AG1399&gt;=8),"",IF(V1399&lt;TODAY(),"Vencida",IF(V1399=TODAY(),"Hoy","")))</f>
        <v/>
      </c>
      <c r="X1399" s="36" t="str">
        <f aca="false">IF(A1399="","",IF(COUNTIF(Seguimiento!$B$2:$B$5001,A1399)=0,"",_xlfn.MAXIFS(Seguimiento!$A$2:$A$5001,Seguimiento!$B$2:$B$5001,A1399)))</f>
        <v/>
      </c>
      <c r="Y1399" s="37" t="str">
        <f aca="true">IF(B1399="","",TODAY()-B1399)</f>
        <v/>
      </c>
      <c r="Z1399" s="38" t="str">
        <f aca="false">IF(OR(O1399="",G1399=""),"",O1399*IFERROR(INDEX(Listas!$B$2:$B$50,MATCH(G1399,Listas!$A$2:$A$50,0)),0))</f>
        <v/>
      </c>
      <c r="AA1399" s="32"/>
      <c r="AB1399" s="32"/>
      <c r="AC1399" s="32"/>
      <c r="AD1399" s="35" t="str">
        <f aca="false">IF(OR(LEFT(H1399,4)="Meta",LEFT(H1399,6)="Google"),IF(AG1399=3,"Lead calificado",IF(OR(AG1399=4,AG1399=5),"Tasación/visita",IF(OR(AG1399=6,AG1399=7),"Captación/oferta",IF(AG1399=8,"Cierre","")))),"")</f>
        <v/>
      </c>
      <c r="AE1399" s="32"/>
      <c r="AF1399" s="32"/>
      <c r="AG1399" s="37" t="n">
        <f aca="false">IF(R1399="",0,IFERROR(MATCH(R1399,Listas!$L$2:$L$50,0),0))</f>
        <v>0</v>
      </c>
    </row>
    <row r="1400" customFormat="false" ht="15" hidden="false" customHeight="false" outlineLevel="0" collapsed="false">
      <c r="A1400" s="30"/>
      <c r="B1400" s="31"/>
      <c r="C1400" s="32"/>
      <c r="D1400" s="32"/>
      <c r="E1400" s="33"/>
      <c r="F1400" s="32"/>
      <c r="G1400" s="32"/>
      <c r="H1400" s="32"/>
      <c r="I1400" s="32"/>
      <c r="J1400" s="32"/>
      <c r="K1400" s="32"/>
      <c r="L1400" s="32"/>
      <c r="M1400" s="30"/>
      <c r="N1400" s="32"/>
      <c r="O1400" s="34"/>
      <c r="P1400" s="32"/>
      <c r="Q1400" s="32"/>
      <c r="R1400" s="32"/>
      <c r="S1400" s="32"/>
      <c r="T1400" s="32"/>
      <c r="U1400" s="32"/>
      <c r="V1400" s="31"/>
      <c r="W1400" s="35" t="str">
        <f aca="true">IF(OR(V1400="",AG1400&gt;=8),"",IF(V1400&lt;TODAY(),"Vencida",IF(V1400=TODAY(),"Hoy","")))</f>
        <v/>
      </c>
      <c r="X1400" s="36" t="str">
        <f aca="false">IF(A1400="","",IF(COUNTIF(Seguimiento!$B$2:$B$5001,A1400)=0,"",_xlfn.MAXIFS(Seguimiento!$A$2:$A$5001,Seguimiento!$B$2:$B$5001,A1400)))</f>
        <v/>
      </c>
      <c r="Y1400" s="37" t="str">
        <f aca="true">IF(B1400="","",TODAY()-B1400)</f>
        <v/>
      </c>
      <c r="Z1400" s="38" t="str">
        <f aca="false">IF(OR(O1400="",G1400=""),"",O1400*IFERROR(INDEX(Listas!$B$2:$B$50,MATCH(G1400,Listas!$A$2:$A$50,0)),0))</f>
        <v/>
      </c>
      <c r="AA1400" s="32"/>
      <c r="AB1400" s="32"/>
      <c r="AC1400" s="32"/>
      <c r="AD1400" s="35" t="str">
        <f aca="false">IF(OR(LEFT(H1400,4)="Meta",LEFT(H1400,6)="Google"),IF(AG1400=3,"Lead calificado",IF(OR(AG1400=4,AG1400=5),"Tasación/visita",IF(OR(AG1400=6,AG1400=7),"Captación/oferta",IF(AG1400=8,"Cierre","")))),"")</f>
        <v/>
      </c>
      <c r="AE1400" s="32"/>
      <c r="AF1400" s="32"/>
      <c r="AG1400" s="37" t="n">
        <f aca="false">IF(R1400="",0,IFERROR(MATCH(R1400,Listas!$L$2:$L$50,0),0))</f>
        <v>0</v>
      </c>
    </row>
    <row r="1401" customFormat="false" ht="15" hidden="false" customHeight="false" outlineLevel="0" collapsed="false">
      <c r="A1401" s="30"/>
      <c r="B1401" s="31"/>
      <c r="C1401" s="32"/>
      <c r="D1401" s="32"/>
      <c r="E1401" s="33"/>
      <c r="F1401" s="32"/>
      <c r="G1401" s="32"/>
      <c r="H1401" s="32"/>
      <c r="I1401" s="32"/>
      <c r="J1401" s="32"/>
      <c r="K1401" s="32"/>
      <c r="L1401" s="32"/>
      <c r="M1401" s="30"/>
      <c r="N1401" s="32"/>
      <c r="O1401" s="34"/>
      <c r="P1401" s="32"/>
      <c r="Q1401" s="32"/>
      <c r="R1401" s="32"/>
      <c r="S1401" s="32"/>
      <c r="T1401" s="32"/>
      <c r="U1401" s="32"/>
      <c r="V1401" s="31"/>
      <c r="W1401" s="35" t="str">
        <f aca="true">IF(OR(V1401="",AG1401&gt;=8),"",IF(V1401&lt;TODAY(),"Vencida",IF(V1401=TODAY(),"Hoy","")))</f>
        <v/>
      </c>
      <c r="X1401" s="36" t="str">
        <f aca="false">IF(A1401="","",IF(COUNTIF(Seguimiento!$B$2:$B$5001,A1401)=0,"",_xlfn.MAXIFS(Seguimiento!$A$2:$A$5001,Seguimiento!$B$2:$B$5001,A1401)))</f>
        <v/>
      </c>
      <c r="Y1401" s="37" t="str">
        <f aca="true">IF(B1401="","",TODAY()-B1401)</f>
        <v/>
      </c>
      <c r="Z1401" s="38" t="str">
        <f aca="false">IF(OR(O1401="",G1401=""),"",O1401*IFERROR(INDEX(Listas!$B$2:$B$50,MATCH(G1401,Listas!$A$2:$A$50,0)),0))</f>
        <v/>
      </c>
      <c r="AA1401" s="32"/>
      <c r="AB1401" s="32"/>
      <c r="AC1401" s="32"/>
      <c r="AD1401" s="35" t="str">
        <f aca="false">IF(OR(LEFT(H1401,4)="Meta",LEFT(H1401,6)="Google"),IF(AG1401=3,"Lead calificado",IF(OR(AG1401=4,AG1401=5),"Tasación/visita",IF(OR(AG1401=6,AG1401=7),"Captación/oferta",IF(AG1401=8,"Cierre","")))),"")</f>
        <v/>
      </c>
      <c r="AE1401" s="32"/>
      <c r="AF1401" s="32"/>
      <c r="AG1401" s="37" t="n">
        <f aca="false">IF(R1401="",0,IFERROR(MATCH(R1401,Listas!$L$2:$L$50,0),0))</f>
        <v>0</v>
      </c>
    </row>
    <row r="1402" customFormat="false" ht="15" hidden="false" customHeight="false" outlineLevel="0" collapsed="false">
      <c r="A1402" s="30"/>
      <c r="B1402" s="31"/>
      <c r="C1402" s="32"/>
      <c r="D1402" s="32"/>
      <c r="E1402" s="33"/>
      <c r="F1402" s="32"/>
      <c r="G1402" s="32"/>
      <c r="H1402" s="32"/>
      <c r="I1402" s="32"/>
      <c r="J1402" s="32"/>
      <c r="K1402" s="32"/>
      <c r="L1402" s="32"/>
      <c r="M1402" s="30"/>
      <c r="N1402" s="32"/>
      <c r="O1402" s="34"/>
      <c r="P1402" s="32"/>
      <c r="Q1402" s="32"/>
      <c r="R1402" s="32"/>
      <c r="S1402" s="32"/>
      <c r="T1402" s="32"/>
      <c r="U1402" s="32"/>
      <c r="V1402" s="31"/>
      <c r="W1402" s="35" t="str">
        <f aca="true">IF(OR(V1402="",AG1402&gt;=8),"",IF(V1402&lt;TODAY(),"Vencida",IF(V1402=TODAY(),"Hoy","")))</f>
        <v/>
      </c>
      <c r="X1402" s="36" t="str">
        <f aca="false">IF(A1402="","",IF(COUNTIF(Seguimiento!$B$2:$B$5001,A1402)=0,"",_xlfn.MAXIFS(Seguimiento!$A$2:$A$5001,Seguimiento!$B$2:$B$5001,A1402)))</f>
        <v/>
      </c>
      <c r="Y1402" s="37" t="str">
        <f aca="true">IF(B1402="","",TODAY()-B1402)</f>
        <v/>
      </c>
      <c r="Z1402" s="38" t="str">
        <f aca="false">IF(OR(O1402="",G1402=""),"",O1402*IFERROR(INDEX(Listas!$B$2:$B$50,MATCH(G1402,Listas!$A$2:$A$50,0)),0))</f>
        <v/>
      </c>
      <c r="AA1402" s="32"/>
      <c r="AB1402" s="32"/>
      <c r="AC1402" s="32"/>
      <c r="AD1402" s="35" t="str">
        <f aca="false">IF(OR(LEFT(H1402,4)="Meta",LEFT(H1402,6)="Google"),IF(AG1402=3,"Lead calificado",IF(OR(AG1402=4,AG1402=5),"Tasación/visita",IF(OR(AG1402=6,AG1402=7),"Captación/oferta",IF(AG1402=8,"Cierre","")))),"")</f>
        <v/>
      </c>
      <c r="AE1402" s="32"/>
      <c r="AF1402" s="32"/>
      <c r="AG1402" s="37" t="n">
        <f aca="false">IF(R1402="",0,IFERROR(MATCH(R1402,Listas!$L$2:$L$50,0),0))</f>
        <v>0</v>
      </c>
    </row>
    <row r="1403" customFormat="false" ht="15" hidden="false" customHeight="false" outlineLevel="0" collapsed="false">
      <c r="A1403" s="30"/>
      <c r="B1403" s="31"/>
      <c r="C1403" s="32"/>
      <c r="D1403" s="32"/>
      <c r="E1403" s="33"/>
      <c r="F1403" s="32"/>
      <c r="G1403" s="32"/>
      <c r="H1403" s="32"/>
      <c r="I1403" s="32"/>
      <c r="J1403" s="32"/>
      <c r="K1403" s="32"/>
      <c r="L1403" s="32"/>
      <c r="M1403" s="30"/>
      <c r="N1403" s="32"/>
      <c r="O1403" s="34"/>
      <c r="P1403" s="32"/>
      <c r="Q1403" s="32"/>
      <c r="R1403" s="32"/>
      <c r="S1403" s="32"/>
      <c r="T1403" s="32"/>
      <c r="U1403" s="32"/>
      <c r="V1403" s="31"/>
      <c r="W1403" s="35" t="str">
        <f aca="true">IF(OR(V1403="",AG1403&gt;=8),"",IF(V1403&lt;TODAY(),"Vencida",IF(V1403=TODAY(),"Hoy","")))</f>
        <v/>
      </c>
      <c r="X1403" s="36" t="str">
        <f aca="false">IF(A1403="","",IF(COUNTIF(Seguimiento!$B$2:$B$5001,A1403)=0,"",_xlfn.MAXIFS(Seguimiento!$A$2:$A$5001,Seguimiento!$B$2:$B$5001,A1403)))</f>
        <v/>
      </c>
      <c r="Y1403" s="37" t="str">
        <f aca="true">IF(B1403="","",TODAY()-B1403)</f>
        <v/>
      </c>
      <c r="Z1403" s="38" t="str">
        <f aca="false">IF(OR(O1403="",G1403=""),"",O1403*IFERROR(INDEX(Listas!$B$2:$B$50,MATCH(G1403,Listas!$A$2:$A$50,0)),0))</f>
        <v/>
      </c>
      <c r="AA1403" s="32"/>
      <c r="AB1403" s="32"/>
      <c r="AC1403" s="32"/>
      <c r="AD1403" s="35" t="str">
        <f aca="false">IF(OR(LEFT(H1403,4)="Meta",LEFT(H1403,6)="Google"),IF(AG1403=3,"Lead calificado",IF(OR(AG1403=4,AG1403=5),"Tasación/visita",IF(OR(AG1403=6,AG1403=7),"Captación/oferta",IF(AG1403=8,"Cierre","")))),"")</f>
        <v/>
      </c>
      <c r="AE1403" s="32"/>
      <c r="AF1403" s="32"/>
      <c r="AG1403" s="37" t="n">
        <f aca="false">IF(R1403="",0,IFERROR(MATCH(R1403,Listas!$L$2:$L$50,0),0))</f>
        <v>0</v>
      </c>
    </row>
    <row r="1404" customFormat="false" ht="15" hidden="false" customHeight="false" outlineLevel="0" collapsed="false">
      <c r="A1404" s="30"/>
      <c r="B1404" s="31"/>
      <c r="C1404" s="32"/>
      <c r="D1404" s="32"/>
      <c r="E1404" s="33"/>
      <c r="F1404" s="32"/>
      <c r="G1404" s="32"/>
      <c r="H1404" s="32"/>
      <c r="I1404" s="32"/>
      <c r="J1404" s="32"/>
      <c r="K1404" s="32"/>
      <c r="L1404" s="32"/>
      <c r="M1404" s="30"/>
      <c r="N1404" s="32"/>
      <c r="O1404" s="34"/>
      <c r="P1404" s="32"/>
      <c r="Q1404" s="32"/>
      <c r="R1404" s="32"/>
      <c r="S1404" s="32"/>
      <c r="T1404" s="32"/>
      <c r="U1404" s="32"/>
      <c r="V1404" s="31"/>
      <c r="W1404" s="35" t="str">
        <f aca="true">IF(OR(V1404="",AG1404&gt;=8),"",IF(V1404&lt;TODAY(),"Vencida",IF(V1404=TODAY(),"Hoy","")))</f>
        <v/>
      </c>
      <c r="X1404" s="36" t="str">
        <f aca="false">IF(A1404="","",IF(COUNTIF(Seguimiento!$B$2:$B$5001,A1404)=0,"",_xlfn.MAXIFS(Seguimiento!$A$2:$A$5001,Seguimiento!$B$2:$B$5001,A1404)))</f>
        <v/>
      </c>
      <c r="Y1404" s="37" t="str">
        <f aca="true">IF(B1404="","",TODAY()-B1404)</f>
        <v/>
      </c>
      <c r="Z1404" s="38" t="str">
        <f aca="false">IF(OR(O1404="",G1404=""),"",O1404*IFERROR(INDEX(Listas!$B$2:$B$50,MATCH(G1404,Listas!$A$2:$A$50,0)),0))</f>
        <v/>
      </c>
      <c r="AA1404" s="32"/>
      <c r="AB1404" s="32"/>
      <c r="AC1404" s="32"/>
      <c r="AD1404" s="35" t="str">
        <f aca="false">IF(OR(LEFT(H1404,4)="Meta",LEFT(H1404,6)="Google"),IF(AG1404=3,"Lead calificado",IF(OR(AG1404=4,AG1404=5),"Tasación/visita",IF(OR(AG1404=6,AG1404=7),"Captación/oferta",IF(AG1404=8,"Cierre","")))),"")</f>
        <v/>
      </c>
      <c r="AE1404" s="32"/>
      <c r="AF1404" s="32"/>
      <c r="AG1404" s="37" t="n">
        <f aca="false">IF(R1404="",0,IFERROR(MATCH(R1404,Listas!$L$2:$L$50,0),0))</f>
        <v>0</v>
      </c>
    </row>
    <row r="1405" customFormat="false" ht="15" hidden="false" customHeight="false" outlineLevel="0" collapsed="false">
      <c r="A1405" s="30"/>
      <c r="B1405" s="31"/>
      <c r="C1405" s="32"/>
      <c r="D1405" s="32"/>
      <c r="E1405" s="33"/>
      <c r="F1405" s="32"/>
      <c r="G1405" s="32"/>
      <c r="H1405" s="32"/>
      <c r="I1405" s="32"/>
      <c r="J1405" s="32"/>
      <c r="K1405" s="32"/>
      <c r="L1405" s="32"/>
      <c r="M1405" s="30"/>
      <c r="N1405" s="32"/>
      <c r="O1405" s="34"/>
      <c r="P1405" s="32"/>
      <c r="Q1405" s="32"/>
      <c r="R1405" s="32"/>
      <c r="S1405" s="32"/>
      <c r="T1405" s="32"/>
      <c r="U1405" s="32"/>
      <c r="V1405" s="31"/>
      <c r="W1405" s="35" t="str">
        <f aca="true">IF(OR(V1405="",AG1405&gt;=8),"",IF(V1405&lt;TODAY(),"Vencida",IF(V1405=TODAY(),"Hoy","")))</f>
        <v/>
      </c>
      <c r="X1405" s="36" t="str">
        <f aca="false">IF(A1405="","",IF(COUNTIF(Seguimiento!$B$2:$B$5001,A1405)=0,"",_xlfn.MAXIFS(Seguimiento!$A$2:$A$5001,Seguimiento!$B$2:$B$5001,A1405)))</f>
        <v/>
      </c>
      <c r="Y1405" s="37" t="str">
        <f aca="true">IF(B1405="","",TODAY()-B1405)</f>
        <v/>
      </c>
      <c r="Z1405" s="38" t="str">
        <f aca="false">IF(OR(O1405="",G1405=""),"",O1405*IFERROR(INDEX(Listas!$B$2:$B$50,MATCH(G1405,Listas!$A$2:$A$50,0)),0))</f>
        <v/>
      </c>
      <c r="AA1405" s="32"/>
      <c r="AB1405" s="32"/>
      <c r="AC1405" s="32"/>
      <c r="AD1405" s="35" t="str">
        <f aca="false">IF(OR(LEFT(H1405,4)="Meta",LEFT(H1405,6)="Google"),IF(AG1405=3,"Lead calificado",IF(OR(AG1405=4,AG1405=5),"Tasación/visita",IF(OR(AG1405=6,AG1405=7),"Captación/oferta",IF(AG1405=8,"Cierre","")))),"")</f>
        <v/>
      </c>
      <c r="AE1405" s="32"/>
      <c r="AF1405" s="32"/>
      <c r="AG1405" s="37" t="n">
        <f aca="false">IF(R1405="",0,IFERROR(MATCH(R1405,Listas!$L$2:$L$50,0),0))</f>
        <v>0</v>
      </c>
    </row>
    <row r="1406" customFormat="false" ht="15" hidden="false" customHeight="false" outlineLevel="0" collapsed="false">
      <c r="A1406" s="30"/>
      <c r="B1406" s="31"/>
      <c r="C1406" s="32"/>
      <c r="D1406" s="32"/>
      <c r="E1406" s="33"/>
      <c r="F1406" s="32"/>
      <c r="G1406" s="32"/>
      <c r="H1406" s="32"/>
      <c r="I1406" s="32"/>
      <c r="J1406" s="32"/>
      <c r="K1406" s="32"/>
      <c r="L1406" s="32"/>
      <c r="M1406" s="30"/>
      <c r="N1406" s="32"/>
      <c r="O1406" s="34"/>
      <c r="P1406" s="32"/>
      <c r="Q1406" s="32"/>
      <c r="R1406" s="32"/>
      <c r="S1406" s="32"/>
      <c r="T1406" s="32"/>
      <c r="U1406" s="32"/>
      <c r="V1406" s="31"/>
      <c r="W1406" s="35" t="str">
        <f aca="true">IF(OR(V1406="",AG1406&gt;=8),"",IF(V1406&lt;TODAY(),"Vencida",IF(V1406=TODAY(),"Hoy","")))</f>
        <v/>
      </c>
      <c r="X1406" s="36" t="str">
        <f aca="false">IF(A1406="","",IF(COUNTIF(Seguimiento!$B$2:$B$5001,A1406)=0,"",_xlfn.MAXIFS(Seguimiento!$A$2:$A$5001,Seguimiento!$B$2:$B$5001,A1406)))</f>
        <v/>
      </c>
      <c r="Y1406" s="37" t="str">
        <f aca="true">IF(B1406="","",TODAY()-B1406)</f>
        <v/>
      </c>
      <c r="Z1406" s="38" t="str">
        <f aca="false">IF(OR(O1406="",G1406=""),"",O1406*IFERROR(INDEX(Listas!$B$2:$B$50,MATCH(G1406,Listas!$A$2:$A$50,0)),0))</f>
        <v/>
      </c>
      <c r="AA1406" s="32"/>
      <c r="AB1406" s="32"/>
      <c r="AC1406" s="32"/>
      <c r="AD1406" s="35" t="str">
        <f aca="false">IF(OR(LEFT(H1406,4)="Meta",LEFT(H1406,6)="Google"),IF(AG1406=3,"Lead calificado",IF(OR(AG1406=4,AG1406=5),"Tasación/visita",IF(OR(AG1406=6,AG1406=7),"Captación/oferta",IF(AG1406=8,"Cierre","")))),"")</f>
        <v/>
      </c>
      <c r="AE1406" s="32"/>
      <c r="AF1406" s="32"/>
      <c r="AG1406" s="37" t="n">
        <f aca="false">IF(R1406="",0,IFERROR(MATCH(R1406,Listas!$L$2:$L$50,0),0))</f>
        <v>0</v>
      </c>
    </row>
    <row r="1407" customFormat="false" ht="15" hidden="false" customHeight="false" outlineLevel="0" collapsed="false">
      <c r="A1407" s="30"/>
      <c r="B1407" s="31"/>
      <c r="C1407" s="32"/>
      <c r="D1407" s="32"/>
      <c r="E1407" s="33"/>
      <c r="F1407" s="32"/>
      <c r="G1407" s="32"/>
      <c r="H1407" s="32"/>
      <c r="I1407" s="32"/>
      <c r="J1407" s="32"/>
      <c r="K1407" s="32"/>
      <c r="L1407" s="32"/>
      <c r="M1407" s="30"/>
      <c r="N1407" s="32"/>
      <c r="O1407" s="34"/>
      <c r="P1407" s="32"/>
      <c r="Q1407" s="32"/>
      <c r="R1407" s="32"/>
      <c r="S1407" s="32"/>
      <c r="T1407" s="32"/>
      <c r="U1407" s="32"/>
      <c r="V1407" s="31"/>
      <c r="W1407" s="35" t="str">
        <f aca="true">IF(OR(V1407="",AG1407&gt;=8),"",IF(V1407&lt;TODAY(),"Vencida",IF(V1407=TODAY(),"Hoy","")))</f>
        <v/>
      </c>
      <c r="X1407" s="36" t="str">
        <f aca="false">IF(A1407="","",IF(COUNTIF(Seguimiento!$B$2:$B$5001,A1407)=0,"",_xlfn.MAXIFS(Seguimiento!$A$2:$A$5001,Seguimiento!$B$2:$B$5001,A1407)))</f>
        <v/>
      </c>
      <c r="Y1407" s="37" t="str">
        <f aca="true">IF(B1407="","",TODAY()-B1407)</f>
        <v/>
      </c>
      <c r="Z1407" s="38" t="str">
        <f aca="false">IF(OR(O1407="",G1407=""),"",O1407*IFERROR(INDEX(Listas!$B$2:$B$50,MATCH(G1407,Listas!$A$2:$A$50,0)),0))</f>
        <v/>
      </c>
      <c r="AA1407" s="32"/>
      <c r="AB1407" s="32"/>
      <c r="AC1407" s="32"/>
      <c r="AD1407" s="35" t="str">
        <f aca="false">IF(OR(LEFT(H1407,4)="Meta",LEFT(H1407,6)="Google"),IF(AG1407=3,"Lead calificado",IF(OR(AG1407=4,AG1407=5),"Tasación/visita",IF(OR(AG1407=6,AG1407=7),"Captación/oferta",IF(AG1407=8,"Cierre","")))),"")</f>
        <v/>
      </c>
      <c r="AE1407" s="32"/>
      <c r="AF1407" s="32"/>
      <c r="AG1407" s="37" t="n">
        <f aca="false">IF(R1407="",0,IFERROR(MATCH(R1407,Listas!$L$2:$L$50,0),0))</f>
        <v>0</v>
      </c>
    </row>
    <row r="1408" customFormat="false" ht="15" hidden="false" customHeight="false" outlineLevel="0" collapsed="false">
      <c r="A1408" s="30"/>
      <c r="B1408" s="31"/>
      <c r="C1408" s="32"/>
      <c r="D1408" s="32"/>
      <c r="E1408" s="33"/>
      <c r="F1408" s="32"/>
      <c r="G1408" s="32"/>
      <c r="H1408" s="32"/>
      <c r="I1408" s="32"/>
      <c r="J1408" s="32"/>
      <c r="K1408" s="32"/>
      <c r="L1408" s="32"/>
      <c r="M1408" s="30"/>
      <c r="N1408" s="32"/>
      <c r="O1408" s="34"/>
      <c r="P1408" s="32"/>
      <c r="Q1408" s="32"/>
      <c r="R1408" s="32"/>
      <c r="S1408" s="32"/>
      <c r="T1408" s="32"/>
      <c r="U1408" s="32"/>
      <c r="V1408" s="31"/>
      <c r="W1408" s="35" t="str">
        <f aca="true">IF(OR(V1408="",AG1408&gt;=8),"",IF(V1408&lt;TODAY(),"Vencida",IF(V1408=TODAY(),"Hoy","")))</f>
        <v/>
      </c>
      <c r="X1408" s="36" t="str">
        <f aca="false">IF(A1408="","",IF(COUNTIF(Seguimiento!$B$2:$B$5001,A1408)=0,"",_xlfn.MAXIFS(Seguimiento!$A$2:$A$5001,Seguimiento!$B$2:$B$5001,A1408)))</f>
        <v/>
      </c>
      <c r="Y1408" s="37" t="str">
        <f aca="true">IF(B1408="","",TODAY()-B1408)</f>
        <v/>
      </c>
      <c r="Z1408" s="38" t="str">
        <f aca="false">IF(OR(O1408="",G1408=""),"",O1408*IFERROR(INDEX(Listas!$B$2:$B$50,MATCH(G1408,Listas!$A$2:$A$50,0)),0))</f>
        <v/>
      </c>
      <c r="AA1408" s="32"/>
      <c r="AB1408" s="32"/>
      <c r="AC1408" s="32"/>
      <c r="AD1408" s="35" t="str">
        <f aca="false">IF(OR(LEFT(H1408,4)="Meta",LEFT(H1408,6)="Google"),IF(AG1408=3,"Lead calificado",IF(OR(AG1408=4,AG1408=5),"Tasación/visita",IF(OR(AG1408=6,AG1408=7),"Captación/oferta",IF(AG1408=8,"Cierre","")))),"")</f>
        <v/>
      </c>
      <c r="AE1408" s="32"/>
      <c r="AF1408" s="32"/>
      <c r="AG1408" s="37" t="n">
        <f aca="false">IF(R1408="",0,IFERROR(MATCH(R1408,Listas!$L$2:$L$50,0),0))</f>
        <v>0</v>
      </c>
    </row>
    <row r="1409" customFormat="false" ht="15" hidden="false" customHeight="false" outlineLevel="0" collapsed="false">
      <c r="A1409" s="30"/>
      <c r="B1409" s="31"/>
      <c r="C1409" s="32"/>
      <c r="D1409" s="32"/>
      <c r="E1409" s="33"/>
      <c r="F1409" s="32"/>
      <c r="G1409" s="32"/>
      <c r="H1409" s="32"/>
      <c r="I1409" s="32"/>
      <c r="J1409" s="32"/>
      <c r="K1409" s="32"/>
      <c r="L1409" s="32"/>
      <c r="M1409" s="30"/>
      <c r="N1409" s="32"/>
      <c r="O1409" s="34"/>
      <c r="P1409" s="32"/>
      <c r="Q1409" s="32"/>
      <c r="R1409" s="32"/>
      <c r="S1409" s="32"/>
      <c r="T1409" s="32"/>
      <c r="U1409" s="32"/>
      <c r="V1409" s="31"/>
      <c r="W1409" s="35" t="str">
        <f aca="true">IF(OR(V1409="",AG1409&gt;=8),"",IF(V1409&lt;TODAY(),"Vencida",IF(V1409=TODAY(),"Hoy","")))</f>
        <v/>
      </c>
      <c r="X1409" s="36" t="str">
        <f aca="false">IF(A1409="","",IF(COUNTIF(Seguimiento!$B$2:$B$5001,A1409)=0,"",_xlfn.MAXIFS(Seguimiento!$A$2:$A$5001,Seguimiento!$B$2:$B$5001,A1409)))</f>
        <v/>
      </c>
      <c r="Y1409" s="37" t="str">
        <f aca="true">IF(B1409="","",TODAY()-B1409)</f>
        <v/>
      </c>
      <c r="Z1409" s="38" t="str">
        <f aca="false">IF(OR(O1409="",G1409=""),"",O1409*IFERROR(INDEX(Listas!$B$2:$B$50,MATCH(G1409,Listas!$A$2:$A$50,0)),0))</f>
        <v/>
      </c>
      <c r="AA1409" s="32"/>
      <c r="AB1409" s="32"/>
      <c r="AC1409" s="32"/>
      <c r="AD1409" s="35" t="str">
        <f aca="false">IF(OR(LEFT(H1409,4)="Meta",LEFT(H1409,6)="Google"),IF(AG1409=3,"Lead calificado",IF(OR(AG1409=4,AG1409=5),"Tasación/visita",IF(OR(AG1409=6,AG1409=7),"Captación/oferta",IF(AG1409=8,"Cierre","")))),"")</f>
        <v/>
      </c>
      <c r="AE1409" s="32"/>
      <c r="AF1409" s="32"/>
      <c r="AG1409" s="37" t="n">
        <f aca="false">IF(R1409="",0,IFERROR(MATCH(R1409,Listas!$L$2:$L$50,0),0))</f>
        <v>0</v>
      </c>
    </row>
    <row r="1410" customFormat="false" ht="15" hidden="false" customHeight="false" outlineLevel="0" collapsed="false">
      <c r="A1410" s="30"/>
      <c r="B1410" s="31"/>
      <c r="C1410" s="32"/>
      <c r="D1410" s="32"/>
      <c r="E1410" s="33"/>
      <c r="F1410" s="32"/>
      <c r="G1410" s="32"/>
      <c r="H1410" s="32"/>
      <c r="I1410" s="32"/>
      <c r="J1410" s="32"/>
      <c r="K1410" s="32"/>
      <c r="L1410" s="32"/>
      <c r="M1410" s="30"/>
      <c r="N1410" s="32"/>
      <c r="O1410" s="34"/>
      <c r="P1410" s="32"/>
      <c r="Q1410" s="32"/>
      <c r="R1410" s="32"/>
      <c r="S1410" s="32"/>
      <c r="T1410" s="32"/>
      <c r="U1410" s="32"/>
      <c r="V1410" s="31"/>
      <c r="W1410" s="35" t="str">
        <f aca="true">IF(OR(V1410="",AG1410&gt;=8),"",IF(V1410&lt;TODAY(),"Vencida",IF(V1410=TODAY(),"Hoy","")))</f>
        <v/>
      </c>
      <c r="X1410" s="36" t="str">
        <f aca="false">IF(A1410="","",IF(COUNTIF(Seguimiento!$B$2:$B$5001,A1410)=0,"",_xlfn.MAXIFS(Seguimiento!$A$2:$A$5001,Seguimiento!$B$2:$B$5001,A1410)))</f>
        <v/>
      </c>
      <c r="Y1410" s="37" t="str">
        <f aca="true">IF(B1410="","",TODAY()-B1410)</f>
        <v/>
      </c>
      <c r="Z1410" s="38" t="str">
        <f aca="false">IF(OR(O1410="",G1410=""),"",O1410*IFERROR(INDEX(Listas!$B$2:$B$50,MATCH(G1410,Listas!$A$2:$A$50,0)),0))</f>
        <v/>
      </c>
      <c r="AA1410" s="32"/>
      <c r="AB1410" s="32"/>
      <c r="AC1410" s="32"/>
      <c r="AD1410" s="35" t="str">
        <f aca="false">IF(OR(LEFT(H1410,4)="Meta",LEFT(H1410,6)="Google"),IF(AG1410=3,"Lead calificado",IF(OR(AG1410=4,AG1410=5),"Tasación/visita",IF(OR(AG1410=6,AG1410=7),"Captación/oferta",IF(AG1410=8,"Cierre","")))),"")</f>
        <v/>
      </c>
      <c r="AE1410" s="32"/>
      <c r="AF1410" s="32"/>
      <c r="AG1410" s="37" t="n">
        <f aca="false">IF(R1410="",0,IFERROR(MATCH(R1410,Listas!$L$2:$L$50,0),0))</f>
        <v>0</v>
      </c>
    </row>
    <row r="1411" customFormat="false" ht="15" hidden="false" customHeight="false" outlineLevel="0" collapsed="false">
      <c r="A1411" s="30"/>
      <c r="B1411" s="31"/>
      <c r="C1411" s="32"/>
      <c r="D1411" s="32"/>
      <c r="E1411" s="33"/>
      <c r="F1411" s="32"/>
      <c r="G1411" s="32"/>
      <c r="H1411" s="32"/>
      <c r="I1411" s="32"/>
      <c r="J1411" s="32"/>
      <c r="K1411" s="32"/>
      <c r="L1411" s="32"/>
      <c r="M1411" s="30"/>
      <c r="N1411" s="32"/>
      <c r="O1411" s="34"/>
      <c r="P1411" s="32"/>
      <c r="Q1411" s="32"/>
      <c r="R1411" s="32"/>
      <c r="S1411" s="32"/>
      <c r="T1411" s="32"/>
      <c r="U1411" s="32"/>
      <c r="V1411" s="31"/>
      <c r="W1411" s="35" t="str">
        <f aca="true">IF(OR(V1411="",AG1411&gt;=8),"",IF(V1411&lt;TODAY(),"Vencida",IF(V1411=TODAY(),"Hoy","")))</f>
        <v/>
      </c>
      <c r="X1411" s="36" t="str">
        <f aca="false">IF(A1411="","",IF(COUNTIF(Seguimiento!$B$2:$B$5001,A1411)=0,"",_xlfn.MAXIFS(Seguimiento!$A$2:$A$5001,Seguimiento!$B$2:$B$5001,A1411)))</f>
        <v/>
      </c>
      <c r="Y1411" s="37" t="str">
        <f aca="true">IF(B1411="","",TODAY()-B1411)</f>
        <v/>
      </c>
      <c r="Z1411" s="38" t="str">
        <f aca="false">IF(OR(O1411="",G1411=""),"",O1411*IFERROR(INDEX(Listas!$B$2:$B$50,MATCH(G1411,Listas!$A$2:$A$50,0)),0))</f>
        <v/>
      </c>
      <c r="AA1411" s="32"/>
      <c r="AB1411" s="32"/>
      <c r="AC1411" s="32"/>
      <c r="AD1411" s="35" t="str">
        <f aca="false">IF(OR(LEFT(H1411,4)="Meta",LEFT(H1411,6)="Google"),IF(AG1411=3,"Lead calificado",IF(OR(AG1411=4,AG1411=5),"Tasación/visita",IF(OR(AG1411=6,AG1411=7),"Captación/oferta",IF(AG1411=8,"Cierre","")))),"")</f>
        <v/>
      </c>
      <c r="AE1411" s="32"/>
      <c r="AF1411" s="32"/>
      <c r="AG1411" s="37" t="n">
        <f aca="false">IF(R1411="",0,IFERROR(MATCH(R1411,Listas!$L$2:$L$50,0),0))</f>
        <v>0</v>
      </c>
    </row>
    <row r="1412" customFormat="false" ht="15" hidden="false" customHeight="false" outlineLevel="0" collapsed="false">
      <c r="A1412" s="30"/>
      <c r="B1412" s="31"/>
      <c r="C1412" s="32"/>
      <c r="D1412" s="32"/>
      <c r="E1412" s="33"/>
      <c r="F1412" s="32"/>
      <c r="G1412" s="32"/>
      <c r="H1412" s="32"/>
      <c r="I1412" s="32"/>
      <c r="J1412" s="32"/>
      <c r="K1412" s="32"/>
      <c r="L1412" s="32"/>
      <c r="M1412" s="30"/>
      <c r="N1412" s="32"/>
      <c r="O1412" s="34"/>
      <c r="P1412" s="32"/>
      <c r="Q1412" s="32"/>
      <c r="R1412" s="32"/>
      <c r="S1412" s="32"/>
      <c r="T1412" s="32"/>
      <c r="U1412" s="32"/>
      <c r="V1412" s="31"/>
      <c r="W1412" s="35" t="str">
        <f aca="true">IF(OR(V1412="",AG1412&gt;=8),"",IF(V1412&lt;TODAY(),"Vencida",IF(V1412=TODAY(),"Hoy","")))</f>
        <v/>
      </c>
      <c r="X1412" s="36" t="str">
        <f aca="false">IF(A1412="","",IF(COUNTIF(Seguimiento!$B$2:$B$5001,A1412)=0,"",_xlfn.MAXIFS(Seguimiento!$A$2:$A$5001,Seguimiento!$B$2:$B$5001,A1412)))</f>
        <v/>
      </c>
      <c r="Y1412" s="37" t="str">
        <f aca="true">IF(B1412="","",TODAY()-B1412)</f>
        <v/>
      </c>
      <c r="Z1412" s="38" t="str">
        <f aca="false">IF(OR(O1412="",G1412=""),"",O1412*IFERROR(INDEX(Listas!$B$2:$B$50,MATCH(G1412,Listas!$A$2:$A$50,0)),0))</f>
        <v/>
      </c>
      <c r="AA1412" s="32"/>
      <c r="AB1412" s="32"/>
      <c r="AC1412" s="32"/>
      <c r="AD1412" s="35" t="str">
        <f aca="false">IF(OR(LEFT(H1412,4)="Meta",LEFT(H1412,6)="Google"),IF(AG1412=3,"Lead calificado",IF(OR(AG1412=4,AG1412=5),"Tasación/visita",IF(OR(AG1412=6,AG1412=7),"Captación/oferta",IF(AG1412=8,"Cierre","")))),"")</f>
        <v/>
      </c>
      <c r="AE1412" s="32"/>
      <c r="AF1412" s="32"/>
      <c r="AG1412" s="37" t="n">
        <f aca="false">IF(R1412="",0,IFERROR(MATCH(R1412,Listas!$L$2:$L$50,0),0))</f>
        <v>0</v>
      </c>
    </row>
    <row r="1413" customFormat="false" ht="15" hidden="false" customHeight="false" outlineLevel="0" collapsed="false">
      <c r="A1413" s="30"/>
      <c r="B1413" s="31"/>
      <c r="C1413" s="32"/>
      <c r="D1413" s="32"/>
      <c r="E1413" s="33"/>
      <c r="F1413" s="32"/>
      <c r="G1413" s="32"/>
      <c r="H1413" s="32"/>
      <c r="I1413" s="32"/>
      <c r="J1413" s="32"/>
      <c r="K1413" s="32"/>
      <c r="L1413" s="32"/>
      <c r="M1413" s="30"/>
      <c r="N1413" s="32"/>
      <c r="O1413" s="34"/>
      <c r="P1413" s="32"/>
      <c r="Q1413" s="32"/>
      <c r="R1413" s="32"/>
      <c r="S1413" s="32"/>
      <c r="T1413" s="32"/>
      <c r="U1413" s="32"/>
      <c r="V1413" s="31"/>
      <c r="W1413" s="35" t="str">
        <f aca="true">IF(OR(V1413="",AG1413&gt;=8),"",IF(V1413&lt;TODAY(),"Vencida",IF(V1413=TODAY(),"Hoy","")))</f>
        <v/>
      </c>
      <c r="X1413" s="36" t="str">
        <f aca="false">IF(A1413="","",IF(COUNTIF(Seguimiento!$B$2:$B$5001,A1413)=0,"",_xlfn.MAXIFS(Seguimiento!$A$2:$A$5001,Seguimiento!$B$2:$B$5001,A1413)))</f>
        <v/>
      </c>
      <c r="Y1413" s="37" t="str">
        <f aca="true">IF(B1413="","",TODAY()-B1413)</f>
        <v/>
      </c>
      <c r="Z1413" s="38" t="str">
        <f aca="false">IF(OR(O1413="",G1413=""),"",O1413*IFERROR(INDEX(Listas!$B$2:$B$50,MATCH(G1413,Listas!$A$2:$A$50,0)),0))</f>
        <v/>
      </c>
      <c r="AA1413" s="32"/>
      <c r="AB1413" s="32"/>
      <c r="AC1413" s="32"/>
      <c r="AD1413" s="35" t="str">
        <f aca="false">IF(OR(LEFT(H1413,4)="Meta",LEFT(H1413,6)="Google"),IF(AG1413=3,"Lead calificado",IF(OR(AG1413=4,AG1413=5),"Tasación/visita",IF(OR(AG1413=6,AG1413=7),"Captación/oferta",IF(AG1413=8,"Cierre","")))),"")</f>
        <v/>
      </c>
      <c r="AE1413" s="32"/>
      <c r="AF1413" s="32"/>
      <c r="AG1413" s="37" t="n">
        <f aca="false">IF(R1413="",0,IFERROR(MATCH(R1413,Listas!$L$2:$L$50,0),0))</f>
        <v>0</v>
      </c>
    </row>
    <row r="1414" customFormat="false" ht="15" hidden="false" customHeight="false" outlineLevel="0" collapsed="false">
      <c r="A1414" s="30"/>
      <c r="B1414" s="31"/>
      <c r="C1414" s="32"/>
      <c r="D1414" s="32"/>
      <c r="E1414" s="33"/>
      <c r="F1414" s="32"/>
      <c r="G1414" s="32"/>
      <c r="H1414" s="32"/>
      <c r="I1414" s="32"/>
      <c r="J1414" s="32"/>
      <c r="K1414" s="32"/>
      <c r="L1414" s="32"/>
      <c r="M1414" s="30"/>
      <c r="N1414" s="32"/>
      <c r="O1414" s="34"/>
      <c r="P1414" s="32"/>
      <c r="Q1414" s="32"/>
      <c r="R1414" s="32"/>
      <c r="S1414" s="32"/>
      <c r="T1414" s="32"/>
      <c r="U1414" s="32"/>
      <c r="V1414" s="31"/>
      <c r="W1414" s="35" t="str">
        <f aca="true">IF(OR(V1414="",AG1414&gt;=8),"",IF(V1414&lt;TODAY(),"Vencida",IF(V1414=TODAY(),"Hoy","")))</f>
        <v/>
      </c>
      <c r="X1414" s="36" t="str">
        <f aca="false">IF(A1414="","",IF(COUNTIF(Seguimiento!$B$2:$B$5001,A1414)=0,"",_xlfn.MAXIFS(Seguimiento!$A$2:$A$5001,Seguimiento!$B$2:$B$5001,A1414)))</f>
        <v/>
      </c>
      <c r="Y1414" s="37" t="str">
        <f aca="true">IF(B1414="","",TODAY()-B1414)</f>
        <v/>
      </c>
      <c r="Z1414" s="38" t="str">
        <f aca="false">IF(OR(O1414="",G1414=""),"",O1414*IFERROR(INDEX(Listas!$B$2:$B$50,MATCH(G1414,Listas!$A$2:$A$50,0)),0))</f>
        <v/>
      </c>
      <c r="AA1414" s="32"/>
      <c r="AB1414" s="32"/>
      <c r="AC1414" s="32"/>
      <c r="AD1414" s="35" t="str">
        <f aca="false">IF(OR(LEFT(H1414,4)="Meta",LEFT(H1414,6)="Google"),IF(AG1414=3,"Lead calificado",IF(OR(AG1414=4,AG1414=5),"Tasación/visita",IF(OR(AG1414=6,AG1414=7),"Captación/oferta",IF(AG1414=8,"Cierre","")))),"")</f>
        <v/>
      </c>
      <c r="AE1414" s="32"/>
      <c r="AF1414" s="32"/>
      <c r="AG1414" s="37" t="n">
        <f aca="false">IF(R1414="",0,IFERROR(MATCH(R1414,Listas!$L$2:$L$50,0),0))</f>
        <v>0</v>
      </c>
    </row>
    <row r="1415" customFormat="false" ht="15" hidden="false" customHeight="false" outlineLevel="0" collapsed="false">
      <c r="A1415" s="30"/>
      <c r="B1415" s="31"/>
      <c r="C1415" s="32"/>
      <c r="D1415" s="32"/>
      <c r="E1415" s="33"/>
      <c r="F1415" s="32"/>
      <c r="G1415" s="32"/>
      <c r="H1415" s="32"/>
      <c r="I1415" s="32"/>
      <c r="J1415" s="32"/>
      <c r="K1415" s="32"/>
      <c r="L1415" s="32"/>
      <c r="M1415" s="30"/>
      <c r="N1415" s="32"/>
      <c r="O1415" s="34"/>
      <c r="P1415" s="32"/>
      <c r="Q1415" s="32"/>
      <c r="R1415" s="32"/>
      <c r="S1415" s="32"/>
      <c r="T1415" s="32"/>
      <c r="U1415" s="32"/>
      <c r="V1415" s="31"/>
      <c r="W1415" s="35" t="str">
        <f aca="true">IF(OR(V1415="",AG1415&gt;=8),"",IF(V1415&lt;TODAY(),"Vencida",IF(V1415=TODAY(),"Hoy","")))</f>
        <v/>
      </c>
      <c r="X1415" s="36" t="str">
        <f aca="false">IF(A1415="","",IF(COUNTIF(Seguimiento!$B$2:$B$5001,A1415)=0,"",_xlfn.MAXIFS(Seguimiento!$A$2:$A$5001,Seguimiento!$B$2:$B$5001,A1415)))</f>
        <v/>
      </c>
      <c r="Y1415" s="37" t="str">
        <f aca="true">IF(B1415="","",TODAY()-B1415)</f>
        <v/>
      </c>
      <c r="Z1415" s="38" t="str">
        <f aca="false">IF(OR(O1415="",G1415=""),"",O1415*IFERROR(INDEX(Listas!$B$2:$B$50,MATCH(G1415,Listas!$A$2:$A$50,0)),0))</f>
        <v/>
      </c>
      <c r="AA1415" s="32"/>
      <c r="AB1415" s="32"/>
      <c r="AC1415" s="32"/>
      <c r="AD1415" s="35" t="str">
        <f aca="false">IF(OR(LEFT(H1415,4)="Meta",LEFT(H1415,6)="Google"),IF(AG1415=3,"Lead calificado",IF(OR(AG1415=4,AG1415=5),"Tasación/visita",IF(OR(AG1415=6,AG1415=7),"Captación/oferta",IF(AG1415=8,"Cierre","")))),"")</f>
        <v/>
      </c>
      <c r="AE1415" s="32"/>
      <c r="AF1415" s="32"/>
      <c r="AG1415" s="37" t="n">
        <f aca="false">IF(R1415="",0,IFERROR(MATCH(R1415,Listas!$L$2:$L$50,0),0))</f>
        <v>0</v>
      </c>
    </row>
    <row r="1416" customFormat="false" ht="15" hidden="false" customHeight="false" outlineLevel="0" collapsed="false">
      <c r="A1416" s="30"/>
      <c r="B1416" s="31"/>
      <c r="C1416" s="32"/>
      <c r="D1416" s="32"/>
      <c r="E1416" s="33"/>
      <c r="F1416" s="32"/>
      <c r="G1416" s="32"/>
      <c r="H1416" s="32"/>
      <c r="I1416" s="32"/>
      <c r="J1416" s="32"/>
      <c r="K1416" s="32"/>
      <c r="L1416" s="32"/>
      <c r="M1416" s="30"/>
      <c r="N1416" s="32"/>
      <c r="O1416" s="34"/>
      <c r="P1416" s="32"/>
      <c r="Q1416" s="32"/>
      <c r="R1416" s="32"/>
      <c r="S1416" s="32"/>
      <c r="T1416" s="32"/>
      <c r="U1416" s="32"/>
      <c r="V1416" s="31"/>
      <c r="W1416" s="35" t="str">
        <f aca="true">IF(OR(V1416="",AG1416&gt;=8),"",IF(V1416&lt;TODAY(),"Vencida",IF(V1416=TODAY(),"Hoy","")))</f>
        <v/>
      </c>
      <c r="X1416" s="36" t="str">
        <f aca="false">IF(A1416="","",IF(COUNTIF(Seguimiento!$B$2:$B$5001,A1416)=0,"",_xlfn.MAXIFS(Seguimiento!$A$2:$A$5001,Seguimiento!$B$2:$B$5001,A1416)))</f>
        <v/>
      </c>
      <c r="Y1416" s="37" t="str">
        <f aca="true">IF(B1416="","",TODAY()-B1416)</f>
        <v/>
      </c>
      <c r="Z1416" s="38" t="str">
        <f aca="false">IF(OR(O1416="",G1416=""),"",O1416*IFERROR(INDEX(Listas!$B$2:$B$50,MATCH(G1416,Listas!$A$2:$A$50,0)),0))</f>
        <v/>
      </c>
      <c r="AA1416" s="32"/>
      <c r="AB1416" s="32"/>
      <c r="AC1416" s="32"/>
      <c r="AD1416" s="35" t="str">
        <f aca="false">IF(OR(LEFT(H1416,4)="Meta",LEFT(H1416,6)="Google"),IF(AG1416=3,"Lead calificado",IF(OR(AG1416=4,AG1416=5),"Tasación/visita",IF(OR(AG1416=6,AG1416=7),"Captación/oferta",IF(AG1416=8,"Cierre","")))),"")</f>
        <v/>
      </c>
      <c r="AE1416" s="32"/>
      <c r="AF1416" s="32"/>
      <c r="AG1416" s="37" t="n">
        <f aca="false">IF(R1416="",0,IFERROR(MATCH(R1416,Listas!$L$2:$L$50,0),0))</f>
        <v>0</v>
      </c>
    </row>
    <row r="1417" customFormat="false" ht="15" hidden="false" customHeight="false" outlineLevel="0" collapsed="false">
      <c r="A1417" s="30"/>
      <c r="B1417" s="31"/>
      <c r="C1417" s="32"/>
      <c r="D1417" s="32"/>
      <c r="E1417" s="33"/>
      <c r="F1417" s="32"/>
      <c r="G1417" s="32"/>
      <c r="H1417" s="32"/>
      <c r="I1417" s="32"/>
      <c r="J1417" s="32"/>
      <c r="K1417" s="32"/>
      <c r="L1417" s="32"/>
      <c r="M1417" s="30"/>
      <c r="N1417" s="32"/>
      <c r="O1417" s="34"/>
      <c r="P1417" s="32"/>
      <c r="Q1417" s="32"/>
      <c r="R1417" s="32"/>
      <c r="S1417" s="32"/>
      <c r="T1417" s="32"/>
      <c r="U1417" s="32"/>
      <c r="V1417" s="31"/>
      <c r="W1417" s="35" t="str">
        <f aca="true">IF(OR(V1417="",AG1417&gt;=8),"",IF(V1417&lt;TODAY(),"Vencida",IF(V1417=TODAY(),"Hoy","")))</f>
        <v/>
      </c>
      <c r="X1417" s="36" t="str">
        <f aca="false">IF(A1417="","",IF(COUNTIF(Seguimiento!$B$2:$B$5001,A1417)=0,"",_xlfn.MAXIFS(Seguimiento!$A$2:$A$5001,Seguimiento!$B$2:$B$5001,A1417)))</f>
        <v/>
      </c>
      <c r="Y1417" s="37" t="str">
        <f aca="true">IF(B1417="","",TODAY()-B1417)</f>
        <v/>
      </c>
      <c r="Z1417" s="38" t="str">
        <f aca="false">IF(OR(O1417="",G1417=""),"",O1417*IFERROR(INDEX(Listas!$B$2:$B$50,MATCH(G1417,Listas!$A$2:$A$50,0)),0))</f>
        <v/>
      </c>
      <c r="AA1417" s="32"/>
      <c r="AB1417" s="32"/>
      <c r="AC1417" s="32"/>
      <c r="AD1417" s="35" t="str">
        <f aca="false">IF(OR(LEFT(H1417,4)="Meta",LEFT(H1417,6)="Google"),IF(AG1417=3,"Lead calificado",IF(OR(AG1417=4,AG1417=5),"Tasación/visita",IF(OR(AG1417=6,AG1417=7),"Captación/oferta",IF(AG1417=8,"Cierre","")))),"")</f>
        <v/>
      </c>
      <c r="AE1417" s="32"/>
      <c r="AF1417" s="32"/>
      <c r="AG1417" s="37" t="n">
        <f aca="false">IF(R1417="",0,IFERROR(MATCH(R1417,Listas!$L$2:$L$50,0),0))</f>
        <v>0</v>
      </c>
    </row>
    <row r="1418" customFormat="false" ht="15" hidden="false" customHeight="false" outlineLevel="0" collapsed="false">
      <c r="A1418" s="30"/>
      <c r="B1418" s="31"/>
      <c r="C1418" s="32"/>
      <c r="D1418" s="32"/>
      <c r="E1418" s="33"/>
      <c r="F1418" s="32"/>
      <c r="G1418" s="32"/>
      <c r="H1418" s="32"/>
      <c r="I1418" s="32"/>
      <c r="J1418" s="32"/>
      <c r="K1418" s="32"/>
      <c r="L1418" s="32"/>
      <c r="M1418" s="30"/>
      <c r="N1418" s="32"/>
      <c r="O1418" s="34"/>
      <c r="P1418" s="32"/>
      <c r="Q1418" s="32"/>
      <c r="R1418" s="32"/>
      <c r="S1418" s="32"/>
      <c r="T1418" s="32"/>
      <c r="U1418" s="32"/>
      <c r="V1418" s="31"/>
      <c r="W1418" s="35" t="str">
        <f aca="true">IF(OR(V1418="",AG1418&gt;=8),"",IF(V1418&lt;TODAY(),"Vencida",IF(V1418=TODAY(),"Hoy","")))</f>
        <v/>
      </c>
      <c r="X1418" s="36" t="str">
        <f aca="false">IF(A1418="","",IF(COUNTIF(Seguimiento!$B$2:$B$5001,A1418)=0,"",_xlfn.MAXIFS(Seguimiento!$A$2:$A$5001,Seguimiento!$B$2:$B$5001,A1418)))</f>
        <v/>
      </c>
      <c r="Y1418" s="37" t="str">
        <f aca="true">IF(B1418="","",TODAY()-B1418)</f>
        <v/>
      </c>
      <c r="Z1418" s="38" t="str">
        <f aca="false">IF(OR(O1418="",G1418=""),"",O1418*IFERROR(INDEX(Listas!$B$2:$B$50,MATCH(G1418,Listas!$A$2:$A$50,0)),0))</f>
        <v/>
      </c>
      <c r="AA1418" s="32"/>
      <c r="AB1418" s="32"/>
      <c r="AC1418" s="32"/>
      <c r="AD1418" s="35" t="str">
        <f aca="false">IF(OR(LEFT(H1418,4)="Meta",LEFT(H1418,6)="Google"),IF(AG1418=3,"Lead calificado",IF(OR(AG1418=4,AG1418=5),"Tasación/visita",IF(OR(AG1418=6,AG1418=7),"Captación/oferta",IF(AG1418=8,"Cierre","")))),"")</f>
        <v/>
      </c>
      <c r="AE1418" s="32"/>
      <c r="AF1418" s="32"/>
      <c r="AG1418" s="37" t="n">
        <f aca="false">IF(R1418="",0,IFERROR(MATCH(R1418,Listas!$L$2:$L$50,0),0))</f>
        <v>0</v>
      </c>
    </row>
    <row r="1419" customFormat="false" ht="15" hidden="false" customHeight="false" outlineLevel="0" collapsed="false">
      <c r="A1419" s="30"/>
      <c r="B1419" s="31"/>
      <c r="C1419" s="32"/>
      <c r="D1419" s="32"/>
      <c r="E1419" s="33"/>
      <c r="F1419" s="32"/>
      <c r="G1419" s="32"/>
      <c r="H1419" s="32"/>
      <c r="I1419" s="32"/>
      <c r="J1419" s="32"/>
      <c r="K1419" s="32"/>
      <c r="L1419" s="32"/>
      <c r="M1419" s="30"/>
      <c r="N1419" s="32"/>
      <c r="O1419" s="34"/>
      <c r="P1419" s="32"/>
      <c r="Q1419" s="32"/>
      <c r="R1419" s="32"/>
      <c r="S1419" s="32"/>
      <c r="T1419" s="32"/>
      <c r="U1419" s="32"/>
      <c r="V1419" s="31"/>
      <c r="W1419" s="35" t="str">
        <f aca="true">IF(OR(V1419="",AG1419&gt;=8),"",IF(V1419&lt;TODAY(),"Vencida",IF(V1419=TODAY(),"Hoy","")))</f>
        <v/>
      </c>
      <c r="X1419" s="36" t="str">
        <f aca="false">IF(A1419="","",IF(COUNTIF(Seguimiento!$B$2:$B$5001,A1419)=0,"",_xlfn.MAXIFS(Seguimiento!$A$2:$A$5001,Seguimiento!$B$2:$B$5001,A1419)))</f>
        <v/>
      </c>
      <c r="Y1419" s="37" t="str">
        <f aca="true">IF(B1419="","",TODAY()-B1419)</f>
        <v/>
      </c>
      <c r="Z1419" s="38" t="str">
        <f aca="false">IF(OR(O1419="",G1419=""),"",O1419*IFERROR(INDEX(Listas!$B$2:$B$50,MATCH(G1419,Listas!$A$2:$A$50,0)),0))</f>
        <v/>
      </c>
      <c r="AA1419" s="32"/>
      <c r="AB1419" s="32"/>
      <c r="AC1419" s="32"/>
      <c r="AD1419" s="35" t="str">
        <f aca="false">IF(OR(LEFT(H1419,4)="Meta",LEFT(H1419,6)="Google"),IF(AG1419=3,"Lead calificado",IF(OR(AG1419=4,AG1419=5),"Tasación/visita",IF(OR(AG1419=6,AG1419=7),"Captación/oferta",IF(AG1419=8,"Cierre","")))),"")</f>
        <v/>
      </c>
      <c r="AE1419" s="32"/>
      <c r="AF1419" s="32"/>
      <c r="AG1419" s="37" t="n">
        <f aca="false">IF(R1419="",0,IFERROR(MATCH(R1419,Listas!$L$2:$L$50,0),0))</f>
        <v>0</v>
      </c>
    </row>
    <row r="1420" customFormat="false" ht="15" hidden="false" customHeight="false" outlineLevel="0" collapsed="false">
      <c r="A1420" s="30"/>
      <c r="B1420" s="31"/>
      <c r="C1420" s="32"/>
      <c r="D1420" s="32"/>
      <c r="E1420" s="33"/>
      <c r="F1420" s="32"/>
      <c r="G1420" s="32"/>
      <c r="H1420" s="32"/>
      <c r="I1420" s="32"/>
      <c r="J1420" s="32"/>
      <c r="K1420" s="32"/>
      <c r="L1420" s="32"/>
      <c r="M1420" s="30"/>
      <c r="N1420" s="32"/>
      <c r="O1420" s="34"/>
      <c r="P1420" s="32"/>
      <c r="Q1420" s="32"/>
      <c r="R1420" s="32"/>
      <c r="S1420" s="32"/>
      <c r="T1420" s="32"/>
      <c r="U1420" s="32"/>
      <c r="V1420" s="31"/>
      <c r="W1420" s="35" t="str">
        <f aca="true">IF(OR(V1420="",AG1420&gt;=8),"",IF(V1420&lt;TODAY(),"Vencida",IF(V1420=TODAY(),"Hoy","")))</f>
        <v/>
      </c>
      <c r="X1420" s="36" t="str">
        <f aca="false">IF(A1420="","",IF(COUNTIF(Seguimiento!$B$2:$B$5001,A1420)=0,"",_xlfn.MAXIFS(Seguimiento!$A$2:$A$5001,Seguimiento!$B$2:$B$5001,A1420)))</f>
        <v/>
      </c>
      <c r="Y1420" s="37" t="str">
        <f aca="true">IF(B1420="","",TODAY()-B1420)</f>
        <v/>
      </c>
      <c r="Z1420" s="38" t="str">
        <f aca="false">IF(OR(O1420="",G1420=""),"",O1420*IFERROR(INDEX(Listas!$B$2:$B$50,MATCH(G1420,Listas!$A$2:$A$50,0)),0))</f>
        <v/>
      </c>
      <c r="AA1420" s="32"/>
      <c r="AB1420" s="32"/>
      <c r="AC1420" s="32"/>
      <c r="AD1420" s="35" t="str">
        <f aca="false">IF(OR(LEFT(H1420,4)="Meta",LEFT(H1420,6)="Google"),IF(AG1420=3,"Lead calificado",IF(OR(AG1420=4,AG1420=5),"Tasación/visita",IF(OR(AG1420=6,AG1420=7),"Captación/oferta",IF(AG1420=8,"Cierre","")))),"")</f>
        <v/>
      </c>
      <c r="AE1420" s="32"/>
      <c r="AF1420" s="32"/>
      <c r="AG1420" s="37" t="n">
        <f aca="false">IF(R1420="",0,IFERROR(MATCH(R1420,Listas!$L$2:$L$50,0),0))</f>
        <v>0</v>
      </c>
    </row>
    <row r="1421" customFormat="false" ht="15" hidden="false" customHeight="false" outlineLevel="0" collapsed="false">
      <c r="A1421" s="30"/>
      <c r="B1421" s="31"/>
      <c r="C1421" s="32"/>
      <c r="D1421" s="32"/>
      <c r="E1421" s="33"/>
      <c r="F1421" s="32"/>
      <c r="G1421" s="32"/>
      <c r="H1421" s="32"/>
      <c r="I1421" s="32"/>
      <c r="J1421" s="32"/>
      <c r="K1421" s="32"/>
      <c r="L1421" s="32"/>
      <c r="M1421" s="30"/>
      <c r="N1421" s="32"/>
      <c r="O1421" s="34"/>
      <c r="P1421" s="32"/>
      <c r="Q1421" s="32"/>
      <c r="R1421" s="32"/>
      <c r="S1421" s="32"/>
      <c r="T1421" s="32"/>
      <c r="U1421" s="32"/>
      <c r="V1421" s="31"/>
      <c r="W1421" s="35" t="str">
        <f aca="true">IF(OR(V1421="",AG1421&gt;=8),"",IF(V1421&lt;TODAY(),"Vencida",IF(V1421=TODAY(),"Hoy","")))</f>
        <v/>
      </c>
      <c r="X1421" s="36" t="str">
        <f aca="false">IF(A1421="","",IF(COUNTIF(Seguimiento!$B$2:$B$5001,A1421)=0,"",_xlfn.MAXIFS(Seguimiento!$A$2:$A$5001,Seguimiento!$B$2:$B$5001,A1421)))</f>
        <v/>
      </c>
      <c r="Y1421" s="37" t="str">
        <f aca="true">IF(B1421="","",TODAY()-B1421)</f>
        <v/>
      </c>
      <c r="Z1421" s="38" t="str">
        <f aca="false">IF(OR(O1421="",G1421=""),"",O1421*IFERROR(INDEX(Listas!$B$2:$B$50,MATCH(G1421,Listas!$A$2:$A$50,0)),0))</f>
        <v/>
      </c>
      <c r="AA1421" s="32"/>
      <c r="AB1421" s="32"/>
      <c r="AC1421" s="32"/>
      <c r="AD1421" s="35" t="str">
        <f aca="false">IF(OR(LEFT(H1421,4)="Meta",LEFT(H1421,6)="Google"),IF(AG1421=3,"Lead calificado",IF(OR(AG1421=4,AG1421=5),"Tasación/visita",IF(OR(AG1421=6,AG1421=7),"Captación/oferta",IF(AG1421=8,"Cierre","")))),"")</f>
        <v/>
      </c>
      <c r="AE1421" s="32"/>
      <c r="AF1421" s="32"/>
      <c r="AG1421" s="37" t="n">
        <f aca="false">IF(R1421="",0,IFERROR(MATCH(R1421,Listas!$L$2:$L$50,0),0))</f>
        <v>0</v>
      </c>
    </row>
    <row r="1422" customFormat="false" ht="15" hidden="false" customHeight="false" outlineLevel="0" collapsed="false">
      <c r="A1422" s="30"/>
      <c r="B1422" s="31"/>
      <c r="C1422" s="32"/>
      <c r="D1422" s="32"/>
      <c r="E1422" s="33"/>
      <c r="F1422" s="32"/>
      <c r="G1422" s="32"/>
      <c r="H1422" s="32"/>
      <c r="I1422" s="32"/>
      <c r="J1422" s="32"/>
      <c r="K1422" s="32"/>
      <c r="L1422" s="32"/>
      <c r="M1422" s="30"/>
      <c r="N1422" s="32"/>
      <c r="O1422" s="34"/>
      <c r="P1422" s="32"/>
      <c r="Q1422" s="32"/>
      <c r="R1422" s="32"/>
      <c r="S1422" s="32"/>
      <c r="T1422" s="32"/>
      <c r="U1422" s="32"/>
      <c r="V1422" s="31"/>
      <c r="W1422" s="35" t="str">
        <f aca="true">IF(OR(V1422="",AG1422&gt;=8),"",IF(V1422&lt;TODAY(),"Vencida",IF(V1422=TODAY(),"Hoy","")))</f>
        <v/>
      </c>
      <c r="X1422" s="36" t="str">
        <f aca="false">IF(A1422="","",IF(COUNTIF(Seguimiento!$B$2:$B$5001,A1422)=0,"",_xlfn.MAXIFS(Seguimiento!$A$2:$A$5001,Seguimiento!$B$2:$B$5001,A1422)))</f>
        <v/>
      </c>
      <c r="Y1422" s="37" t="str">
        <f aca="true">IF(B1422="","",TODAY()-B1422)</f>
        <v/>
      </c>
      <c r="Z1422" s="38" t="str">
        <f aca="false">IF(OR(O1422="",G1422=""),"",O1422*IFERROR(INDEX(Listas!$B$2:$B$50,MATCH(G1422,Listas!$A$2:$A$50,0)),0))</f>
        <v/>
      </c>
      <c r="AA1422" s="32"/>
      <c r="AB1422" s="32"/>
      <c r="AC1422" s="32"/>
      <c r="AD1422" s="35" t="str">
        <f aca="false">IF(OR(LEFT(H1422,4)="Meta",LEFT(H1422,6)="Google"),IF(AG1422=3,"Lead calificado",IF(OR(AG1422=4,AG1422=5),"Tasación/visita",IF(OR(AG1422=6,AG1422=7),"Captación/oferta",IF(AG1422=8,"Cierre","")))),"")</f>
        <v/>
      </c>
      <c r="AE1422" s="32"/>
      <c r="AF1422" s="32"/>
      <c r="AG1422" s="37" t="n">
        <f aca="false">IF(R1422="",0,IFERROR(MATCH(R1422,Listas!$L$2:$L$50,0),0))</f>
        <v>0</v>
      </c>
    </row>
    <row r="1423" customFormat="false" ht="15" hidden="false" customHeight="false" outlineLevel="0" collapsed="false">
      <c r="A1423" s="30"/>
      <c r="B1423" s="31"/>
      <c r="C1423" s="32"/>
      <c r="D1423" s="32"/>
      <c r="E1423" s="33"/>
      <c r="F1423" s="32"/>
      <c r="G1423" s="32"/>
      <c r="H1423" s="32"/>
      <c r="I1423" s="32"/>
      <c r="J1423" s="32"/>
      <c r="K1423" s="32"/>
      <c r="L1423" s="32"/>
      <c r="M1423" s="30"/>
      <c r="N1423" s="32"/>
      <c r="O1423" s="34"/>
      <c r="P1423" s="32"/>
      <c r="Q1423" s="32"/>
      <c r="R1423" s="32"/>
      <c r="S1423" s="32"/>
      <c r="T1423" s="32"/>
      <c r="U1423" s="32"/>
      <c r="V1423" s="31"/>
      <c r="W1423" s="35" t="str">
        <f aca="true">IF(OR(V1423="",AG1423&gt;=8),"",IF(V1423&lt;TODAY(),"Vencida",IF(V1423=TODAY(),"Hoy","")))</f>
        <v/>
      </c>
      <c r="X1423" s="36" t="str">
        <f aca="false">IF(A1423="","",IF(COUNTIF(Seguimiento!$B$2:$B$5001,A1423)=0,"",_xlfn.MAXIFS(Seguimiento!$A$2:$A$5001,Seguimiento!$B$2:$B$5001,A1423)))</f>
        <v/>
      </c>
      <c r="Y1423" s="37" t="str">
        <f aca="true">IF(B1423="","",TODAY()-B1423)</f>
        <v/>
      </c>
      <c r="Z1423" s="38" t="str">
        <f aca="false">IF(OR(O1423="",G1423=""),"",O1423*IFERROR(INDEX(Listas!$B$2:$B$50,MATCH(G1423,Listas!$A$2:$A$50,0)),0))</f>
        <v/>
      </c>
      <c r="AA1423" s="32"/>
      <c r="AB1423" s="32"/>
      <c r="AC1423" s="32"/>
      <c r="AD1423" s="35" t="str">
        <f aca="false">IF(OR(LEFT(H1423,4)="Meta",LEFT(H1423,6)="Google"),IF(AG1423=3,"Lead calificado",IF(OR(AG1423=4,AG1423=5),"Tasación/visita",IF(OR(AG1423=6,AG1423=7),"Captación/oferta",IF(AG1423=8,"Cierre","")))),"")</f>
        <v/>
      </c>
      <c r="AE1423" s="32"/>
      <c r="AF1423" s="32"/>
      <c r="AG1423" s="37" t="n">
        <f aca="false">IF(R1423="",0,IFERROR(MATCH(R1423,Listas!$L$2:$L$50,0),0))</f>
        <v>0</v>
      </c>
    </row>
    <row r="1424" customFormat="false" ht="15" hidden="false" customHeight="false" outlineLevel="0" collapsed="false">
      <c r="A1424" s="30"/>
      <c r="B1424" s="31"/>
      <c r="C1424" s="32"/>
      <c r="D1424" s="32"/>
      <c r="E1424" s="33"/>
      <c r="F1424" s="32"/>
      <c r="G1424" s="32"/>
      <c r="H1424" s="32"/>
      <c r="I1424" s="32"/>
      <c r="J1424" s="32"/>
      <c r="K1424" s="32"/>
      <c r="L1424" s="32"/>
      <c r="M1424" s="30"/>
      <c r="N1424" s="32"/>
      <c r="O1424" s="34"/>
      <c r="P1424" s="32"/>
      <c r="Q1424" s="32"/>
      <c r="R1424" s="32"/>
      <c r="S1424" s="32"/>
      <c r="T1424" s="32"/>
      <c r="U1424" s="32"/>
      <c r="V1424" s="31"/>
      <c r="W1424" s="35" t="str">
        <f aca="true">IF(OR(V1424="",AG1424&gt;=8),"",IF(V1424&lt;TODAY(),"Vencida",IF(V1424=TODAY(),"Hoy","")))</f>
        <v/>
      </c>
      <c r="X1424" s="36" t="str">
        <f aca="false">IF(A1424="","",IF(COUNTIF(Seguimiento!$B$2:$B$5001,A1424)=0,"",_xlfn.MAXIFS(Seguimiento!$A$2:$A$5001,Seguimiento!$B$2:$B$5001,A1424)))</f>
        <v/>
      </c>
      <c r="Y1424" s="37" t="str">
        <f aca="true">IF(B1424="","",TODAY()-B1424)</f>
        <v/>
      </c>
      <c r="Z1424" s="38" t="str">
        <f aca="false">IF(OR(O1424="",G1424=""),"",O1424*IFERROR(INDEX(Listas!$B$2:$B$50,MATCH(G1424,Listas!$A$2:$A$50,0)),0))</f>
        <v/>
      </c>
      <c r="AA1424" s="32"/>
      <c r="AB1424" s="32"/>
      <c r="AC1424" s="32"/>
      <c r="AD1424" s="35" t="str">
        <f aca="false">IF(OR(LEFT(H1424,4)="Meta",LEFT(H1424,6)="Google"),IF(AG1424=3,"Lead calificado",IF(OR(AG1424=4,AG1424=5),"Tasación/visita",IF(OR(AG1424=6,AG1424=7),"Captación/oferta",IF(AG1424=8,"Cierre","")))),"")</f>
        <v/>
      </c>
      <c r="AE1424" s="32"/>
      <c r="AF1424" s="32"/>
      <c r="AG1424" s="37" t="n">
        <f aca="false">IF(R1424="",0,IFERROR(MATCH(R1424,Listas!$L$2:$L$50,0),0))</f>
        <v>0</v>
      </c>
    </row>
    <row r="1425" customFormat="false" ht="15" hidden="false" customHeight="false" outlineLevel="0" collapsed="false">
      <c r="A1425" s="30"/>
      <c r="B1425" s="31"/>
      <c r="C1425" s="32"/>
      <c r="D1425" s="32"/>
      <c r="E1425" s="33"/>
      <c r="F1425" s="32"/>
      <c r="G1425" s="32"/>
      <c r="H1425" s="32"/>
      <c r="I1425" s="32"/>
      <c r="J1425" s="32"/>
      <c r="K1425" s="32"/>
      <c r="L1425" s="32"/>
      <c r="M1425" s="30"/>
      <c r="N1425" s="32"/>
      <c r="O1425" s="34"/>
      <c r="P1425" s="32"/>
      <c r="Q1425" s="32"/>
      <c r="R1425" s="32"/>
      <c r="S1425" s="32"/>
      <c r="T1425" s="32"/>
      <c r="U1425" s="32"/>
      <c r="V1425" s="31"/>
      <c r="W1425" s="35" t="str">
        <f aca="true">IF(OR(V1425="",AG1425&gt;=8),"",IF(V1425&lt;TODAY(),"Vencida",IF(V1425=TODAY(),"Hoy","")))</f>
        <v/>
      </c>
      <c r="X1425" s="36" t="str">
        <f aca="false">IF(A1425="","",IF(COUNTIF(Seguimiento!$B$2:$B$5001,A1425)=0,"",_xlfn.MAXIFS(Seguimiento!$A$2:$A$5001,Seguimiento!$B$2:$B$5001,A1425)))</f>
        <v/>
      </c>
      <c r="Y1425" s="37" t="str">
        <f aca="true">IF(B1425="","",TODAY()-B1425)</f>
        <v/>
      </c>
      <c r="Z1425" s="38" t="str">
        <f aca="false">IF(OR(O1425="",G1425=""),"",O1425*IFERROR(INDEX(Listas!$B$2:$B$50,MATCH(G1425,Listas!$A$2:$A$50,0)),0))</f>
        <v/>
      </c>
      <c r="AA1425" s="32"/>
      <c r="AB1425" s="32"/>
      <c r="AC1425" s="32"/>
      <c r="AD1425" s="35" t="str">
        <f aca="false">IF(OR(LEFT(H1425,4)="Meta",LEFT(H1425,6)="Google"),IF(AG1425=3,"Lead calificado",IF(OR(AG1425=4,AG1425=5),"Tasación/visita",IF(OR(AG1425=6,AG1425=7),"Captación/oferta",IF(AG1425=8,"Cierre","")))),"")</f>
        <v/>
      </c>
      <c r="AE1425" s="32"/>
      <c r="AF1425" s="32"/>
      <c r="AG1425" s="37" t="n">
        <f aca="false">IF(R1425="",0,IFERROR(MATCH(R1425,Listas!$L$2:$L$50,0),0))</f>
        <v>0</v>
      </c>
    </row>
    <row r="1426" customFormat="false" ht="15" hidden="false" customHeight="false" outlineLevel="0" collapsed="false">
      <c r="A1426" s="30"/>
      <c r="B1426" s="31"/>
      <c r="C1426" s="32"/>
      <c r="D1426" s="32"/>
      <c r="E1426" s="33"/>
      <c r="F1426" s="32"/>
      <c r="G1426" s="32"/>
      <c r="H1426" s="32"/>
      <c r="I1426" s="32"/>
      <c r="J1426" s="32"/>
      <c r="K1426" s="32"/>
      <c r="L1426" s="32"/>
      <c r="M1426" s="30"/>
      <c r="N1426" s="32"/>
      <c r="O1426" s="34"/>
      <c r="P1426" s="32"/>
      <c r="Q1426" s="32"/>
      <c r="R1426" s="32"/>
      <c r="S1426" s="32"/>
      <c r="T1426" s="32"/>
      <c r="U1426" s="32"/>
      <c r="V1426" s="31"/>
      <c r="W1426" s="35" t="str">
        <f aca="true">IF(OR(V1426="",AG1426&gt;=8),"",IF(V1426&lt;TODAY(),"Vencida",IF(V1426=TODAY(),"Hoy","")))</f>
        <v/>
      </c>
      <c r="X1426" s="36" t="str">
        <f aca="false">IF(A1426="","",IF(COUNTIF(Seguimiento!$B$2:$B$5001,A1426)=0,"",_xlfn.MAXIFS(Seguimiento!$A$2:$A$5001,Seguimiento!$B$2:$B$5001,A1426)))</f>
        <v/>
      </c>
      <c r="Y1426" s="37" t="str">
        <f aca="true">IF(B1426="","",TODAY()-B1426)</f>
        <v/>
      </c>
      <c r="Z1426" s="38" t="str">
        <f aca="false">IF(OR(O1426="",G1426=""),"",O1426*IFERROR(INDEX(Listas!$B$2:$B$50,MATCH(G1426,Listas!$A$2:$A$50,0)),0))</f>
        <v/>
      </c>
      <c r="AA1426" s="32"/>
      <c r="AB1426" s="32"/>
      <c r="AC1426" s="32"/>
      <c r="AD1426" s="35" t="str">
        <f aca="false">IF(OR(LEFT(H1426,4)="Meta",LEFT(H1426,6)="Google"),IF(AG1426=3,"Lead calificado",IF(OR(AG1426=4,AG1426=5),"Tasación/visita",IF(OR(AG1426=6,AG1426=7),"Captación/oferta",IF(AG1426=8,"Cierre","")))),"")</f>
        <v/>
      </c>
      <c r="AE1426" s="32"/>
      <c r="AF1426" s="32"/>
      <c r="AG1426" s="37" t="n">
        <f aca="false">IF(R1426="",0,IFERROR(MATCH(R1426,Listas!$L$2:$L$50,0),0))</f>
        <v>0</v>
      </c>
    </row>
    <row r="1427" customFormat="false" ht="15" hidden="false" customHeight="false" outlineLevel="0" collapsed="false">
      <c r="A1427" s="30"/>
      <c r="B1427" s="31"/>
      <c r="C1427" s="32"/>
      <c r="D1427" s="32"/>
      <c r="E1427" s="33"/>
      <c r="F1427" s="32"/>
      <c r="G1427" s="32"/>
      <c r="H1427" s="32"/>
      <c r="I1427" s="32"/>
      <c r="J1427" s="32"/>
      <c r="K1427" s="32"/>
      <c r="L1427" s="32"/>
      <c r="M1427" s="30"/>
      <c r="N1427" s="32"/>
      <c r="O1427" s="34"/>
      <c r="P1427" s="32"/>
      <c r="Q1427" s="32"/>
      <c r="R1427" s="32"/>
      <c r="S1427" s="32"/>
      <c r="T1427" s="32"/>
      <c r="U1427" s="32"/>
      <c r="V1427" s="31"/>
      <c r="W1427" s="35" t="str">
        <f aca="true">IF(OR(V1427="",AG1427&gt;=8),"",IF(V1427&lt;TODAY(),"Vencida",IF(V1427=TODAY(),"Hoy","")))</f>
        <v/>
      </c>
      <c r="X1427" s="36" t="str">
        <f aca="false">IF(A1427="","",IF(COUNTIF(Seguimiento!$B$2:$B$5001,A1427)=0,"",_xlfn.MAXIFS(Seguimiento!$A$2:$A$5001,Seguimiento!$B$2:$B$5001,A1427)))</f>
        <v/>
      </c>
      <c r="Y1427" s="37" t="str">
        <f aca="true">IF(B1427="","",TODAY()-B1427)</f>
        <v/>
      </c>
      <c r="Z1427" s="38" t="str">
        <f aca="false">IF(OR(O1427="",G1427=""),"",O1427*IFERROR(INDEX(Listas!$B$2:$B$50,MATCH(G1427,Listas!$A$2:$A$50,0)),0))</f>
        <v/>
      </c>
      <c r="AA1427" s="32"/>
      <c r="AB1427" s="32"/>
      <c r="AC1427" s="32"/>
      <c r="AD1427" s="35" t="str">
        <f aca="false">IF(OR(LEFT(H1427,4)="Meta",LEFT(H1427,6)="Google"),IF(AG1427=3,"Lead calificado",IF(OR(AG1427=4,AG1427=5),"Tasación/visita",IF(OR(AG1427=6,AG1427=7),"Captación/oferta",IF(AG1427=8,"Cierre","")))),"")</f>
        <v/>
      </c>
      <c r="AE1427" s="32"/>
      <c r="AF1427" s="32"/>
      <c r="AG1427" s="37" t="n">
        <f aca="false">IF(R1427="",0,IFERROR(MATCH(R1427,Listas!$L$2:$L$50,0),0))</f>
        <v>0</v>
      </c>
    </row>
    <row r="1428" customFormat="false" ht="15" hidden="false" customHeight="false" outlineLevel="0" collapsed="false">
      <c r="A1428" s="30"/>
      <c r="B1428" s="31"/>
      <c r="C1428" s="32"/>
      <c r="D1428" s="32"/>
      <c r="E1428" s="33"/>
      <c r="F1428" s="32"/>
      <c r="G1428" s="32"/>
      <c r="H1428" s="32"/>
      <c r="I1428" s="32"/>
      <c r="J1428" s="32"/>
      <c r="K1428" s="32"/>
      <c r="L1428" s="32"/>
      <c r="M1428" s="30"/>
      <c r="N1428" s="32"/>
      <c r="O1428" s="34"/>
      <c r="P1428" s="32"/>
      <c r="Q1428" s="32"/>
      <c r="R1428" s="32"/>
      <c r="S1428" s="32"/>
      <c r="T1428" s="32"/>
      <c r="U1428" s="32"/>
      <c r="V1428" s="31"/>
      <c r="W1428" s="35" t="str">
        <f aca="true">IF(OR(V1428="",AG1428&gt;=8),"",IF(V1428&lt;TODAY(),"Vencida",IF(V1428=TODAY(),"Hoy","")))</f>
        <v/>
      </c>
      <c r="X1428" s="36" t="str">
        <f aca="false">IF(A1428="","",IF(COUNTIF(Seguimiento!$B$2:$B$5001,A1428)=0,"",_xlfn.MAXIFS(Seguimiento!$A$2:$A$5001,Seguimiento!$B$2:$B$5001,A1428)))</f>
        <v/>
      </c>
      <c r="Y1428" s="37" t="str">
        <f aca="true">IF(B1428="","",TODAY()-B1428)</f>
        <v/>
      </c>
      <c r="Z1428" s="38" t="str">
        <f aca="false">IF(OR(O1428="",G1428=""),"",O1428*IFERROR(INDEX(Listas!$B$2:$B$50,MATCH(G1428,Listas!$A$2:$A$50,0)),0))</f>
        <v/>
      </c>
      <c r="AA1428" s="32"/>
      <c r="AB1428" s="32"/>
      <c r="AC1428" s="32"/>
      <c r="AD1428" s="35" t="str">
        <f aca="false">IF(OR(LEFT(H1428,4)="Meta",LEFT(H1428,6)="Google"),IF(AG1428=3,"Lead calificado",IF(OR(AG1428=4,AG1428=5),"Tasación/visita",IF(OR(AG1428=6,AG1428=7),"Captación/oferta",IF(AG1428=8,"Cierre","")))),"")</f>
        <v/>
      </c>
      <c r="AE1428" s="32"/>
      <c r="AF1428" s="32"/>
      <c r="AG1428" s="37" t="n">
        <f aca="false">IF(R1428="",0,IFERROR(MATCH(R1428,Listas!$L$2:$L$50,0),0))</f>
        <v>0</v>
      </c>
    </row>
    <row r="1429" customFormat="false" ht="15" hidden="false" customHeight="false" outlineLevel="0" collapsed="false">
      <c r="A1429" s="30"/>
      <c r="B1429" s="31"/>
      <c r="C1429" s="32"/>
      <c r="D1429" s="32"/>
      <c r="E1429" s="33"/>
      <c r="F1429" s="32"/>
      <c r="G1429" s="32"/>
      <c r="H1429" s="32"/>
      <c r="I1429" s="32"/>
      <c r="J1429" s="32"/>
      <c r="K1429" s="32"/>
      <c r="L1429" s="32"/>
      <c r="M1429" s="30"/>
      <c r="N1429" s="32"/>
      <c r="O1429" s="34"/>
      <c r="P1429" s="32"/>
      <c r="Q1429" s="32"/>
      <c r="R1429" s="32"/>
      <c r="S1429" s="32"/>
      <c r="T1429" s="32"/>
      <c r="U1429" s="32"/>
      <c r="V1429" s="31"/>
      <c r="W1429" s="35" t="str">
        <f aca="true">IF(OR(V1429="",AG1429&gt;=8),"",IF(V1429&lt;TODAY(),"Vencida",IF(V1429=TODAY(),"Hoy","")))</f>
        <v/>
      </c>
      <c r="X1429" s="36" t="str">
        <f aca="false">IF(A1429="","",IF(COUNTIF(Seguimiento!$B$2:$B$5001,A1429)=0,"",_xlfn.MAXIFS(Seguimiento!$A$2:$A$5001,Seguimiento!$B$2:$B$5001,A1429)))</f>
        <v/>
      </c>
      <c r="Y1429" s="37" t="str">
        <f aca="true">IF(B1429="","",TODAY()-B1429)</f>
        <v/>
      </c>
      <c r="Z1429" s="38" t="str">
        <f aca="false">IF(OR(O1429="",G1429=""),"",O1429*IFERROR(INDEX(Listas!$B$2:$B$50,MATCH(G1429,Listas!$A$2:$A$50,0)),0))</f>
        <v/>
      </c>
      <c r="AA1429" s="32"/>
      <c r="AB1429" s="32"/>
      <c r="AC1429" s="32"/>
      <c r="AD1429" s="35" t="str">
        <f aca="false">IF(OR(LEFT(H1429,4)="Meta",LEFT(H1429,6)="Google"),IF(AG1429=3,"Lead calificado",IF(OR(AG1429=4,AG1429=5),"Tasación/visita",IF(OR(AG1429=6,AG1429=7),"Captación/oferta",IF(AG1429=8,"Cierre","")))),"")</f>
        <v/>
      </c>
      <c r="AE1429" s="32"/>
      <c r="AF1429" s="32"/>
      <c r="AG1429" s="37" t="n">
        <f aca="false">IF(R1429="",0,IFERROR(MATCH(R1429,Listas!$L$2:$L$50,0),0))</f>
        <v>0</v>
      </c>
    </row>
    <row r="1430" customFormat="false" ht="15" hidden="false" customHeight="false" outlineLevel="0" collapsed="false">
      <c r="A1430" s="30"/>
      <c r="B1430" s="31"/>
      <c r="C1430" s="32"/>
      <c r="D1430" s="32"/>
      <c r="E1430" s="33"/>
      <c r="F1430" s="32"/>
      <c r="G1430" s="32"/>
      <c r="H1430" s="32"/>
      <c r="I1430" s="32"/>
      <c r="J1430" s="32"/>
      <c r="K1430" s="32"/>
      <c r="L1430" s="32"/>
      <c r="M1430" s="30"/>
      <c r="N1430" s="32"/>
      <c r="O1430" s="34"/>
      <c r="P1430" s="32"/>
      <c r="Q1430" s="32"/>
      <c r="R1430" s="32"/>
      <c r="S1430" s="32"/>
      <c r="T1430" s="32"/>
      <c r="U1430" s="32"/>
      <c r="V1430" s="31"/>
      <c r="W1430" s="35" t="str">
        <f aca="true">IF(OR(V1430="",AG1430&gt;=8),"",IF(V1430&lt;TODAY(),"Vencida",IF(V1430=TODAY(),"Hoy","")))</f>
        <v/>
      </c>
      <c r="X1430" s="36" t="str">
        <f aca="false">IF(A1430="","",IF(COUNTIF(Seguimiento!$B$2:$B$5001,A1430)=0,"",_xlfn.MAXIFS(Seguimiento!$A$2:$A$5001,Seguimiento!$B$2:$B$5001,A1430)))</f>
        <v/>
      </c>
      <c r="Y1430" s="37" t="str">
        <f aca="true">IF(B1430="","",TODAY()-B1430)</f>
        <v/>
      </c>
      <c r="Z1430" s="38" t="str">
        <f aca="false">IF(OR(O1430="",G1430=""),"",O1430*IFERROR(INDEX(Listas!$B$2:$B$50,MATCH(G1430,Listas!$A$2:$A$50,0)),0))</f>
        <v/>
      </c>
      <c r="AA1430" s="32"/>
      <c r="AB1430" s="32"/>
      <c r="AC1430" s="32"/>
      <c r="AD1430" s="35" t="str">
        <f aca="false">IF(OR(LEFT(H1430,4)="Meta",LEFT(H1430,6)="Google"),IF(AG1430=3,"Lead calificado",IF(OR(AG1430=4,AG1430=5),"Tasación/visita",IF(OR(AG1430=6,AG1430=7),"Captación/oferta",IF(AG1430=8,"Cierre","")))),"")</f>
        <v/>
      </c>
      <c r="AE1430" s="32"/>
      <c r="AF1430" s="32"/>
      <c r="AG1430" s="37" t="n">
        <f aca="false">IF(R1430="",0,IFERROR(MATCH(R1430,Listas!$L$2:$L$50,0),0))</f>
        <v>0</v>
      </c>
    </row>
    <row r="1431" customFormat="false" ht="15" hidden="false" customHeight="false" outlineLevel="0" collapsed="false">
      <c r="A1431" s="30"/>
      <c r="B1431" s="31"/>
      <c r="C1431" s="32"/>
      <c r="D1431" s="32"/>
      <c r="E1431" s="33"/>
      <c r="F1431" s="32"/>
      <c r="G1431" s="32"/>
      <c r="H1431" s="32"/>
      <c r="I1431" s="32"/>
      <c r="J1431" s="32"/>
      <c r="K1431" s="32"/>
      <c r="L1431" s="32"/>
      <c r="M1431" s="30"/>
      <c r="N1431" s="32"/>
      <c r="O1431" s="34"/>
      <c r="P1431" s="32"/>
      <c r="Q1431" s="32"/>
      <c r="R1431" s="32"/>
      <c r="S1431" s="32"/>
      <c r="T1431" s="32"/>
      <c r="U1431" s="32"/>
      <c r="V1431" s="31"/>
      <c r="W1431" s="35" t="str">
        <f aca="true">IF(OR(V1431="",AG1431&gt;=8),"",IF(V1431&lt;TODAY(),"Vencida",IF(V1431=TODAY(),"Hoy","")))</f>
        <v/>
      </c>
      <c r="X1431" s="36" t="str">
        <f aca="false">IF(A1431="","",IF(COUNTIF(Seguimiento!$B$2:$B$5001,A1431)=0,"",_xlfn.MAXIFS(Seguimiento!$A$2:$A$5001,Seguimiento!$B$2:$B$5001,A1431)))</f>
        <v/>
      </c>
      <c r="Y1431" s="37" t="str">
        <f aca="true">IF(B1431="","",TODAY()-B1431)</f>
        <v/>
      </c>
      <c r="Z1431" s="38" t="str">
        <f aca="false">IF(OR(O1431="",G1431=""),"",O1431*IFERROR(INDEX(Listas!$B$2:$B$50,MATCH(G1431,Listas!$A$2:$A$50,0)),0))</f>
        <v/>
      </c>
      <c r="AA1431" s="32"/>
      <c r="AB1431" s="32"/>
      <c r="AC1431" s="32"/>
      <c r="AD1431" s="35" t="str">
        <f aca="false">IF(OR(LEFT(H1431,4)="Meta",LEFT(H1431,6)="Google"),IF(AG1431=3,"Lead calificado",IF(OR(AG1431=4,AG1431=5),"Tasación/visita",IF(OR(AG1431=6,AG1431=7),"Captación/oferta",IF(AG1431=8,"Cierre","")))),"")</f>
        <v/>
      </c>
      <c r="AE1431" s="32"/>
      <c r="AF1431" s="32"/>
      <c r="AG1431" s="37" t="n">
        <f aca="false">IF(R1431="",0,IFERROR(MATCH(R1431,Listas!$L$2:$L$50,0),0))</f>
        <v>0</v>
      </c>
    </row>
    <row r="1432" customFormat="false" ht="15" hidden="false" customHeight="false" outlineLevel="0" collapsed="false">
      <c r="A1432" s="30"/>
      <c r="B1432" s="31"/>
      <c r="C1432" s="32"/>
      <c r="D1432" s="32"/>
      <c r="E1432" s="33"/>
      <c r="F1432" s="32"/>
      <c r="G1432" s="32"/>
      <c r="H1432" s="32"/>
      <c r="I1432" s="32"/>
      <c r="J1432" s="32"/>
      <c r="K1432" s="32"/>
      <c r="L1432" s="32"/>
      <c r="M1432" s="30"/>
      <c r="N1432" s="32"/>
      <c r="O1432" s="34"/>
      <c r="P1432" s="32"/>
      <c r="Q1432" s="32"/>
      <c r="R1432" s="32"/>
      <c r="S1432" s="32"/>
      <c r="T1432" s="32"/>
      <c r="U1432" s="32"/>
      <c r="V1432" s="31"/>
      <c r="W1432" s="35" t="str">
        <f aca="true">IF(OR(V1432="",AG1432&gt;=8),"",IF(V1432&lt;TODAY(),"Vencida",IF(V1432=TODAY(),"Hoy","")))</f>
        <v/>
      </c>
      <c r="X1432" s="36" t="str">
        <f aca="false">IF(A1432="","",IF(COUNTIF(Seguimiento!$B$2:$B$5001,A1432)=0,"",_xlfn.MAXIFS(Seguimiento!$A$2:$A$5001,Seguimiento!$B$2:$B$5001,A1432)))</f>
        <v/>
      </c>
      <c r="Y1432" s="37" t="str">
        <f aca="true">IF(B1432="","",TODAY()-B1432)</f>
        <v/>
      </c>
      <c r="Z1432" s="38" t="str">
        <f aca="false">IF(OR(O1432="",G1432=""),"",O1432*IFERROR(INDEX(Listas!$B$2:$B$50,MATCH(G1432,Listas!$A$2:$A$50,0)),0))</f>
        <v/>
      </c>
      <c r="AA1432" s="32"/>
      <c r="AB1432" s="32"/>
      <c r="AC1432" s="32"/>
      <c r="AD1432" s="35" t="str">
        <f aca="false">IF(OR(LEFT(H1432,4)="Meta",LEFT(H1432,6)="Google"),IF(AG1432=3,"Lead calificado",IF(OR(AG1432=4,AG1432=5),"Tasación/visita",IF(OR(AG1432=6,AG1432=7),"Captación/oferta",IF(AG1432=8,"Cierre","")))),"")</f>
        <v/>
      </c>
      <c r="AE1432" s="32"/>
      <c r="AF1432" s="32"/>
      <c r="AG1432" s="37" t="n">
        <f aca="false">IF(R1432="",0,IFERROR(MATCH(R1432,Listas!$L$2:$L$50,0),0))</f>
        <v>0</v>
      </c>
    </row>
    <row r="1433" customFormat="false" ht="15" hidden="false" customHeight="false" outlineLevel="0" collapsed="false">
      <c r="A1433" s="30"/>
      <c r="B1433" s="31"/>
      <c r="C1433" s="32"/>
      <c r="D1433" s="32"/>
      <c r="E1433" s="33"/>
      <c r="F1433" s="32"/>
      <c r="G1433" s="32"/>
      <c r="H1433" s="32"/>
      <c r="I1433" s="32"/>
      <c r="J1433" s="32"/>
      <c r="K1433" s="32"/>
      <c r="L1433" s="32"/>
      <c r="M1433" s="30"/>
      <c r="N1433" s="32"/>
      <c r="O1433" s="34"/>
      <c r="P1433" s="32"/>
      <c r="Q1433" s="32"/>
      <c r="R1433" s="32"/>
      <c r="S1433" s="32"/>
      <c r="T1433" s="32"/>
      <c r="U1433" s="32"/>
      <c r="V1433" s="31"/>
      <c r="W1433" s="35" t="str">
        <f aca="true">IF(OR(V1433="",AG1433&gt;=8),"",IF(V1433&lt;TODAY(),"Vencida",IF(V1433=TODAY(),"Hoy","")))</f>
        <v/>
      </c>
      <c r="X1433" s="36" t="str">
        <f aca="false">IF(A1433="","",IF(COUNTIF(Seguimiento!$B$2:$B$5001,A1433)=0,"",_xlfn.MAXIFS(Seguimiento!$A$2:$A$5001,Seguimiento!$B$2:$B$5001,A1433)))</f>
        <v/>
      </c>
      <c r="Y1433" s="37" t="str">
        <f aca="true">IF(B1433="","",TODAY()-B1433)</f>
        <v/>
      </c>
      <c r="Z1433" s="38" t="str">
        <f aca="false">IF(OR(O1433="",G1433=""),"",O1433*IFERROR(INDEX(Listas!$B$2:$B$50,MATCH(G1433,Listas!$A$2:$A$50,0)),0))</f>
        <v/>
      </c>
      <c r="AA1433" s="32"/>
      <c r="AB1433" s="32"/>
      <c r="AC1433" s="32"/>
      <c r="AD1433" s="35" t="str">
        <f aca="false">IF(OR(LEFT(H1433,4)="Meta",LEFT(H1433,6)="Google"),IF(AG1433=3,"Lead calificado",IF(OR(AG1433=4,AG1433=5),"Tasación/visita",IF(OR(AG1433=6,AG1433=7),"Captación/oferta",IF(AG1433=8,"Cierre","")))),"")</f>
        <v/>
      </c>
      <c r="AE1433" s="32"/>
      <c r="AF1433" s="32"/>
      <c r="AG1433" s="37" t="n">
        <f aca="false">IF(R1433="",0,IFERROR(MATCH(R1433,Listas!$L$2:$L$50,0),0))</f>
        <v>0</v>
      </c>
    </row>
    <row r="1434" customFormat="false" ht="15" hidden="false" customHeight="false" outlineLevel="0" collapsed="false">
      <c r="A1434" s="30"/>
      <c r="B1434" s="31"/>
      <c r="C1434" s="32"/>
      <c r="D1434" s="32"/>
      <c r="E1434" s="33"/>
      <c r="F1434" s="32"/>
      <c r="G1434" s="32"/>
      <c r="H1434" s="32"/>
      <c r="I1434" s="32"/>
      <c r="J1434" s="32"/>
      <c r="K1434" s="32"/>
      <c r="L1434" s="32"/>
      <c r="M1434" s="30"/>
      <c r="N1434" s="32"/>
      <c r="O1434" s="34"/>
      <c r="P1434" s="32"/>
      <c r="Q1434" s="32"/>
      <c r="R1434" s="32"/>
      <c r="S1434" s="32"/>
      <c r="T1434" s="32"/>
      <c r="U1434" s="32"/>
      <c r="V1434" s="31"/>
      <c r="W1434" s="35" t="str">
        <f aca="true">IF(OR(V1434="",AG1434&gt;=8),"",IF(V1434&lt;TODAY(),"Vencida",IF(V1434=TODAY(),"Hoy","")))</f>
        <v/>
      </c>
      <c r="X1434" s="36" t="str">
        <f aca="false">IF(A1434="","",IF(COUNTIF(Seguimiento!$B$2:$B$5001,A1434)=0,"",_xlfn.MAXIFS(Seguimiento!$A$2:$A$5001,Seguimiento!$B$2:$B$5001,A1434)))</f>
        <v/>
      </c>
      <c r="Y1434" s="37" t="str">
        <f aca="true">IF(B1434="","",TODAY()-B1434)</f>
        <v/>
      </c>
      <c r="Z1434" s="38" t="str">
        <f aca="false">IF(OR(O1434="",G1434=""),"",O1434*IFERROR(INDEX(Listas!$B$2:$B$50,MATCH(G1434,Listas!$A$2:$A$50,0)),0))</f>
        <v/>
      </c>
      <c r="AA1434" s="32"/>
      <c r="AB1434" s="32"/>
      <c r="AC1434" s="32"/>
      <c r="AD1434" s="35" t="str">
        <f aca="false">IF(OR(LEFT(H1434,4)="Meta",LEFT(H1434,6)="Google"),IF(AG1434=3,"Lead calificado",IF(OR(AG1434=4,AG1434=5),"Tasación/visita",IF(OR(AG1434=6,AG1434=7),"Captación/oferta",IF(AG1434=8,"Cierre","")))),"")</f>
        <v/>
      </c>
      <c r="AE1434" s="32"/>
      <c r="AF1434" s="32"/>
      <c r="AG1434" s="37" t="n">
        <f aca="false">IF(R1434="",0,IFERROR(MATCH(R1434,Listas!$L$2:$L$50,0),0))</f>
        <v>0</v>
      </c>
    </row>
    <row r="1435" customFormat="false" ht="15" hidden="false" customHeight="false" outlineLevel="0" collapsed="false">
      <c r="A1435" s="30"/>
      <c r="B1435" s="31"/>
      <c r="C1435" s="32"/>
      <c r="D1435" s="32"/>
      <c r="E1435" s="33"/>
      <c r="F1435" s="32"/>
      <c r="G1435" s="32"/>
      <c r="H1435" s="32"/>
      <c r="I1435" s="32"/>
      <c r="J1435" s="32"/>
      <c r="K1435" s="32"/>
      <c r="L1435" s="32"/>
      <c r="M1435" s="30"/>
      <c r="N1435" s="32"/>
      <c r="O1435" s="34"/>
      <c r="P1435" s="32"/>
      <c r="Q1435" s="32"/>
      <c r="R1435" s="32"/>
      <c r="S1435" s="32"/>
      <c r="T1435" s="32"/>
      <c r="U1435" s="32"/>
      <c r="V1435" s="31"/>
      <c r="W1435" s="35" t="str">
        <f aca="true">IF(OR(V1435="",AG1435&gt;=8),"",IF(V1435&lt;TODAY(),"Vencida",IF(V1435=TODAY(),"Hoy","")))</f>
        <v/>
      </c>
      <c r="X1435" s="36" t="str">
        <f aca="false">IF(A1435="","",IF(COUNTIF(Seguimiento!$B$2:$B$5001,A1435)=0,"",_xlfn.MAXIFS(Seguimiento!$A$2:$A$5001,Seguimiento!$B$2:$B$5001,A1435)))</f>
        <v/>
      </c>
      <c r="Y1435" s="37" t="str">
        <f aca="true">IF(B1435="","",TODAY()-B1435)</f>
        <v/>
      </c>
      <c r="Z1435" s="38" t="str">
        <f aca="false">IF(OR(O1435="",G1435=""),"",O1435*IFERROR(INDEX(Listas!$B$2:$B$50,MATCH(G1435,Listas!$A$2:$A$50,0)),0))</f>
        <v/>
      </c>
      <c r="AA1435" s="32"/>
      <c r="AB1435" s="32"/>
      <c r="AC1435" s="32"/>
      <c r="AD1435" s="35" t="str">
        <f aca="false">IF(OR(LEFT(H1435,4)="Meta",LEFT(H1435,6)="Google"),IF(AG1435=3,"Lead calificado",IF(OR(AG1435=4,AG1435=5),"Tasación/visita",IF(OR(AG1435=6,AG1435=7),"Captación/oferta",IF(AG1435=8,"Cierre","")))),"")</f>
        <v/>
      </c>
      <c r="AE1435" s="32"/>
      <c r="AF1435" s="32"/>
      <c r="AG1435" s="37" t="n">
        <f aca="false">IF(R1435="",0,IFERROR(MATCH(R1435,Listas!$L$2:$L$50,0),0))</f>
        <v>0</v>
      </c>
    </row>
    <row r="1436" customFormat="false" ht="15" hidden="false" customHeight="false" outlineLevel="0" collapsed="false">
      <c r="A1436" s="30"/>
      <c r="B1436" s="31"/>
      <c r="C1436" s="32"/>
      <c r="D1436" s="32"/>
      <c r="E1436" s="33"/>
      <c r="F1436" s="32"/>
      <c r="G1436" s="32"/>
      <c r="H1436" s="32"/>
      <c r="I1436" s="32"/>
      <c r="J1436" s="32"/>
      <c r="K1436" s="32"/>
      <c r="L1436" s="32"/>
      <c r="M1436" s="30"/>
      <c r="N1436" s="32"/>
      <c r="O1436" s="34"/>
      <c r="P1436" s="32"/>
      <c r="Q1436" s="32"/>
      <c r="R1436" s="32"/>
      <c r="S1436" s="32"/>
      <c r="T1436" s="32"/>
      <c r="U1436" s="32"/>
      <c r="V1436" s="31"/>
      <c r="W1436" s="35" t="str">
        <f aca="true">IF(OR(V1436="",AG1436&gt;=8),"",IF(V1436&lt;TODAY(),"Vencida",IF(V1436=TODAY(),"Hoy","")))</f>
        <v/>
      </c>
      <c r="X1436" s="36" t="str">
        <f aca="false">IF(A1436="","",IF(COUNTIF(Seguimiento!$B$2:$B$5001,A1436)=0,"",_xlfn.MAXIFS(Seguimiento!$A$2:$A$5001,Seguimiento!$B$2:$B$5001,A1436)))</f>
        <v/>
      </c>
      <c r="Y1436" s="37" t="str">
        <f aca="true">IF(B1436="","",TODAY()-B1436)</f>
        <v/>
      </c>
      <c r="Z1436" s="38" t="str">
        <f aca="false">IF(OR(O1436="",G1436=""),"",O1436*IFERROR(INDEX(Listas!$B$2:$B$50,MATCH(G1436,Listas!$A$2:$A$50,0)),0))</f>
        <v/>
      </c>
      <c r="AA1436" s="32"/>
      <c r="AB1436" s="32"/>
      <c r="AC1436" s="32"/>
      <c r="AD1436" s="35" t="str">
        <f aca="false">IF(OR(LEFT(H1436,4)="Meta",LEFT(H1436,6)="Google"),IF(AG1436=3,"Lead calificado",IF(OR(AG1436=4,AG1436=5),"Tasación/visita",IF(OR(AG1436=6,AG1436=7),"Captación/oferta",IF(AG1436=8,"Cierre","")))),"")</f>
        <v/>
      </c>
      <c r="AE1436" s="32"/>
      <c r="AF1436" s="32"/>
      <c r="AG1436" s="37" t="n">
        <f aca="false">IF(R1436="",0,IFERROR(MATCH(R1436,Listas!$L$2:$L$50,0),0))</f>
        <v>0</v>
      </c>
    </row>
    <row r="1437" customFormat="false" ht="15" hidden="false" customHeight="false" outlineLevel="0" collapsed="false">
      <c r="A1437" s="30"/>
      <c r="B1437" s="31"/>
      <c r="C1437" s="32"/>
      <c r="D1437" s="32"/>
      <c r="E1437" s="33"/>
      <c r="F1437" s="32"/>
      <c r="G1437" s="32"/>
      <c r="H1437" s="32"/>
      <c r="I1437" s="32"/>
      <c r="J1437" s="32"/>
      <c r="K1437" s="32"/>
      <c r="L1437" s="32"/>
      <c r="M1437" s="30"/>
      <c r="N1437" s="32"/>
      <c r="O1437" s="34"/>
      <c r="P1437" s="32"/>
      <c r="Q1437" s="32"/>
      <c r="R1437" s="32"/>
      <c r="S1437" s="32"/>
      <c r="T1437" s="32"/>
      <c r="U1437" s="32"/>
      <c r="V1437" s="31"/>
      <c r="W1437" s="35" t="str">
        <f aca="true">IF(OR(V1437="",AG1437&gt;=8),"",IF(V1437&lt;TODAY(),"Vencida",IF(V1437=TODAY(),"Hoy","")))</f>
        <v/>
      </c>
      <c r="X1437" s="36" t="str">
        <f aca="false">IF(A1437="","",IF(COUNTIF(Seguimiento!$B$2:$B$5001,A1437)=0,"",_xlfn.MAXIFS(Seguimiento!$A$2:$A$5001,Seguimiento!$B$2:$B$5001,A1437)))</f>
        <v/>
      </c>
      <c r="Y1437" s="37" t="str">
        <f aca="true">IF(B1437="","",TODAY()-B1437)</f>
        <v/>
      </c>
      <c r="Z1437" s="38" t="str">
        <f aca="false">IF(OR(O1437="",G1437=""),"",O1437*IFERROR(INDEX(Listas!$B$2:$B$50,MATCH(G1437,Listas!$A$2:$A$50,0)),0))</f>
        <v/>
      </c>
      <c r="AA1437" s="32"/>
      <c r="AB1437" s="32"/>
      <c r="AC1437" s="32"/>
      <c r="AD1437" s="35" t="str">
        <f aca="false">IF(OR(LEFT(H1437,4)="Meta",LEFT(H1437,6)="Google"),IF(AG1437=3,"Lead calificado",IF(OR(AG1437=4,AG1437=5),"Tasación/visita",IF(OR(AG1437=6,AG1437=7),"Captación/oferta",IF(AG1437=8,"Cierre","")))),"")</f>
        <v/>
      </c>
      <c r="AE1437" s="32"/>
      <c r="AF1437" s="32"/>
      <c r="AG1437" s="37" t="n">
        <f aca="false">IF(R1437="",0,IFERROR(MATCH(R1437,Listas!$L$2:$L$50,0),0))</f>
        <v>0</v>
      </c>
    </row>
    <row r="1438" customFormat="false" ht="15" hidden="false" customHeight="false" outlineLevel="0" collapsed="false">
      <c r="A1438" s="30"/>
      <c r="B1438" s="31"/>
      <c r="C1438" s="32"/>
      <c r="D1438" s="32"/>
      <c r="E1438" s="33"/>
      <c r="F1438" s="32"/>
      <c r="G1438" s="32"/>
      <c r="H1438" s="32"/>
      <c r="I1438" s="32"/>
      <c r="J1438" s="32"/>
      <c r="K1438" s="32"/>
      <c r="L1438" s="32"/>
      <c r="M1438" s="30"/>
      <c r="N1438" s="32"/>
      <c r="O1438" s="34"/>
      <c r="P1438" s="32"/>
      <c r="Q1438" s="32"/>
      <c r="R1438" s="32"/>
      <c r="S1438" s="32"/>
      <c r="T1438" s="32"/>
      <c r="U1438" s="32"/>
      <c r="V1438" s="31"/>
      <c r="W1438" s="35" t="str">
        <f aca="true">IF(OR(V1438="",AG1438&gt;=8),"",IF(V1438&lt;TODAY(),"Vencida",IF(V1438=TODAY(),"Hoy","")))</f>
        <v/>
      </c>
      <c r="X1438" s="36" t="str">
        <f aca="false">IF(A1438="","",IF(COUNTIF(Seguimiento!$B$2:$B$5001,A1438)=0,"",_xlfn.MAXIFS(Seguimiento!$A$2:$A$5001,Seguimiento!$B$2:$B$5001,A1438)))</f>
        <v/>
      </c>
      <c r="Y1438" s="37" t="str">
        <f aca="true">IF(B1438="","",TODAY()-B1438)</f>
        <v/>
      </c>
      <c r="Z1438" s="38" t="str">
        <f aca="false">IF(OR(O1438="",G1438=""),"",O1438*IFERROR(INDEX(Listas!$B$2:$B$50,MATCH(G1438,Listas!$A$2:$A$50,0)),0))</f>
        <v/>
      </c>
      <c r="AA1438" s="32"/>
      <c r="AB1438" s="32"/>
      <c r="AC1438" s="32"/>
      <c r="AD1438" s="35" t="str">
        <f aca="false">IF(OR(LEFT(H1438,4)="Meta",LEFT(H1438,6)="Google"),IF(AG1438=3,"Lead calificado",IF(OR(AG1438=4,AG1438=5),"Tasación/visita",IF(OR(AG1438=6,AG1438=7),"Captación/oferta",IF(AG1438=8,"Cierre","")))),"")</f>
        <v/>
      </c>
      <c r="AE1438" s="32"/>
      <c r="AF1438" s="32"/>
      <c r="AG1438" s="37" t="n">
        <f aca="false">IF(R1438="",0,IFERROR(MATCH(R1438,Listas!$L$2:$L$50,0),0))</f>
        <v>0</v>
      </c>
    </row>
    <row r="1439" customFormat="false" ht="15" hidden="false" customHeight="false" outlineLevel="0" collapsed="false">
      <c r="A1439" s="30"/>
      <c r="B1439" s="31"/>
      <c r="C1439" s="32"/>
      <c r="D1439" s="32"/>
      <c r="E1439" s="33"/>
      <c r="F1439" s="32"/>
      <c r="G1439" s="32"/>
      <c r="H1439" s="32"/>
      <c r="I1439" s="32"/>
      <c r="J1439" s="32"/>
      <c r="K1439" s="32"/>
      <c r="L1439" s="32"/>
      <c r="M1439" s="30"/>
      <c r="N1439" s="32"/>
      <c r="O1439" s="34"/>
      <c r="P1439" s="32"/>
      <c r="Q1439" s="32"/>
      <c r="R1439" s="32"/>
      <c r="S1439" s="32"/>
      <c r="T1439" s="32"/>
      <c r="U1439" s="32"/>
      <c r="V1439" s="31"/>
      <c r="W1439" s="35" t="str">
        <f aca="true">IF(OR(V1439="",AG1439&gt;=8),"",IF(V1439&lt;TODAY(),"Vencida",IF(V1439=TODAY(),"Hoy","")))</f>
        <v/>
      </c>
      <c r="X1439" s="36" t="str">
        <f aca="false">IF(A1439="","",IF(COUNTIF(Seguimiento!$B$2:$B$5001,A1439)=0,"",_xlfn.MAXIFS(Seguimiento!$A$2:$A$5001,Seguimiento!$B$2:$B$5001,A1439)))</f>
        <v/>
      </c>
      <c r="Y1439" s="37" t="str">
        <f aca="true">IF(B1439="","",TODAY()-B1439)</f>
        <v/>
      </c>
      <c r="Z1439" s="38" t="str">
        <f aca="false">IF(OR(O1439="",G1439=""),"",O1439*IFERROR(INDEX(Listas!$B$2:$B$50,MATCH(G1439,Listas!$A$2:$A$50,0)),0))</f>
        <v/>
      </c>
      <c r="AA1439" s="32"/>
      <c r="AB1439" s="32"/>
      <c r="AC1439" s="32"/>
      <c r="AD1439" s="35" t="str">
        <f aca="false">IF(OR(LEFT(H1439,4)="Meta",LEFT(H1439,6)="Google"),IF(AG1439=3,"Lead calificado",IF(OR(AG1439=4,AG1439=5),"Tasación/visita",IF(OR(AG1439=6,AG1439=7),"Captación/oferta",IF(AG1439=8,"Cierre","")))),"")</f>
        <v/>
      </c>
      <c r="AE1439" s="32"/>
      <c r="AF1439" s="32"/>
      <c r="AG1439" s="37" t="n">
        <f aca="false">IF(R1439="",0,IFERROR(MATCH(R1439,Listas!$L$2:$L$50,0),0))</f>
        <v>0</v>
      </c>
    </row>
    <row r="1440" customFormat="false" ht="15" hidden="false" customHeight="false" outlineLevel="0" collapsed="false">
      <c r="A1440" s="30"/>
      <c r="B1440" s="31"/>
      <c r="C1440" s="32"/>
      <c r="D1440" s="32"/>
      <c r="E1440" s="33"/>
      <c r="F1440" s="32"/>
      <c r="G1440" s="32"/>
      <c r="H1440" s="32"/>
      <c r="I1440" s="32"/>
      <c r="J1440" s="32"/>
      <c r="K1440" s="32"/>
      <c r="L1440" s="32"/>
      <c r="M1440" s="30"/>
      <c r="N1440" s="32"/>
      <c r="O1440" s="34"/>
      <c r="P1440" s="32"/>
      <c r="Q1440" s="32"/>
      <c r="R1440" s="32"/>
      <c r="S1440" s="32"/>
      <c r="T1440" s="32"/>
      <c r="U1440" s="32"/>
      <c r="V1440" s="31"/>
      <c r="W1440" s="35" t="str">
        <f aca="true">IF(OR(V1440="",AG1440&gt;=8),"",IF(V1440&lt;TODAY(),"Vencida",IF(V1440=TODAY(),"Hoy","")))</f>
        <v/>
      </c>
      <c r="X1440" s="36" t="str">
        <f aca="false">IF(A1440="","",IF(COUNTIF(Seguimiento!$B$2:$B$5001,A1440)=0,"",_xlfn.MAXIFS(Seguimiento!$A$2:$A$5001,Seguimiento!$B$2:$B$5001,A1440)))</f>
        <v/>
      </c>
      <c r="Y1440" s="37" t="str">
        <f aca="true">IF(B1440="","",TODAY()-B1440)</f>
        <v/>
      </c>
      <c r="Z1440" s="38" t="str">
        <f aca="false">IF(OR(O1440="",G1440=""),"",O1440*IFERROR(INDEX(Listas!$B$2:$B$50,MATCH(G1440,Listas!$A$2:$A$50,0)),0))</f>
        <v/>
      </c>
      <c r="AA1440" s="32"/>
      <c r="AB1440" s="32"/>
      <c r="AC1440" s="32"/>
      <c r="AD1440" s="35" t="str">
        <f aca="false">IF(OR(LEFT(H1440,4)="Meta",LEFT(H1440,6)="Google"),IF(AG1440=3,"Lead calificado",IF(OR(AG1440=4,AG1440=5),"Tasación/visita",IF(OR(AG1440=6,AG1440=7),"Captación/oferta",IF(AG1440=8,"Cierre","")))),"")</f>
        <v/>
      </c>
      <c r="AE1440" s="32"/>
      <c r="AF1440" s="32"/>
      <c r="AG1440" s="37" t="n">
        <f aca="false">IF(R1440="",0,IFERROR(MATCH(R1440,Listas!$L$2:$L$50,0),0))</f>
        <v>0</v>
      </c>
    </row>
    <row r="1441" customFormat="false" ht="15" hidden="false" customHeight="false" outlineLevel="0" collapsed="false">
      <c r="A1441" s="30"/>
      <c r="B1441" s="31"/>
      <c r="C1441" s="32"/>
      <c r="D1441" s="32"/>
      <c r="E1441" s="33"/>
      <c r="F1441" s="32"/>
      <c r="G1441" s="32"/>
      <c r="H1441" s="32"/>
      <c r="I1441" s="32"/>
      <c r="J1441" s="32"/>
      <c r="K1441" s="32"/>
      <c r="L1441" s="32"/>
      <c r="M1441" s="30"/>
      <c r="N1441" s="32"/>
      <c r="O1441" s="34"/>
      <c r="P1441" s="32"/>
      <c r="Q1441" s="32"/>
      <c r="R1441" s="32"/>
      <c r="S1441" s="32"/>
      <c r="T1441" s="32"/>
      <c r="U1441" s="32"/>
      <c r="V1441" s="31"/>
      <c r="W1441" s="35" t="str">
        <f aca="true">IF(OR(V1441="",AG1441&gt;=8),"",IF(V1441&lt;TODAY(),"Vencida",IF(V1441=TODAY(),"Hoy","")))</f>
        <v/>
      </c>
      <c r="X1441" s="36" t="str">
        <f aca="false">IF(A1441="","",IF(COUNTIF(Seguimiento!$B$2:$B$5001,A1441)=0,"",_xlfn.MAXIFS(Seguimiento!$A$2:$A$5001,Seguimiento!$B$2:$B$5001,A1441)))</f>
        <v/>
      </c>
      <c r="Y1441" s="37" t="str">
        <f aca="true">IF(B1441="","",TODAY()-B1441)</f>
        <v/>
      </c>
      <c r="Z1441" s="38" t="str">
        <f aca="false">IF(OR(O1441="",G1441=""),"",O1441*IFERROR(INDEX(Listas!$B$2:$B$50,MATCH(G1441,Listas!$A$2:$A$50,0)),0))</f>
        <v/>
      </c>
      <c r="AA1441" s="32"/>
      <c r="AB1441" s="32"/>
      <c r="AC1441" s="32"/>
      <c r="AD1441" s="35" t="str">
        <f aca="false">IF(OR(LEFT(H1441,4)="Meta",LEFT(H1441,6)="Google"),IF(AG1441=3,"Lead calificado",IF(OR(AG1441=4,AG1441=5),"Tasación/visita",IF(OR(AG1441=6,AG1441=7),"Captación/oferta",IF(AG1441=8,"Cierre","")))),"")</f>
        <v/>
      </c>
      <c r="AE1441" s="32"/>
      <c r="AF1441" s="32"/>
      <c r="AG1441" s="37" t="n">
        <f aca="false">IF(R1441="",0,IFERROR(MATCH(R1441,Listas!$L$2:$L$50,0),0))</f>
        <v>0</v>
      </c>
    </row>
    <row r="1442" customFormat="false" ht="15" hidden="false" customHeight="false" outlineLevel="0" collapsed="false">
      <c r="A1442" s="30"/>
      <c r="B1442" s="31"/>
      <c r="C1442" s="32"/>
      <c r="D1442" s="32"/>
      <c r="E1442" s="33"/>
      <c r="F1442" s="32"/>
      <c r="G1442" s="32"/>
      <c r="H1442" s="32"/>
      <c r="I1442" s="32"/>
      <c r="J1442" s="32"/>
      <c r="K1442" s="32"/>
      <c r="L1442" s="32"/>
      <c r="M1442" s="30"/>
      <c r="N1442" s="32"/>
      <c r="O1442" s="34"/>
      <c r="P1442" s="32"/>
      <c r="Q1442" s="32"/>
      <c r="R1442" s="32"/>
      <c r="S1442" s="32"/>
      <c r="T1442" s="32"/>
      <c r="U1442" s="32"/>
      <c r="V1442" s="31"/>
      <c r="W1442" s="35" t="str">
        <f aca="true">IF(OR(V1442="",AG1442&gt;=8),"",IF(V1442&lt;TODAY(),"Vencida",IF(V1442=TODAY(),"Hoy","")))</f>
        <v/>
      </c>
      <c r="X1442" s="36" t="str">
        <f aca="false">IF(A1442="","",IF(COUNTIF(Seguimiento!$B$2:$B$5001,A1442)=0,"",_xlfn.MAXIFS(Seguimiento!$A$2:$A$5001,Seguimiento!$B$2:$B$5001,A1442)))</f>
        <v/>
      </c>
      <c r="Y1442" s="37" t="str">
        <f aca="true">IF(B1442="","",TODAY()-B1442)</f>
        <v/>
      </c>
      <c r="Z1442" s="38" t="str">
        <f aca="false">IF(OR(O1442="",G1442=""),"",O1442*IFERROR(INDEX(Listas!$B$2:$B$50,MATCH(G1442,Listas!$A$2:$A$50,0)),0))</f>
        <v/>
      </c>
      <c r="AA1442" s="32"/>
      <c r="AB1442" s="32"/>
      <c r="AC1442" s="32"/>
      <c r="AD1442" s="35" t="str">
        <f aca="false">IF(OR(LEFT(H1442,4)="Meta",LEFT(H1442,6)="Google"),IF(AG1442=3,"Lead calificado",IF(OR(AG1442=4,AG1442=5),"Tasación/visita",IF(OR(AG1442=6,AG1442=7),"Captación/oferta",IF(AG1442=8,"Cierre","")))),"")</f>
        <v/>
      </c>
      <c r="AE1442" s="32"/>
      <c r="AF1442" s="32"/>
      <c r="AG1442" s="37" t="n">
        <f aca="false">IF(R1442="",0,IFERROR(MATCH(R1442,Listas!$L$2:$L$50,0),0))</f>
        <v>0</v>
      </c>
    </row>
    <row r="1443" customFormat="false" ht="15" hidden="false" customHeight="false" outlineLevel="0" collapsed="false">
      <c r="A1443" s="30"/>
      <c r="B1443" s="31"/>
      <c r="C1443" s="32"/>
      <c r="D1443" s="32"/>
      <c r="E1443" s="33"/>
      <c r="F1443" s="32"/>
      <c r="G1443" s="32"/>
      <c r="H1443" s="32"/>
      <c r="I1443" s="32"/>
      <c r="J1443" s="32"/>
      <c r="K1443" s="32"/>
      <c r="L1443" s="32"/>
      <c r="M1443" s="30"/>
      <c r="N1443" s="32"/>
      <c r="O1443" s="34"/>
      <c r="P1443" s="32"/>
      <c r="Q1443" s="32"/>
      <c r="R1443" s="32"/>
      <c r="S1443" s="32"/>
      <c r="T1443" s="32"/>
      <c r="U1443" s="32"/>
      <c r="V1443" s="31"/>
      <c r="W1443" s="35" t="str">
        <f aca="true">IF(OR(V1443="",AG1443&gt;=8),"",IF(V1443&lt;TODAY(),"Vencida",IF(V1443=TODAY(),"Hoy","")))</f>
        <v/>
      </c>
      <c r="X1443" s="36" t="str">
        <f aca="false">IF(A1443="","",IF(COUNTIF(Seguimiento!$B$2:$B$5001,A1443)=0,"",_xlfn.MAXIFS(Seguimiento!$A$2:$A$5001,Seguimiento!$B$2:$B$5001,A1443)))</f>
        <v/>
      </c>
      <c r="Y1443" s="37" t="str">
        <f aca="true">IF(B1443="","",TODAY()-B1443)</f>
        <v/>
      </c>
      <c r="Z1443" s="38" t="str">
        <f aca="false">IF(OR(O1443="",G1443=""),"",O1443*IFERROR(INDEX(Listas!$B$2:$B$50,MATCH(G1443,Listas!$A$2:$A$50,0)),0))</f>
        <v/>
      </c>
      <c r="AA1443" s="32"/>
      <c r="AB1443" s="32"/>
      <c r="AC1443" s="32"/>
      <c r="AD1443" s="35" t="str">
        <f aca="false">IF(OR(LEFT(H1443,4)="Meta",LEFT(H1443,6)="Google"),IF(AG1443=3,"Lead calificado",IF(OR(AG1443=4,AG1443=5),"Tasación/visita",IF(OR(AG1443=6,AG1443=7),"Captación/oferta",IF(AG1443=8,"Cierre","")))),"")</f>
        <v/>
      </c>
      <c r="AE1443" s="32"/>
      <c r="AF1443" s="32"/>
      <c r="AG1443" s="37" t="n">
        <f aca="false">IF(R1443="",0,IFERROR(MATCH(R1443,Listas!$L$2:$L$50,0),0))</f>
        <v>0</v>
      </c>
    </row>
    <row r="1444" customFormat="false" ht="15" hidden="false" customHeight="false" outlineLevel="0" collapsed="false">
      <c r="A1444" s="30"/>
      <c r="B1444" s="31"/>
      <c r="C1444" s="32"/>
      <c r="D1444" s="32"/>
      <c r="E1444" s="33"/>
      <c r="F1444" s="32"/>
      <c r="G1444" s="32"/>
      <c r="H1444" s="32"/>
      <c r="I1444" s="32"/>
      <c r="J1444" s="32"/>
      <c r="K1444" s="32"/>
      <c r="L1444" s="32"/>
      <c r="M1444" s="30"/>
      <c r="N1444" s="32"/>
      <c r="O1444" s="34"/>
      <c r="P1444" s="32"/>
      <c r="Q1444" s="32"/>
      <c r="R1444" s="32"/>
      <c r="S1444" s="32"/>
      <c r="T1444" s="32"/>
      <c r="U1444" s="32"/>
      <c r="V1444" s="31"/>
      <c r="W1444" s="35" t="str">
        <f aca="true">IF(OR(V1444="",AG1444&gt;=8),"",IF(V1444&lt;TODAY(),"Vencida",IF(V1444=TODAY(),"Hoy","")))</f>
        <v/>
      </c>
      <c r="X1444" s="36" t="str">
        <f aca="false">IF(A1444="","",IF(COUNTIF(Seguimiento!$B$2:$B$5001,A1444)=0,"",_xlfn.MAXIFS(Seguimiento!$A$2:$A$5001,Seguimiento!$B$2:$B$5001,A1444)))</f>
        <v/>
      </c>
      <c r="Y1444" s="37" t="str">
        <f aca="true">IF(B1444="","",TODAY()-B1444)</f>
        <v/>
      </c>
      <c r="Z1444" s="38" t="str">
        <f aca="false">IF(OR(O1444="",G1444=""),"",O1444*IFERROR(INDEX(Listas!$B$2:$B$50,MATCH(G1444,Listas!$A$2:$A$50,0)),0))</f>
        <v/>
      </c>
      <c r="AA1444" s="32"/>
      <c r="AB1444" s="32"/>
      <c r="AC1444" s="32"/>
      <c r="AD1444" s="35" t="str">
        <f aca="false">IF(OR(LEFT(H1444,4)="Meta",LEFT(H1444,6)="Google"),IF(AG1444=3,"Lead calificado",IF(OR(AG1444=4,AG1444=5),"Tasación/visita",IF(OR(AG1444=6,AG1444=7),"Captación/oferta",IF(AG1444=8,"Cierre","")))),"")</f>
        <v/>
      </c>
      <c r="AE1444" s="32"/>
      <c r="AF1444" s="32"/>
      <c r="AG1444" s="37" t="n">
        <f aca="false">IF(R1444="",0,IFERROR(MATCH(R1444,Listas!$L$2:$L$50,0),0))</f>
        <v>0</v>
      </c>
    </row>
    <row r="1445" customFormat="false" ht="15" hidden="false" customHeight="false" outlineLevel="0" collapsed="false">
      <c r="A1445" s="30"/>
      <c r="B1445" s="31"/>
      <c r="C1445" s="32"/>
      <c r="D1445" s="32"/>
      <c r="E1445" s="33"/>
      <c r="F1445" s="32"/>
      <c r="G1445" s="32"/>
      <c r="H1445" s="32"/>
      <c r="I1445" s="32"/>
      <c r="J1445" s="32"/>
      <c r="K1445" s="32"/>
      <c r="L1445" s="32"/>
      <c r="M1445" s="30"/>
      <c r="N1445" s="32"/>
      <c r="O1445" s="34"/>
      <c r="P1445" s="32"/>
      <c r="Q1445" s="32"/>
      <c r="R1445" s="32"/>
      <c r="S1445" s="32"/>
      <c r="T1445" s="32"/>
      <c r="U1445" s="32"/>
      <c r="V1445" s="31"/>
      <c r="W1445" s="35" t="str">
        <f aca="true">IF(OR(V1445="",AG1445&gt;=8),"",IF(V1445&lt;TODAY(),"Vencida",IF(V1445=TODAY(),"Hoy","")))</f>
        <v/>
      </c>
      <c r="X1445" s="36" t="str">
        <f aca="false">IF(A1445="","",IF(COUNTIF(Seguimiento!$B$2:$B$5001,A1445)=0,"",_xlfn.MAXIFS(Seguimiento!$A$2:$A$5001,Seguimiento!$B$2:$B$5001,A1445)))</f>
        <v/>
      </c>
      <c r="Y1445" s="37" t="str">
        <f aca="true">IF(B1445="","",TODAY()-B1445)</f>
        <v/>
      </c>
      <c r="Z1445" s="38" t="str">
        <f aca="false">IF(OR(O1445="",G1445=""),"",O1445*IFERROR(INDEX(Listas!$B$2:$B$50,MATCH(G1445,Listas!$A$2:$A$50,0)),0))</f>
        <v/>
      </c>
      <c r="AA1445" s="32"/>
      <c r="AB1445" s="32"/>
      <c r="AC1445" s="32"/>
      <c r="AD1445" s="35" t="str">
        <f aca="false">IF(OR(LEFT(H1445,4)="Meta",LEFT(H1445,6)="Google"),IF(AG1445=3,"Lead calificado",IF(OR(AG1445=4,AG1445=5),"Tasación/visita",IF(OR(AG1445=6,AG1445=7),"Captación/oferta",IF(AG1445=8,"Cierre","")))),"")</f>
        <v/>
      </c>
      <c r="AE1445" s="32"/>
      <c r="AF1445" s="32"/>
      <c r="AG1445" s="37" t="n">
        <f aca="false">IF(R1445="",0,IFERROR(MATCH(R1445,Listas!$L$2:$L$50,0),0))</f>
        <v>0</v>
      </c>
    </row>
    <row r="1446" customFormat="false" ht="15" hidden="false" customHeight="false" outlineLevel="0" collapsed="false">
      <c r="A1446" s="30"/>
      <c r="B1446" s="31"/>
      <c r="C1446" s="32"/>
      <c r="D1446" s="32"/>
      <c r="E1446" s="33"/>
      <c r="F1446" s="32"/>
      <c r="G1446" s="32"/>
      <c r="H1446" s="32"/>
      <c r="I1446" s="32"/>
      <c r="J1446" s="32"/>
      <c r="K1446" s="32"/>
      <c r="L1446" s="32"/>
      <c r="M1446" s="30"/>
      <c r="N1446" s="32"/>
      <c r="O1446" s="34"/>
      <c r="P1446" s="32"/>
      <c r="Q1446" s="32"/>
      <c r="R1446" s="32"/>
      <c r="S1446" s="32"/>
      <c r="T1446" s="32"/>
      <c r="U1446" s="32"/>
      <c r="V1446" s="31"/>
      <c r="W1446" s="35" t="str">
        <f aca="true">IF(OR(V1446="",AG1446&gt;=8),"",IF(V1446&lt;TODAY(),"Vencida",IF(V1446=TODAY(),"Hoy","")))</f>
        <v/>
      </c>
      <c r="X1446" s="36" t="str">
        <f aca="false">IF(A1446="","",IF(COUNTIF(Seguimiento!$B$2:$B$5001,A1446)=0,"",_xlfn.MAXIFS(Seguimiento!$A$2:$A$5001,Seguimiento!$B$2:$B$5001,A1446)))</f>
        <v/>
      </c>
      <c r="Y1446" s="37" t="str">
        <f aca="true">IF(B1446="","",TODAY()-B1446)</f>
        <v/>
      </c>
      <c r="Z1446" s="38" t="str">
        <f aca="false">IF(OR(O1446="",G1446=""),"",O1446*IFERROR(INDEX(Listas!$B$2:$B$50,MATCH(G1446,Listas!$A$2:$A$50,0)),0))</f>
        <v/>
      </c>
      <c r="AA1446" s="32"/>
      <c r="AB1446" s="32"/>
      <c r="AC1446" s="32"/>
      <c r="AD1446" s="35" t="str">
        <f aca="false">IF(OR(LEFT(H1446,4)="Meta",LEFT(H1446,6)="Google"),IF(AG1446=3,"Lead calificado",IF(OR(AG1446=4,AG1446=5),"Tasación/visita",IF(OR(AG1446=6,AG1446=7),"Captación/oferta",IF(AG1446=8,"Cierre","")))),"")</f>
        <v/>
      </c>
      <c r="AE1446" s="32"/>
      <c r="AF1446" s="32"/>
      <c r="AG1446" s="37" t="n">
        <f aca="false">IF(R1446="",0,IFERROR(MATCH(R1446,Listas!$L$2:$L$50,0),0))</f>
        <v>0</v>
      </c>
    </row>
    <row r="1447" customFormat="false" ht="15" hidden="false" customHeight="false" outlineLevel="0" collapsed="false">
      <c r="A1447" s="30"/>
      <c r="B1447" s="31"/>
      <c r="C1447" s="32"/>
      <c r="D1447" s="32"/>
      <c r="E1447" s="33"/>
      <c r="F1447" s="32"/>
      <c r="G1447" s="32"/>
      <c r="H1447" s="32"/>
      <c r="I1447" s="32"/>
      <c r="J1447" s="32"/>
      <c r="K1447" s="32"/>
      <c r="L1447" s="32"/>
      <c r="M1447" s="30"/>
      <c r="N1447" s="32"/>
      <c r="O1447" s="34"/>
      <c r="P1447" s="32"/>
      <c r="Q1447" s="32"/>
      <c r="R1447" s="32"/>
      <c r="S1447" s="32"/>
      <c r="T1447" s="32"/>
      <c r="U1447" s="32"/>
      <c r="V1447" s="31"/>
      <c r="W1447" s="35" t="str">
        <f aca="true">IF(OR(V1447="",AG1447&gt;=8),"",IF(V1447&lt;TODAY(),"Vencida",IF(V1447=TODAY(),"Hoy","")))</f>
        <v/>
      </c>
      <c r="X1447" s="36" t="str">
        <f aca="false">IF(A1447="","",IF(COUNTIF(Seguimiento!$B$2:$B$5001,A1447)=0,"",_xlfn.MAXIFS(Seguimiento!$A$2:$A$5001,Seguimiento!$B$2:$B$5001,A1447)))</f>
        <v/>
      </c>
      <c r="Y1447" s="37" t="str">
        <f aca="true">IF(B1447="","",TODAY()-B1447)</f>
        <v/>
      </c>
      <c r="Z1447" s="38" t="str">
        <f aca="false">IF(OR(O1447="",G1447=""),"",O1447*IFERROR(INDEX(Listas!$B$2:$B$50,MATCH(G1447,Listas!$A$2:$A$50,0)),0))</f>
        <v/>
      </c>
      <c r="AA1447" s="32"/>
      <c r="AB1447" s="32"/>
      <c r="AC1447" s="32"/>
      <c r="AD1447" s="35" t="str">
        <f aca="false">IF(OR(LEFT(H1447,4)="Meta",LEFT(H1447,6)="Google"),IF(AG1447=3,"Lead calificado",IF(OR(AG1447=4,AG1447=5),"Tasación/visita",IF(OR(AG1447=6,AG1447=7),"Captación/oferta",IF(AG1447=8,"Cierre","")))),"")</f>
        <v/>
      </c>
      <c r="AE1447" s="32"/>
      <c r="AF1447" s="32"/>
      <c r="AG1447" s="37" t="n">
        <f aca="false">IF(R1447="",0,IFERROR(MATCH(R1447,Listas!$L$2:$L$50,0),0))</f>
        <v>0</v>
      </c>
    </row>
    <row r="1448" customFormat="false" ht="15" hidden="false" customHeight="false" outlineLevel="0" collapsed="false">
      <c r="A1448" s="30"/>
      <c r="B1448" s="31"/>
      <c r="C1448" s="32"/>
      <c r="D1448" s="32"/>
      <c r="E1448" s="33"/>
      <c r="F1448" s="32"/>
      <c r="G1448" s="32"/>
      <c r="H1448" s="32"/>
      <c r="I1448" s="32"/>
      <c r="J1448" s="32"/>
      <c r="K1448" s="32"/>
      <c r="L1448" s="32"/>
      <c r="M1448" s="30"/>
      <c r="N1448" s="32"/>
      <c r="O1448" s="34"/>
      <c r="P1448" s="32"/>
      <c r="Q1448" s="32"/>
      <c r="R1448" s="32"/>
      <c r="S1448" s="32"/>
      <c r="T1448" s="32"/>
      <c r="U1448" s="32"/>
      <c r="V1448" s="31"/>
      <c r="W1448" s="35" t="str">
        <f aca="true">IF(OR(V1448="",AG1448&gt;=8),"",IF(V1448&lt;TODAY(),"Vencida",IF(V1448=TODAY(),"Hoy","")))</f>
        <v/>
      </c>
      <c r="X1448" s="36" t="str">
        <f aca="false">IF(A1448="","",IF(COUNTIF(Seguimiento!$B$2:$B$5001,A1448)=0,"",_xlfn.MAXIFS(Seguimiento!$A$2:$A$5001,Seguimiento!$B$2:$B$5001,A1448)))</f>
        <v/>
      </c>
      <c r="Y1448" s="37" t="str">
        <f aca="true">IF(B1448="","",TODAY()-B1448)</f>
        <v/>
      </c>
      <c r="Z1448" s="38" t="str">
        <f aca="false">IF(OR(O1448="",G1448=""),"",O1448*IFERROR(INDEX(Listas!$B$2:$B$50,MATCH(G1448,Listas!$A$2:$A$50,0)),0))</f>
        <v/>
      </c>
      <c r="AA1448" s="32"/>
      <c r="AB1448" s="32"/>
      <c r="AC1448" s="32"/>
      <c r="AD1448" s="35" t="str">
        <f aca="false">IF(OR(LEFT(H1448,4)="Meta",LEFT(H1448,6)="Google"),IF(AG1448=3,"Lead calificado",IF(OR(AG1448=4,AG1448=5),"Tasación/visita",IF(OR(AG1448=6,AG1448=7),"Captación/oferta",IF(AG1448=8,"Cierre","")))),"")</f>
        <v/>
      </c>
      <c r="AE1448" s="32"/>
      <c r="AF1448" s="32"/>
      <c r="AG1448" s="37" t="n">
        <f aca="false">IF(R1448="",0,IFERROR(MATCH(R1448,Listas!$L$2:$L$50,0),0))</f>
        <v>0</v>
      </c>
    </row>
    <row r="1449" customFormat="false" ht="15" hidden="false" customHeight="false" outlineLevel="0" collapsed="false">
      <c r="A1449" s="30"/>
      <c r="B1449" s="31"/>
      <c r="C1449" s="32"/>
      <c r="D1449" s="32"/>
      <c r="E1449" s="33"/>
      <c r="F1449" s="32"/>
      <c r="G1449" s="32"/>
      <c r="H1449" s="32"/>
      <c r="I1449" s="32"/>
      <c r="J1449" s="32"/>
      <c r="K1449" s="32"/>
      <c r="L1449" s="32"/>
      <c r="M1449" s="30"/>
      <c r="N1449" s="32"/>
      <c r="O1449" s="34"/>
      <c r="P1449" s="32"/>
      <c r="Q1449" s="32"/>
      <c r="R1449" s="32"/>
      <c r="S1449" s="32"/>
      <c r="T1449" s="32"/>
      <c r="U1449" s="32"/>
      <c r="V1449" s="31"/>
      <c r="W1449" s="35" t="str">
        <f aca="true">IF(OR(V1449="",AG1449&gt;=8),"",IF(V1449&lt;TODAY(),"Vencida",IF(V1449=TODAY(),"Hoy","")))</f>
        <v/>
      </c>
      <c r="X1449" s="36" t="str">
        <f aca="false">IF(A1449="","",IF(COUNTIF(Seguimiento!$B$2:$B$5001,A1449)=0,"",_xlfn.MAXIFS(Seguimiento!$A$2:$A$5001,Seguimiento!$B$2:$B$5001,A1449)))</f>
        <v/>
      </c>
      <c r="Y1449" s="37" t="str">
        <f aca="true">IF(B1449="","",TODAY()-B1449)</f>
        <v/>
      </c>
      <c r="Z1449" s="38" t="str">
        <f aca="false">IF(OR(O1449="",G1449=""),"",O1449*IFERROR(INDEX(Listas!$B$2:$B$50,MATCH(G1449,Listas!$A$2:$A$50,0)),0))</f>
        <v/>
      </c>
      <c r="AA1449" s="32"/>
      <c r="AB1449" s="32"/>
      <c r="AC1449" s="32"/>
      <c r="AD1449" s="35" t="str">
        <f aca="false">IF(OR(LEFT(H1449,4)="Meta",LEFT(H1449,6)="Google"),IF(AG1449=3,"Lead calificado",IF(OR(AG1449=4,AG1449=5),"Tasación/visita",IF(OR(AG1449=6,AG1449=7),"Captación/oferta",IF(AG1449=8,"Cierre","")))),"")</f>
        <v/>
      </c>
      <c r="AE1449" s="32"/>
      <c r="AF1449" s="32"/>
      <c r="AG1449" s="37" t="n">
        <f aca="false">IF(R1449="",0,IFERROR(MATCH(R1449,Listas!$L$2:$L$50,0),0))</f>
        <v>0</v>
      </c>
    </row>
    <row r="1450" customFormat="false" ht="15" hidden="false" customHeight="false" outlineLevel="0" collapsed="false">
      <c r="A1450" s="30"/>
      <c r="B1450" s="31"/>
      <c r="C1450" s="32"/>
      <c r="D1450" s="32"/>
      <c r="E1450" s="33"/>
      <c r="F1450" s="32"/>
      <c r="G1450" s="32"/>
      <c r="H1450" s="32"/>
      <c r="I1450" s="32"/>
      <c r="J1450" s="32"/>
      <c r="K1450" s="32"/>
      <c r="L1450" s="32"/>
      <c r="M1450" s="30"/>
      <c r="N1450" s="32"/>
      <c r="O1450" s="34"/>
      <c r="P1450" s="32"/>
      <c r="Q1450" s="32"/>
      <c r="R1450" s="32"/>
      <c r="S1450" s="32"/>
      <c r="T1450" s="32"/>
      <c r="U1450" s="32"/>
      <c r="V1450" s="31"/>
      <c r="W1450" s="35" t="str">
        <f aca="true">IF(OR(V1450="",AG1450&gt;=8),"",IF(V1450&lt;TODAY(),"Vencida",IF(V1450=TODAY(),"Hoy","")))</f>
        <v/>
      </c>
      <c r="X1450" s="36" t="str">
        <f aca="false">IF(A1450="","",IF(COUNTIF(Seguimiento!$B$2:$B$5001,A1450)=0,"",_xlfn.MAXIFS(Seguimiento!$A$2:$A$5001,Seguimiento!$B$2:$B$5001,A1450)))</f>
        <v/>
      </c>
      <c r="Y1450" s="37" t="str">
        <f aca="true">IF(B1450="","",TODAY()-B1450)</f>
        <v/>
      </c>
      <c r="Z1450" s="38" t="str">
        <f aca="false">IF(OR(O1450="",G1450=""),"",O1450*IFERROR(INDEX(Listas!$B$2:$B$50,MATCH(G1450,Listas!$A$2:$A$50,0)),0))</f>
        <v/>
      </c>
      <c r="AA1450" s="32"/>
      <c r="AB1450" s="32"/>
      <c r="AC1450" s="32"/>
      <c r="AD1450" s="35" t="str">
        <f aca="false">IF(OR(LEFT(H1450,4)="Meta",LEFT(H1450,6)="Google"),IF(AG1450=3,"Lead calificado",IF(OR(AG1450=4,AG1450=5),"Tasación/visita",IF(OR(AG1450=6,AG1450=7),"Captación/oferta",IF(AG1450=8,"Cierre","")))),"")</f>
        <v/>
      </c>
      <c r="AE1450" s="32"/>
      <c r="AF1450" s="32"/>
      <c r="AG1450" s="37" t="n">
        <f aca="false">IF(R1450="",0,IFERROR(MATCH(R1450,Listas!$L$2:$L$50,0),0))</f>
        <v>0</v>
      </c>
    </row>
    <row r="1451" customFormat="false" ht="15" hidden="false" customHeight="false" outlineLevel="0" collapsed="false">
      <c r="A1451" s="30"/>
      <c r="B1451" s="31"/>
      <c r="C1451" s="32"/>
      <c r="D1451" s="32"/>
      <c r="E1451" s="33"/>
      <c r="F1451" s="32"/>
      <c r="G1451" s="32"/>
      <c r="H1451" s="32"/>
      <c r="I1451" s="32"/>
      <c r="J1451" s="32"/>
      <c r="K1451" s="32"/>
      <c r="L1451" s="32"/>
      <c r="M1451" s="30"/>
      <c r="N1451" s="32"/>
      <c r="O1451" s="34"/>
      <c r="P1451" s="32"/>
      <c r="Q1451" s="32"/>
      <c r="R1451" s="32"/>
      <c r="S1451" s="32"/>
      <c r="T1451" s="32"/>
      <c r="U1451" s="32"/>
      <c r="V1451" s="31"/>
      <c r="W1451" s="35" t="str">
        <f aca="true">IF(OR(V1451="",AG1451&gt;=8),"",IF(V1451&lt;TODAY(),"Vencida",IF(V1451=TODAY(),"Hoy","")))</f>
        <v/>
      </c>
      <c r="X1451" s="36" t="str">
        <f aca="false">IF(A1451="","",IF(COUNTIF(Seguimiento!$B$2:$B$5001,A1451)=0,"",_xlfn.MAXIFS(Seguimiento!$A$2:$A$5001,Seguimiento!$B$2:$B$5001,A1451)))</f>
        <v/>
      </c>
      <c r="Y1451" s="37" t="str">
        <f aca="true">IF(B1451="","",TODAY()-B1451)</f>
        <v/>
      </c>
      <c r="Z1451" s="38" t="str">
        <f aca="false">IF(OR(O1451="",G1451=""),"",O1451*IFERROR(INDEX(Listas!$B$2:$B$50,MATCH(G1451,Listas!$A$2:$A$50,0)),0))</f>
        <v/>
      </c>
      <c r="AA1451" s="32"/>
      <c r="AB1451" s="32"/>
      <c r="AC1451" s="32"/>
      <c r="AD1451" s="35" t="str">
        <f aca="false">IF(OR(LEFT(H1451,4)="Meta",LEFT(H1451,6)="Google"),IF(AG1451=3,"Lead calificado",IF(OR(AG1451=4,AG1451=5),"Tasación/visita",IF(OR(AG1451=6,AG1451=7),"Captación/oferta",IF(AG1451=8,"Cierre","")))),"")</f>
        <v/>
      </c>
      <c r="AE1451" s="32"/>
      <c r="AF1451" s="32"/>
      <c r="AG1451" s="37" t="n">
        <f aca="false">IF(R1451="",0,IFERROR(MATCH(R1451,Listas!$L$2:$L$50,0),0))</f>
        <v>0</v>
      </c>
    </row>
    <row r="1452" customFormat="false" ht="15" hidden="false" customHeight="false" outlineLevel="0" collapsed="false">
      <c r="A1452" s="30"/>
      <c r="B1452" s="31"/>
      <c r="C1452" s="32"/>
      <c r="D1452" s="32"/>
      <c r="E1452" s="33"/>
      <c r="F1452" s="32"/>
      <c r="G1452" s="32"/>
      <c r="H1452" s="32"/>
      <c r="I1452" s="32"/>
      <c r="J1452" s="32"/>
      <c r="K1452" s="32"/>
      <c r="L1452" s="32"/>
      <c r="M1452" s="30"/>
      <c r="N1452" s="32"/>
      <c r="O1452" s="34"/>
      <c r="P1452" s="32"/>
      <c r="Q1452" s="32"/>
      <c r="R1452" s="32"/>
      <c r="S1452" s="32"/>
      <c r="T1452" s="32"/>
      <c r="U1452" s="32"/>
      <c r="V1452" s="31"/>
      <c r="W1452" s="35" t="str">
        <f aca="true">IF(OR(V1452="",AG1452&gt;=8),"",IF(V1452&lt;TODAY(),"Vencida",IF(V1452=TODAY(),"Hoy","")))</f>
        <v/>
      </c>
      <c r="X1452" s="36" t="str">
        <f aca="false">IF(A1452="","",IF(COUNTIF(Seguimiento!$B$2:$B$5001,A1452)=0,"",_xlfn.MAXIFS(Seguimiento!$A$2:$A$5001,Seguimiento!$B$2:$B$5001,A1452)))</f>
        <v/>
      </c>
      <c r="Y1452" s="37" t="str">
        <f aca="true">IF(B1452="","",TODAY()-B1452)</f>
        <v/>
      </c>
      <c r="Z1452" s="38" t="str">
        <f aca="false">IF(OR(O1452="",G1452=""),"",O1452*IFERROR(INDEX(Listas!$B$2:$B$50,MATCH(G1452,Listas!$A$2:$A$50,0)),0))</f>
        <v/>
      </c>
      <c r="AA1452" s="32"/>
      <c r="AB1452" s="32"/>
      <c r="AC1452" s="32"/>
      <c r="AD1452" s="35" t="str">
        <f aca="false">IF(OR(LEFT(H1452,4)="Meta",LEFT(H1452,6)="Google"),IF(AG1452=3,"Lead calificado",IF(OR(AG1452=4,AG1452=5),"Tasación/visita",IF(OR(AG1452=6,AG1452=7),"Captación/oferta",IF(AG1452=8,"Cierre","")))),"")</f>
        <v/>
      </c>
      <c r="AE1452" s="32"/>
      <c r="AF1452" s="32"/>
      <c r="AG1452" s="37" t="n">
        <f aca="false">IF(R1452="",0,IFERROR(MATCH(R1452,Listas!$L$2:$L$50,0),0))</f>
        <v>0</v>
      </c>
    </row>
    <row r="1453" customFormat="false" ht="15" hidden="false" customHeight="false" outlineLevel="0" collapsed="false">
      <c r="A1453" s="30"/>
      <c r="B1453" s="31"/>
      <c r="C1453" s="32"/>
      <c r="D1453" s="32"/>
      <c r="E1453" s="33"/>
      <c r="F1453" s="32"/>
      <c r="G1453" s="32"/>
      <c r="H1453" s="32"/>
      <c r="I1453" s="32"/>
      <c r="J1453" s="32"/>
      <c r="K1453" s="32"/>
      <c r="L1453" s="32"/>
      <c r="M1453" s="30"/>
      <c r="N1453" s="32"/>
      <c r="O1453" s="34"/>
      <c r="P1453" s="32"/>
      <c r="Q1453" s="32"/>
      <c r="R1453" s="32"/>
      <c r="S1453" s="32"/>
      <c r="T1453" s="32"/>
      <c r="U1453" s="32"/>
      <c r="V1453" s="31"/>
      <c r="W1453" s="35" t="str">
        <f aca="true">IF(OR(V1453="",AG1453&gt;=8),"",IF(V1453&lt;TODAY(),"Vencida",IF(V1453=TODAY(),"Hoy","")))</f>
        <v/>
      </c>
      <c r="X1453" s="36" t="str">
        <f aca="false">IF(A1453="","",IF(COUNTIF(Seguimiento!$B$2:$B$5001,A1453)=0,"",_xlfn.MAXIFS(Seguimiento!$A$2:$A$5001,Seguimiento!$B$2:$B$5001,A1453)))</f>
        <v/>
      </c>
      <c r="Y1453" s="37" t="str">
        <f aca="true">IF(B1453="","",TODAY()-B1453)</f>
        <v/>
      </c>
      <c r="Z1453" s="38" t="str">
        <f aca="false">IF(OR(O1453="",G1453=""),"",O1453*IFERROR(INDEX(Listas!$B$2:$B$50,MATCH(G1453,Listas!$A$2:$A$50,0)),0))</f>
        <v/>
      </c>
      <c r="AA1453" s="32"/>
      <c r="AB1453" s="32"/>
      <c r="AC1453" s="32"/>
      <c r="AD1453" s="35" t="str">
        <f aca="false">IF(OR(LEFT(H1453,4)="Meta",LEFT(H1453,6)="Google"),IF(AG1453=3,"Lead calificado",IF(OR(AG1453=4,AG1453=5),"Tasación/visita",IF(OR(AG1453=6,AG1453=7),"Captación/oferta",IF(AG1453=8,"Cierre","")))),"")</f>
        <v/>
      </c>
      <c r="AE1453" s="32"/>
      <c r="AF1453" s="32"/>
      <c r="AG1453" s="37" t="n">
        <f aca="false">IF(R1453="",0,IFERROR(MATCH(R1453,Listas!$L$2:$L$50,0),0))</f>
        <v>0</v>
      </c>
    </row>
    <row r="1454" customFormat="false" ht="15" hidden="false" customHeight="false" outlineLevel="0" collapsed="false">
      <c r="A1454" s="30"/>
      <c r="B1454" s="31"/>
      <c r="C1454" s="32"/>
      <c r="D1454" s="32"/>
      <c r="E1454" s="33"/>
      <c r="F1454" s="32"/>
      <c r="G1454" s="32"/>
      <c r="H1454" s="32"/>
      <c r="I1454" s="32"/>
      <c r="J1454" s="32"/>
      <c r="K1454" s="32"/>
      <c r="L1454" s="32"/>
      <c r="M1454" s="30"/>
      <c r="N1454" s="32"/>
      <c r="O1454" s="34"/>
      <c r="P1454" s="32"/>
      <c r="Q1454" s="32"/>
      <c r="R1454" s="32"/>
      <c r="S1454" s="32"/>
      <c r="T1454" s="32"/>
      <c r="U1454" s="32"/>
      <c r="V1454" s="31"/>
      <c r="W1454" s="35" t="str">
        <f aca="true">IF(OR(V1454="",AG1454&gt;=8),"",IF(V1454&lt;TODAY(),"Vencida",IF(V1454=TODAY(),"Hoy","")))</f>
        <v/>
      </c>
      <c r="X1454" s="36" t="str">
        <f aca="false">IF(A1454="","",IF(COUNTIF(Seguimiento!$B$2:$B$5001,A1454)=0,"",_xlfn.MAXIFS(Seguimiento!$A$2:$A$5001,Seguimiento!$B$2:$B$5001,A1454)))</f>
        <v/>
      </c>
      <c r="Y1454" s="37" t="str">
        <f aca="true">IF(B1454="","",TODAY()-B1454)</f>
        <v/>
      </c>
      <c r="Z1454" s="38" t="str">
        <f aca="false">IF(OR(O1454="",G1454=""),"",O1454*IFERROR(INDEX(Listas!$B$2:$B$50,MATCH(G1454,Listas!$A$2:$A$50,0)),0))</f>
        <v/>
      </c>
      <c r="AA1454" s="32"/>
      <c r="AB1454" s="32"/>
      <c r="AC1454" s="32"/>
      <c r="AD1454" s="35" t="str">
        <f aca="false">IF(OR(LEFT(H1454,4)="Meta",LEFT(H1454,6)="Google"),IF(AG1454=3,"Lead calificado",IF(OR(AG1454=4,AG1454=5),"Tasación/visita",IF(OR(AG1454=6,AG1454=7),"Captación/oferta",IF(AG1454=8,"Cierre","")))),"")</f>
        <v/>
      </c>
      <c r="AE1454" s="32"/>
      <c r="AF1454" s="32"/>
      <c r="AG1454" s="37" t="n">
        <f aca="false">IF(R1454="",0,IFERROR(MATCH(R1454,Listas!$L$2:$L$50,0),0))</f>
        <v>0</v>
      </c>
    </row>
    <row r="1455" customFormat="false" ht="15" hidden="false" customHeight="false" outlineLevel="0" collapsed="false">
      <c r="A1455" s="30"/>
      <c r="B1455" s="31"/>
      <c r="C1455" s="32"/>
      <c r="D1455" s="32"/>
      <c r="E1455" s="33"/>
      <c r="F1455" s="32"/>
      <c r="G1455" s="32"/>
      <c r="H1455" s="32"/>
      <c r="I1455" s="32"/>
      <c r="J1455" s="32"/>
      <c r="K1455" s="32"/>
      <c r="L1455" s="32"/>
      <c r="M1455" s="30"/>
      <c r="N1455" s="32"/>
      <c r="O1455" s="34"/>
      <c r="P1455" s="32"/>
      <c r="Q1455" s="32"/>
      <c r="R1455" s="32"/>
      <c r="S1455" s="32"/>
      <c r="T1455" s="32"/>
      <c r="U1455" s="32"/>
      <c r="V1455" s="31"/>
      <c r="W1455" s="35" t="str">
        <f aca="true">IF(OR(V1455="",AG1455&gt;=8),"",IF(V1455&lt;TODAY(),"Vencida",IF(V1455=TODAY(),"Hoy","")))</f>
        <v/>
      </c>
      <c r="X1455" s="36" t="str">
        <f aca="false">IF(A1455="","",IF(COUNTIF(Seguimiento!$B$2:$B$5001,A1455)=0,"",_xlfn.MAXIFS(Seguimiento!$A$2:$A$5001,Seguimiento!$B$2:$B$5001,A1455)))</f>
        <v/>
      </c>
      <c r="Y1455" s="37" t="str">
        <f aca="true">IF(B1455="","",TODAY()-B1455)</f>
        <v/>
      </c>
      <c r="Z1455" s="38" t="str">
        <f aca="false">IF(OR(O1455="",G1455=""),"",O1455*IFERROR(INDEX(Listas!$B$2:$B$50,MATCH(G1455,Listas!$A$2:$A$50,0)),0))</f>
        <v/>
      </c>
      <c r="AA1455" s="32"/>
      <c r="AB1455" s="32"/>
      <c r="AC1455" s="32"/>
      <c r="AD1455" s="35" t="str">
        <f aca="false">IF(OR(LEFT(H1455,4)="Meta",LEFT(H1455,6)="Google"),IF(AG1455=3,"Lead calificado",IF(OR(AG1455=4,AG1455=5),"Tasación/visita",IF(OR(AG1455=6,AG1455=7),"Captación/oferta",IF(AG1455=8,"Cierre","")))),"")</f>
        <v/>
      </c>
      <c r="AE1455" s="32"/>
      <c r="AF1455" s="32"/>
      <c r="AG1455" s="37" t="n">
        <f aca="false">IF(R1455="",0,IFERROR(MATCH(R1455,Listas!$L$2:$L$50,0),0))</f>
        <v>0</v>
      </c>
    </row>
    <row r="1456" customFormat="false" ht="15" hidden="false" customHeight="false" outlineLevel="0" collapsed="false">
      <c r="A1456" s="30"/>
      <c r="B1456" s="31"/>
      <c r="C1456" s="32"/>
      <c r="D1456" s="32"/>
      <c r="E1456" s="33"/>
      <c r="F1456" s="32"/>
      <c r="G1456" s="32"/>
      <c r="H1456" s="32"/>
      <c r="I1456" s="32"/>
      <c r="J1456" s="32"/>
      <c r="K1456" s="32"/>
      <c r="L1456" s="32"/>
      <c r="M1456" s="30"/>
      <c r="N1456" s="32"/>
      <c r="O1456" s="34"/>
      <c r="P1456" s="32"/>
      <c r="Q1456" s="32"/>
      <c r="R1456" s="32"/>
      <c r="S1456" s="32"/>
      <c r="T1456" s="32"/>
      <c r="U1456" s="32"/>
      <c r="V1456" s="31"/>
      <c r="W1456" s="35" t="str">
        <f aca="true">IF(OR(V1456="",AG1456&gt;=8),"",IF(V1456&lt;TODAY(),"Vencida",IF(V1456=TODAY(),"Hoy","")))</f>
        <v/>
      </c>
      <c r="X1456" s="36" t="str">
        <f aca="false">IF(A1456="","",IF(COUNTIF(Seguimiento!$B$2:$B$5001,A1456)=0,"",_xlfn.MAXIFS(Seguimiento!$A$2:$A$5001,Seguimiento!$B$2:$B$5001,A1456)))</f>
        <v/>
      </c>
      <c r="Y1456" s="37" t="str">
        <f aca="true">IF(B1456="","",TODAY()-B1456)</f>
        <v/>
      </c>
      <c r="Z1456" s="38" t="str">
        <f aca="false">IF(OR(O1456="",G1456=""),"",O1456*IFERROR(INDEX(Listas!$B$2:$B$50,MATCH(G1456,Listas!$A$2:$A$50,0)),0))</f>
        <v/>
      </c>
      <c r="AA1456" s="32"/>
      <c r="AB1456" s="32"/>
      <c r="AC1456" s="32"/>
      <c r="AD1456" s="35" t="str">
        <f aca="false">IF(OR(LEFT(H1456,4)="Meta",LEFT(H1456,6)="Google"),IF(AG1456=3,"Lead calificado",IF(OR(AG1456=4,AG1456=5),"Tasación/visita",IF(OR(AG1456=6,AG1456=7),"Captación/oferta",IF(AG1456=8,"Cierre","")))),"")</f>
        <v/>
      </c>
      <c r="AE1456" s="32"/>
      <c r="AF1456" s="32"/>
      <c r="AG1456" s="37" t="n">
        <f aca="false">IF(R1456="",0,IFERROR(MATCH(R1456,Listas!$L$2:$L$50,0),0))</f>
        <v>0</v>
      </c>
    </row>
    <row r="1457" customFormat="false" ht="15" hidden="false" customHeight="false" outlineLevel="0" collapsed="false">
      <c r="A1457" s="30"/>
      <c r="B1457" s="31"/>
      <c r="C1457" s="32"/>
      <c r="D1457" s="32"/>
      <c r="E1457" s="33"/>
      <c r="F1457" s="32"/>
      <c r="G1457" s="32"/>
      <c r="H1457" s="32"/>
      <c r="I1457" s="32"/>
      <c r="J1457" s="32"/>
      <c r="K1457" s="32"/>
      <c r="L1457" s="32"/>
      <c r="M1457" s="30"/>
      <c r="N1457" s="32"/>
      <c r="O1457" s="34"/>
      <c r="P1457" s="32"/>
      <c r="Q1457" s="32"/>
      <c r="R1457" s="32"/>
      <c r="S1457" s="32"/>
      <c r="T1457" s="32"/>
      <c r="U1457" s="32"/>
      <c r="V1457" s="31"/>
      <c r="W1457" s="35" t="str">
        <f aca="true">IF(OR(V1457="",AG1457&gt;=8),"",IF(V1457&lt;TODAY(),"Vencida",IF(V1457=TODAY(),"Hoy","")))</f>
        <v/>
      </c>
      <c r="X1457" s="36" t="str">
        <f aca="false">IF(A1457="","",IF(COUNTIF(Seguimiento!$B$2:$B$5001,A1457)=0,"",_xlfn.MAXIFS(Seguimiento!$A$2:$A$5001,Seguimiento!$B$2:$B$5001,A1457)))</f>
        <v/>
      </c>
      <c r="Y1457" s="37" t="str">
        <f aca="true">IF(B1457="","",TODAY()-B1457)</f>
        <v/>
      </c>
      <c r="Z1457" s="38" t="str">
        <f aca="false">IF(OR(O1457="",G1457=""),"",O1457*IFERROR(INDEX(Listas!$B$2:$B$50,MATCH(G1457,Listas!$A$2:$A$50,0)),0))</f>
        <v/>
      </c>
      <c r="AA1457" s="32"/>
      <c r="AB1457" s="32"/>
      <c r="AC1457" s="32"/>
      <c r="AD1457" s="35" t="str">
        <f aca="false">IF(OR(LEFT(H1457,4)="Meta",LEFT(H1457,6)="Google"),IF(AG1457=3,"Lead calificado",IF(OR(AG1457=4,AG1457=5),"Tasación/visita",IF(OR(AG1457=6,AG1457=7),"Captación/oferta",IF(AG1457=8,"Cierre","")))),"")</f>
        <v/>
      </c>
      <c r="AE1457" s="32"/>
      <c r="AF1457" s="32"/>
      <c r="AG1457" s="37" t="n">
        <f aca="false">IF(R1457="",0,IFERROR(MATCH(R1457,Listas!$L$2:$L$50,0),0))</f>
        <v>0</v>
      </c>
    </row>
    <row r="1458" customFormat="false" ht="15" hidden="false" customHeight="false" outlineLevel="0" collapsed="false">
      <c r="A1458" s="30"/>
      <c r="B1458" s="31"/>
      <c r="C1458" s="32"/>
      <c r="D1458" s="32"/>
      <c r="E1458" s="33"/>
      <c r="F1458" s="32"/>
      <c r="G1458" s="32"/>
      <c r="H1458" s="32"/>
      <c r="I1458" s="32"/>
      <c r="J1458" s="32"/>
      <c r="K1458" s="32"/>
      <c r="L1458" s="32"/>
      <c r="M1458" s="30"/>
      <c r="N1458" s="32"/>
      <c r="O1458" s="34"/>
      <c r="P1458" s="32"/>
      <c r="Q1458" s="32"/>
      <c r="R1458" s="32"/>
      <c r="S1458" s="32"/>
      <c r="T1458" s="32"/>
      <c r="U1458" s="32"/>
      <c r="V1458" s="31"/>
      <c r="W1458" s="35" t="str">
        <f aca="true">IF(OR(V1458="",AG1458&gt;=8),"",IF(V1458&lt;TODAY(),"Vencida",IF(V1458=TODAY(),"Hoy","")))</f>
        <v/>
      </c>
      <c r="X1458" s="36" t="str">
        <f aca="false">IF(A1458="","",IF(COUNTIF(Seguimiento!$B$2:$B$5001,A1458)=0,"",_xlfn.MAXIFS(Seguimiento!$A$2:$A$5001,Seguimiento!$B$2:$B$5001,A1458)))</f>
        <v/>
      </c>
      <c r="Y1458" s="37" t="str">
        <f aca="true">IF(B1458="","",TODAY()-B1458)</f>
        <v/>
      </c>
      <c r="Z1458" s="38" t="str">
        <f aca="false">IF(OR(O1458="",G1458=""),"",O1458*IFERROR(INDEX(Listas!$B$2:$B$50,MATCH(G1458,Listas!$A$2:$A$50,0)),0))</f>
        <v/>
      </c>
      <c r="AA1458" s="32"/>
      <c r="AB1458" s="32"/>
      <c r="AC1458" s="32"/>
      <c r="AD1458" s="35" t="str">
        <f aca="false">IF(OR(LEFT(H1458,4)="Meta",LEFT(H1458,6)="Google"),IF(AG1458=3,"Lead calificado",IF(OR(AG1458=4,AG1458=5),"Tasación/visita",IF(OR(AG1458=6,AG1458=7),"Captación/oferta",IF(AG1458=8,"Cierre","")))),"")</f>
        <v/>
      </c>
      <c r="AE1458" s="32"/>
      <c r="AF1458" s="32"/>
      <c r="AG1458" s="37" t="n">
        <f aca="false">IF(R1458="",0,IFERROR(MATCH(R1458,Listas!$L$2:$L$50,0),0))</f>
        <v>0</v>
      </c>
    </row>
    <row r="1459" customFormat="false" ht="15" hidden="false" customHeight="false" outlineLevel="0" collapsed="false">
      <c r="A1459" s="30"/>
      <c r="B1459" s="31"/>
      <c r="C1459" s="32"/>
      <c r="D1459" s="32"/>
      <c r="E1459" s="33"/>
      <c r="F1459" s="32"/>
      <c r="G1459" s="32"/>
      <c r="H1459" s="32"/>
      <c r="I1459" s="32"/>
      <c r="J1459" s="32"/>
      <c r="K1459" s="32"/>
      <c r="L1459" s="32"/>
      <c r="M1459" s="30"/>
      <c r="N1459" s="32"/>
      <c r="O1459" s="34"/>
      <c r="P1459" s="32"/>
      <c r="Q1459" s="32"/>
      <c r="R1459" s="32"/>
      <c r="S1459" s="32"/>
      <c r="T1459" s="32"/>
      <c r="U1459" s="32"/>
      <c r="V1459" s="31"/>
      <c r="W1459" s="35" t="str">
        <f aca="true">IF(OR(V1459="",AG1459&gt;=8),"",IF(V1459&lt;TODAY(),"Vencida",IF(V1459=TODAY(),"Hoy","")))</f>
        <v/>
      </c>
      <c r="X1459" s="36" t="str">
        <f aca="false">IF(A1459="","",IF(COUNTIF(Seguimiento!$B$2:$B$5001,A1459)=0,"",_xlfn.MAXIFS(Seguimiento!$A$2:$A$5001,Seguimiento!$B$2:$B$5001,A1459)))</f>
        <v/>
      </c>
      <c r="Y1459" s="37" t="str">
        <f aca="true">IF(B1459="","",TODAY()-B1459)</f>
        <v/>
      </c>
      <c r="Z1459" s="38" t="str">
        <f aca="false">IF(OR(O1459="",G1459=""),"",O1459*IFERROR(INDEX(Listas!$B$2:$B$50,MATCH(G1459,Listas!$A$2:$A$50,0)),0))</f>
        <v/>
      </c>
      <c r="AA1459" s="32"/>
      <c r="AB1459" s="32"/>
      <c r="AC1459" s="32"/>
      <c r="AD1459" s="35" t="str">
        <f aca="false">IF(OR(LEFT(H1459,4)="Meta",LEFT(H1459,6)="Google"),IF(AG1459=3,"Lead calificado",IF(OR(AG1459=4,AG1459=5),"Tasación/visita",IF(OR(AG1459=6,AG1459=7),"Captación/oferta",IF(AG1459=8,"Cierre","")))),"")</f>
        <v/>
      </c>
      <c r="AE1459" s="32"/>
      <c r="AF1459" s="32"/>
      <c r="AG1459" s="37" t="n">
        <f aca="false">IF(R1459="",0,IFERROR(MATCH(R1459,Listas!$L$2:$L$50,0),0))</f>
        <v>0</v>
      </c>
    </row>
    <row r="1460" customFormat="false" ht="15" hidden="false" customHeight="false" outlineLevel="0" collapsed="false">
      <c r="A1460" s="30"/>
      <c r="B1460" s="31"/>
      <c r="C1460" s="32"/>
      <c r="D1460" s="32"/>
      <c r="E1460" s="33"/>
      <c r="F1460" s="32"/>
      <c r="G1460" s="32"/>
      <c r="H1460" s="32"/>
      <c r="I1460" s="32"/>
      <c r="J1460" s="32"/>
      <c r="K1460" s="32"/>
      <c r="L1460" s="32"/>
      <c r="M1460" s="30"/>
      <c r="N1460" s="32"/>
      <c r="O1460" s="34"/>
      <c r="P1460" s="32"/>
      <c r="Q1460" s="32"/>
      <c r="R1460" s="32"/>
      <c r="S1460" s="32"/>
      <c r="T1460" s="32"/>
      <c r="U1460" s="32"/>
      <c r="V1460" s="31"/>
      <c r="W1460" s="35" t="str">
        <f aca="true">IF(OR(V1460="",AG1460&gt;=8),"",IF(V1460&lt;TODAY(),"Vencida",IF(V1460=TODAY(),"Hoy","")))</f>
        <v/>
      </c>
      <c r="X1460" s="36" t="str">
        <f aca="false">IF(A1460="","",IF(COUNTIF(Seguimiento!$B$2:$B$5001,A1460)=0,"",_xlfn.MAXIFS(Seguimiento!$A$2:$A$5001,Seguimiento!$B$2:$B$5001,A1460)))</f>
        <v/>
      </c>
      <c r="Y1460" s="37" t="str">
        <f aca="true">IF(B1460="","",TODAY()-B1460)</f>
        <v/>
      </c>
      <c r="Z1460" s="38" t="str">
        <f aca="false">IF(OR(O1460="",G1460=""),"",O1460*IFERROR(INDEX(Listas!$B$2:$B$50,MATCH(G1460,Listas!$A$2:$A$50,0)),0))</f>
        <v/>
      </c>
      <c r="AA1460" s="32"/>
      <c r="AB1460" s="32"/>
      <c r="AC1460" s="32"/>
      <c r="AD1460" s="35" t="str">
        <f aca="false">IF(OR(LEFT(H1460,4)="Meta",LEFT(H1460,6)="Google"),IF(AG1460=3,"Lead calificado",IF(OR(AG1460=4,AG1460=5),"Tasación/visita",IF(OR(AG1460=6,AG1460=7),"Captación/oferta",IF(AG1460=8,"Cierre","")))),"")</f>
        <v/>
      </c>
      <c r="AE1460" s="32"/>
      <c r="AF1460" s="32"/>
      <c r="AG1460" s="37" t="n">
        <f aca="false">IF(R1460="",0,IFERROR(MATCH(R1460,Listas!$L$2:$L$50,0),0))</f>
        <v>0</v>
      </c>
    </row>
    <row r="1461" customFormat="false" ht="15" hidden="false" customHeight="false" outlineLevel="0" collapsed="false">
      <c r="A1461" s="30"/>
      <c r="B1461" s="31"/>
      <c r="C1461" s="32"/>
      <c r="D1461" s="32"/>
      <c r="E1461" s="33"/>
      <c r="F1461" s="32"/>
      <c r="G1461" s="32"/>
      <c r="H1461" s="32"/>
      <c r="I1461" s="32"/>
      <c r="J1461" s="32"/>
      <c r="K1461" s="32"/>
      <c r="L1461" s="32"/>
      <c r="M1461" s="30"/>
      <c r="N1461" s="32"/>
      <c r="O1461" s="34"/>
      <c r="P1461" s="32"/>
      <c r="Q1461" s="32"/>
      <c r="R1461" s="32"/>
      <c r="S1461" s="32"/>
      <c r="T1461" s="32"/>
      <c r="U1461" s="32"/>
      <c r="V1461" s="31"/>
      <c r="W1461" s="35" t="str">
        <f aca="true">IF(OR(V1461="",AG1461&gt;=8),"",IF(V1461&lt;TODAY(),"Vencida",IF(V1461=TODAY(),"Hoy","")))</f>
        <v/>
      </c>
      <c r="X1461" s="36" t="str">
        <f aca="false">IF(A1461="","",IF(COUNTIF(Seguimiento!$B$2:$B$5001,A1461)=0,"",_xlfn.MAXIFS(Seguimiento!$A$2:$A$5001,Seguimiento!$B$2:$B$5001,A1461)))</f>
        <v/>
      </c>
      <c r="Y1461" s="37" t="str">
        <f aca="true">IF(B1461="","",TODAY()-B1461)</f>
        <v/>
      </c>
      <c r="Z1461" s="38" t="str">
        <f aca="false">IF(OR(O1461="",G1461=""),"",O1461*IFERROR(INDEX(Listas!$B$2:$B$50,MATCH(G1461,Listas!$A$2:$A$50,0)),0))</f>
        <v/>
      </c>
      <c r="AA1461" s="32"/>
      <c r="AB1461" s="32"/>
      <c r="AC1461" s="32"/>
      <c r="AD1461" s="35" t="str">
        <f aca="false">IF(OR(LEFT(H1461,4)="Meta",LEFT(H1461,6)="Google"),IF(AG1461=3,"Lead calificado",IF(OR(AG1461=4,AG1461=5),"Tasación/visita",IF(OR(AG1461=6,AG1461=7),"Captación/oferta",IF(AG1461=8,"Cierre","")))),"")</f>
        <v/>
      </c>
      <c r="AE1461" s="32"/>
      <c r="AF1461" s="32"/>
      <c r="AG1461" s="37" t="n">
        <f aca="false">IF(R1461="",0,IFERROR(MATCH(R1461,Listas!$L$2:$L$50,0),0))</f>
        <v>0</v>
      </c>
    </row>
    <row r="1462" customFormat="false" ht="15" hidden="false" customHeight="false" outlineLevel="0" collapsed="false">
      <c r="A1462" s="30"/>
      <c r="B1462" s="31"/>
      <c r="C1462" s="32"/>
      <c r="D1462" s="32"/>
      <c r="E1462" s="33"/>
      <c r="F1462" s="32"/>
      <c r="G1462" s="32"/>
      <c r="H1462" s="32"/>
      <c r="I1462" s="32"/>
      <c r="J1462" s="32"/>
      <c r="K1462" s="32"/>
      <c r="L1462" s="32"/>
      <c r="M1462" s="30"/>
      <c r="N1462" s="32"/>
      <c r="O1462" s="34"/>
      <c r="P1462" s="32"/>
      <c r="Q1462" s="32"/>
      <c r="R1462" s="32"/>
      <c r="S1462" s="32"/>
      <c r="T1462" s="32"/>
      <c r="U1462" s="32"/>
      <c r="V1462" s="31"/>
      <c r="W1462" s="35" t="str">
        <f aca="true">IF(OR(V1462="",AG1462&gt;=8),"",IF(V1462&lt;TODAY(),"Vencida",IF(V1462=TODAY(),"Hoy","")))</f>
        <v/>
      </c>
      <c r="X1462" s="36" t="str">
        <f aca="false">IF(A1462="","",IF(COUNTIF(Seguimiento!$B$2:$B$5001,A1462)=0,"",_xlfn.MAXIFS(Seguimiento!$A$2:$A$5001,Seguimiento!$B$2:$B$5001,A1462)))</f>
        <v/>
      </c>
      <c r="Y1462" s="37" t="str">
        <f aca="true">IF(B1462="","",TODAY()-B1462)</f>
        <v/>
      </c>
      <c r="Z1462" s="38" t="str">
        <f aca="false">IF(OR(O1462="",G1462=""),"",O1462*IFERROR(INDEX(Listas!$B$2:$B$50,MATCH(G1462,Listas!$A$2:$A$50,0)),0))</f>
        <v/>
      </c>
      <c r="AA1462" s="32"/>
      <c r="AB1462" s="32"/>
      <c r="AC1462" s="32"/>
      <c r="AD1462" s="35" t="str">
        <f aca="false">IF(OR(LEFT(H1462,4)="Meta",LEFT(H1462,6)="Google"),IF(AG1462=3,"Lead calificado",IF(OR(AG1462=4,AG1462=5),"Tasación/visita",IF(OR(AG1462=6,AG1462=7),"Captación/oferta",IF(AG1462=8,"Cierre","")))),"")</f>
        <v/>
      </c>
      <c r="AE1462" s="32"/>
      <c r="AF1462" s="32"/>
      <c r="AG1462" s="37" t="n">
        <f aca="false">IF(R1462="",0,IFERROR(MATCH(R1462,Listas!$L$2:$L$50,0),0))</f>
        <v>0</v>
      </c>
    </row>
    <row r="1463" customFormat="false" ht="15" hidden="false" customHeight="false" outlineLevel="0" collapsed="false">
      <c r="A1463" s="30"/>
      <c r="B1463" s="31"/>
      <c r="C1463" s="32"/>
      <c r="D1463" s="32"/>
      <c r="E1463" s="33"/>
      <c r="F1463" s="32"/>
      <c r="G1463" s="32"/>
      <c r="H1463" s="32"/>
      <c r="I1463" s="32"/>
      <c r="J1463" s="32"/>
      <c r="K1463" s="32"/>
      <c r="L1463" s="32"/>
      <c r="M1463" s="30"/>
      <c r="N1463" s="32"/>
      <c r="O1463" s="34"/>
      <c r="P1463" s="32"/>
      <c r="Q1463" s="32"/>
      <c r="R1463" s="32"/>
      <c r="S1463" s="32"/>
      <c r="T1463" s="32"/>
      <c r="U1463" s="32"/>
      <c r="V1463" s="31"/>
      <c r="W1463" s="35" t="str">
        <f aca="true">IF(OR(V1463="",AG1463&gt;=8),"",IF(V1463&lt;TODAY(),"Vencida",IF(V1463=TODAY(),"Hoy","")))</f>
        <v/>
      </c>
      <c r="X1463" s="36" t="str">
        <f aca="false">IF(A1463="","",IF(COUNTIF(Seguimiento!$B$2:$B$5001,A1463)=0,"",_xlfn.MAXIFS(Seguimiento!$A$2:$A$5001,Seguimiento!$B$2:$B$5001,A1463)))</f>
        <v/>
      </c>
      <c r="Y1463" s="37" t="str">
        <f aca="true">IF(B1463="","",TODAY()-B1463)</f>
        <v/>
      </c>
      <c r="Z1463" s="38" t="str">
        <f aca="false">IF(OR(O1463="",G1463=""),"",O1463*IFERROR(INDEX(Listas!$B$2:$B$50,MATCH(G1463,Listas!$A$2:$A$50,0)),0))</f>
        <v/>
      </c>
      <c r="AA1463" s="32"/>
      <c r="AB1463" s="32"/>
      <c r="AC1463" s="32"/>
      <c r="AD1463" s="35" t="str">
        <f aca="false">IF(OR(LEFT(H1463,4)="Meta",LEFT(H1463,6)="Google"),IF(AG1463=3,"Lead calificado",IF(OR(AG1463=4,AG1463=5),"Tasación/visita",IF(OR(AG1463=6,AG1463=7),"Captación/oferta",IF(AG1463=8,"Cierre","")))),"")</f>
        <v/>
      </c>
      <c r="AE1463" s="32"/>
      <c r="AF1463" s="32"/>
      <c r="AG1463" s="37" t="n">
        <f aca="false">IF(R1463="",0,IFERROR(MATCH(R1463,Listas!$L$2:$L$50,0),0))</f>
        <v>0</v>
      </c>
    </row>
    <row r="1464" customFormat="false" ht="15" hidden="false" customHeight="false" outlineLevel="0" collapsed="false">
      <c r="A1464" s="30"/>
      <c r="B1464" s="31"/>
      <c r="C1464" s="32"/>
      <c r="D1464" s="32"/>
      <c r="E1464" s="33"/>
      <c r="F1464" s="32"/>
      <c r="G1464" s="32"/>
      <c r="H1464" s="32"/>
      <c r="I1464" s="32"/>
      <c r="J1464" s="32"/>
      <c r="K1464" s="32"/>
      <c r="L1464" s="32"/>
      <c r="M1464" s="30"/>
      <c r="N1464" s="32"/>
      <c r="O1464" s="34"/>
      <c r="P1464" s="32"/>
      <c r="Q1464" s="32"/>
      <c r="R1464" s="32"/>
      <c r="S1464" s="32"/>
      <c r="T1464" s="32"/>
      <c r="U1464" s="32"/>
      <c r="V1464" s="31"/>
      <c r="W1464" s="35" t="str">
        <f aca="true">IF(OR(V1464="",AG1464&gt;=8),"",IF(V1464&lt;TODAY(),"Vencida",IF(V1464=TODAY(),"Hoy","")))</f>
        <v/>
      </c>
      <c r="X1464" s="36" t="str">
        <f aca="false">IF(A1464="","",IF(COUNTIF(Seguimiento!$B$2:$B$5001,A1464)=0,"",_xlfn.MAXIFS(Seguimiento!$A$2:$A$5001,Seguimiento!$B$2:$B$5001,A1464)))</f>
        <v/>
      </c>
      <c r="Y1464" s="37" t="str">
        <f aca="true">IF(B1464="","",TODAY()-B1464)</f>
        <v/>
      </c>
      <c r="Z1464" s="38" t="str">
        <f aca="false">IF(OR(O1464="",G1464=""),"",O1464*IFERROR(INDEX(Listas!$B$2:$B$50,MATCH(G1464,Listas!$A$2:$A$50,0)),0))</f>
        <v/>
      </c>
      <c r="AA1464" s="32"/>
      <c r="AB1464" s="32"/>
      <c r="AC1464" s="32"/>
      <c r="AD1464" s="35" t="str">
        <f aca="false">IF(OR(LEFT(H1464,4)="Meta",LEFT(H1464,6)="Google"),IF(AG1464=3,"Lead calificado",IF(OR(AG1464=4,AG1464=5),"Tasación/visita",IF(OR(AG1464=6,AG1464=7),"Captación/oferta",IF(AG1464=8,"Cierre","")))),"")</f>
        <v/>
      </c>
      <c r="AE1464" s="32"/>
      <c r="AF1464" s="32"/>
      <c r="AG1464" s="37" t="n">
        <f aca="false">IF(R1464="",0,IFERROR(MATCH(R1464,Listas!$L$2:$L$50,0),0))</f>
        <v>0</v>
      </c>
    </row>
    <row r="1465" customFormat="false" ht="15" hidden="false" customHeight="false" outlineLevel="0" collapsed="false">
      <c r="A1465" s="30"/>
      <c r="B1465" s="31"/>
      <c r="C1465" s="32"/>
      <c r="D1465" s="32"/>
      <c r="E1465" s="33"/>
      <c r="F1465" s="32"/>
      <c r="G1465" s="32"/>
      <c r="H1465" s="32"/>
      <c r="I1465" s="32"/>
      <c r="J1465" s="32"/>
      <c r="K1465" s="32"/>
      <c r="L1465" s="32"/>
      <c r="M1465" s="30"/>
      <c r="N1465" s="32"/>
      <c r="O1465" s="34"/>
      <c r="P1465" s="32"/>
      <c r="Q1465" s="32"/>
      <c r="R1465" s="32"/>
      <c r="S1465" s="32"/>
      <c r="T1465" s="32"/>
      <c r="U1465" s="32"/>
      <c r="V1465" s="31"/>
      <c r="W1465" s="35" t="str">
        <f aca="true">IF(OR(V1465="",AG1465&gt;=8),"",IF(V1465&lt;TODAY(),"Vencida",IF(V1465=TODAY(),"Hoy","")))</f>
        <v/>
      </c>
      <c r="X1465" s="36" t="str">
        <f aca="false">IF(A1465="","",IF(COUNTIF(Seguimiento!$B$2:$B$5001,A1465)=0,"",_xlfn.MAXIFS(Seguimiento!$A$2:$A$5001,Seguimiento!$B$2:$B$5001,A1465)))</f>
        <v/>
      </c>
      <c r="Y1465" s="37" t="str">
        <f aca="true">IF(B1465="","",TODAY()-B1465)</f>
        <v/>
      </c>
      <c r="Z1465" s="38" t="str">
        <f aca="false">IF(OR(O1465="",G1465=""),"",O1465*IFERROR(INDEX(Listas!$B$2:$B$50,MATCH(G1465,Listas!$A$2:$A$50,0)),0))</f>
        <v/>
      </c>
      <c r="AA1465" s="32"/>
      <c r="AB1465" s="32"/>
      <c r="AC1465" s="32"/>
      <c r="AD1465" s="35" t="str">
        <f aca="false">IF(OR(LEFT(H1465,4)="Meta",LEFT(H1465,6)="Google"),IF(AG1465=3,"Lead calificado",IF(OR(AG1465=4,AG1465=5),"Tasación/visita",IF(OR(AG1465=6,AG1465=7),"Captación/oferta",IF(AG1465=8,"Cierre","")))),"")</f>
        <v/>
      </c>
      <c r="AE1465" s="32"/>
      <c r="AF1465" s="32"/>
      <c r="AG1465" s="37" t="n">
        <f aca="false">IF(R1465="",0,IFERROR(MATCH(R1465,Listas!$L$2:$L$50,0),0))</f>
        <v>0</v>
      </c>
    </row>
    <row r="1466" customFormat="false" ht="15" hidden="false" customHeight="false" outlineLevel="0" collapsed="false">
      <c r="A1466" s="30"/>
      <c r="B1466" s="31"/>
      <c r="C1466" s="32"/>
      <c r="D1466" s="32"/>
      <c r="E1466" s="33"/>
      <c r="F1466" s="32"/>
      <c r="G1466" s="32"/>
      <c r="H1466" s="32"/>
      <c r="I1466" s="32"/>
      <c r="J1466" s="32"/>
      <c r="K1466" s="32"/>
      <c r="L1466" s="32"/>
      <c r="M1466" s="30"/>
      <c r="N1466" s="32"/>
      <c r="O1466" s="34"/>
      <c r="P1466" s="32"/>
      <c r="Q1466" s="32"/>
      <c r="R1466" s="32"/>
      <c r="S1466" s="32"/>
      <c r="T1466" s="32"/>
      <c r="U1466" s="32"/>
      <c r="V1466" s="31"/>
      <c r="W1466" s="35" t="str">
        <f aca="true">IF(OR(V1466="",AG1466&gt;=8),"",IF(V1466&lt;TODAY(),"Vencida",IF(V1466=TODAY(),"Hoy","")))</f>
        <v/>
      </c>
      <c r="X1466" s="36" t="str">
        <f aca="false">IF(A1466="","",IF(COUNTIF(Seguimiento!$B$2:$B$5001,A1466)=0,"",_xlfn.MAXIFS(Seguimiento!$A$2:$A$5001,Seguimiento!$B$2:$B$5001,A1466)))</f>
        <v/>
      </c>
      <c r="Y1466" s="37" t="str">
        <f aca="true">IF(B1466="","",TODAY()-B1466)</f>
        <v/>
      </c>
      <c r="Z1466" s="38" t="str">
        <f aca="false">IF(OR(O1466="",G1466=""),"",O1466*IFERROR(INDEX(Listas!$B$2:$B$50,MATCH(G1466,Listas!$A$2:$A$50,0)),0))</f>
        <v/>
      </c>
      <c r="AA1466" s="32"/>
      <c r="AB1466" s="32"/>
      <c r="AC1466" s="32"/>
      <c r="AD1466" s="35" t="str">
        <f aca="false">IF(OR(LEFT(H1466,4)="Meta",LEFT(H1466,6)="Google"),IF(AG1466=3,"Lead calificado",IF(OR(AG1466=4,AG1466=5),"Tasación/visita",IF(OR(AG1466=6,AG1466=7),"Captación/oferta",IF(AG1466=8,"Cierre","")))),"")</f>
        <v/>
      </c>
      <c r="AE1466" s="32"/>
      <c r="AF1466" s="32"/>
      <c r="AG1466" s="37" t="n">
        <f aca="false">IF(R1466="",0,IFERROR(MATCH(R1466,Listas!$L$2:$L$50,0),0))</f>
        <v>0</v>
      </c>
    </row>
    <row r="1467" customFormat="false" ht="15" hidden="false" customHeight="false" outlineLevel="0" collapsed="false">
      <c r="A1467" s="30"/>
      <c r="B1467" s="31"/>
      <c r="C1467" s="32"/>
      <c r="D1467" s="32"/>
      <c r="E1467" s="33"/>
      <c r="F1467" s="32"/>
      <c r="G1467" s="32"/>
      <c r="H1467" s="32"/>
      <c r="I1467" s="32"/>
      <c r="J1467" s="32"/>
      <c r="K1467" s="32"/>
      <c r="L1467" s="32"/>
      <c r="M1467" s="30"/>
      <c r="N1467" s="32"/>
      <c r="O1467" s="34"/>
      <c r="P1467" s="32"/>
      <c r="Q1467" s="32"/>
      <c r="R1467" s="32"/>
      <c r="S1467" s="32"/>
      <c r="T1467" s="32"/>
      <c r="U1467" s="32"/>
      <c r="V1467" s="31"/>
      <c r="W1467" s="35" t="str">
        <f aca="true">IF(OR(V1467="",AG1467&gt;=8),"",IF(V1467&lt;TODAY(),"Vencida",IF(V1467=TODAY(),"Hoy","")))</f>
        <v/>
      </c>
      <c r="X1467" s="36" t="str">
        <f aca="false">IF(A1467="","",IF(COUNTIF(Seguimiento!$B$2:$B$5001,A1467)=0,"",_xlfn.MAXIFS(Seguimiento!$A$2:$A$5001,Seguimiento!$B$2:$B$5001,A1467)))</f>
        <v/>
      </c>
      <c r="Y1467" s="37" t="str">
        <f aca="true">IF(B1467="","",TODAY()-B1467)</f>
        <v/>
      </c>
      <c r="Z1467" s="38" t="str">
        <f aca="false">IF(OR(O1467="",G1467=""),"",O1467*IFERROR(INDEX(Listas!$B$2:$B$50,MATCH(G1467,Listas!$A$2:$A$50,0)),0))</f>
        <v/>
      </c>
      <c r="AA1467" s="32"/>
      <c r="AB1467" s="32"/>
      <c r="AC1467" s="32"/>
      <c r="AD1467" s="35" t="str">
        <f aca="false">IF(OR(LEFT(H1467,4)="Meta",LEFT(H1467,6)="Google"),IF(AG1467=3,"Lead calificado",IF(OR(AG1467=4,AG1467=5),"Tasación/visita",IF(OR(AG1467=6,AG1467=7),"Captación/oferta",IF(AG1467=8,"Cierre","")))),"")</f>
        <v/>
      </c>
      <c r="AE1467" s="32"/>
      <c r="AF1467" s="32"/>
      <c r="AG1467" s="37" t="n">
        <f aca="false">IF(R1467="",0,IFERROR(MATCH(R1467,Listas!$L$2:$L$50,0),0))</f>
        <v>0</v>
      </c>
    </row>
    <row r="1468" customFormat="false" ht="15" hidden="false" customHeight="false" outlineLevel="0" collapsed="false">
      <c r="A1468" s="30"/>
      <c r="B1468" s="31"/>
      <c r="C1468" s="32"/>
      <c r="D1468" s="32"/>
      <c r="E1468" s="33"/>
      <c r="F1468" s="32"/>
      <c r="G1468" s="32"/>
      <c r="H1468" s="32"/>
      <c r="I1468" s="32"/>
      <c r="J1468" s="32"/>
      <c r="K1468" s="32"/>
      <c r="L1468" s="32"/>
      <c r="M1468" s="30"/>
      <c r="N1468" s="32"/>
      <c r="O1468" s="34"/>
      <c r="P1468" s="32"/>
      <c r="Q1468" s="32"/>
      <c r="R1468" s="32"/>
      <c r="S1468" s="32"/>
      <c r="T1468" s="32"/>
      <c r="U1468" s="32"/>
      <c r="V1468" s="31"/>
      <c r="W1468" s="35" t="str">
        <f aca="true">IF(OR(V1468="",AG1468&gt;=8),"",IF(V1468&lt;TODAY(),"Vencida",IF(V1468=TODAY(),"Hoy","")))</f>
        <v/>
      </c>
      <c r="X1468" s="36" t="str">
        <f aca="false">IF(A1468="","",IF(COUNTIF(Seguimiento!$B$2:$B$5001,A1468)=0,"",_xlfn.MAXIFS(Seguimiento!$A$2:$A$5001,Seguimiento!$B$2:$B$5001,A1468)))</f>
        <v/>
      </c>
      <c r="Y1468" s="37" t="str">
        <f aca="true">IF(B1468="","",TODAY()-B1468)</f>
        <v/>
      </c>
      <c r="Z1468" s="38" t="str">
        <f aca="false">IF(OR(O1468="",G1468=""),"",O1468*IFERROR(INDEX(Listas!$B$2:$B$50,MATCH(G1468,Listas!$A$2:$A$50,0)),0))</f>
        <v/>
      </c>
      <c r="AA1468" s="32"/>
      <c r="AB1468" s="32"/>
      <c r="AC1468" s="32"/>
      <c r="AD1468" s="35" t="str">
        <f aca="false">IF(OR(LEFT(H1468,4)="Meta",LEFT(H1468,6)="Google"),IF(AG1468=3,"Lead calificado",IF(OR(AG1468=4,AG1468=5),"Tasación/visita",IF(OR(AG1468=6,AG1468=7),"Captación/oferta",IF(AG1468=8,"Cierre","")))),"")</f>
        <v/>
      </c>
      <c r="AE1468" s="32"/>
      <c r="AF1468" s="32"/>
      <c r="AG1468" s="37" t="n">
        <f aca="false">IF(R1468="",0,IFERROR(MATCH(R1468,Listas!$L$2:$L$50,0),0))</f>
        <v>0</v>
      </c>
    </row>
    <row r="1469" customFormat="false" ht="15" hidden="false" customHeight="false" outlineLevel="0" collapsed="false">
      <c r="A1469" s="30"/>
      <c r="B1469" s="31"/>
      <c r="C1469" s="32"/>
      <c r="D1469" s="32"/>
      <c r="E1469" s="33"/>
      <c r="F1469" s="32"/>
      <c r="G1469" s="32"/>
      <c r="H1469" s="32"/>
      <c r="I1469" s="32"/>
      <c r="J1469" s="32"/>
      <c r="K1469" s="32"/>
      <c r="L1469" s="32"/>
      <c r="M1469" s="30"/>
      <c r="N1469" s="32"/>
      <c r="O1469" s="34"/>
      <c r="P1469" s="32"/>
      <c r="Q1469" s="32"/>
      <c r="R1469" s="32"/>
      <c r="S1469" s="32"/>
      <c r="T1469" s="32"/>
      <c r="U1469" s="32"/>
      <c r="V1469" s="31"/>
      <c r="W1469" s="35" t="str">
        <f aca="true">IF(OR(V1469="",AG1469&gt;=8),"",IF(V1469&lt;TODAY(),"Vencida",IF(V1469=TODAY(),"Hoy","")))</f>
        <v/>
      </c>
      <c r="X1469" s="36" t="str">
        <f aca="false">IF(A1469="","",IF(COUNTIF(Seguimiento!$B$2:$B$5001,A1469)=0,"",_xlfn.MAXIFS(Seguimiento!$A$2:$A$5001,Seguimiento!$B$2:$B$5001,A1469)))</f>
        <v/>
      </c>
      <c r="Y1469" s="37" t="str">
        <f aca="true">IF(B1469="","",TODAY()-B1469)</f>
        <v/>
      </c>
      <c r="Z1469" s="38" t="str">
        <f aca="false">IF(OR(O1469="",G1469=""),"",O1469*IFERROR(INDEX(Listas!$B$2:$B$50,MATCH(G1469,Listas!$A$2:$A$50,0)),0))</f>
        <v/>
      </c>
      <c r="AA1469" s="32"/>
      <c r="AB1469" s="32"/>
      <c r="AC1469" s="32"/>
      <c r="AD1469" s="35" t="str">
        <f aca="false">IF(OR(LEFT(H1469,4)="Meta",LEFT(H1469,6)="Google"),IF(AG1469=3,"Lead calificado",IF(OR(AG1469=4,AG1469=5),"Tasación/visita",IF(OR(AG1469=6,AG1469=7),"Captación/oferta",IF(AG1469=8,"Cierre","")))),"")</f>
        <v/>
      </c>
      <c r="AE1469" s="32"/>
      <c r="AF1469" s="32"/>
      <c r="AG1469" s="37" t="n">
        <f aca="false">IF(R1469="",0,IFERROR(MATCH(R1469,Listas!$L$2:$L$50,0),0))</f>
        <v>0</v>
      </c>
    </row>
    <row r="1470" customFormat="false" ht="15" hidden="false" customHeight="false" outlineLevel="0" collapsed="false">
      <c r="A1470" s="30"/>
      <c r="B1470" s="31"/>
      <c r="C1470" s="32"/>
      <c r="D1470" s="32"/>
      <c r="E1470" s="33"/>
      <c r="F1470" s="32"/>
      <c r="G1470" s="32"/>
      <c r="H1470" s="32"/>
      <c r="I1470" s="32"/>
      <c r="J1470" s="32"/>
      <c r="K1470" s="32"/>
      <c r="L1470" s="32"/>
      <c r="M1470" s="30"/>
      <c r="N1470" s="32"/>
      <c r="O1470" s="34"/>
      <c r="P1470" s="32"/>
      <c r="Q1470" s="32"/>
      <c r="R1470" s="32"/>
      <c r="S1470" s="32"/>
      <c r="T1470" s="32"/>
      <c r="U1470" s="32"/>
      <c r="V1470" s="31"/>
      <c r="W1470" s="35" t="str">
        <f aca="true">IF(OR(V1470="",AG1470&gt;=8),"",IF(V1470&lt;TODAY(),"Vencida",IF(V1470=TODAY(),"Hoy","")))</f>
        <v/>
      </c>
      <c r="X1470" s="36" t="str">
        <f aca="false">IF(A1470="","",IF(COUNTIF(Seguimiento!$B$2:$B$5001,A1470)=0,"",_xlfn.MAXIFS(Seguimiento!$A$2:$A$5001,Seguimiento!$B$2:$B$5001,A1470)))</f>
        <v/>
      </c>
      <c r="Y1470" s="37" t="str">
        <f aca="true">IF(B1470="","",TODAY()-B1470)</f>
        <v/>
      </c>
      <c r="Z1470" s="38" t="str">
        <f aca="false">IF(OR(O1470="",G1470=""),"",O1470*IFERROR(INDEX(Listas!$B$2:$B$50,MATCH(G1470,Listas!$A$2:$A$50,0)),0))</f>
        <v/>
      </c>
      <c r="AA1470" s="32"/>
      <c r="AB1470" s="32"/>
      <c r="AC1470" s="32"/>
      <c r="AD1470" s="35" t="str">
        <f aca="false">IF(OR(LEFT(H1470,4)="Meta",LEFT(H1470,6)="Google"),IF(AG1470=3,"Lead calificado",IF(OR(AG1470=4,AG1470=5),"Tasación/visita",IF(OR(AG1470=6,AG1470=7),"Captación/oferta",IF(AG1470=8,"Cierre","")))),"")</f>
        <v/>
      </c>
      <c r="AE1470" s="32"/>
      <c r="AF1470" s="32"/>
      <c r="AG1470" s="37" t="n">
        <f aca="false">IF(R1470="",0,IFERROR(MATCH(R1470,Listas!$L$2:$L$50,0),0))</f>
        <v>0</v>
      </c>
    </row>
    <row r="1471" customFormat="false" ht="15" hidden="false" customHeight="false" outlineLevel="0" collapsed="false">
      <c r="A1471" s="30"/>
      <c r="B1471" s="31"/>
      <c r="C1471" s="32"/>
      <c r="D1471" s="32"/>
      <c r="E1471" s="33"/>
      <c r="F1471" s="32"/>
      <c r="G1471" s="32"/>
      <c r="H1471" s="32"/>
      <c r="I1471" s="32"/>
      <c r="J1471" s="32"/>
      <c r="K1471" s="32"/>
      <c r="L1471" s="32"/>
      <c r="M1471" s="30"/>
      <c r="N1471" s="32"/>
      <c r="O1471" s="34"/>
      <c r="P1471" s="32"/>
      <c r="Q1471" s="32"/>
      <c r="R1471" s="32"/>
      <c r="S1471" s="32"/>
      <c r="T1471" s="32"/>
      <c r="U1471" s="32"/>
      <c r="V1471" s="31"/>
      <c r="W1471" s="35" t="str">
        <f aca="true">IF(OR(V1471="",AG1471&gt;=8),"",IF(V1471&lt;TODAY(),"Vencida",IF(V1471=TODAY(),"Hoy","")))</f>
        <v/>
      </c>
      <c r="X1471" s="36" t="str">
        <f aca="false">IF(A1471="","",IF(COUNTIF(Seguimiento!$B$2:$B$5001,A1471)=0,"",_xlfn.MAXIFS(Seguimiento!$A$2:$A$5001,Seguimiento!$B$2:$B$5001,A1471)))</f>
        <v/>
      </c>
      <c r="Y1471" s="37" t="str">
        <f aca="true">IF(B1471="","",TODAY()-B1471)</f>
        <v/>
      </c>
      <c r="Z1471" s="38" t="str">
        <f aca="false">IF(OR(O1471="",G1471=""),"",O1471*IFERROR(INDEX(Listas!$B$2:$B$50,MATCH(G1471,Listas!$A$2:$A$50,0)),0))</f>
        <v/>
      </c>
      <c r="AA1471" s="32"/>
      <c r="AB1471" s="32"/>
      <c r="AC1471" s="32"/>
      <c r="AD1471" s="35" t="str">
        <f aca="false">IF(OR(LEFT(H1471,4)="Meta",LEFT(H1471,6)="Google"),IF(AG1471=3,"Lead calificado",IF(OR(AG1471=4,AG1471=5),"Tasación/visita",IF(OR(AG1471=6,AG1471=7),"Captación/oferta",IF(AG1471=8,"Cierre","")))),"")</f>
        <v/>
      </c>
      <c r="AE1471" s="32"/>
      <c r="AF1471" s="32"/>
      <c r="AG1471" s="37" t="n">
        <f aca="false">IF(R1471="",0,IFERROR(MATCH(R1471,Listas!$L$2:$L$50,0),0))</f>
        <v>0</v>
      </c>
    </row>
    <row r="1472" customFormat="false" ht="15" hidden="false" customHeight="false" outlineLevel="0" collapsed="false">
      <c r="A1472" s="30"/>
      <c r="B1472" s="31"/>
      <c r="C1472" s="32"/>
      <c r="D1472" s="32"/>
      <c r="E1472" s="33"/>
      <c r="F1472" s="32"/>
      <c r="G1472" s="32"/>
      <c r="H1472" s="32"/>
      <c r="I1472" s="32"/>
      <c r="J1472" s="32"/>
      <c r="K1472" s="32"/>
      <c r="L1472" s="32"/>
      <c r="M1472" s="30"/>
      <c r="N1472" s="32"/>
      <c r="O1472" s="34"/>
      <c r="P1472" s="32"/>
      <c r="Q1472" s="32"/>
      <c r="R1472" s="32"/>
      <c r="S1472" s="32"/>
      <c r="T1472" s="32"/>
      <c r="U1472" s="32"/>
      <c r="V1472" s="31"/>
      <c r="W1472" s="35" t="str">
        <f aca="true">IF(OR(V1472="",AG1472&gt;=8),"",IF(V1472&lt;TODAY(),"Vencida",IF(V1472=TODAY(),"Hoy","")))</f>
        <v/>
      </c>
      <c r="X1472" s="36" t="str">
        <f aca="false">IF(A1472="","",IF(COUNTIF(Seguimiento!$B$2:$B$5001,A1472)=0,"",_xlfn.MAXIFS(Seguimiento!$A$2:$A$5001,Seguimiento!$B$2:$B$5001,A1472)))</f>
        <v/>
      </c>
      <c r="Y1472" s="37" t="str">
        <f aca="true">IF(B1472="","",TODAY()-B1472)</f>
        <v/>
      </c>
      <c r="Z1472" s="38" t="str">
        <f aca="false">IF(OR(O1472="",G1472=""),"",O1472*IFERROR(INDEX(Listas!$B$2:$B$50,MATCH(G1472,Listas!$A$2:$A$50,0)),0))</f>
        <v/>
      </c>
      <c r="AA1472" s="32"/>
      <c r="AB1472" s="32"/>
      <c r="AC1472" s="32"/>
      <c r="AD1472" s="35" t="str">
        <f aca="false">IF(OR(LEFT(H1472,4)="Meta",LEFT(H1472,6)="Google"),IF(AG1472=3,"Lead calificado",IF(OR(AG1472=4,AG1472=5),"Tasación/visita",IF(OR(AG1472=6,AG1472=7),"Captación/oferta",IF(AG1472=8,"Cierre","")))),"")</f>
        <v/>
      </c>
      <c r="AE1472" s="32"/>
      <c r="AF1472" s="32"/>
      <c r="AG1472" s="37" t="n">
        <f aca="false">IF(R1472="",0,IFERROR(MATCH(R1472,Listas!$L$2:$L$50,0),0))</f>
        <v>0</v>
      </c>
    </row>
    <row r="1473" customFormat="false" ht="15" hidden="false" customHeight="false" outlineLevel="0" collapsed="false">
      <c r="A1473" s="30"/>
      <c r="B1473" s="31"/>
      <c r="C1473" s="32"/>
      <c r="D1473" s="32"/>
      <c r="E1473" s="33"/>
      <c r="F1473" s="32"/>
      <c r="G1473" s="32"/>
      <c r="H1473" s="32"/>
      <c r="I1473" s="32"/>
      <c r="J1473" s="32"/>
      <c r="K1473" s="32"/>
      <c r="L1473" s="32"/>
      <c r="M1473" s="30"/>
      <c r="N1473" s="32"/>
      <c r="O1473" s="34"/>
      <c r="P1473" s="32"/>
      <c r="Q1473" s="32"/>
      <c r="R1473" s="32"/>
      <c r="S1473" s="32"/>
      <c r="T1473" s="32"/>
      <c r="U1473" s="32"/>
      <c r="V1473" s="31"/>
      <c r="W1473" s="35" t="str">
        <f aca="true">IF(OR(V1473="",AG1473&gt;=8),"",IF(V1473&lt;TODAY(),"Vencida",IF(V1473=TODAY(),"Hoy","")))</f>
        <v/>
      </c>
      <c r="X1473" s="36" t="str">
        <f aca="false">IF(A1473="","",IF(COUNTIF(Seguimiento!$B$2:$B$5001,A1473)=0,"",_xlfn.MAXIFS(Seguimiento!$A$2:$A$5001,Seguimiento!$B$2:$B$5001,A1473)))</f>
        <v/>
      </c>
      <c r="Y1473" s="37" t="str">
        <f aca="true">IF(B1473="","",TODAY()-B1473)</f>
        <v/>
      </c>
      <c r="Z1473" s="38" t="str">
        <f aca="false">IF(OR(O1473="",G1473=""),"",O1473*IFERROR(INDEX(Listas!$B$2:$B$50,MATCH(G1473,Listas!$A$2:$A$50,0)),0))</f>
        <v/>
      </c>
      <c r="AA1473" s="32"/>
      <c r="AB1473" s="32"/>
      <c r="AC1473" s="32"/>
      <c r="AD1473" s="35" t="str">
        <f aca="false">IF(OR(LEFT(H1473,4)="Meta",LEFT(H1473,6)="Google"),IF(AG1473=3,"Lead calificado",IF(OR(AG1473=4,AG1473=5),"Tasación/visita",IF(OR(AG1473=6,AG1473=7),"Captación/oferta",IF(AG1473=8,"Cierre","")))),"")</f>
        <v/>
      </c>
      <c r="AE1473" s="32"/>
      <c r="AF1473" s="32"/>
      <c r="AG1473" s="37" t="n">
        <f aca="false">IF(R1473="",0,IFERROR(MATCH(R1473,Listas!$L$2:$L$50,0),0))</f>
        <v>0</v>
      </c>
    </row>
    <row r="1474" customFormat="false" ht="15" hidden="false" customHeight="false" outlineLevel="0" collapsed="false">
      <c r="A1474" s="30"/>
      <c r="B1474" s="31"/>
      <c r="C1474" s="32"/>
      <c r="D1474" s="32"/>
      <c r="E1474" s="33"/>
      <c r="F1474" s="32"/>
      <c r="G1474" s="32"/>
      <c r="H1474" s="32"/>
      <c r="I1474" s="32"/>
      <c r="J1474" s="32"/>
      <c r="K1474" s="32"/>
      <c r="L1474" s="32"/>
      <c r="M1474" s="30"/>
      <c r="N1474" s="32"/>
      <c r="O1474" s="34"/>
      <c r="P1474" s="32"/>
      <c r="Q1474" s="32"/>
      <c r="R1474" s="32"/>
      <c r="S1474" s="32"/>
      <c r="T1474" s="32"/>
      <c r="U1474" s="32"/>
      <c r="V1474" s="31"/>
      <c r="W1474" s="35" t="str">
        <f aca="true">IF(OR(V1474="",AG1474&gt;=8),"",IF(V1474&lt;TODAY(),"Vencida",IF(V1474=TODAY(),"Hoy","")))</f>
        <v/>
      </c>
      <c r="X1474" s="36" t="str">
        <f aca="false">IF(A1474="","",IF(COUNTIF(Seguimiento!$B$2:$B$5001,A1474)=0,"",_xlfn.MAXIFS(Seguimiento!$A$2:$A$5001,Seguimiento!$B$2:$B$5001,A1474)))</f>
        <v/>
      </c>
      <c r="Y1474" s="37" t="str">
        <f aca="true">IF(B1474="","",TODAY()-B1474)</f>
        <v/>
      </c>
      <c r="Z1474" s="38" t="str">
        <f aca="false">IF(OR(O1474="",G1474=""),"",O1474*IFERROR(INDEX(Listas!$B$2:$B$50,MATCH(G1474,Listas!$A$2:$A$50,0)),0))</f>
        <v/>
      </c>
      <c r="AA1474" s="32"/>
      <c r="AB1474" s="32"/>
      <c r="AC1474" s="32"/>
      <c r="AD1474" s="35" t="str">
        <f aca="false">IF(OR(LEFT(H1474,4)="Meta",LEFT(H1474,6)="Google"),IF(AG1474=3,"Lead calificado",IF(OR(AG1474=4,AG1474=5),"Tasación/visita",IF(OR(AG1474=6,AG1474=7),"Captación/oferta",IF(AG1474=8,"Cierre","")))),"")</f>
        <v/>
      </c>
      <c r="AE1474" s="32"/>
      <c r="AF1474" s="32"/>
      <c r="AG1474" s="37" t="n">
        <f aca="false">IF(R1474="",0,IFERROR(MATCH(R1474,Listas!$L$2:$L$50,0),0))</f>
        <v>0</v>
      </c>
    </row>
    <row r="1475" customFormat="false" ht="15" hidden="false" customHeight="false" outlineLevel="0" collapsed="false">
      <c r="A1475" s="30"/>
      <c r="B1475" s="31"/>
      <c r="C1475" s="32"/>
      <c r="D1475" s="32"/>
      <c r="E1475" s="33"/>
      <c r="F1475" s="32"/>
      <c r="G1475" s="32"/>
      <c r="H1475" s="32"/>
      <c r="I1475" s="32"/>
      <c r="J1475" s="32"/>
      <c r="K1475" s="32"/>
      <c r="L1475" s="32"/>
      <c r="M1475" s="30"/>
      <c r="N1475" s="32"/>
      <c r="O1475" s="34"/>
      <c r="P1475" s="32"/>
      <c r="Q1475" s="32"/>
      <c r="R1475" s="32"/>
      <c r="S1475" s="32"/>
      <c r="T1475" s="32"/>
      <c r="U1475" s="32"/>
      <c r="V1475" s="31"/>
      <c r="W1475" s="35" t="str">
        <f aca="true">IF(OR(V1475="",AG1475&gt;=8),"",IF(V1475&lt;TODAY(),"Vencida",IF(V1475=TODAY(),"Hoy","")))</f>
        <v/>
      </c>
      <c r="X1475" s="36" t="str">
        <f aca="false">IF(A1475="","",IF(COUNTIF(Seguimiento!$B$2:$B$5001,A1475)=0,"",_xlfn.MAXIFS(Seguimiento!$A$2:$A$5001,Seguimiento!$B$2:$B$5001,A1475)))</f>
        <v/>
      </c>
      <c r="Y1475" s="37" t="str">
        <f aca="true">IF(B1475="","",TODAY()-B1475)</f>
        <v/>
      </c>
      <c r="Z1475" s="38" t="str">
        <f aca="false">IF(OR(O1475="",G1475=""),"",O1475*IFERROR(INDEX(Listas!$B$2:$B$50,MATCH(G1475,Listas!$A$2:$A$50,0)),0))</f>
        <v/>
      </c>
      <c r="AA1475" s="32"/>
      <c r="AB1475" s="32"/>
      <c r="AC1475" s="32"/>
      <c r="AD1475" s="35" t="str">
        <f aca="false">IF(OR(LEFT(H1475,4)="Meta",LEFT(H1475,6)="Google"),IF(AG1475=3,"Lead calificado",IF(OR(AG1475=4,AG1475=5),"Tasación/visita",IF(OR(AG1475=6,AG1475=7),"Captación/oferta",IF(AG1475=8,"Cierre","")))),"")</f>
        <v/>
      </c>
      <c r="AE1475" s="32"/>
      <c r="AF1475" s="32"/>
      <c r="AG1475" s="37" t="n">
        <f aca="false">IF(R1475="",0,IFERROR(MATCH(R1475,Listas!$L$2:$L$50,0),0))</f>
        <v>0</v>
      </c>
    </row>
    <row r="1476" customFormat="false" ht="15" hidden="false" customHeight="false" outlineLevel="0" collapsed="false">
      <c r="A1476" s="30"/>
      <c r="B1476" s="31"/>
      <c r="C1476" s="32"/>
      <c r="D1476" s="32"/>
      <c r="E1476" s="33"/>
      <c r="F1476" s="32"/>
      <c r="G1476" s="32"/>
      <c r="H1476" s="32"/>
      <c r="I1476" s="32"/>
      <c r="J1476" s="32"/>
      <c r="K1476" s="32"/>
      <c r="L1476" s="32"/>
      <c r="M1476" s="30"/>
      <c r="N1476" s="32"/>
      <c r="O1476" s="34"/>
      <c r="P1476" s="32"/>
      <c r="Q1476" s="32"/>
      <c r="R1476" s="32"/>
      <c r="S1476" s="32"/>
      <c r="T1476" s="32"/>
      <c r="U1476" s="32"/>
      <c r="V1476" s="31"/>
      <c r="W1476" s="35" t="str">
        <f aca="true">IF(OR(V1476="",AG1476&gt;=8),"",IF(V1476&lt;TODAY(),"Vencida",IF(V1476=TODAY(),"Hoy","")))</f>
        <v/>
      </c>
      <c r="X1476" s="36" t="str">
        <f aca="false">IF(A1476="","",IF(COUNTIF(Seguimiento!$B$2:$B$5001,A1476)=0,"",_xlfn.MAXIFS(Seguimiento!$A$2:$A$5001,Seguimiento!$B$2:$B$5001,A1476)))</f>
        <v/>
      </c>
      <c r="Y1476" s="37" t="str">
        <f aca="true">IF(B1476="","",TODAY()-B1476)</f>
        <v/>
      </c>
      <c r="Z1476" s="38" t="str">
        <f aca="false">IF(OR(O1476="",G1476=""),"",O1476*IFERROR(INDEX(Listas!$B$2:$B$50,MATCH(G1476,Listas!$A$2:$A$50,0)),0))</f>
        <v/>
      </c>
      <c r="AA1476" s="32"/>
      <c r="AB1476" s="32"/>
      <c r="AC1476" s="32"/>
      <c r="AD1476" s="35" t="str">
        <f aca="false">IF(OR(LEFT(H1476,4)="Meta",LEFT(H1476,6)="Google"),IF(AG1476=3,"Lead calificado",IF(OR(AG1476=4,AG1476=5),"Tasación/visita",IF(OR(AG1476=6,AG1476=7),"Captación/oferta",IF(AG1476=8,"Cierre","")))),"")</f>
        <v/>
      </c>
      <c r="AE1476" s="32"/>
      <c r="AF1476" s="32"/>
      <c r="AG1476" s="37" t="n">
        <f aca="false">IF(R1476="",0,IFERROR(MATCH(R1476,Listas!$L$2:$L$50,0),0))</f>
        <v>0</v>
      </c>
    </row>
    <row r="1477" customFormat="false" ht="15" hidden="false" customHeight="false" outlineLevel="0" collapsed="false">
      <c r="A1477" s="30"/>
      <c r="B1477" s="31"/>
      <c r="C1477" s="32"/>
      <c r="D1477" s="32"/>
      <c r="E1477" s="33"/>
      <c r="F1477" s="32"/>
      <c r="G1477" s="32"/>
      <c r="H1477" s="32"/>
      <c r="I1477" s="32"/>
      <c r="J1477" s="32"/>
      <c r="K1477" s="32"/>
      <c r="L1477" s="32"/>
      <c r="M1477" s="30"/>
      <c r="N1477" s="32"/>
      <c r="O1477" s="34"/>
      <c r="P1477" s="32"/>
      <c r="Q1477" s="32"/>
      <c r="R1477" s="32"/>
      <c r="S1477" s="32"/>
      <c r="T1477" s="32"/>
      <c r="U1477" s="32"/>
      <c r="V1477" s="31"/>
      <c r="W1477" s="35" t="str">
        <f aca="true">IF(OR(V1477="",AG1477&gt;=8),"",IF(V1477&lt;TODAY(),"Vencida",IF(V1477=TODAY(),"Hoy","")))</f>
        <v/>
      </c>
      <c r="X1477" s="36" t="str">
        <f aca="false">IF(A1477="","",IF(COUNTIF(Seguimiento!$B$2:$B$5001,A1477)=0,"",_xlfn.MAXIFS(Seguimiento!$A$2:$A$5001,Seguimiento!$B$2:$B$5001,A1477)))</f>
        <v/>
      </c>
      <c r="Y1477" s="37" t="str">
        <f aca="true">IF(B1477="","",TODAY()-B1477)</f>
        <v/>
      </c>
      <c r="Z1477" s="38" t="str">
        <f aca="false">IF(OR(O1477="",G1477=""),"",O1477*IFERROR(INDEX(Listas!$B$2:$B$50,MATCH(G1477,Listas!$A$2:$A$50,0)),0))</f>
        <v/>
      </c>
      <c r="AA1477" s="32"/>
      <c r="AB1477" s="32"/>
      <c r="AC1477" s="32"/>
      <c r="AD1477" s="35" t="str">
        <f aca="false">IF(OR(LEFT(H1477,4)="Meta",LEFT(H1477,6)="Google"),IF(AG1477=3,"Lead calificado",IF(OR(AG1477=4,AG1477=5),"Tasación/visita",IF(OR(AG1477=6,AG1477=7),"Captación/oferta",IF(AG1477=8,"Cierre","")))),"")</f>
        <v/>
      </c>
      <c r="AE1477" s="32"/>
      <c r="AF1477" s="32"/>
      <c r="AG1477" s="37" t="n">
        <f aca="false">IF(R1477="",0,IFERROR(MATCH(R1477,Listas!$L$2:$L$50,0),0))</f>
        <v>0</v>
      </c>
    </row>
    <row r="1478" customFormat="false" ht="15" hidden="false" customHeight="false" outlineLevel="0" collapsed="false">
      <c r="A1478" s="30"/>
      <c r="B1478" s="31"/>
      <c r="C1478" s="32"/>
      <c r="D1478" s="32"/>
      <c r="E1478" s="33"/>
      <c r="F1478" s="32"/>
      <c r="G1478" s="32"/>
      <c r="H1478" s="32"/>
      <c r="I1478" s="32"/>
      <c r="J1478" s="32"/>
      <c r="K1478" s="32"/>
      <c r="L1478" s="32"/>
      <c r="M1478" s="30"/>
      <c r="N1478" s="32"/>
      <c r="O1478" s="34"/>
      <c r="P1478" s="32"/>
      <c r="Q1478" s="32"/>
      <c r="R1478" s="32"/>
      <c r="S1478" s="32"/>
      <c r="T1478" s="32"/>
      <c r="U1478" s="32"/>
      <c r="V1478" s="31"/>
      <c r="W1478" s="35" t="str">
        <f aca="true">IF(OR(V1478="",AG1478&gt;=8),"",IF(V1478&lt;TODAY(),"Vencida",IF(V1478=TODAY(),"Hoy","")))</f>
        <v/>
      </c>
      <c r="X1478" s="36" t="str">
        <f aca="false">IF(A1478="","",IF(COUNTIF(Seguimiento!$B$2:$B$5001,A1478)=0,"",_xlfn.MAXIFS(Seguimiento!$A$2:$A$5001,Seguimiento!$B$2:$B$5001,A1478)))</f>
        <v/>
      </c>
      <c r="Y1478" s="37" t="str">
        <f aca="true">IF(B1478="","",TODAY()-B1478)</f>
        <v/>
      </c>
      <c r="Z1478" s="38" t="str">
        <f aca="false">IF(OR(O1478="",G1478=""),"",O1478*IFERROR(INDEX(Listas!$B$2:$B$50,MATCH(G1478,Listas!$A$2:$A$50,0)),0))</f>
        <v/>
      </c>
      <c r="AA1478" s="32"/>
      <c r="AB1478" s="32"/>
      <c r="AC1478" s="32"/>
      <c r="AD1478" s="35" t="str">
        <f aca="false">IF(OR(LEFT(H1478,4)="Meta",LEFT(H1478,6)="Google"),IF(AG1478=3,"Lead calificado",IF(OR(AG1478=4,AG1478=5),"Tasación/visita",IF(OR(AG1478=6,AG1478=7),"Captación/oferta",IF(AG1478=8,"Cierre","")))),"")</f>
        <v/>
      </c>
      <c r="AE1478" s="32"/>
      <c r="AF1478" s="32"/>
      <c r="AG1478" s="37" t="n">
        <f aca="false">IF(R1478="",0,IFERROR(MATCH(R1478,Listas!$L$2:$L$50,0),0))</f>
        <v>0</v>
      </c>
    </row>
    <row r="1479" customFormat="false" ht="15" hidden="false" customHeight="false" outlineLevel="0" collapsed="false">
      <c r="A1479" s="30"/>
      <c r="B1479" s="31"/>
      <c r="C1479" s="32"/>
      <c r="D1479" s="32"/>
      <c r="E1479" s="33"/>
      <c r="F1479" s="32"/>
      <c r="G1479" s="32"/>
      <c r="H1479" s="32"/>
      <c r="I1479" s="32"/>
      <c r="J1479" s="32"/>
      <c r="K1479" s="32"/>
      <c r="L1479" s="32"/>
      <c r="M1479" s="30"/>
      <c r="N1479" s="32"/>
      <c r="O1479" s="34"/>
      <c r="P1479" s="32"/>
      <c r="Q1479" s="32"/>
      <c r="R1479" s="32"/>
      <c r="S1479" s="32"/>
      <c r="T1479" s="32"/>
      <c r="U1479" s="32"/>
      <c r="V1479" s="31"/>
      <c r="W1479" s="35" t="str">
        <f aca="true">IF(OR(V1479="",AG1479&gt;=8),"",IF(V1479&lt;TODAY(),"Vencida",IF(V1479=TODAY(),"Hoy","")))</f>
        <v/>
      </c>
      <c r="X1479" s="36" t="str">
        <f aca="false">IF(A1479="","",IF(COUNTIF(Seguimiento!$B$2:$B$5001,A1479)=0,"",_xlfn.MAXIFS(Seguimiento!$A$2:$A$5001,Seguimiento!$B$2:$B$5001,A1479)))</f>
        <v/>
      </c>
      <c r="Y1479" s="37" t="str">
        <f aca="true">IF(B1479="","",TODAY()-B1479)</f>
        <v/>
      </c>
      <c r="Z1479" s="38" t="str">
        <f aca="false">IF(OR(O1479="",G1479=""),"",O1479*IFERROR(INDEX(Listas!$B$2:$B$50,MATCH(G1479,Listas!$A$2:$A$50,0)),0))</f>
        <v/>
      </c>
      <c r="AA1479" s="32"/>
      <c r="AB1479" s="32"/>
      <c r="AC1479" s="32"/>
      <c r="AD1479" s="35" t="str">
        <f aca="false">IF(OR(LEFT(H1479,4)="Meta",LEFT(H1479,6)="Google"),IF(AG1479=3,"Lead calificado",IF(OR(AG1479=4,AG1479=5),"Tasación/visita",IF(OR(AG1479=6,AG1479=7),"Captación/oferta",IF(AG1479=8,"Cierre","")))),"")</f>
        <v/>
      </c>
      <c r="AE1479" s="32"/>
      <c r="AF1479" s="32"/>
      <c r="AG1479" s="37" t="n">
        <f aca="false">IF(R1479="",0,IFERROR(MATCH(R1479,Listas!$L$2:$L$50,0),0))</f>
        <v>0</v>
      </c>
    </row>
    <row r="1480" customFormat="false" ht="15" hidden="false" customHeight="false" outlineLevel="0" collapsed="false">
      <c r="A1480" s="30"/>
      <c r="B1480" s="31"/>
      <c r="C1480" s="32"/>
      <c r="D1480" s="32"/>
      <c r="E1480" s="33"/>
      <c r="F1480" s="32"/>
      <c r="G1480" s="32"/>
      <c r="H1480" s="32"/>
      <c r="I1480" s="32"/>
      <c r="J1480" s="32"/>
      <c r="K1480" s="32"/>
      <c r="L1480" s="32"/>
      <c r="M1480" s="30"/>
      <c r="N1480" s="32"/>
      <c r="O1480" s="34"/>
      <c r="P1480" s="32"/>
      <c r="Q1480" s="32"/>
      <c r="R1480" s="32"/>
      <c r="S1480" s="32"/>
      <c r="T1480" s="32"/>
      <c r="U1480" s="32"/>
      <c r="V1480" s="31"/>
      <c r="W1480" s="35" t="str">
        <f aca="true">IF(OR(V1480="",AG1480&gt;=8),"",IF(V1480&lt;TODAY(),"Vencida",IF(V1480=TODAY(),"Hoy","")))</f>
        <v/>
      </c>
      <c r="X1480" s="36" t="str">
        <f aca="false">IF(A1480="","",IF(COUNTIF(Seguimiento!$B$2:$B$5001,A1480)=0,"",_xlfn.MAXIFS(Seguimiento!$A$2:$A$5001,Seguimiento!$B$2:$B$5001,A1480)))</f>
        <v/>
      </c>
      <c r="Y1480" s="37" t="str">
        <f aca="true">IF(B1480="","",TODAY()-B1480)</f>
        <v/>
      </c>
      <c r="Z1480" s="38" t="str">
        <f aca="false">IF(OR(O1480="",G1480=""),"",O1480*IFERROR(INDEX(Listas!$B$2:$B$50,MATCH(G1480,Listas!$A$2:$A$50,0)),0))</f>
        <v/>
      </c>
      <c r="AA1480" s="32"/>
      <c r="AB1480" s="32"/>
      <c r="AC1480" s="32"/>
      <c r="AD1480" s="35" t="str">
        <f aca="false">IF(OR(LEFT(H1480,4)="Meta",LEFT(H1480,6)="Google"),IF(AG1480=3,"Lead calificado",IF(OR(AG1480=4,AG1480=5),"Tasación/visita",IF(OR(AG1480=6,AG1480=7),"Captación/oferta",IF(AG1480=8,"Cierre","")))),"")</f>
        <v/>
      </c>
      <c r="AE1480" s="32"/>
      <c r="AF1480" s="32"/>
      <c r="AG1480" s="37" t="n">
        <f aca="false">IF(R1480="",0,IFERROR(MATCH(R1480,Listas!$L$2:$L$50,0),0))</f>
        <v>0</v>
      </c>
    </row>
    <row r="1481" customFormat="false" ht="15" hidden="false" customHeight="false" outlineLevel="0" collapsed="false">
      <c r="A1481" s="30"/>
      <c r="B1481" s="31"/>
      <c r="C1481" s="32"/>
      <c r="D1481" s="32"/>
      <c r="E1481" s="33"/>
      <c r="F1481" s="32"/>
      <c r="G1481" s="32"/>
      <c r="H1481" s="32"/>
      <c r="I1481" s="32"/>
      <c r="J1481" s="32"/>
      <c r="K1481" s="32"/>
      <c r="L1481" s="32"/>
      <c r="M1481" s="30"/>
      <c r="N1481" s="32"/>
      <c r="O1481" s="34"/>
      <c r="P1481" s="32"/>
      <c r="Q1481" s="32"/>
      <c r="R1481" s="32"/>
      <c r="S1481" s="32"/>
      <c r="T1481" s="32"/>
      <c r="U1481" s="32"/>
      <c r="V1481" s="31"/>
      <c r="W1481" s="35" t="str">
        <f aca="true">IF(OR(V1481="",AG1481&gt;=8),"",IF(V1481&lt;TODAY(),"Vencida",IF(V1481=TODAY(),"Hoy","")))</f>
        <v/>
      </c>
      <c r="X1481" s="36" t="str">
        <f aca="false">IF(A1481="","",IF(COUNTIF(Seguimiento!$B$2:$B$5001,A1481)=0,"",_xlfn.MAXIFS(Seguimiento!$A$2:$A$5001,Seguimiento!$B$2:$B$5001,A1481)))</f>
        <v/>
      </c>
      <c r="Y1481" s="37" t="str">
        <f aca="true">IF(B1481="","",TODAY()-B1481)</f>
        <v/>
      </c>
      <c r="Z1481" s="38" t="str">
        <f aca="false">IF(OR(O1481="",G1481=""),"",O1481*IFERROR(INDEX(Listas!$B$2:$B$50,MATCH(G1481,Listas!$A$2:$A$50,0)),0))</f>
        <v/>
      </c>
      <c r="AA1481" s="32"/>
      <c r="AB1481" s="32"/>
      <c r="AC1481" s="32"/>
      <c r="AD1481" s="35" t="str">
        <f aca="false">IF(OR(LEFT(H1481,4)="Meta",LEFT(H1481,6)="Google"),IF(AG1481=3,"Lead calificado",IF(OR(AG1481=4,AG1481=5),"Tasación/visita",IF(OR(AG1481=6,AG1481=7),"Captación/oferta",IF(AG1481=8,"Cierre","")))),"")</f>
        <v/>
      </c>
      <c r="AE1481" s="32"/>
      <c r="AF1481" s="32"/>
      <c r="AG1481" s="37" t="n">
        <f aca="false">IF(R1481="",0,IFERROR(MATCH(R1481,Listas!$L$2:$L$50,0),0))</f>
        <v>0</v>
      </c>
    </row>
    <row r="1482" customFormat="false" ht="15" hidden="false" customHeight="false" outlineLevel="0" collapsed="false">
      <c r="A1482" s="30"/>
      <c r="B1482" s="31"/>
      <c r="C1482" s="32"/>
      <c r="D1482" s="32"/>
      <c r="E1482" s="33"/>
      <c r="F1482" s="32"/>
      <c r="G1482" s="32"/>
      <c r="H1482" s="32"/>
      <c r="I1482" s="32"/>
      <c r="J1482" s="32"/>
      <c r="K1482" s="32"/>
      <c r="L1482" s="32"/>
      <c r="M1482" s="30"/>
      <c r="N1482" s="32"/>
      <c r="O1482" s="34"/>
      <c r="P1482" s="32"/>
      <c r="Q1482" s="32"/>
      <c r="R1482" s="32"/>
      <c r="S1482" s="32"/>
      <c r="T1482" s="32"/>
      <c r="U1482" s="32"/>
      <c r="V1482" s="31"/>
      <c r="W1482" s="35" t="str">
        <f aca="true">IF(OR(V1482="",AG1482&gt;=8),"",IF(V1482&lt;TODAY(),"Vencida",IF(V1482=TODAY(),"Hoy","")))</f>
        <v/>
      </c>
      <c r="X1482" s="36" t="str">
        <f aca="false">IF(A1482="","",IF(COUNTIF(Seguimiento!$B$2:$B$5001,A1482)=0,"",_xlfn.MAXIFS(Seguimiento!$A$2:$A$5001,Seguimiento!$B$2:$B$5001,A1482)))</f>
        <v/>
      </c>
      <c r="Y1482" s="37" t="str">
        <f aca="true">IF(B1482="","",TODAY()-B1482)</f>
        <v/>
      </c>
      <c r="Z1482" s="38" t="str">
        <f aca="false">IF(OR(O1482="",G1482=""),"",O1482*IFERROR(INDEX(Listas!$B$2:$B$50,MATCH(G1482,Listas!$A$2:$A$50,0)),0))</f>
        <v/>
      </c>
      <c r="AA1482" s="32"/>
      <c r="AB1482" s="32"/>
      <c r="AC1482" s="32"/>
      <c r="AD1482" s="35" t="str">
        <f aca="false">IF(OR(LEFT(H1482,4)="Meta",LEFT(H1482,6)="Google"),IF(AG1482=3,"Lead calificado",IF(OR(AG1482=4,AG1482=5),"Tasación/visita",IF(OR(AG1482=6,AG1482=7),"Captación/oferta",IF(AG1482=8,"Cierre","")))),"")</f>
        <v/>
      </c>
      <c r="AE1482" s="32"/>
      <c r="AF1482" s="32"/>
      <c r="AG1482" s="37" t="n">
        <f aca="false">IF(R1482="",0,IFERROR(MATCH(R1482,Listas!$L$2:$L$50,0),0))</f>
        <v>0</v>
      </c>
    </row>
    <row r="1483" customFormat="false" ht="15" hidden="false" customHeight="false" outlineLevel="0" collapsed="false">
      <c r="A1483" s="30"/>
      <c r="B1483" s="31"/>
      <c r="C1483" s="32"/>
      <c r="D1483" s="32"/>
      <c r="E1483" s="33"/>
      <c r="F1483" s="32"/>
      <c r="G1483" s="32"/>
      <c r="H1483" s="32"/>
      <c r="I1483" s="32"/>
      <c r="J1483" s="32"/>
      <c r="K1483" s="32"/>
      <c r="L1483" s="32"/>
      <c r="M1483" s="30"/>
      <c r="N1483" s="32"/>
      <c r="O1483" s="34"/>
      <c r="P1483" s="32"/>
      <c r="Q1483" s="32"/>
      <c r="R1483" s="32"/>
      <c r="S1483" s="32"/>
      <c r="T1483" s="32"/>
      <c r="U1483" s="32"/>
      <c r="V1483" s="31"/>
      <c r="W1483" s="35" t="str">
        <f aca="true">IF(OR(V1483="",AG1483&gt;=8),"",IF(V1483&lt;TODAY(),"Vencida",IF(V1483=TODAY(),"Hoy","")))</f>
        <v/>
      </c>
      <c r="X1483" s="36" t="str">
        <f aca="false">IF(A1483="","",IF(COUNTIF(Seguimiento!$B$2:$B$5001,A1483)=0,"",_xlfn.MAXIFS(Seguimiento!$A$2:$A$5001,Seguimiento!$B$2:$B$5001,A1483)))</f>
        <v/>
      </c>
      <c r="Y1483" s="37" t="str">
        <f aca="true">IF(B1483="","",TODAY()-B1483)</f>
        <v/>
      </c>
      <c r="Z1483" s="38" t="str">
        <f aca="false">IF(OR(O1483="",G1483=""),"",O1483*IFERROR(INDEX(Listas!$B$2:$B$50,MATCH(G1483,Listas!$A$2:$A$50,0)),0))</f>
        <v/>
      </c>
      <c r="AA1483" s="32"/>
      <c r="AB1483" s="32"/>
      <c r="AC1483" s="32"/>
      <c r="AD1483" s="35" t="str">
        <f aca="false">IF(OR(LEFT(H1483,4)="Meta",LEFT(H1483,6)="Google"),IF(AG1483=3,"Lead calificado",IF(OR(AG1483=4,AG1483=5),"Tasación/visita",IF(OR(AG1483=6,AG1483=7),"Captación/oferta",IF(AG1483=8,"Cierre","")))),"")</f>
        <v/>
      </c>
      <c r="AE1483" s="32"/>
      <c r="AF1483" s="32"/>
      <c r="AG1483" s="37" t="n">
        <f aca="false">IF(R1483="",0,IFERROR(MATCH(R1483,Listas!$L$2:$L$50,0),0))</f>
        <v>0</v>
      </c>
    </row>
    <row r="1484" customFormat="false" ht="15" hidden="false" customHeight="false" outlineLevel="0" collapsed="false">
      <c r="A1484" s="30"/>
      <c r="B1484" s="31"/>
      <c r="C1484" s="32"/>
      <c r="D1484" s="32"/>
      <c r="E1484" s="33"/>
      <c r="F1484" s="32"/>
      <c r="G1484" s="32"/>
      <c r="H1484" s="32"/>
      <c r="I1484" s="32"/>
      <c r="J1484" s="32"/>
      <c r="K1484" s="32"/>
      <c r="L1484" s="32"/>
      <c r="M1484" s="30"/>
      <c r="N1484" s="32"/>
      <c r="O1484" s="34"/>
      <c r="P1484" s="32"/>
      <c r="Q1484" s="32"/>
      <c r="R1484" s="32"/>
      <c r="S1484" s="32"/>
      <c r="T1484" s="32"/>
      <c r="U1484" s="32"/>
      <c r="V1484" s="31"/>
      <c r="W1484" s="35" t="str">
        <f aca="true">IF(OR(V1484="",AG1484&gt;=8),"",IF(V1484&lt;TODAY(),"Vencida",IF(V1484=TODAY(),"Hoy","")))</f>
        <v/>
      </c>
      <c r="X1484" s="36" t="str">
        <f aca="false">IF(A1484="","",IF(COUNTIF(Seguimiento!$B$2:$B$5001,A1484)=0,"",_xlfn.MAXIFS(Seguimiento!$A$2:$A$5001,Seguimiento!$B$2:$B$5001,A1484)))</f>
        <v/>
      </c>
      <c r="Y1484" s="37" t="str">
        <f aca="true">IF(B1484="","",TODAY()-B1484)</f>
        <v/>
      </c>
      <c r="Z1484" s="38" t="str">
        <f aca="false">IF(OR(O1484="",G1484=""),"",O1484*IFERROR(INDEX(Listas!$B$2:$B$50,MATCH(G1484,Listas!$A$2:$A$50,0)),0))</f>
        <v/>
      </c>
      <c r="AA1484" s="32"/>
      <c r="AB1484" s="32"/>
      <c r="AC1484" s="32"/>
      <c r="AD1484" s="35" t="str">
        <f aca="false">IF(OR(LEFT(H1484,4)="Meta",LEFT(H1484,6)="Google"),IF(AG1484=3,"Lead calificado",IF(OR(AG1484=4,AG1484=5),"Tasación/visita",IF(OR(AG1484=6,AG1484=7),"Captación/oferta",IF(AG1484=8,"Cierre","")))),"")</f>
        <v/>
      </c>
      <c r="AE1484" s="32"/>
      <c r="AF1484" s="32"/>
      <c r="AG1484" s="37" t="n">
        <f aca="false">IF(R1484="",0,IFERROR(MATCH(R1484,Listas!$L$2:$L$50,0),0))</f>
        <v>0</v>
      </c>
    </row>
    <row r="1485" customFormat="false" ht="15" hidden="false" customHeight="false" outlineLevel="0" collapsed="false">
      <c r="A1485" s="30"/>
      <c r="B1485" s="31"/>
      <c r="C1485" s="32"/>
      <c r="D1485" s="32"/>
      <c r="E1485" s="33"/>
      <c r="F1485" s="32"/>
      <c r="G1485" s="32"/>
      <c r="H1485" s="32"/>
      <c r="I1485" s="32"/>
      <c r="J1485" s="32"/>
      <c r="K1485" s="32"/>
      <c r="L1485" s="32"/>
      <c r="M1485" s="30"/>
      <c r="N1485" s="32"/>
      <c r="O1485" s="34"/>
      <c r="P1485" s="32"/>
      <c r="Q1485" s="32"/>
      <c r="R1485" s="32"/>
      <c r="S1485" s="32"/>
      <c r="T1485" s="32"/>
      <c r="U1485" s="32"/>
      <c r="V1485" s="31"/>
      <c r="W1485" s="35" t="str">
        <f aca="true">IF(OR(V1485="",AG1485&gt;=8),"",IF(V1485&lt;TODAY(),"Vencida",IF(V1485=TODAY(),"Hoy","")))</f>
        <v/>
      </c>
      <c r="X1485" s="36" t="str">
        <f aca="false">IF(A1485="","",IF(COUNTIF(Seguimiento!$B$2:$B$5001,A1485)=0,"",_xlfn.MAXIFS(Seguimiento!$A$2:$A$5001,Seguimiento!$B$2:$B$5001,A1485)))</f>
        <v/>
      </c>
      <c r="Y1485" s="37" t="str">
        <f aca="true">IF(B1485="","",TODAY()-B1485)</f>
        <v/>
      </c>
      <c r="Z1485" s="38" t="str">
        <f aca="false">IF(OR(O1485="",G1485=""),"",O1485*IFERROR(INDEX(Listas!$B$2:$B$50,MATCH(G1485,Listas!$A$2:$A$50,0)),0))</f>
        <v/>
      </c>
      <c r="AA1485" s="32"/>
      <c r="AB1485" s="32"/>
      <c r="AC1485" s="32"/>
      <c r="AD1485" s="35" t="str">
        <f aca="false">IF(OR(LEFT(H1485,4)="Meta",LEFT(H1485,6)="Google"),IF(AG1485=3,"Lead calificado",IF(OR(AG1485=4,AG1485=5),"Tasación/visita",IF(OR(AG1485=6,AG1485=7),"Captación/oferta",IF(AG1485=8,"Cierre","")))),"")</f>
        <v/>
      </c>
      <c r="AE1485" s="32"/>
      <c r="AF1485" s="32"/>
      <c r="AG1485" s="37" t="n">
        <f aca="false">IF(R1485="",0,IFERROR(MATCH(R1485,Listas!$L$2:$L$50,0),0))</f>
        <v>0</v>
      </c>
    </row>
    <row r="1486" customFormat="false" ht="15" hidden="false" customHeight="false" outlineLevel="0" collapsed="false">
      <c r="A1486" s="30"/>
      <c r="B1486" s="31"/>
      <c r="C1486" s="32"/>
      <c r="D1486" s="32"/>
      <c r="E1486" s="33"/>
      <c r="F1486" s="32"/>
      <c r="G1486" s="32"/>
      <c r="H1486" s="32"/>
      <c r="I1486" s="32"/>
      <c r="J1486" s="32"/>
      <c r="K1486" s="32"/>
      <c r="L1486" s="32"/>
      <c r="M1486" s="30"/>
      <c r="N1486" s="32"/>
      <c r="O1486" s="34"/>
      <c r="P1486" s="32"/>
      <c r="Q1486" s="32"/>
      <c r="R1486" s="32"/>
      <c r="S1486" s="32"/>
      <c r="T1486" s="32"/>
      <c r="U1486" s="32"/>
      <c r="V1486" s="31"/>
      <c r="W1486" s="35" t="str">
        <f aca="true">IF(OR(V1486="",AG1486&gt;=8),"",IF(V1486&lt;TODAY(),"Vencida",IF(V1486=TODAY(),"Hoy","")))</f>
        <v/>
      </c>
      <c r="X1486" s="36" t="str">
        <f aca="false">IF(A1486="","",IF(COUNTIF(Seguimiento!$B$2:$B$5001,A1486)=0,"",_xlfn.MAXIFS(Seguimiento!$A$2:$A$5001,Seguimiento!$B$2:$B$5001,A1486)))</f>
        <v/>
      </c>
      <c r="Y1486" s="37" t="str">
        <f aca="true">IF(B1486="","",TODAY()-B1486)</f>
        <v/>
      </c>
      <c r="Z1486" s="38" t="str">
        <f aca="false">IF(OR(O1486="",G1486=""),"",O1486*IFERROR(INDEX(Listas!$B$2:$B$50,MATCH(G1486,Listas!$A$2:$A$50,0)),0))</f>
        <v/>
      </c>
      <c r="AA1486" s="32"/>
      <c r="AB1486" s="32"/>
      <c r="AC1486" s="32"/>
      <c r="AD1486" s="35" t="str">
        <f aca="false">IF(OR(LEFT(H1486,4)="Meta",LEFT(H1486,6)="Google"),IF(AG1486=3,"Lead calificado",IF(OR(AG1486=4,AG1486=5),"Tasación/visita",IF(OR(AG1486=6,AG1486=7),"Captación/oferta",IF(AG1486=8,"Cierre","")))),"")</f>
        <v/>
      </c>
      <c r="AE1486" s="32"/>
      <c r="AF1486" s="32"/>
      <c r="AG1486" s="37" t="n">
        <f aca="false">IF(R1486="",0,IFERROR(MATCH(R1486,Listas!$L$2:$L$50,0),0))</f>
        <v>0</v>
      </c>
    </row>
    <row r="1487" customFormat="false" ht="15" hidden="false" customHeight="false" outlineLevel="0" collapsed="false">
      <c r="A1487" s="30"/>
      <c r="B1487" s="31"/>
      <c r="C1487" s="32"/>
      <c r="D1487" s="32"/>
      <c r="E1487" s="33"/>
      <c r="F1487" s="32"/>
      <c r="G1487" s="32"/>
      <c r="H1487" s="32"/>
      <c r="I1487" s="32"/>
      <c r="J1487" s="32"/>
      <c r="K1487" s="32"/>
      <c r="L1487" s="32"/>
      <c r="M1487" s="30"/>
      <c r="N1487" s="32"/>
      <c r="O1487" s="34"/>
      <c r="P1487" s="32"/>
      <c r="Q1487" s="32"/>
      <c r="R1487" s="32"/>
      <c r="S1487" s="32"/>
      <c r="T1487" s="32"/>
      <c r="U1487" s="32"/>
      <c r="V1487" s="31"/>
      <c r="W1487" s="35" t="str">
        <f aca="true">IF(OR(V1487="",AG1487&gt;=8),"",IF(V1487&lt;TODAY(),"Vencida",IF(V1487=TODAY(),"Hoy","")))</f>
        <v/>
      </c>
      <c r="X1487" s="36" t="str">
        <f aca="false">IF(A1487="","",IF(COUNTIF(Seguimiento!$B$2:$B$5001,A1487)=0,"",_xlfn.MAXIFS(Seguimiento!$A$2:$A$5001,Seguimiento!$B$2:$B$5001,A1487)))</f>
        <v/>
      </c>
      <c r="Y1487" s="37" t="str">
        <f aca="true">IF(B1487="","",TODAY()-B1487)</f>
        <v/>
      </c>
      <c r="Z1487" s="38" t="str">
        <f aca="false">IF(OR(O1487="",G1487=""),"",O1487*IFERROR(INDEX(Listas!$B$2:$B$50,MATCH(G1487,Listas!$A$2:$A$50,0)),0))</f>
        <v/>
      </c>
      <c r="AA1487" s="32"/>
      <c r="AB1487" s="32"/>
      <c r="AC1487" s="32"/>
      <c r="AD1487" s="35" t="str">
        <f aca="false">IF(OR(LEFT(H1487,4)="Meta",LEFT(H1487,6)="Google"),IF(AG1487=3,"Lead calificado",IF(OR(AG1487=4,AG1487=5),"Tasación/visita",IF(OR(AG1487=6,AG1487=7),"Captación/oferta",IF(AG1487=8,"Cierre","")))),"")</f>
        <v/>
      </c>
      <c r="AE1487" s="32"/>
      <c r="AF1487" s="32"/>
      <c r="AG1487" s="37" t="n">
        <f aca="false">IF(R1487="",0,IFERROR(MATCH(R1487,Listas!$L$2:$L$50,0),0))</f>
        <v>0</v>
      </c>
    </row>
    <row r="1488" customFormat="false" ht="15" hidden="false" customHeight="false" outlineLevel="0" collapsed="false">
      <c r="A1488" s="30"/>
      <c r="B1488" s="31"/>
      <c r="C1488" s="32"/>
      <c r="D1488" s="32"/>
      <c r="E1488" s="33"/>
      <c r="F1488" s="32"/>
      <c r="G1488" s="32"/>
      <c r="H1488" s="32"/>
      <c r="I1488" s="32"/>
      <c r="J1488" s="32"/>
      <c r="K1488" s="32"/>
      <c r="L1488" s="32"/>
      <c r="M1488" s="30"/>
      <c r="N1488" s="32"/>
      <c r="O1488" s="34"/>
      <c r="P1488" s="32"/>
      <c r="Q1488" s="32"/>
      <c r="R1488" s="32"/>
      <c r="S1488" s="32"/>
      <c r="T1488" s="32"/>
      <c r="U1488" s="32"/>
      <c r="V1488" s="31"/>
      <c r="W1488" s="35" t="str">
        <f aca="true">IF(OR(V1488="",AG1488&gt;=8),"",IF(V1488&lt;TODAY(),"Vencida",IF(V1488=TODAY(),"Hoy","")))</f>
        <v/>
      </c>
      <c r="X1488" s="36" t="str">
        <f aca="false">IF(A1488="","",IF(COUNTIF(Seguimiento!$B$2:$B$5001,A1488)=0,"",_xlfn.MAXIFS(Seguimiento!$A$2:$A$5001,Seguimiento!$B$2:$B$5001,A1488)))</f>
        <v/>
      </c>
      <c r="Y1488" s="37" t="str">
        <f aca="true">IF(B1488="","",TODAY()-B1488)</f>
        <v/>
      </c>
      <c r="Z1488" s="38" t="str">
        <f aca="false">IF(OR(O1488="",G1488=""),"",O1488*IFERROR(INDEX(Listas!$B$2:$B$50,MATCH(G1488,Listas!$A$2:$A$50,0)),0))</f>
        <v/>
      </c>
      <c r="AA1488" s="32"/>
      <c r="AB1488" s="32"/>
      <c r="AC1488" s="32"/>
      <c r="AD1488" s="35" t="str">
        <f aca="false">IF(OR(LEFT(H1488,4)="Meta",LEFT(H1488,6)="Google"),IF(AG1488=3,"Lead calificado",IF(OR(AG1488=4,AG1488=5),"Tasación/visita",IF(OR(AG1488=6,AG1488=7),"Captación/oferta",IF(AG1488=8,"Cierre","")))),"")</f>
        <v/>
      </c>
      <c r="AE1488" s="32"/>
      <c r="AF1488" s="32"/>
      <c r="AG1488" s="37" t="n">
        <f aca="false">IF(R1488="",0,IFERROR(MATCH(R1488,Listas!$L$2:$L$50,0),0))</f>
        <v>0</v>
      </c>
    </row>
    <row r="1489" customFormat="false" ht="15" hidden="false" customHeight="false" outlineLevel="0" collapsed="false">
      <c r="A1489" s="30"/>
      <c r="B1489" s="31"/>
      <c r="C1489" s="32"/>
      <c r="D1489" s="32"/>
      <c r="E1489" s="33"/>
      <c r="F1489" s="32"/>
      <c r="G1489" s="32"/>
      <c r="H1489" s="32"/>
      <c r="I1489" s="32"/>
      <c r="J1489" s="32"/>
      <c r="K1489" s="32"/>
      <c r="L1489" s="32"/>
      <c r="M1489" s="30"/>
      <c r="N1489" s="32"/>
      <c r="O1489" s="34"/>
      <c r="P1489" s="32"/>
      <c r="Q1489" s="32"/>
      <c r="R1489" s="32"/>
      <c r="S1489" s="32"/>
      <c r="T1489" s="32"/>
      <c r="U1489" s="32"/>
      <c r="V1489" s="31"/>
      <c r="W1489" s="35" t="str">
        <f aca="true">IF(OR(V1489="",AG1489&gt;=8),"",IF(V1489&lt;TODAY(),"Vencida",IF(V1489=TODAY(),"Hoy","")))</f>
        <v/>
      </c>
      <c r="X1489" s="36" t="str">
        <f aca="false">IF(A1489="","",IF(COUNTIF(Seguimiento!$B$2:$B$5001,A1489)=0,"",_xlfn.MAXIFS(Seguimiento!$A$2:$A$5001,Seguimiento!$B$2:$B$5001,A1489)))</f>
        <v/>
      </c>
      <c r="Y1489" s="37" t="str">
        <f aca="true">IF(B1489="","",TODAY()-B1489)</f>
        <v/>
      </c>
      <c r="Z1489" s="38" t="str">
        <f aca="false">IF(OR(O1489="",G1489=""),"",O1489*IFERROR(INDEX(Listas!$B$2:$B$50,MATCH(G1489,Listas!$A$2:$A$50,0)),0))</f>
        <v/>
      </c>
      <c r="AA1489" s="32"/>
      <c r="AB1489" s="32"/>
      <c r="AC1489" s="32"/>
      <c r="AD1489" s="35" t="str">
        <f aca="false">IF(OR(LEFT(H1489,4)="Meta",LEFT(H1489,6)="Google"),IF(AG1489=3,"Lead calificado",IF(OR(AG1489=4,AG1489=5),"Tasación/visita",IF(OR(AG1489=6,AG1489=7),"Captación/oferta",IF(AG1489=8,"Cierre","")))),"")</f>
        <v/>
      </c>
      <c r="AE1489" s="32"/>
      <c r="AF1489" s="32"/>
      <c r="AG1489" s="37" t="n">
        <f aca="false">IF(R1489="",0,IFERROR(MATCH(R1489,Listas!$L$2:$L$50,0),0))</f>
        <v>0</v>
      </c>
    </row>
    <row r="1490" customFormat="false" ht="15" hidden="false" customHeight="false" outlineLevel="0" collapsed="false">
      <c r="A1490" s="30"/>
      <c r="B1490" s="31"/>
      <c r="C1490" s="32"/>
      <c r="D1490" s="32"/>
      <c r="E1490" s="33"/>
      <c r="F1490" s="32"/>
      <c r="G1490" s="32"/>
      <c r="H1490" s="32"/>
      <c r="I1490" s="32"/>
      <c r="J1490" s="32"/>
      <c r="K1490" s="32"/>
      <c r="L1490" s="32"/>
      <c r="M1490" s="30"/>
      <c r="N1490" s="32"/>
      <c r="O1490" s="34"/>
      <c r="P1490" s="32"/>
      <c r="Q1490" s="32"/>
      <c r="R1490" s="32"/>
      <c r="S1490" s="32"/>
      <c r="T1490" s="32"/>
      <c r="U1490" s="32"/>
      <c r="V1490" s="31"/>
      <c r="W1490" s="35" t="str">
        <f aca="true">IF(OR(V1490="",AG1490&gt;=8),"",IF(V1490&lt;TODAY(),"Vencida",IF(V1490=TODAY(),"Hoy","")))</f>
        <v/>
      </c>
      <c r="X1490" s="36" t="str">
        <f aca="false">IF(A1490="","",IF(COUNTIF(Seguimiento!$B$2:$B$5001,A1490)=0,"",_xlfn.MAXIFS(Seguimiento!$A$2:$A$5001,Seguimiento!$B$2:$B$5001,A1490)))</f>
        <v/>
      </c>
      <c r="Y1490" s="37" t="str">
        <f aca="true">IF(B1490="","",TODAY()-B1490)</f>
        <v/>
      </c>
      <c r="Z1490" s="38" t="str">
        <f aca="false">IF(OR(O1490="",G1490=""),"",O1490*IFERROR(INDEX(Listas!$B$2:$B$50,MATCH(G1490,Listas!$A$2:$A$50,0)),0))</f>
        <v/>
      </c>
      <c r="AA1490" s="32"/>
      <c r="AB1490" s="32"/>
      <c r="AC1490" s="32"/>
      <c r="AD1490" s="35" t="str">
        <f aca="false">IF(OR(LEFT(H1490,4)="Meta",LEFT(H1490,6)="Google"),IF(AG1490=3,"Lead calificado",IF(OR(AG1490=4,AG1490=5),"Tasación/visita",IF(OR(AG1490=6,AG1490=7),"Captación/oferta",IF(AG1490=8,"Cierre","")))),"")</f>
        <v/>
      </c>
      <c r="AE1490" s="32"/>
      <c r="AF1490" s="32"/>
      <c r="AG1490" s="37" t="n">
        <f aca="false">IF(R1490="",0,IFERROR(MATCH(R1490,Listas!$L$2:$L$50,0),0))</f>
        <v>0</v>
      </c>
    </row>
    <row r="1491" customFormat="false" ht="15" hidden="false" customHeight="false" outlineLevel="0" collapsed="false">
      <c r="A1491" s="30"/>
      <c r="B1491" s="31"/>
      <c r="C1491" s="32"/>
      <c r="D1491" s="32"/>
      <c r="E1491" s="33"/>
      <c r="F1491" s="32"/>
      <c r="G1491" s="32"/>
      <c r="H1491" s="32"/>
      <c r="I1491" s="32"/>
      <c r="J1491" s="32"/>
      <c r="K1491" s="32"/>
      <c r="L1491" s="32"/>
      <c r="M1491" s="30"/>
      <c r="N1491" s="32"/>
      <c r="O1491" s="34"/>
      <c r="P1491" s="32"/>
      <c r="Q1491" s="32"/>
      <c r="R1491" s="32"/>
      <c r="S1491" s="32"/>
      <c r="T1491" s="32"/>
      <c r="U1491" s="32"/>
      <c r="V1491" s="31"/>
      <c r="W1491" s="35" t="str">
        <f aca="true">IF(OR(V1491="",AG1491&gt;=8),"",IF(V1491&lt;TODAY(),"Vencida",IF(V1491=TODAY(),"Hoy","")))</f>
        <v/>
      </c>
      <c r="X1491" s="36" t="str">
        <f aca="false">IF(A1491="","",IF(COUNTIF(Seguimiento!$B$2:$B$5001,A1491)=0,"",_xlfn.MAXIFS(Seguimiento!$A$2:$A$5001,Seguimiento!$B$2:$B$5001,A1491)))</f>
        <v/>
      </c>
      <c r="Y1491" s="37" t="str">
        <f aca="true">IF(B1491="","",TODAY()-B1491)</f>
        <v/>
      </c>
      <c r="Z1491" s="38" t="str">
        <f aca="false">IF(OR(O1491="",G1491=""),"",O1491*IFERROR(INDEX(Listas!$B$2:$B$50,MATCH(G1491,Listas!$A$2:$A$50,0)),0))</f>
        <v/>
      </c>
      <c r="AA1491" s="32"/>
      <c r="AB1491" s="32"/>
      <c r="AC1491" s="32"/>
      <c r="AD1491" s="35" t="str">
        <f aca="false">IF(OR(LEFT(H1491,4)="Meta",LEFT(H1491,6)="Google"),IF(AG1491=3,"Lead calificado",IF(OR(AG1491=4,AG1491=5),"Tasación/visita",IF(OR(AG1491=6,AG1491=7),"Captación/oferta",IF(AG1491=8,"Cierre","")))),"")</f>
        <v/>
      </c>
      <c r="AE1491" s="32"/>
      <c r="AF1491" s="32"/>
      <c r="AG1491" s="37" t="n">
        <f aca="false">IF(R1491="",0,IFERROR(MATCH(R1491,Listas!$L$2:$L$50,0),0))</f>
        <v>0</v>
      </c>
    </row>
    <row r="1492" customFormat="false" ht="15" hidden="false" customHeight="false" outlineLevel="0" collapsed="false">
      <c r="A1492" s="30"/>
      <c r="B1492" s="31"/>
      <c r="C1492" s="32"/>
      <c r="D1492" s="32"/>
      <c r="E1492" s="33"/>
      <c r="F1492" s="32"/>
      <c r="G1492" s="32"/>
      <c r="H1492" s="32"/>
      <c r="I1492" s="32"/>
      <c r="J1492" s="32"/>
      <c r="K1492" s="32"/>
      <c r="L1492" s="32"/>
      <c r="M1492" s="30"/>
      <c r="N1492" s="32"/>
      <c r="O1492" s="34"/>
      <c r="P1492" s="32"/>
      <c r="Q1492" s="32"/>
      <c r="R1492" s="32"/>
      <c r="S1492" s="32"/>
      <c r="T1492" s="32"/>
      <c r="U1492" s="32"/>
      <c r="V1492" s="31"/>
      <c r="W1492" s="35" t="str">
        <f aca="true">IF(OR(V1492="",AG1492&gt;=8),"",IF(V1492&lt;TODAY(),"Vencida",IF(V1492=TODAY(),"Hoy","")))</f>
        <v/>
      </c>
      <c r="X1492" s="36" t="str">
        <f aca="false">IF(A1492="","",IF(COUNTIF(Seguimiento!$B$2:$B$5001,A1492)=0,"",_xlfn.MAXIFS(Seguimiento!$A$2:$A$5001,Seguimiento!$B$2:$B$5001,A1492)))</f>
        <v/>
      </c>
      <c r="Y1492" s="37" t="str">
        <f aca="true">IF(B1492="","",TODAY()-B1492)</f>
        <v/>
      </c>
      <c r="Z1492" s="38" t="str">
        <f aca="false">IF(OR(O1492="",G1492=""),"",O1492*IFERROR(INDEX(Listas!$B$2:$B$50,MATCH(G1492,Listas!$A$2:$A$50,0)),0))</f>
        <v/>
      </c>
      <c r="AA1492" s="32"/>
      <c r="AB1492" s="32"/>
      <c r="AC1492" s="32"/>
      <c r="AD1492" s="35" t="str">
        <f aca="false">IF(OR(LEFT(H1492,4)="Meta",LEFT(H1492,6)="Google"),IF(AG1492=3,"Lead calificado",IF(OR(AG1492=4,AG1492=5),"Tasación/visita",IF(OR(AG1492=6,AG1492=7),"Captación/oferta",IF(AG1492=8,"Cierre","")))),"")</f>
        <v/>
      </c>
      <c r="AE1492" s="32"/>
      <c r="AF1492" s="32"/>
      <c r="AG1492" s="37" t="n">
        <f aca="false">IF(R1492="",0,IFERROR(MATCH(R1492,Listas!$L$2:$L$50,0),0))</f>
        <v>0</v>
      </c>
    </row>
    <row r="1493" customFormat="false" ht="15" hidden="false" customHeight="false" outlineLevel="0" collapsed="false">
      <c r="A1493" s="30"/>
      <c r="B1493" s="31"/>
      <c r="C1493" s="32"/>
      <c r="D1493" s="32"/>
      <c r="E1493" s="33"/>
      <c r="F1493" s="32"/>
      <c r="G1493" s="32"/>
      <c r="H1493" s="32"/>
      <c r="I1493" s="32"/>
      <c r="J1493" s="32"/>
      <c r="K1493" s="32"/>
      <c r="L1493" s="32"/>
      <c r="M1493" s="30"/>
      <c r="N1493" s="32"/>
      <c r="O1493" s="34"/>
      <c r="P1493" s="32"/>
      <c r="Q1493" s="32"/>
      <c r="R1493" s="32"/>
      <c r="S1493" s="32"/>
      <c r="T1493" s="32"/>
      <c r="U1493" s="32"/>
      <c r="V1493" s="31"/>
      <c r="W1493" s="35" t="str">
        <f aca="true">IF(OR(V1493="",AG1493&gt;=8),"",IF(V1493&lt;TODAY(),"Vencida",IF(V1493=TODAY(),"Hoy","")))</f>
        <v/>
      </c>
      <c r="X1493" s="36" t="str">
        <f aca="false">IF(A1493="","",IF(COUNTIF(Seguimiento!$B$2:$B$5001,A1493)=0,"",_xlfn.MAXIFS(Seguimiento!$A$2:$A$5001,Seguimiento!$B$2:$B$5001,A1493)))</f>
        <v/>
      </c>
      <c r="Y1493" s="37" t="str">
        <f aca="true">IF(B1493="","",TODAY()-B1493)</f>
        <v/>
      </c>
      <c r="Z1493" s="38" t="str">
        <f aca="false">IF(OR(O1493="",G1493=""),"",O1493*IFERROR(INDEX(Listas!$B$2:$B$50,MATCH(G1493,Listas!$A$2:$A$50,0)),0))</f>
        <v/>
      </c>
      <c r="AA1493" s="32"/>
      <c r="AB1493" s="32"/>
      <c r="AC1493" s="32"/>
      <c r="AD1493" s="35" t="str">
        <f aca="false">IF(OR(LEFT(H1493,4)="Meta",LEFT(H1493,6)="Google"),IF(AG1493=3,"Lead calificado",IF(OR(AG1493=4,AG1493=5),"Tasación/visita",IF(OR(AG1493=6,AG1493=7),"Captación/oferta",IF(AG1493=8,"Cierre","")))),"")</f>
        <v/>
      </c>
      <c r="AE1493" s="32"/>
      <c r="AF1493" s="32"/>
      <c r="AG1493" s="37" t="n">
        <f aca="false">IF(R1493="",0,IFERROR(MATCH(R1493,Listas!$L$2:$L$50,0),0))</f>
        <v>0</v>
      </c>
    </row>
    <row r="1494" customFormat="false" ht="15" hidden="false" customHeight="false" outlineLevel="0" collapsed="false">
      <c r="A1494" s="30"/>
      <c r="B1494" s="31"/>
      <c r="C1494" s="32"/>
      <c r="D1494" s="32"/>
      <c r="E1494" s="33"/>
      <c r="F1494" s="32"/>
      <c r="G1494" s="32"/>
      <c r="H1494" s="32"/>
      <c r="I1494" s="32"/>
      <c r="J1494" s="32"/>
      <c r="K1494" s="32"/>
      <c r="L1494" s="32"/>
      <c r="M1494" s="30"/>
      <c r="N1494" s="32"/>
      <c r="O1494" s="34"/>
      <c r="P1494" s="32"/>
      <c r="Q1494" s="32"/>
      <c r="R1494" s="32"/>
      <c r="S1494" s="32"/>
      <c r="T1494" s="32"/>
      <c r="U1494" s="32"/>
      <c r="V1494" s="31"/>
      <c r="W1494" s="35" t="str">
        <f aca="true">IF(OR(V1494="",AG1494&gt;=8),"",IF(V1494&lt;TODAY(),"Vencida",IF(V1494=TODAY(),"Hoy","")))</f>
        <v/>
      </c>
      <c r="X1494" s="36" t="str">
        <f aca="false">IF(A1494="","",IF(COUNTIF(Seguimiento!$B$2:$B$5001,A1494)=0,"",_xlfn.MAXIFS(Seguimiento!$A$2:$A$5001,Seguimiento!$B$2:$B$5001,A1494)))</f>
        <v/>
      </c>
      <c r="Y1494" s="37" t="str">
        <f aca="true">IF(B1494="","",TODAY()-B1494)</f>
        <v/>
      </c>
      <c r="Z1494" s="38" t="str">
        <f aca="false">IF(OR(O1494="",G1494=""),"",O1494*IFERROR(INDEX(Listas!$B$2:$B$50,MATCH(G1494,Listas!$A$2:$A$50,0)),0))</f>
        <v/>
      </c>
      <c r="AA1494" s="32"/>
      <c r="AB1494" s="32"/>
      <c r="AC1494" s="32"/>
      <c r="AD1494" s="35" t="str">
        <f aca="false">IF(OR(LEFT(H1494,4)="Meta",LEFT(H1494,6)="Google"),IF(AG1494=3,"Lead calificado",IF(OR(AG1494=4,AG1494=5),"Tasación/visita",IF(OR(AG1494=6,AG1494=7),"Captación/oferta",IF(AG1494=8,"Cierre","")))),"")</f>
        <v/>
      </c>
      <c r="AE1494" s="32"/>
      <c r="AF1494" s="32"/>
      <c r="AG1494" s="37" t="n">
        <f aca="false">IF(R1494="",0,IFERROR(MATCH(R1494,Listas!$L$2:$L$50,0),0))</f>
        <v>0</v>
      </c>
    </row>
    <row r="1495" customFormat="false" ht="15" hidden="false" customHeight="false" outlineLevel="0" collapsed="false">
      <c r="A1495" s="30"/>
      <c r="B1495" s="31"/>
      <c r="C1495" s="32"/>
      <c r="D1495" s="32"/>
      <c r="E1495" s="33"/>
      <c r="F1495" s="32"/>
      <c r="G1495" s="32"/>
      <c r="H1495" s="32"/>
      <c r="I1495" s="32"/>
      <c r="J1495" s="32"/>
      <c r="K1495" s="32"/>
      <c r="L1495" s="32"/>
      <c r="M1495" s="30"/>
      <c r="N1495" s="32"/>
      <c r="O1495" s="34"/>
      <c r="P1495" s="32"/>
      <c r="Q1495" s="32"/>
      <c r="R1495" s="32"/>
      <c r="S1495" s="32"/>
      <c r="T1495" s="32"/>
      <c r="U1495" s="32"/>
      <c r="V1495" s="31"/>
      <c r="W1495" s="35" t="str">
        <f aca="true">IF(OR(V1495="",AG1495&gt;=8),"",IF(V1495&lt;TODAY(),"Vencida",IF(V1495=TODAY(),"Hoy","")))</f>
        <v/>
      </c>
      <c r="X1495" s="36" t="str">
        <f aca="false">IF(A1495="","",IF(COUNTIF(Seguimiento!$B$2:$B$5001,A1495)=0,"",_xlfn.MAXIFS(Seguimiento!$A$2:$A$5001,Seguimiento!$B$2:$B$5001,A1495)))</f>
        <v/>
      </c>
      <c r="Y1495" s="37" t="str">
        <f aca="true">IF(B1495="","",TODAY()-B1495)</f>
        <v/>
      </c>
      <c r="Z1495" s="38" t="str">
        <f aca="false">IF(OR(O1495="",G1495=""),"",O1495*IFERROR(INDEX(Listas!$B$2:$B$50,MATCH(G1495,Listas!$A$2:$A$50,0)),0))</f>
        <v/>
      </c>
      <c r="AA1495" s="32"/>
      <c r="AB1495" s="32"/>
      <c r="AC1495" s="32"/>
      <c r="AD1495" s="35" t="str">
        <f aca="false">IF(OR(LEFT(H1495,4)="Meta",LEFT(H1495,6)="Google"),IF(AG1495=3,"Lead calificado",IF(OR(AG1495=4,AG1495=5),"Tasación/visita",IF(OR(AG1495=6,AG1495=7),"Captación/oferta",IF(AG1495=8,"Cierre","")))),"")</f>
        <v/>
      </c>
      <c r="AE1495" s="32"/>
      <c r="AF1495" s="32"/>
      <c r="AG1495" s="37" t="n">
        <f aca="false">IF(R1495="",0,IFERROR(MATCH(R1495,Listas!$L$2:$L$50,0),0))</f>
        <v>0</v>
      </c>
    </row>
    <row r="1496" customFormat="false" ht="15" hidden="false" customHeight="false" outlineLevel="0" collapsed="false">
      <c r="A1496" s="30"/>
      <c r="B1496" s="31"/>
      <c r="C1496" s="32"/>
      <c r="D1496" s="32"/>
      <c r="E1496" s="33"/>
      <c r="F1496" s="32"/>
      <c r="G1496" s="32"/>
      <c r="H1496" s="32"/>
      <c r="I1496" s="32"/>
      <c r="J1496" s="32"/>
      <c r="K1496" s="32"/>
      <c r="L1496" s="32"/>
      <c r="M1496" s="30"/>
      <c r="N1496" s="32"/>
      <c r="O1496" s="34"/>
      <c r="P1496" s="32"/>
      <c r="Q1496" s="32"/>
      <c r="R1496" s="32"/>
      <c r="S1496" s="32"/>
      <c r="T1496" s="32"/>
      <c r="U1496" s="32"/>
      <c r="V1496" s="31"/>
      <c r="W1496" s="35" t="str">
        <f aca="true">IF(OR(V1496="",AG1496&gt;=8),"",IF(V1496&lt;TODAY(),"Vencida",IF(V1496=TODAY(),"Hoy","")))</f>
        <v/>
      </c>
      <c r="X1496" s="36" t="str">
        <f aca="false">IF(A1496="","",IF(COUNTIF(Seguimiento!$B$2:$B$5001,A1496)=0,"",_xlfn.MAXIFS(Seguimiento!$A$2:$A$5001,Seguimiento!$B$2:$B$5001,A1496)))</f>
        <v/>
      </c>
      <c r="Y1496" s="37" t="str">
        <f aca="true">IF(B1496="","",TODAY()-B1496)</f>
        <v/>
      </c>
      <c r="Z1496" s="38" t="str">
        <f aca="false">IF(OR(O1496="",G1496=""),"",O1496*IFERROR(INDEX(Listas!$B$2:$B$50,MATCH(G1496,Listas!$A$2:$A$50,0)),0))</f>
        <v/>
      </c>
      <c r="AA1496" s="32"/>
      <c r="AB1496" s="32"/>
      <c r="AC1496" s="32"/>
      <c r="AD1496" s="35" t="str">
        <f aca="false">IF(OR(LEFT(H1496,4)="Meta",LEFT(H1496,6)="Google"),IF(AG1496=3,"Lead calificado",IF(OR(AG1496=4,AG1496=5),"Tasación/visita",IF(OR(AG1496=6,AG1496=7),"Captación/oferta",IF(AG1496=8,"Cierre","")))),"")</f>
        <v/>
      </c>
      <c r="AE1496" s="32"/>
      <c r="AF1496" s="32"/>
      <c r="AG1496" s="37" t="n">
        <f aca="false">IF(R1496="",0,IFERROR(MATCH(R1496,Listas!$L$2:$L$50,0),0))</f>
        <v>0</v>
      </c>
    </row>
    <row r="1497" customFormat="false" ht="15" hidden="false" customHeight="false" outlineLevel="0" collapsed="false">
      <c r="A1497" s="30"/>
      <c r="B1497" s="31"/>
      <c r="C1497" s="32"/>
      <c r="D1497" s="32"/>
      <c r="E1497" s="33"/>
      <c r="F1497" s="32"/>
      <c r="G1497" s="32"/>
      <c r="H1497" s="32"/>
      <c r="I1497" s="32"/>
      <c r="J1497" s="32"/>
      <c r="K1497" s="32"/>
      <c r="L1497" s="32"/>
      <c r="M1497" s="30"/>
      <c r="N1497" s="32"/>
      <c r="O1497" s="34"/>
      <c r="P1497" s="32"/>
      <c r="Q1497" s="32"/>
      <c r="R1497" s="32"/>
      <c r="S1497" s="32"/>
      <c r="T1497" s="32"/>
      <c r="U1497" s="32"/>
      <c r="V1497" s="31"/>
      <c r="W1497" s="35" t="str">
        <f aca="true">IF(OR(V1497="",AG1497&gt;=8),"",IF(V1497&lt;TODAY(),"Vencida",IF(V1497=TODAY(),"Hoy","")))</f>
        <v/>
      </c>
      <c r="X1497" s="36" t="str">
        <f aca="false">IF(A1497="","",IF(COUNTIF(Seguimiento!$B$2:$B$5001,A1497)=0,"",_xlfn.MAXIFS(Seguimiento!$A$2:$A$5001,Seguimiento!$B$2:$B$5001,A1497)))</f>
        <v/>
      </c>
      <c r="Y1497" s="37" t="str">
        <f aca="true">IF(B1497="","",TODAY()-B1497)</f>
        <v/>
      </c>
      <c r="Z1497" s="38" t="str">
        <f aca="false">IF(OR(O1497="",G1497=""),"",O1497*IFERROR(INDEX(Listas!$B$2:$B$50,MATCH(G1497,Listas!$A$2:$A$50,0)),0))</f>
        <v/>
      </c>
      <c r="AA1497" s="32"/>
      <c r="AB1497" s="32"/>
      <c r="AC1497" s="32"/>
      <c r="AD1497" s="35" t="str">
        <f aca="false">IF(OR(LEFT(H1497,4)="Meta",LEFT(H1497,6)="Google"),IF(AG1497=3,"Lead calificado",IF(OR(AG1497=4,AG1497=5),"Tasación/visita",IF(OR(AG1497=6,AG1497=7),"Captación/oferta",IF(AG1497=8,"Cierre","")))),"")</f>
        <v/>
      </c>
      <c r="AE1497" s="32"/>
      <c r="AF1497" s="32"/>
      <c r="AG1497" s="37" t="n">
        <f aca="false">IF(R1497="",0,IFERROR(MATCH(R1497,Listas!$L$2:$L$50,0),0))</f>
        <v>0</v>
      </c>
    </row>
    <row r="1498" customFormat="false" ht="15" hidden="false" customHeight="false" outlineLevel="0" collapsed="false">
      <c r="A1498" s="30"/>
      <c r="B1498" s="31"/>
      <c r="C1498" s="32"/>
      <c r="D1498" s="32"/>
      <c r="E1498" s="33"/>
      <c r="F1498" s="32"/>
      <c r="G1498" s="32"/>
      <c r="H1498" s="32"/>
      <c r="I1498" s="32"/>
      <c r="J1498" s="32"/>
      <c r="K1498" s="32"/>
      <c r="L1498" s="32"/>
      <c r="M1498" s="30"/>
      <c r="N1498" s="32"/>
      <c r="O1498" s="34"/>
      <c r="P1498" s="32"/>
      <c r="Q1498" s="32"/>
      <c r="R1498" s="32"/>
      <c r="S1498" s="32"/>
      <c r="T1498" s="32"/>
      <c r="U1498" s="32"/>
      <c r="V1498" s="31"/>
      <c r="W1498" s="35" t="str">
        <f aca="true">IF(OR(V1498="",AG1498&gt;=8),"",IF(V1498&lt;TODAY(),"Vencida",IF(V1498=TODAY(),"Hoy","")))</f>
        <v/>
      </c>
      <c r="X1498" s="36" t="str">
        <f aca="false">IF(A1498="","",IF(COUNTIF(Seguimiento!$B$2:$B$5001,A1498)=0,"",_xlfn.MAXIFS(Seguimiento!$A$2:$A$5001,Seguimiento!$B$2:$B$5001,A1498)))</f>
        <v/>
      </c>
      <c r="Y1498" s="37" t="str">
        <f aca="true">IF(B1498="","",TODAY()-B1498)</f>
        <v/>
      </c>
      <c r="Z1498" s="38" t="str">
        <f aca="false">IF(OR(O1498="",G1498=""),"",O1498*IFERROR(INDEX(Listas!$B$2:$B$50,MATCH(G1498,Listas!$A$2:$A$50,0)),0))</f>
        <v/>
      </c>
      <c r="AA1498" s="32"/>
      <c r="AB1498" s="32"/>
      <c r="AC1498" s="32"/>
      <c r="AD1498" s="35" t="str">
        <f aca="false">IF(OR(LEFT(H1498,4)="Meta",LEFT(H1498,6)="Google"),IF(AG1498=3,"Lead calificado",IF(OR(AG1498=4,AG1498=5),"Tasación/visita",IF(OR(AG1498=6,AG1498=7),"Captación/oferta",IF(AG1498=8,"Cierre","")))),"")</f>
        <v/>
      </c>
      <c r="AE1498" s="32"/>
      <c r="AF1498" s="32"/>
      <c r="AG1498" s="37" t="n">
        <f aca="false">IF(R1498="",0,IFERROR(MATCH(R1498,Listas!$L$2:$L$50,0),0))</f>
        <v>0</v>
      </c>
    </row>
    <row r="1499" customFormat="false" ht="15" hidden="false" customHeight="false" outlineLevel="0" collapsed="false">
      <c r="A1499" s="30"/>
      <c r="B1499" s="31"/>
      <c r="C1499" s="32"/>
      <c r="D1499" s="32"/>
      <c r="E1499" s="33"/>
      <c r="F1499" s="32"/>
      <c r="G1499" s="32"/>
      <c r="H1499" s="32"/>
      <c r="I1499" s="32"/>
      <c r="J1499" s="32"/>
      <c r="K1499" s="32"/>
      <c r="L1499" s="32"/>
      <c r="M1499" s="30"/>
      <c r="N1499" s="32"/>
      <c r="O1499" s="34"/>
      <c r="P1499" s="32"/>
      <c r="Q1499" s="32"/>
      <c r="R1499" s="32"/>
      <c r="S1499" s="32"/>
      <c r="T1499" s="32"/>
      <c r="U1499" s="32"/>
      <c r="V1499" s="31"/>
      <c r="W1499" s="35" t="str">
        <f aca="true">IF(OR(V1499="",AG1499&gt;=8),"",IF(V1499&lt;TODAY(),"Vencida",IF(V1499=TODAY(),"Hoy","")))</f>
        <v/>
      </c>
      <c r="X1499" s="36" t="str">
        <f aca="false">IF(A1499="","",IF(COUNTIF(Seguimiento!$B$2:$B$5001,A1499)=0,"",_xlfn.MAXIFS(Seguimiento!$A$2:$A$5001,Seguimiento!$B$2:$B$5001,A1499)))</f>
        <v/>
      </c>
      <c r="Y1499" s="37" t="str">
        <f aca="true">IF(B1499="","",TODAY()-B1499)</f>
        <v/>
      </c>
      <c r="Z1499" s="38" t="str">
        <f aca="false">IF(OR(O1499="",G1499=""),"",O1499*IFERROR(INDEX(Listas!$B$2:$B$50,MATCH(G1499,Listas!$A$2:$A$50,0)),0))</f>
        <v/>
      </c>
      <c r="AA1499" s="32"/>
      <c r="AB1499" s="32"/>
      <c r="AC1499" s="32"/>
      <c r="AD1499" s="35" t="str">
        <f aca="false">IF(OR(LEFT(H1499,4)="Meta",LEFT(H1499,6)="Google"),IF(AG1499=3,"Lead calificado",IF(OR(AG1499=4,AG1499=5),"Tasación/visita",IF(OR(AG1499=6,AG1499=7),"Captación/oferta",IF(AG1499=8,"Cierre","")))),"")</f>
        <v/>
      </c>
      <c r="AE1499" s="32"/>
      <c r="AF1499" s="32"/>
      <c r="AG1499" s="37" t="n">
        <f aca="false">IF(R1499="",0,IFERROR(MATCH(R1499,Listas!$L$2:$L$50,0),0))</f>
        <v>0</v>
      </c>
    </row>
    <row r="1500" customFormat="false" ht="15" hidden="false" customHeight="false" outlineLevel="0" collapsed="false">
      <c r="A1500" s="30"/>
      <c r="B1500" s="31"/>
      <c r="C1500" s="32"/>
      <c r="D1500" s="32"/>
      <c r="E1500" s="33"/>
      <c r="F1500" s="32"/>
      <c r="G1500" s="32"/>
      <c r="H1500" s="32"/>
      <c r="I1500" s="32"/>
      <c r="J1500" s="32"/>
      <c r="K1500" s="32"/>
      <c r="L1500" s="32"/>
      <c r="M1500" s="30"/>
      <c r="N1500" s="32"/>
      <c r="O1500" s="34"/>
      <c r="P1500" s="32"/>
      <c r="Q1500" s="32"/>
      <c r="R1500" s="32"/>
      <c r="S1500" s="32"/>
      <c r="T1500" s="32"/>
      <c r="U1500" s="32"/>
      <c r="V1500" s="31"/>
      <c r="W1500" s="35" t="str">
        <f aca="true">IF(OR(V1500="",AG1500&gt;=8),"",IF(V1500&lt;TODAY(),"Vencida",IF(V1500=TODAY(),"Hoy","")))</f>
        <v/>
      </c>
      <c r="X1500" s="36" t="str">
        <f aca="false">IF(A1500="","",IF(COUNTIF(Seguimiento!$B$2:$B$5001,A1500)=0,"",_xlfn.MAXIFS(Seguimiento!$A$2:$A$5001,Seguimiento!$B$2:$B$5001,A1500)))</f>
        <v/>
      </c>
      <c r="Y1500" s="37" t="str">
        <f aca="true">IF(B1500="","",TODAY()-B1500)</f>
        <v/>
      </c>
      <c r="Z1500" s="38" t="str">
        <f aca="false">IF(OR(O1500="",G1500=""),"",O1500*IFERROR(INDEX(Listas!$B$2:$B$50,MATCH(G1500,Listas!$A$2:$A$50,0)),0))</f>
        <v/>
      </c>
      <c r="AA1500" s="32"/>
      <c r="AB1500" s="32"/>
      <c r="AC1500" s="32"/>
      <c r="AD1500" s="35" t="str">
        <f aca="false">IF(OR(LEFT(H1500,4)="Meta",LEFT(H1500,6)="Google"),IF(AG1500=3,"Lead calificado",IF(OR(AG1500=4,AG1500=5),"Tasación/visita",IF(OR(AG1500=6,AG1500=7),"Captación/oferta",IF(AG1500=8,"Cierre","")))),"")</f>
        <v/>
      </c>
      <c r="AE1500" s="32"/>
      <c r="AF1500" s="32"/>
      <c r="AG1500" s="37" t="n">
        <f aca="false">IF(R1500="",0,IFERROR(MATCH(R1500,Listas!$L$2:$L$50,0),0))</f>
        <v>0</v>
      </c>
    </row>
    <row r="1501" customFormat="false" ht="15" hidden="false" customHeight="false" outlineLevel="0" collapsed="false">
      <c r="A1501" s="30"/>
      <c r="B1501" s="31"/>
      <c r="C1501" s="32"/>
      <c r="D1501" s="32"/>
      <c r="E1501" s="33"/>
      <c r="F1501" s="32"/>
      <c r="G1501" s="32"/>
      <c r="H1501" s="32"/>
      <c r="I1501" s="32"/>
      <c r="J1501" s="32"/>
      <c r="K1501" s="32"/>
      <c r="L1501" s="32"/>
      <c r="M1501" s="30"/>
      <c r="N1501" s="32"/>
      <c r="O1501" s="34"/>
      <c r="P1501" s="32"/>
      <c r="Q1501" s="32"/>
      <c r="R1501" s="32"/>
      <c r="S1501" s="32"/>
      <c r="T1501" s="32"/>
      <c r="U1501" s="32"/>
      <c r="V1501" s="31"/>
      <c r="W1501" s="35" t="str">
        <f aca="true">IF(OR(V1501="",AG1501&gt;=8),"",IF(V1501&lt;TODAY(),"Vencida",IF(V1501=TODAY(),"Hoy","")))</f>
        <v/>
      </c>
      <c r="X1501" s="36" t="str">
        <f aca="false">IF(A1501="","",IF(COUNTIF(Seguimiento!$B$2:$B$5001,A1501)=0,"",_xlfn.MAXIFS(Seguimiento!$A$2:$A$5001,Seguimiento!$B$2:$B$5001,A1501)))</f>
        <v/>
      </c>
      <c r="Y1501" s="37" t="str">
        <f aca="true">IF(B1501="","",TODAY()-B1501)</f>
        <v/>
      </c>
      <c r="Z1501" s="38" t="str">
        <f aca="false">IF(OR(O1501="",G1501=""),"",O1501*IFERROR(INDEX(Listas!$B$2:$B$50,MATCH(G1501,Listas!$A$2:$A$50,0)),0))</f>
        <v/>
      </c>
      <c r="AA1501" s="32"/>
      <c r="AB1501" s="32"/>
      <c r="AC1501" s="32"/>
      <c r="AD1501" s="35" t="str">
        <f aca="false">IF(OR(LEFT(H1501,4)="Meta",LEFT(H1501,6)="Google"),IF(AG1501=3,"Lead calificado",IF(OR(AG1501=4,AG1501=5),"Tasación/visita",IF(OR(AG1501=6,AG1501=7),"Captación/oferta",IF(AG1501=8,"Cierre","")))),"")</f>
        <v/>
      </c>
      <c r="AE1501" s="32"/>
      <c r="AF1501" s="32"/>
      <c r="AG1501" s="37" t="n">
        <f aca="false">IF(R1501="",0,IFERROR(MATCH(R1501,Listas!$L$2:$L$50,0),0))</f>
        <v>0</v>
      </c>
    </row>
    <row r="1502" customFormat="false" ht="15" hidden="false" customHeight="false" outlineLevel="0" collapsed="false">
      <c r="A1502" s="30"/>
      <c r="B1502" s="31"/>
      <c r="C1502" s="32"/>
      <c r="D1502" s="32"/>
      <c r="E1502" s="33"/>
      <c r="F1502" s="32"/>
      <c r="G1502" s="32"/>
      <c r="H1502" s="32"/>
      <c r="I1502" s="32"/>
      <c r="J1502" s="32"/>
      <c r="K1502" s="32"/>
      <c r="L1502" s="32"/>
      <c r="M1502" s="30"/>
      <c r="N1502" s="32"/>
      <c r="O1502" s="34"/>
      <c r="P1502" s="32"/>
      <c r="Q1502" s="32"/>
      <c r="R1502" s="32"/>
      <c r="S1502" s="32"/>
      <c r="T1502" s="32"/>
      <c r="U1502" s="32"/>
      <c r="V1502" s="31"/>
      <c r="W1502" s="35" t="str">
        <f aca="true">IF(OR(V1502="",AG1502&gt;=8),"",IF(V1502&lt;TODAY(),"Vencida",IF(V1502=TODAY(),"Hoy","")))</f>
        <v/>
      </c>
      <c r="X1502" s="36" t="str">
        <f aca="false">IF(A1502="","",IF(COUNTIF(Seguimiento!$B$2:$B$5001,A1502)=0,"",_xlfn.MAXIFS(Seguimiento!$A$2:$A$5001,Seguimiento!$B$2:$B$5001,A1502)))</f>
        <v/>
      </c>
      <c r="Y1502" s="37" t="str">
        <f aca="true">IF(B1502="","",TODAY()-B1502)</f>
        <v/>
      </c>
      <c r="Z1502" s="38" t="str">
        <f aca="false">IF(OR(O1502="",G1502=""),"",O1502*IFERROR(INDEX(Listas!$B$2:$B$50,MATCH(G1502,Listas!$A$2:$A$50,0)),0))</f>
        <v/>
      </c>
      <c r="AA1502" s="32"/>
      <c r="AB1502" s="32"/>
      <c r="AC1502" s="32"/>
      <c r="AD1502" s="35" t="str">
        <f aca="false">IF(OR(LEFT(H1502,4)="Meta",LEFT(H1502,6)="Google"),IF(AG1502=3,"Lead calificado",IF(OR(AG1502=4,AG1502=5),"Tasación/visita",IF(OR(AG1502=6,AG1502=7),"Captación/oferta",IF(AG1502=8,"Cierre","")))),"")</f>
        <v/>
      </c>
      <c r="AE1502" s="32"/>
      <c r="AF1502" s="32"/>
      <c r="AG1502" s="37" t="n">
        <f aca="false">IF(R1502="",0,IFERROR(MATCH(R1502,Listas!$L$2:$L$50,0),0))</f>
        <v>0</v>
      </c>
    </row>
    <row r="1503" customFormat="false" ht="15" hidden="false" customHeight="false" outlineLevel="0" collapsed="false">
      <c r="A1503" s="30"/>
      <c r="B1503" s="31"/>
      <c r="C1503" s="32"/>
      <c r="D1503" s="32"/>
      <c r="E1503" s="33"/>
      <c r="F1503" s="32"/>
      <c r="G1503" s="32"/>
      <c r="H1503" s="32"/>
      <c r="I1503" s="32"/>
      <c r="J1503" s="32"/>
      <c r="K1503" s="32"/>
      <c r="L1503" s="32"/>
      <c r="M1503" s="30"/>
      <c r="N1503" s="32"/>
      <c r="O1503" s="34"/>
      <c r="P1503" s="32"/>
      <c r="Q1503" s="32"/>
      <c r="R1503" s="32"/>
      <c r="S1503" s="32"/>
      <c r="T1503" s="32"/>
      <c r="U1503" s="32"/>
      <c r="V1503" s="31"/>
      <c r="W1503" s="35" t="str">
        <f aca="true">IF(OR(V1503="",AG1503&gt;=8),"",IF(V1503&lt;TODAY(),"Vencida",IF(V1503=TODAY(),"Hoy","")))</f>
        <v/>
      </c>
      <c r="X1503" s="36" t="str">
        <f aca="false">IF(A1503="","",IF(COUNTIF(Seguimiento!$B$2:$B$5001,A1503)=0,"",_xlfn.MAXIFS(Seguimiento!$A$2:$A$5001,Seguimiento!$B$2:$B$5001,A1503)))</f>
        <v/>
      </c>
      <c r="Y1503" s="37" t="str">
        <f aca="true">IF(B1503="","",TODAY()-B1503)</f>
        <v/>
      </c>
      <c r="Z1503" s="38" t="str">
        <f aca="false">IF(OR(O1503="",G1503=""),"",O1503*IFERROR(INDEX(Listas!$B$2:$B$50,MATCH(G1503,Listas!$A$2:$A$50,0)),0))</f>
        <v/>
      </c>
      <c r="AA1503" s="32"/>
      <c r="AB1503" s="32"/>
      <c r="AC1503" s="32"/>
      <c r="AD1503" s="35" t="str">
        <f aca="false">IF(OR(LEFT(H1503,4)="Meta",LEFT(H1503,6)="Google"),IF(AG1503=3,"Lead calificado",IF(OR(AG1503=4,AG1503=5),"Tasación/visita",IF(OR(AG1503=6,AG1503=7),"Captación/oferta",IF(AG1503=8,"Cierre","")))),"")</f>
        <v/>
      </c>
      <c r="AE1503" s="32"/>
      <c r="AF1503" s="32"/>
      <c r="AG1503" s="37" t="n">
        <f aca="false">IF(R1503="",0,IFERROR(MATCH(R1503,Listas!$L$2:$L$50,0),0))</f>
        <v>0</v>
      </c>
    </row>
    <row r="1504" customFormat="false" ht="15" hidden="false" customHeight="false" outlineLevel="0" collapsed="false">
      <c r="A1504" s="30"/>
      <c r="B1504" s="31"/>
      <c r="C1504" s="32"/>
      <c r="D1504" s="32"/>
      <c r="E1504" s="33"/>
      <c r="F1504" s="32"/>
      <c r="G1504" s="32"/>
      <c r="H1504" s="32"/>
      <c r="I1504" s="32"/>
      <c r="J1504" s="32"/>
      <c r="K1504" s="32"/>
      <c r="L1504" s="32"/>
      <c r="M1504" s="30"/>
      <c r="N1504" s="32"/>
      <c r="O1504" s="34"/>
      <c r="P1504" s="32"/>
      <c r="Q1504" s="32"/>
      <c r="R1504" s="32"/>
      <c r="S1504" s="32"/>
      <c r="T1504" s="32"/>
      <c r="U1504" s="32"/>
      <c r="V1504" s="31"/>
      <c r="W1504" s="35" t="str">
        <f aca="true">IF(OR(V1504="",AG1504&gt;=8),"",IF(V1504&lt;TODAY(),"Vencida",IF(V1504=TODAY(),"Hoy","")))</f>
        <v/>
      </c>
      <c r="X1504" s="36" t="str">
        <f aca="false">IF(A1504="","",IF(COUNTIF(Seguimiento!$B$2:$B$5001,A1504)=0,"",_xlfn.MAXIFS(Seguimiento!$A$2:$A$5001,Seguimiento!$B$2:$B$5001,A1504)))</f>
        <v/>
      </c>
      <c r="Y1504" s="37" t="str">
        <f aca="true">IF(B1504="","",TODAY()-B1504)</f>
        <v/>
      </c>
      <c r="Z1504" s="38" t="str">
        <f aca="false">IF(OR(O1504="",G1504=""),"",O1504*IFERROR(INDEX(Listas!$B$2:$B$50,MATCH(G1504,Listas!$A$2:$A$50,0)),0))</f>
        <v/>
      </c>
      <c r="AA1504" s="32"/>
      <c r="AB1504" s="32"/>
      <c r="AC1504" s="32"/>
      <c r="AD1504" s="35" t="str">
        <f aca="false">IF(OR(LEFT(H1504,4)="Meta",LEFT(H1504,6)="Google"),IF(AG1504=3,"Lead calificado",IF(OR(AG1504=4,AG1504=5),"Tasación/visita",IF(OR(AG1504=6,AG1504=7),"Captación/oferta",IF(AG1504=8,"Cierre","")))),"")</f>
        <v/>
      </c>
      <c r="AE1504" s="32"/>
      <c r="AF1504" s="32"/>
      <c r="AG1504" s="37" t="n">
        <f aca="false">IF(R1504="",0,IFERROR(MATCH(R1504,Listas!$L$2:$L$50,0),0))</f>
        <v>0</v>
      </c>
    </row>
    <row r="1505" customFormat="false" ht="15" hidden="false" customHeight="false" outlineLevel="0" collapsed="false">
      <c r="A1505" s="30"/>
      <c r="B1505" s="31"/>
      <c r="C1505" s="32"/>
      <c r="D1505" s="32"/>
      <c r="E1505" s="33"/>
      <c r="F1505" s="32"/>
      <c r="G1505" s="32"/>
      <c r="H1505" s="32"/>
      <c r="I1505" s="32"/>
      <c r="J1505" s="32"/>
      <c r="K1505" s="32"/>
      <c r="L1505" s="32"/>
      <c r="M1505" s="30"/>
      <c r="N1505" s="32"/>
      <c r="O1505" s="34"/>
      <c r="P1505" s="32"/>
      <c r="Q1505" s="32"/>
      <c r="R1505" s="32"/>
      <c r="S1505" s="32"/>
      <c r="T1505" s="32"/>
      <c r="U1505" s="32"/>
      <c r="V1505" s="31"/>
      <c r="W1505" s="35" t="str">
        <f aca="true">IF(OR(V1505="",AG1505&gt;=8),"",IF(V1505&lt;TODAY(),"Vencida",IF(V1505=TODAY(),"Hoy","")))</f>
        <v/>
      </c>
      <c r="X1505" s="36" t="str">
        <f aca="false">IF(A1505="","",IF(COUNTIF(Seguimiento!$B$2:$B$5001,A1505)=0,"",_xlfn.MAXIFS(Seguimiento!$A$2:$A$5001,Seguimiento!$B$2:$B$5001,A1505)))</f>
        <v/>
      </c>
      <c r="Y1505" s="37" t="str">
        <f aca="true">IF(B1505="","",TODAY()-B1505)</f>
        <v/>
      </c>
      <c r="Z1505" s="38" t="str">
        <f aca="false">IF(OR(O1505="",G1505=""),"",O1505*IFERROR(INDEX(Listas!$B$2:$B$50,MATCH(G1505,Listas!$A$2:$A$50,0)),0))</f>
        <v/>
      </c>
      <c r="AA1505" s="32"/>
      <c r="AB1505" s="32"/>
      <c r="AC1505" s="32"/>
      <c r="AD1505" s="35" t="str">
        <f aca="false">IF(OR(LEFT(H1505,4)="Meta",LEFT(H1505,6)="Google"),IF(AG1505=3,"Lead calificado",IF(OR(AG1505=4,AG1505=5),"Tasación/visita",IF(OR(AG1505=6,AG1505=7),"Captación/oferta",IF(AG1505=8,"Cierre","")))),"")</f>
        <v/>
      </c>
      <c r="AE1505" s="32"/>
      <c r="AF1505" s="32"/>
      <c r="AG1505" s="37" t="n">
        <f aca="false">IF(R1505="",0,IFERROR(MATCH(R1505,Listas!$L$2:$L$50,0),0))</f>
        <v>0</v>
      </c>
    </row>
    <row r="1506" customFormat="false" ht="15" hidden="false" customHeight="false" outlineLevel="0" collapsed="false">
      <c r="A1506" s="30"/>
      <c r="B1506" s="31"/>
      <c r="C1506" s="32"/>
      <c r="D1506" s="32"/>
      <c r="E1506" s="33"/>
      <c r="F1506" s="32"/>
      <c r="G1506" s="32"/>
      <c r="H1506" s="32"/>
      <c r="I1506" s="32"/>
      <c r="J1506" s="32"/>
      <c r="K1506" s="32"/>
      <c r="L1506" s="32"/>
      <c r="M1506" s="30"/>
      <c r="N1506" s="32"/>
      <c r="O1506" s="34"/>
      <c r="P1506" s="32"/>
      <c r="Q1506" s="32"/>
      <c r="R1506" s="32"/>
      <c r="S1506" s="32"/>
      <c r="T1506" s="32"/>
      <c r="U1506" s="32"/>
      <c r="V1506" s="31"/>
      <c r="W1506" s="35" t="str">
        <f aca="true">IF(OR(V1506="",AG1506&gt;=8),"",IF(V1506&lt;TODAY(),"Vencida",IF(V1506=TODAY(),"Hoy","")))</f>
        <v/>
      </c>
      <c r="X1506" s="36" t="str">
        <f aca="false">IF(A1506="","",IF(COUNTIF(Seguimiento!$B$2:$B$5001,A1506)=0,"",_xlfn.MAXIFS(Seguimiento!$A$2:$A$5001,Seguimiento!$B$2:$B$5001,A1506)))</f>
        <v/>
      </c>
      <c r="Y1506" s="37" t="str">
        <f aca="true">IF(B1506="","",TODAY()-B1506)</f>
        <v/>
      </c>
      <c r="Z1506" s="38" t="str">
        <f aca="false">IF(OR(O1506="",G1506=""),"",O1506*IFERROR(INDEX(Listas!$B$2:$B$50,MATCH(G1506,Listas!$A$2:$A$50,0)),0))</f>
        <v/>
      </c>
      <c r="AA1506" s="32"/>
      <c r="AB1506" s="32"/>
      <c r="AC1506" s="32"/>
      <c r="AD1506" s="35" t="str">
        <f aca="false">IF(OR(LEFT(H1506,4)="Meta",LEFT(H1506,6)="Google"),IF(AG1506=3,"Lead calificado",IF(OR(AG1506=4,AG1506=5),"Tasación/visita",IF(OR(AG1506=6,AG1506=7),"Captación/oferta",IF(AG1506=8,"Cierre","")))),"")</f>
        <v/>
      </c>
      <c r="AE1506" s="32"/>
      <c r="AF1506" s="32"/>
      <c r="AG1506" s="37" t="n">
        <f aca="false">IF(R1506="",0,IFERROR(MATCH(R1506,Listas!$L$2:$L$50,0),0))</f>
        <v>0</v>
      </c>
    </row>
    <row r="1507" customFormat="false" ht="15" hidden="false" customHeight="false" outlineLevel="0" collapsed="false">
      <c r="A1507" s="30"/>
      <c r="B1507" s="31"/>
      <c r="C1507" s="32"/>
      <c r="D1507" s="32"/>
      <c r="E1507" s="33"/>
      <c r="F1507" s="32"/>
      <c r="G1507" s="32"/>
      <c r="H1507" s="32"/>
      <c r="I1507" s="32"/>
      <c r="J1507" s="32"/>
      <c r="K1507" s="32"/>
      <c r="L1507" s="32"/>
      <c r="M1507" s="30"/>
      <c r="N1507" s="32"/>
      <c r="O1507" s="34"/>
      <c r="P1507" s="32"/>
      <c r="Q1507" s="32"/>
      <c r="R1507" s="32"/>
      <c r="S1507" s="32"/>
      <c r="T1507" s="32"/>
      <c r="U1507" s="32"/>
      <c r="V1507" s="31"/>
      <c r="W1507" s="35" t="str">
        <f aca="true">IF(OR(V1507="",AG1507&gt;=8),"",IF(V1507&lt;TODAY(),"Vencida",IF(V1507=TODAY(),"Hoy","")))</f>
        <v/>
      </c>
      <c r="X1507" s="36" t="str">
        <f aca="false">IF(A1507="","",IF(COUNTIF(Seguimiento!$B$2:$B$5001,A1507)=0,"",_xlfn.MAXIFS(Seguimiento!$A$2:$A$5001,Seguimiento!$B$2:$B$5001,A1507)))</f>
        <v/>
      </c>
      <c r="Y1507" s="37" t="str">
        <f aca="true">IF(B1507="","",TODAY()-B1507)</f>
        <v/>
      </c>
      <c r="Z1507" s="38" t="str">
        <f aca="false">IF(OR(O1507="",G1507=""),"",O1507*IFERROR(INDEX(Listas!$B$2:$B$50,MATCH(G1507,Listas!$A$2:$A$50,0)),0))</f>
        <v/>
      </c>
      <c r="AA1507" s="32"/>
      <c r="AB1507" s="32"/>
      <c r="AC1507" s="32"/>
      <c r="AD1507" s="35" t="str">
        <f aca="false">IF(OR(LEFT(H1507,4)="Meta",LEFT(H1507,6)="Google"),IF(AG1507=3,"Lead calificado",IF(OR(AG1507=4,AG1507=5),"Tasación/visita",IF(OR(AG1507=6,AG1507=7),"Captación/oferta",IF(AG1507=8,"Cierre","")))),"")</f>
        <v/>
      </c>
      <c r="AE1507" s="32"/>
      <c r="AF1507" s="32"/>
      <c r="AG1507" s="37" t="n">
        <f aca="false">IF(R1507="",0,IFERROR(MATCH(R1507,Listas!$L$2:$L$50,0),0))</f>
        <v>0</v>
      </c>
    </row>
    <row r="1508" customFormat="false" ht="15" hidden="false" customHeight="false" outlineLevel="0" collapsed="false">
      <c r="A1508" s="30"/>
      <c r="B1508" s="31"/>
      <c r="C1508" s="32"/>
      <c r="D1508" s="32"/>
      <c r="E1508" s="33"/>
      <c r="F1508" s="32"/>
      <c r="G1508" s="32"/>
      <c r="H1508" s="32"/>
      <c r="I1508" s="32"/>
      <c r="J1508" s="32"/>
      <c r="K1508" s="32"/>
      <c r="L1508" s="32"/>
      <c r="M1508" s="30"/>
      <c r="N1508" s="32"/>
      <c r="O1508" s="34"/>
      <c r="P1508" s="32"/>
      <c r="Q1508" s="32"/>
      <c r="R1508" s="32"/>
      <c r="S1508" s="32"/>
      <c r="T1508" s="32"/>
      <c r="U1508" s="32"/>
      <c r="V1508" s="31"/>
      <c r="W1508" s="35" t="str">
        <f aca="true">IF(OR(V1508="",AG1508&gt;=8),"",IF(V1508&lt;TODAY(),"Vencida",IF(V1508=TODAY(),"Hoy","")))</f>
        <v/>
      </c>
      <c r="X1508" s="36" t="str">
        <f aca="false">IF(A1508="","",IF(COUNTIF(Seguimiento!$B$2:$B$5001,A1508)=0,"",_xlfn.MAXIFS(Seguimiento!$A$2:$A$5001,Seguimiento!$B$2:$B$5001,A1508)))</f>
        <v/>
      </c>
      <c r="Y1508" s="37" t="str">
        <f aca="true">IF(B1508="","",TODAY()-B1508)</f>
        <v/>
      </c>
      <c r="Z1508" s="38" t="str">
        <f aca="false">IF(OR(O1508="",G1508=""),"",O1508*IFERROR(INDEX(Listas!$B$2:$B$50,MATCH(G1508,Listas!$A$2:$A$50,0)),0))</f>
        <v/>
      </c>
      <c r="AA1508" s="32"/>
      <c r="AB1508" s="32"/>
      <c r="AC1508" s="32"/>
      <c r="AD1508" s="35" t="str">
        <f aca="false">IF(OR(LEFT(H1508,4)="Meta",LEFT(H1508,6)="Google"),IF(AG1508=3,"Lead calificado",IF(OR(AG1508=4,AG1508=5),"Tasación/visita",IF(OR(AG1508=6,AG1508=7),"Captación/oferta",IF(AG1508=8,"Cierre","")))),"")</f>
        <v/>
      </c>
      <c r="AE1508" s="32"/>
      <c r="AF1508" s="32"/>
      <c r="AG1508" s="37" t="n">
        <f aca="false">IF(R1508="",0,IFERROR(MATCH(R1508,Listas!$L$2:$L$50,0),0))</f>
        <v>0</v>
      </c>
    </row>
    <row r="1509" customFormat="false" ht="15" hidden="false" customHeight="false" outlineLevel="0" collapsed="false">
      <c r="A1509" s="30"/>
      <c r="B1509" s="31"/>
      <c r="C1509" s="32"/>
      <c r="D1509" s="32"/>
      <c r="E1509" s="33"/>
      <c r="F1509" s="32"/>
      <c r="G1509" s="32"/>
      <c r="H1509" s="32"/>
      <c r="I1509" s="32"/>
      <c r="J1509" s="32"/>
      <c r="K1509" s="32"/>
      <c r="L1509" s="32"/>
      <c r="M1509" s="30"/>
      <c r="N1509" s="32"/>
      <c r="O1509" s="34"/>
      <c r="P1509" s="32"/>
      <c r="Q1509" s="32"/>
      <c r="R1509" s="32"/>
      <c r="S1509" s="32"/>
      <c r="T1509" s="32"/>
      <c r="U1509" s="32"/>
      <c r="V1509" s="31"/>
      <c r="W1509" s="35" t="str">
        <f aca="true">IF(OR(V1509="",AG1509&gt;=8),"",IF(V1509&lt;TODAY(),"Vencida",IF(V1509=TODAY(),"Hoy","")))</f>
        <v/>
      </c>
      <c r="X1509" s="36" t="str">
        <f aca="false">IF(A1509="","",IF(COUNTIF(Seguimiento!$B$2:$B$5001,A1509)=0,"",_xlfn.MAXIFS(Seguimiento!$A$2:$A$5001,Seguimiento!$B$2:$B$5001,A1509)))</f>
        <v/>
      </c>
      <c r="Y1509" s="37" t="str">
        <f aca="true">IF(B1509="","",TODAY()-B1509)</f>
        <v/>
      </c>
      <c r="Z1509" s="38" t="str">
        <f aca="false">IF(OR(O1509="",G1509=""),"",O1509*IFERROR(INDEX(Listas!$B$2:$B$50,MATCH(G1509,Listas!$A$2:$A$50,0)),0))</f>
        <v/>
      </c>
      <c r="AA1509" s="32"/>
      <c r="AB1509" s="32"/>
      <c r="AC1509" s="32"/>
      <c r="AD1509" s="35" t="str">
        <f aca="false">IF(OR(LEFT(H1509,4)="Meta",LEFT(H1509,6)="Google"),IF(AG1509=3,"Lead calificado",IF(OR(AG1509=4,AG1509=5),"Tasación/visita",IF(OR(AG1509=6,AG1509=7),"Captación/oferta",IF(AG1509=8,"Cierre","")))),"")</f>
        <v/>
      </c>
      <c r="AE1509" s="32"/>
      <c r="AF1509" s="32"/>
      <c r="AG1509" s="37" t="n">
        <f aca="false">IF(R1509="",0,IFERROR(MATCH(R1509,Listas!$L$2:$L$50,0),0))</f>
        <v>0</v>
      </c>
    </row>
    <row r="1510" customFormat="false" ht="15" hidden="false" customHeight="false" outlineLevel="0" collapsed="false">
      <c r="A1510" s="30"/>
      <c r="B1510" s="31"/>
      <c r="C1510" s="32"/>
      <c r="D1510" s="32"/>
      <c r="E1510" s="33"/>
      <c r="F1510" s="32"/>
      <c r="G1510" s="32"/>
      <c r="H1510" s="32"/>
      <c r="I1510" s="32"/>
      <c r="J1510" s="32"/>
      <c r="K1510" s="32"/>
      <c r="L1510" s="32"/>
      <c r="M1510" s="30"/>
      <c r="N1510" s="32"/>
      <c r="O1510" s="34"/>
      <c r="P1510" s="32"/>
      <c r="Q1510" s="32"/>
      <c r="R1510" s="32"/>
      <c r="S1510" s="32"/>
      <c r="T1510" s="32"/>
      <c r="U1510" s="32"/>
      <c r="V1510" s="31"/>
      <c r="W1510" s="35" t="str">
        <f aca="true">IF(OR(V1510="",AG1510&gt;=8),"",IF(V1510&lt;TODAY(),"Vencida",IF(V1510=TODAY(),"Hoy","")))</f>
        <v/>
      </c>
      <c r="X1510" s="36" t="str">
        <f aca="false">IF(A1510="","",IF(COUNTIF(Seguimiento!$B$2:$B$5001,A1510)=0,"",_xlfn.MAXIFS(Seguimiento!$A$2:$A$5001,Seguimiento!$B$2:$B$5001,A1510)))</f>
        <v/>
      </c>
      <c r="Y1510" s="37" t="str">
        <f aca="true">IF(B1510="","",TODAY()-B1510)</f>
        <v/>
      </c>
      <c r="Z1510" s="38" t="str">
        <f aca="false">IF(OR(O1510="",G1510=""),"",O1510*IFERROR(INDEX(Listas!$B$2:$B$50,MATCH(G1510,Listas!$A$2:$A$50,0)),0))</f>
        <v/>
      </c>
      <c r="AA1510" s="32"/>
      <c r="AB1510" s="32"/>
      <c r="AC1510" s="32"/>
      <c r="AD1510" s="35" t="str">
        <f aca="false">IF(OR(LEFT(H1510,4)="Meta",LEFT(H1510,6)="Google"),IF(AG1510=3,"Lead calificado",IF(OR(AG1510=4,AG1510=5),"Tasación/visita",IF(OR(AG1510=6,AG1510=7),"Captación/oferta",IF(AG1510=8,"Cierre","")))),"")</f>
        <v/>
      </c>
      <c r="AE1510" s="32"/>
      <c r="AF1510" s="32"/>
      <c r="AG1510" s="37" t="n">
        <f aca="false">IF(R1510="",0,IFERROR(MATCH(R1510,Listas!$L$2:$L$50,0),0))</f>
        <v>0</v>
      </c>
    </row>
    <row r="1511" customFormat="false" ht="15" hidden="false" customHeight="false" outlineLevel="0" collapsed="false">
      <c r="A1511" s="30"/>
      <c r="B1511" s="31"/>
      <c r="C1511" s="32"/>
      <c r="D1511" s="32"/>
      <c r="E1511" s="33"/>
      <c r="F1511" s="32"/>
      <c r="G1511" s="32"/>
      <c r="H1511" s="32"/>
      <c r="I1511" s="32"/>
      <c r="J1511" s="32"/>
      <c r="K1511" s="32"/>
      <c r="L1511" s="32"/>
      <c r="M1511" s="30"/>
      <c r="N1511" s="32"/>
      <c r="O1511" s="34"/>
      <c r="P1511" s="32"/>
      <c r="Q1511" s="32"/>
      <c r="R1511" s="32"/>
      <c r="S1511" s="32"/>
      <c r="T1511" s="32"/>
      <c r="U1511" s="32"/>
      <c r="V1511" s="31"/>
      <c r="W1511" s="35" t="str">
        <f aca="true">IF(OR(V1511="",AG1511&gt;=8),"",IF(V1511&lt;TODAY(),"Vencida",IF(V1511=TODAY(),"Hoy","")))</f>
        <v/>
      </c>
      <c r="X1511" s="36" t="str">
        <f aca="false">IF(A1511="","",IF(COUNTIF(Seguimiento!$B$2:$B$5001,A1511)=0,"",_xlfn.MAXIFS(Seguimiento!$A$2:$A$5001,Seguimiento!$B$2:$B$5001,A1511)))</f>
        <v/>
      </c>
      <c r="Y1511" s="37" t="str">
        <f aca="true">IF(B1511="","",TODAY()-B1511)</f>
        <v/>
      </c>
      <c r="Z1511" s="38" t="str">
        <f aca="false">IF(OR(O1511="",G1511=""),"",O1511*IFERROR(INDEX(Listas!$B$2:$B$50,MATCH(G1511,Listas!$A$2:$A$50,0)),0))</f>
        <v/>
      </c>
      <c r="AA1511" s="32"/>
      <c r="AB1511" s="32"/>
      <c r="AC1511" s="32"/>
      <c r="AD1511" s="35" t="str">
        <f aca="false">IF(OR(LEFT(H1511,4)="Meta",LEFT(H1511,6)="Google"),IF(AG1511=3,"Lead calificado",IF(OR(AG1511=4,AG1511=5),"Tasación/visita",IF(OR(AG1511=6,AG1511=7),"Captación/oferta",IF(AG1511=8,"Cierre","")))),"")</f>
        <v/>
      </c>
      <c r="AE1511" s="32"/>
      <c r="AF1511" s="32"/>
      <c r="AG1511" s="37" t="n">
        <f aca="false">IF(R1511="",0,IFERROR(MATCH(R1511,Listas!$L$2:$L$50,0),0))</f>
        <v>0</v>
      </c>
    </row>
    <row r="1512" customFormat="false" ht="15" hidden="false" customHeight="false" outlineLevel="0" collapsed="false">
      <c r="A1512" s="30"/>
      <c r="B1512" s="31"/>
      <c r="C1512" s="32"/>
      <c r="D1512" s="32"/>
      <c r="E1512" s="33"/>
      <c r="F1512" s="32"/>
      <c r="G1512" s="32"/>
      <c r="H1512" s="32"/>
      <c r="I1512" s="32"/>
      <c r="J1512" s="32"/>
      <c r="K1512" s="32"/>
      <c r="L1512" s="32"/>
      <c r="M1512" s="30"/>
      <c r="N1512" s="32"/>
      <c r="O1512" s="34"/>
      <c r="P1512" s="32"/>
      <c r="Q1512" s="32"/>
      <c r="R1512" s="32"/>
      <c r="S1512" s="32"/>
      <c r="T1512" s="32"/>
      <c r="U1512" s="32"/>
      <c r="V1512" s="31"/>
      <c r="W1512" s="35" t="str">
        <f aca="true">IF(OR(V1512="",AG1512&gt;=8),"",IF(V1512&lt;TODAY(),"Vencida",IF(V1512=TODAY(),"Hoy","")))</f>
        <v/>
      </c>
      <c r="X1512" s="36" t="str">
        <f aca="false">IF(A1512="","",IF(COUNTIF(Seguimiento!$B$2:$B$5001,A1512)=0,"",_xlfn.MAXIFS(Seguimiento!$A$2:$A$5001,Seguimiento!$B$2:$B$5001,A1512)))</f>
        <v/>
      </c>
      <c r="Y1512" s="37" t="str">
        <f aca="true">IF(B1512="","",TODAY()-B1512)</f>
        <v/>
      </c>
      <c r="Z1512" s="38" t="str">
        <f aca="false">IF(OR(O1512="",G1512=""),"",O1512*IFERROR(INDEX(Listas!$B$2:$B$50,MATCH(G1512,Listas!$A$2:$A$50,0)),0))</f>
        <v/>
      </c>
      <c r="AA1512" s="32"/>
      <c r="AB1512" s="32"/>
      <c r="AC1512" s="32"/>
      <c r="AD1512" s="35" t="str">
        <f aca="false">IF(OR(LEFT(H1512,4)="Meta",LEFT(H1512,6)="Google"),IF(AG1512=3,"Lead calificado",IF(OR(AG1512=4,AG1512=5),"Tasación/visita",IF(OR(AG1512=6,AG1512=7),"Captación/oferta",IF(AG1512=8,"Cierre","")))),"")</f>
        <v/>
      </c>
      <c r="AE1512" s="32"/>
      <c r="AF1512" s="32"/>
      <c r="AG1512" s="37" t="n">
        <f aca="false">IF(R1512="",0,IFERROR(MATCH(R1512,Listas!$L$2:$L$50,0),0))</f>
        <v>0</v>
      </c>
    </row>
    <row r="1513" customFormat="false" ht="15" hidden="false" customHeight="false" outlineLevel="0" collapsed="false">
      <c r="A1513" s="30"/>
      <c r="B1513" s="31"/>
      <c r="C1513" s="32"/>
      <c r="D1513" s="32"/>
      <c r="E1513" s="33"/>
      <c r="F1513" s="32"/>
      <c r="G1513" s="32"/>
      <c r="H1513" s="32"/>
      <c r="I1513" s="32"/>
      <c r="J1513" s="32"/>
      <c r="K1513" s="32"/>
      <c r="L1513" s="32"/>
      <c r="M1513" s="30"/>
      <c r="N1513" s="32"/>
      <c r="O1513" s="34"/>
      <c r="P1513" s="32"/>
      <c r="Q1513" s="32"/>
      <c r="R1513" s="32"/>
      <c r="S1513" s="32"/>
      <c r="T1513" s="32"/>
      <c r="U1513" s="32"/>
      <c r="V1513" s="31"/>
      <c r="W1513" s="35" t="str">
        <f aca="true">IF(OR(V1513="",AG1513&gt;=8),"",IF(V1513&lt;TODAY(),"Vencida",IF(V1513=TODAY(),"Hoy","")))</f>
        <v/>
      </c>
      <c r="X1513" s="36" t="str">
        <f aca="false">IF(A1513="","",IF(COUNTIF(Seguimiento!$B$2:$B$5001,A1513)=0,"",_xlfn.MAXIFS(Seguimiento!$A$2:$A$5001,Seguimiento!$B$2:$B$5001,A1513)))</f>
        <v/>
      </c>
      <c r="Y1513" s="37" t="str">
        <f aca="true">IF(B1513="","",TODAY()-B1513)</f>
        <v/>
      </c>
      <c r="Z1513" s="38" t="str">
        <f aca="false">IF(OR(O1513="",G1513=""),"",O1513*IFERROR(INDEX(Listas!$B$2:$B$50,MATCH(G1513,Listas!$A$2:$A$50,0)),0))</f>
        <v/>
      </c>
      <c r="AA1513" s="32"/>
      <c r="AB1513" s="32"/>
      <c r="AC1513" s="32"/>
      <c r="AD1513" s="35" t="str">
        <f aca="false">IF(OR(LEFT(H1513,4)="Meta",LEFT(H1513,6)="Google"),IF(AG1513=3,"Lead calificado",IF(OR(AG1513=4,AG1513=5),"Tasación/visita",IF(OR(AG1513=6,AG1513=7),"Captación/oferta",IF(AG1513=8,"Cierre","")))),"")</f>
        <v/>
      </c>
      <c r="AE1513" s="32"/>
      <c r="AF1513" s="32"/>
      <c r="AG1513" s="37" t="n">
        <f aca="false">IF(R1513="",0,IFERROR(MATCH(R1513,Listas!$L$2:$L$50,0),0))</f>
        <v>0</v>
      </c>
    </row>
    <row r="1514" customFormat="false" ht="15" hidden="false" customHeight="false" outlineLevel="0" collapsed="false">
      <c r="A1514" s="30"/>
      <c r="B1514" s="31"/>
      <c r="C1514" s="32"/>
      <c r="D1514" s="32"/>
      <c r="E1514" s="33"/>
      <c r="F1514" s="32"/>
      <c r="G1514" s="32"/>
      <c r="H1514" s="32"/>
      <c r="I1514" s="32"/>
      <c r="J1514" s="32"/>
      <c r="K1514" s="32"/>
      <c r="L1514" s="32"/>
      <c r="M1514" s="30"/>
      <c r="N1514" s="32"/>
      <c r="O1514" s="34"/>
      <c r="P1514" s="32"/>
      <c r="Q1514" s="32"/>
      <c r="R1514" s="32"/>
      <c r="S1514" s="32"/>
      <c r="T1514" s="32"/>
      <c r="U1514" s="32"/>
      <c r="V1514" s="31"/>
      <c r="W1514" s="35" t="str">
        <f aca="true">IF(OR(V1514="",AG1514&gt;=8),"",IF(V1514&lt;TODAY(),"Vencida",IF(V1514=TODAY(),"Hoy","")))</f>
        <v/>
      </c>
      <c r="X1514" s="36" t="str">
        <f aca="false">IF(A1514="","",IF(COUNTIF(Seguimiento!$B$2:$B$5001,A1514)=0,"",_xlfn.MAXIFS(Seguimiento!$A$2:$A$5001,Seguimiento!$B$2:$B$5001,A1514)))</f>
        <v/>
      </c>
      <c r="Y1514" s="37" t="str">
        <f aca="true">IF(B1514="","",TODAY()-B1514)</f>
        <v/>
      </c>
      <c r="Z1514" s="38" t="str">
        <f aca="false">IF(OR(O1514="",G1514=""),"",O1514*IFERROR(INDEX(Listas!$B$2:$B$50,MATCH(G1514,Listas!$A$2:$A$50,0)),0))</f>
        <v/>
      </c>
      <c r="AA1514" s="32"/>
      <c r="AB1514" s="32"/>
      <c r="AC1514" s="32"/>
      <c r="AD1514" s="35" t="str">
        <f aca="false">IF(OR(LEFT(H1514,4)="Meta",LEFT(H1514,6)="Google"),IF(AG1514=3,"Lead calificado",IF(OR(AG1514=4,AG1514=5),"Tasación/visita",IF(OR(AG1514=6,AG1514=7),"Captación/oferta",IF(AG1514=8,"Cierre","")))),"")</f>
        <v/>
      </c>
      <c r="AE1514" s="32"/>
      <c r="AF1514" s="32"/>
      <c r="AG1514" s="37" t="n">
        <f aca="false">IF(R1514="",0,IFERROR(MATCH(R1514,Listas!$L$2:$L$50,0),0))</f>
        <v>0</v>
      </c>
    </row>
    <row r="1515" customFormat="false" ht="15" hidden="false" customHeight="false" outlineLevel="0" collapsed="false">
      <c r="A1515" s="30"/>
      <c r="B1515" s="31"/>
      <c r="C1515" s="32"/>
      <c r="D1515" s="32"/>
      <c r="E1515" s="33"/>
      <c r="F1515" s="32"/>
      <c r="G1515" s="32"/>
      <c r="H1515" s="32"/>
      <c r="I1515" s="32"/>
      <c r="J1515" s="32"/>
      <c r="K1515" s="32"/>
      <c r="L1515" s="32"/>
      <c r="M1515" s="30"/>
      <c r="N1515" s="32"/>
      <c r="O1515" s="34"/>
      <c r="P1515" s="32"/>
      <c r="Q1515" s="32"/>
      <c r="R1515" s="32"/>
      <c r="S1515" s="32"/>
      <c r="T1515" s="32"/>
      <c r="U1515" s="32"/>
      <c r="V1515" s="31"/>
      <c r="W1515" s="35" t="str">
        <f aca="true">IF(OR(V1515="",AG1515&gt;=8),"",IF(V1515&lt;TODAY(),"Vencida",IF(V1515=TODAY(),"Hoy","")))</f>
        <v/>
      </c>
      <c r="X1515" s="36" t="str">
        <f aca="false">IF(A1515="","",IF(COUNTIF(Seguimiento!$B$2:$B$5001,A1515)=0,"",_xlfn.MAXIFS(Seguimiento!$A$2:$A$5001,Seguimiento!$B$2:$B$5001,A1515)))</f>
        <v/>
      </c>
      <c r="Y1515" s="37" t="str">
        <f aca="true">IF(B1515="","",TODAY()-B1515)</f>
        <v/>
      </c>
      <c r="Z1515" s="38" t="str">
        <f aca="false">IF(OR(O1515="",G1515=""),"",O1515*IFERROR(INDEX(Listas!$B$2:$B$50,MATCH(G1515,Listas!$A$2:$A$50,0)),0))</f>
        <v/>
      </c>
      <c r="AA1515" s="32"/>
      <c r="AB1515" s="32"/>
      <c r="AC1515" s="32"/>
      <c r="AD1515" s="35" t="str">
        <f aca="false">IF(OR(LEFT(H1515,4)="Meta",LEFT(H1515,6)="Google"),IF(AG1515=3,"Lead calificado",IF(OR(AG1515=4,AG1515=5),"Tasación/visita",IF(OR(AG1515=6,AG1515=7),"Captación/oferta",IF(AG1515=8,"Cierre","")))),"")</f>
        <v/>
      </c>
      <c r="AE1515" s="32"/>
      <c r="AF1515" s="32"/>
      <c r="AG1515" s="37" t="n">
        <f aca="false">IF(R1515="",0,IFERROR(MATCH(R1515,Listas!$L$2:$L$50,0),0))</f>
        <v>0</v>
      </c>
    </row>
    <row r="1516" customFormat="false" ht="15" hidden="false" customHeight="false" outlineLevel="0" collapsed="false">
      <c r="A1516" s="30"/>
      <c r="B1516" s="31"/>
      <c r="C1516" s="32"/>
      <c r="D1516" s="32"/>
      <c r="E1516" s="33"/>
      <c r="F1516" s="32"/>
      <c r="G1516" s="32"/>
      <c r="H1516" s="32"/>
      <c r="I1516" s="32"/>
      <c r="J1516" s="32"/>
      <c r="K1516" s="32"/>
      <c r="L1516" s="32"/>
      <c r="M1516" s="30"/>
      <c r="N1516" s="32"/>
      <c r="O1516" s="34"/>
      <c r="P1516" s="32"/>
      <c r="Q1516" s="32"/>
      <c r="R1516" s="32"/>
      <c r="S1516" s="32"/>
      <c r="T1516" s="32"/>
      <c r="U1516" s="32"/>
      <c r="V1516" s="31"/>
      <c r="W1516" s="35" t="str">
        <f aca="true">IF(OR(V1516="",AG1516&gt;=8),"",IF(V1516&lt;TODAY(),"Vencida",IF(V1516=TODAY(),"Hoy","")))</f>
        <v/>
      </c>
      <c r="X1516" s="36" t="str">
        <f aca="false">IF(A1516="","",IF(COUNTIF(Seguimiento!$B$2:$B$5001,A1516)=0,"",_xlfn.MAXIFS(Seguimiento!$A$2:$A$5001,Seguimiento!$B$2:$B$5001,A1516)))</f>
        <v/>
      </c>
      <c r="Y1516" s="37" t="str">
        <f aca="true">IF(B1516="","",TODAY()-B1516)</f>
        <v/>
      </c>
      <c r="Z1516" s="38" t="str">
        <f aca="false">IF(OR(O1516="",G1516=""),"",O1516*IFERROR(INDEX(Listas!$B$2:$B$50,MATCH(G1516,Listas!$A$2:$A$50,0)),0))</f>
        <v/>
      </c>
      <c r="AA1516" s="32"/>
      <c r="AB1516" s="32"/>
      <c r="AC1516" s="32"/>
      <c r="AD1516" s="35" t="str">
        <f aca="false">IF(OR(LEFT(H1516,4)="Meta",LEFT(H1516,6)="Google"),IF(AG1516=3,"Lead calificado",IF(OR(AG1516=4,AG1516=5),"Tasación/visita",IF(OR(AG1516=6,AG1516=7),"Captación/oferta",IF(AG1516=8,"Cierre","")))),"")</f>
        <v/>
      </c>
      <c r="AE1516" s="32"/>
      <c r="AF1516" s="32"/>
      <c r="AG1516" s="37" t="n">
        <f aca="false">IF(R1516="",0,IFERROR(MATCH(R1516,Listas!$L$2:$L$50,0),0))</f>
        <v>0</v>
      </c>
    </row>
    <row r="1517" customFormat="false" ht="15" hidden="false" customHeight="false" outlineLevel="0" collapsed="false">
      <c r="A1517" s="30"/>
      <c r="B1517" s="31"/>
      <c r="C1517" s="32"/>
      <c r="D1517" s="32"/>
      <c r="E1517" s="33"/>
      <c r="F1517" s="32"/>
      <c r="G1517" s="32"/>
      <c r="H1517" s="32"/>
      <c r="I1517" s="32"/>
      <c r="J1517" s="32"/>
      <c r="K1517" s="32"/>
      <c r="L1517" s="32"/>
      <c r="M1517" s="30"/>
      <c r="N1517" s="32"/>
      <c r="O1517" s="34"/>
      <c r="P1517" s="32"/>
      <c r="Q1517" s="32"/>
      <c r="R1517" s="32"/>
      <c r="S1517" s="32"/>
      <c r="T1517" s="32"/>
      <c r="U1517" s="32"/>
      <c r="V1517" s="31"/>
      <c r="W1517" s="35" t="str">
        <f aca="true">IF(OR(V1517="",AG1517&gt;=8),"",IF(V1517&lt;TODAY(),"Vencida",IF(V1517=TODAY(),"Hoy","")))</f>
        <v/>
      </c>
      <c r="X1517" s="36" t="str">
        <f aca="false">IF(A1517="","",IF(COUNTIF(Seguimiento!$B$2:$B$5001,A1517)=0,"",_xlfn.MAXIFS(Seguimiento!$A$2:$A$5001,Seguimiento!$B$2:$B$5001,A1517)))</f>
        <v/>
      </c>
      <c r="Y1517" s="37" t="str">
        <f aca="true">IF(B1517="","",TODAY()-B1517)</f>
        <v/>
      </c>
      <c r="Z1517" s="38" t="str">
        <f aca="false">IF(OR(O1517="",G1517=""),"",O1517*IFERROR(INDEX(Listas!$B$2:$B$50,MATCH(G1517,Listas!$A$2:$A$50,0)),0))</f>
        <v/>
      </c>
      <c r="AA1517" s="32"/>
      <c r="AB1517" s="32"/>
      <c r="AC1517" s="32"/>
      <c r="AD1517" s="35" t="str">
        <f aca="false">IF(OR(LEFT(H1517,4)="Meta",LEFT(H1517,6)="Google"),IF(AG1517=3,"Lead calificado",IF(OR(AG1517=4,AG1517=5),"Tasación/visita",IF(OR(AG1517=6,AG1517=7),"Captación/oferta",IF(AG1517=8,"Cierre","")))),"")</f>
        <v/>
      </c>
      <c r="AE1517" s="32"/>
      <c r="AF1517" s="32"/>
      <c r="AG1517" s="37" t="n">
        <f aca="false">IF(R1517="",0,IFERROR(MATCH(R1517,Listas!$L$2:$L$50,0),0))</f>
        <v>0</v>
      </c>
    </row>
    <row r="1518" customFormat="false" ht="15" hidden="false" customHeight="false" outlineLevel="0" collapsed="false">
      <c r="A1518" s="30"/>
      <c r="B1518" s="31"/>
      <c r="C1518" s="32"/>
      <c r="D1518" s="32"/>
      <c r="E1518" s="33"/>
      <c r="F1518" s="32"/>
      <c r="G1518" s="32"/>
      <c r="H1518" s="32"/>
      <c r="I1518" s="32"/>
      <c r="J1518" s="32"/>
      <c r="K1518" s="32"/>
      <c r="L1518" s="32"/>
      <c r="M1518" s="30"/>
      <c r="N1518" s="32"/>
      <c r="O1518" s="34"/>
      <c r="P1518" s="32"/>
      <c r="Q1518" s="32"/>
      <c r="R1518" s="32"/>
      <c r="S1518" s="32"/>
      <c r="T1518" s="32"/>
      <c r="U1518" s="32"/>
      <c r="V1518" s="31"/>
      <c r="W1518" s="35" t="str">
        <f aca="true">IF(OR(V1518="",AG1518&gt;=8),"",IF(V1518&lt;TODAY(),"Vencida",IF(V1518=TODAY(),"Hoy","")))</f>
        <v/>
      </c>
      <c r="X1518" s="36" t="str">
        <f aca="false">IF(A1518="","",IF(COUNTIF(Seguimiento!$B$2:$B$5001,A1518)=0,"",_xlfn.MAXIFS(Seguimiento!$A$2:$A$5001,Seguimiento!$B$2:$B$5001,A1518)))</f>
        <v/>
      </c>
      <c r="Y1518" s="37" t="str">
        <f aca="true">IF(B1518="","",TODAY()-B1518)</f>
        <v/>
      </c>
      <c r="Z1518" s="38" t="str">
        <f aca="false">IF(OR(O1518="",G1518=""),"",O1518*IFERROR(INDEX(Listas!$B$2:$B$50,MATCH(G1518,Listas!$A$2:$A$50,0)),0))</f>
        <v/>
      </c>
      <c r="AA1518" s="32"/>
      <c r="AB1518" s="32"/>
      <c r="AC1518" s="32"/>
      <c r="AD1518" s="35" t="str">
        <f aca="false">IF(OR(LEFT(H1518,4)="Meta",LEFT(H1518,6)="Google"),IF(AG1518=3,"Lead calificado",IF(OR(AG1518=4,AG1518=5),"Tasación/visita",IF(OR(AG1518=6,AG1518=7),"Captación/oferta",IF(AG1518=8,"Cierre","")))),"")</f>
        <v/>
      </c>
      <c r="AE1518" s="32"/>
      <c r="AF1518" s="32"/>
      <c r="AG1518" s="37" t="n">
        <f aca="false">IF(R1518="",0,IFERROR(MATCH(R1518,Listas!$L$2:$L$50,0),0))</f>
        <v>0</v>
      </c>
    </row>
    <row r="1519" customFormat="false" ht="15" hidden="false" customHeight="false" outlineLevel="0" collapsed="false">
      <c r="A1519" s="30"/>
      <c r="B1519" s="31"/>
      <c r="C1519" s="32"/>
      <c r="D1519" s="32"/>
      <c r="E1519" s="33"/>
      <c r="F1519" s="32"/>
      <c r="G1519" s="32"/>
      <c r="H1519" s="32"/>
      <c r="I1519" s="32"/>
      <c r="J1519" s="32"/>
      <c r="K1519" s="32"/>
      <c r="L1519" s="32"/>
      <c r="M1519" s="30"/>
      <c r="N1519" s="32"/>
      <c r="O1519" s="34"/>
      <c r="P1519" s="32"/>
      <c r="Q1519" s="32"/>
      <c r="R1519" s="32"/>
      <c r="S1519" s="32"/>
      <c r="T1519" s="32"/>
      <c r="U1519" s="32"/>
      <c r="V1519" s="31"/>
      <c r="W1519" s="35" t="str">
        <f aca="true">IF(OR(V1519="",AG1519&gt;=8),"",IF(V1519&lt;TODAY(),"Vencida",IF(V1519=TODAY(),"Hoy","")))</f>
        <v/>
      </c>
      <c r="X1519" s="36" t="str">
        <f aca="false">IF(A1519="","",IF(COUNTIF(Seguimiento!$B$2:$B$5001,A1519)=0,"",_xlfn.MAXIFS(Seguimiento!$A$2:$A$5001,Seguimiento!$B$2:$B$5001,A1519)))</f>
        <v/>
      </c>
      <c r="Y1519" s="37" t="str">
        <f aca="true">IF(B1519="","",TODAY()-B1519)</f>
        <v/>
      </c>
      <c r="Z1519" s="38" t="str">
        <f aca="false">IF(OR(O1519="",G1519=""),"",O1519*IFERROR(INDEX(Listas!$B$2:$B$50,MATCH(G1519,Listas!$A$2:$A$50,0)),0))</f>
        <v/>
      </c>
      <c r="AA1519" s="32"/>
      <c r="AB1519" s="32"/>
      <c r="AC1519" s="32"/>
      <c r="AD1519" s="35" t="str">
        <f aca="false">IF(OR(LEFT(H1519,4)="Meta",LEFT(H1519,6)="Google"),IF(AG1519=3,"Lead calificado",IF(OR(AG1519=4,AG1519=5),"Tasación/visita",IF(OR(AG1519=6,AG1519=7),"Captación/oferta",IF(AG1519=8,"Cierre","")))),"")</f>
        <v/>
      </c>
      <c r="AE1519" s="32"/>
      <c r="AF1519" s="32"/>
      <c r="AG1519" s="37" t="n">
        <f aca="false">IF(R1519="",0,IFERROR(MATCH(R1519,Listas!$L$2:$L$50,0),0))</f>
        <v>0</v>
      </c>
    </row>
    <row r="1520" customFormat="false" ht="15" hidden="false" customHeight="false" outlineLevel="0" collapsed="false">
      <c r="A1520" s="30"/>
      <c r="B1520" s="31"/>
      <c r="C1520" s="32"/>
      <c r="D1520" s="32"/>
      <c r="E1520" s="33"/>
      <c r="F1520" s="32"/>
      <c r="G1520" s="32"/>
      <c r="H1520" s="32"/>
      <c r="I1520" s="32"/>
      <c r="J1520" s="32"/>
      <c r="K1520" s="32"/>
      <c r="L1520" s="32"/>
      <c r="M1520" s="30"/>
      <c r="N1520" s="32"/>
      <c r="O1520" s="34"/>
      <c r="P1520" s="32"/>
      <c r="Q1520" s="32"/>
      <c r="R1520" s="32"/>
      <c r="S1520" s="32"/>
      <c r="T1520" s="32"/>
      <c r="U1520" s="32"/>
      <c r="V1520" s="31"/>
      <c r="W1520" s="35" t="str">
        <f aca="true">IF(OR(V1520="",AG1520&gt;=8),"",IF(V1520&lt;TODAY(),"Vencida",IF(V1520=TODAY(),"Hoy","")))</f>
        <v/>
      </c>
      <c r="X1520" s="36" t="str">
        <f aca="false">IF(A1520="","",IF(COUNTIF(Seguimiento!$B$2:$B$5001,A1520)=0,"",_xlfn.MAXIFS(Seguimiento!$A$2:$A$5001,Seguimiento!$B$2:$B$5001,A1520)))</f>
        <v/>
      </c>
      <c r="Y1520" s="37" t="str">
        <f aca="true">IF(B1520="","",TODAY()-B1520)</f>
        <v/>
      </c>
      <c r="Z1520" s="38" t="str">
        <f aca="false">IF(OR(O1520="",G1520=""),"",O1520*IFERROR(INDEX(Listas!$B$2:$B$50,MATCH(G1520,Listas!$A$2:$A$50,0)),0))</f>
        <v/>
      </c>
      <c r="AA1520" s="32"/>
      <c r="AB1520" s="32"/>
      <c r="AC1520" s="32"/>
      <c r="AD1520" s="35" t="str">
        <f aca="false">IF(OR(LEFT(H1520,4)="Meta",LEFT(H1520,6)="Google"),IF(AG1520=3,"Lead calificado",IF(OR(AG1520=4,AG1520=5),"Tasación/visita",IF(OR(AG1520=6,AG1520=7),"Captación/oferta",IF(AG1520=8,"Cierre","")))),"")</f>
        <v/>
      </c>
      <c r="AE1520" s="32"/>
      <c r="AF1520" s="32"/>
      <c r="AG1520" s="37" t="n">
        <f aca="false">IF(R1520="",0,IFERROR(MATCH(R1520,Listas!$L$2:$L$50,0),0))</f>
        <v>0</v>
      </c>
    </row>
    <row r="1521" customFormat="false" ht="15" hidden="false" customHeight="false" outlineLevel="0" collapsed="false">
      <c r="A1521" s="30"/>
      <c r="B1521" s="31"/>
      <c r="C1521" s="32"/>
      <c r="D1521" s="32"/>
      <c r="E1521" s="33"/>
      <c r="F1521" s="32"/>
      <c r="G1521" s="32"/>
      <c r="H1521" s="32"/>
      <c r="I1521" s="32"/>
      <c r="J1521" s="32"/>
      <c r="K1521" s="32"/>
      <c r="L1521" s="32"/>
      <c r="M1521" s="30"/>
      <c r="N1521" s="32"/>
      <c r="O1521" s="34"/>
      <c r="P1521" s="32"/>
      <c r="Q1521" s="32"/>
      <c r="R1521" s="32"/>
      <c r="S1521" s="32"/>
      <c r="T1521" s="32"/>
      <c r="U1521" s="32"/>
      <c r="V1521" s="31"/>
      <c r="W1521" s="35" t="str">
        <f aca="true">IF(OR(V1521="",AG1521&gt;=8),"",IF(V1521&lt;TODAY(),"Vencida",IF(V1521=TODAY(),"Hoy","")))</f>
        <v/>
      </c>
      <c r="X1521" s="36" t="str">
        <f aca="false">IF(A1521="","",IF(COUNTIF(Seguimiento!$B$2:$B$5001,A1521)=0,"",_xlfn.MAXIFS(Seguimiento!$A$2:$A$5001,Seguimiento!$B$2:$B$5001,A1521)))</f>
        <v/>
      </c>
      <c r="Y1521" s="37" t="str">
        <f aca="true">IF(B1521="","",TODAY()-B1521)</f>
        <v/>
      </c>
      <c r="Z1521" s="38" t="str">
        <f aca="false">IF(OR(O1521="",G1521=""),"",O1521*IFERROR(INDEX(Listas!$B$2:$B$50,MATCH(G1521,Listas!$A$2:$A$50,0)),0))</f>
        <v/>
      </c>
      <c r="AA1521" s="32"/>
      <c r="AB1521" s="32"/>
      <c r="AC1521" s="32"/>
      <c r="AD1521" s="35" t="str">
        <f aca="false">IF(OR(LEFT(H1521,4)="Meta",LEFT(H1521,6)="Google"),IF(AG1521=3,"Lead calificado",IF(OR(AG1521=4,AG1521=5),"Tasación/visita",IF(OR(AG1521=6,AG1521=7),"Captación/oferta",IF(AG1521=8,"Cierre","")))),"")</f>
        <v/>
      </c>
      <c r="AE1521" s="32"/>
      <c r="AF1521" s="32"/>
      <c r="AG1521" s="37" t="n">
        <f aca="false">IF(R1521="",0,IFERROR(MATCH(R1521,Listas!$L$2:$L$50,0),0))</f>
        <v>0</v>
      </c>
    </row>
    <row r="1522" customFormat="false" ht="15" hidden="false" customHeight="false" outlineLevel="0" collapsed="false">
      <c r="A1522" s="30"/>
      <c r="B1522" s="31"/>
      <c r="C1522" s="32"/>
      <c r="D1522" s="32"/>
      <c r="E1522" s="33"/>
      <c r="F1522" s="32"/>
      <c r="G1522" s="32"/>
      <c r="H1522" s="32"/>
      <c r="I1522" s="32"/>
      <c r="J1522" s="32"/>
      <c r="K1522" s="32"/>
      <c r="L1522" s="32"/>
      <c r="M1522" s="30"/>
      <c r="N1522" s="32"/>
      <c r="O1522" s="34"/>
      <c r="P1522" s="32"/>
      <c r="Q1522" s="32"/>
      <c r="R1522" s="32"/>
      <c r="S1522" s="32"/>
      <c r="T1522" s="32"/>
      <c r="U1522" s="32"/>
      <c r="V1522" s="31"/>
      <c r="W1522" s="35" t="str">
        <f aca="true">IF(OR(V1522="",AG1522&gt;=8),"",IF(V1522&lt;TODAY(),"Vencida",IF(V1522=TODAY(),"Hoy","")))</f>
        <v/>
      </c>
      <c r="X1522" s="36" t="str">
        <f aca="false">IF(A1522="","",IF(COUNTIF(Seguimiento!$B$2:$B$5001,A1522)=0,"",_xlfn.MAXIFS(Seguimiento!$A$2:$A$5001,Seguimiento!$B$2:$B$5001,A1522)))</f>
        <v/>
      </c>
      <c r="Y1522" s="37" t="str">
        <f aca="true">IF(B1522="","",TODAY()-B1522)</f>
        <v/>
      </c>
      <c r="Z1522" s="38" t="str">
        <f aca="false">IF(OR(O1522="",G1522=""),"",O1522*IFERROR(INDEX(Listas!$B$2:$B$50,MATCH(G1522,Listas!$A$2:$A$50,0)),0))</f>
        <v/>
      </c>
      <c r="AA1522" s="32"/>
      <c r="AB1522" s="32"/>
      <c r="AC1522" s="32"/>
      <c r="AD1522" s="35" t="str">
        <f aca="false">IF(OR(LEFT(H1522,4)="Meta",LEFT(H1522,6)="Google"),IF(AG1522=3,"Lead calificado",IF(OR(AG1522=4,AG1522=5),"Tasación/visita",IF(OR(AG1522=6,AG1522=7),"Captación/oferta",IF(AG1522=8,"Cierre","")))),"")</f>
        <v/>
      </c>
      <c r="AE1522" s="32"/>
      <c r="AF1522" s="32"/>
      <c r="AG1522" s="37" t="n">
        <f aca="false">IF(R1522="",0,IFERROR(MATCH(R1522,Listas!$L$2:$L$50,0),0))</f>
        <v>0</v>
      </c>
    </row>
    <row r="1523" customFormat="false" ht="15" hidden="false" customHeight="false" outlineLevel="0" collapsed="false">
      <c r="A1523" s="30"/>
      <c r="B1523" s="31"/>
      <c r="C1523" s="32"/>
      <c r="D1523" s="32"/>
      <c r="E1523" s="33"/>
      <c r="F1523" s="32"/>
      <c r="G1523" s="32"/>
      <c r="H1523" s="32"/>
      <c r="I1523" s="32"/>
      <c r="J1523" s="32"/>
      <c r="K1523" s="32"/>
      <c r="L1523" s="32"/>
      <c r="M1523" s="30"/>
      <c r="N1523" s="32"/>
      <c r="O1523" s="34"/>
      <c r="P1523" s="32"/>
      <c r="Q1523" s="32"/>
      <c r="R1523" s="32"/>
      <c r="S1523" s="32"/>
      <c r="T1523" s="32"/>
      <c r="U1523" s="32"/>
      <c r="V1523" s="31"/>
      <c r="W1523" s="35" t="str">
        <f aca="true">IF(OR(V1523="",AG1523&gt;=8),"",IF(V1523&lt;TODAY(),"Vencida",IF(V1523=TODAY(),"Hoy","")))</f>
        <v/>
      </c>
      <c r="X1523" s="36" t="str">
        <f aca="false">IF(A1523="","",IF(COUNTIF(Seguimiento!$B$2:$B$5001,A1523)=0,"",_xlfn.MAXIFS(Seguimiento!$A$2:$A$5001,Seguimiento!$B$2:$B$5001,A1523)))</f>
        <v/>
      </c>
      <c r="Y1523" s="37" t="str">
        <f aca="true">IF(B1523="","",TODAY()-B1523)</f>
        <v/>
      </c>
      <c r="Z1523" s="38" t="str">
        <f aca="false">IF(OR(O1523="",G1523=""),"",O1523*IFERROR(INDEX(Listas!$B$2:$B$50,MATCH(G1523,Listas!$A$2:$A$50,0)),0))</f>
        <v/>
      </c>
      <c r="AA1523" s="32"/>
      <c r="AB1523" s="32"/>
      <c r="AC1523" s="32"/>
      <c r="AD1523" s="35" t="str">
        <f aca="false">IF(OR(LEFT(H1523,4)="Meta",LEFT(H1523,6)="Google"),IF(AG1523=3,"Lead calificado",IF(OR(AG1523=4,AG1523=5),"Tasación/visita",IF(OR(AG1523=6,AG1523=7),"Captación/oferta",IF(AG1523=8,"Cierre","")))),"")</f>
        <v/>
      </c>
      <c r="AE1523" s="32"/>
      <c r="AF1523" s="32"/>
      <c r="AG1523" s="37" t="n">
        <f aca="false">IF(R1523="",0,IFERROR(MATCH(R1523,Listas!$L$2:$L$50,0),0))</f>
        <v>0</v>
      </c>
    </row>
    <row r="1524" customFormat="false" ht="15" hidden="false" customHeight="false" outlineLevel="0" collapsed="false">
      <c r="A1524" s="30"/>
      <c r="B1524" s="31"/>
      <c r="C1524" s="32"/>
      <c r="D1524" s="32"/>
      <c r="E1524" s="33"/>
      <c r="F1524" s="32"/>
      <c r="G1524" s="32"/>
      <c r="H1524" s="32"/>
      <c r="I1524" s="32"/>
      <c r="J1524" s="32"/>
      <c r="K1524" s="32"/>
      <c r="L1524" s="32"/>
      <c r="M1524" s="30"/>
      <c r="N1524" s="32"/>
      <c r="O1524" s="34"/>
      <c r="P1524" s="32"/>
      <c r="Q1524" s="32"/>
      <c r="R1524" s="32"/>
      <c r="S1524" s="32"/>
      <c r="T1524" s="32"/>
      <c r="U1524" s="32"/>
      <c r="V1524" s="31"/>
      <c r="W1524" s="35" t="str">
        <f aca="true">IF(OR(V1524="",AG1524&gt;=8),"",IF(V1524&lt;TODAY(),"Vencida",IF(V1524=TODAY(),"Hoy","")))</f>
        <v/>
      </c>
      <c r="X1524" s="36" t="str">
        <f aca="false">IF(A1524="","",IF(COUNTIF(Seguimiento!$B$2:$B$5001,A1524)=0,"",_xlfn.MAXIFS(Seguimiento!$A$2:$A$5001,Seguimiento!$B$2:$B$5001,A1524)))</f>
        <v/>
      </c>
      <c r="Y1524" s="37" t="str">
        <f aca="true">IF(B1524="","",TODAY()-B1524)</f>
        <v/>
      </c>
      <c r="Z1524" s="38" t="str">
        <f aca="false">IF(OR(O1524="",G1524=""),"",O1524*IFERROR(INDEX(Listas!$B$2:$B$50,MATCH(G1524,Listas!$A$2:$A$50,0)),0))</f>
        <v/>
      </c>
      <c r="AA1524" s="32"/>
      <c r="AB1524" s="32"/>
      <c r="AC1524" s="32"/>
      <c r="AD1524" s="35" t="str">
        <f aca="false">IF(OR(LEFT(H1524,4)="Meta",LEFT(H1524,6)="Google"),IF(AG1524=3,"Lead calificado",IF(OR(AG1524=4,AG1524=5),"Tasación/visita",IF(OR(AG1524=6,AG1524=7),"Captación/oferta",IF(AG1524=8,"Cierre","")))),"")</f>
        <v/>
      </c>
      <c r="AE1524" s="32"/>
      <c r="AF1524" s="32"/>
      <c r="AG1524" s="37" t="n">
        <f aca="false">IF(R1524="",0,IFERROR(MATCH(R1524,Listas!$L$2:$L$50,0),0))</f>
        <v>0</v>
      </c>
    </row>
    <row r="1525" customFormat="false" ht="15" hidden="false" customHeight="false" outlineLevel="0" collapsed="false">
      <c r="A1525" s="30"/>
      <c r="B1525" s="31"/>
      <c r="C1525" s="32"/>
      <c r="D1525" s="32"/>
      <c r="E1525" s="33"/>
      <c r="F1525" s="32"/>
      <c r="G1525" s="32"/>
      <c r="H1525" s="32"/>
      <c r="I1525" s="32"/>
      <c r="J1525" s="32"/>
      <c r="K1525" s="32"/>
      <c r="L1525" s="32"/>
      <c r="M1525" s="30"/>
      <c r="N1525" s="32"/>
      <c r="O1525" s="34"/>
      <c r="P1525" s="32"/>
      <c r="Q1525" s="32"/>
      <c r="R1525" s="32"/>
      <c r="S1525" s="32"/>
      <c r="T1525" s="32"/>
      <c r="U1525" s="32"/>
      <c r="V1525" s="31"/>
      <c r="W1525" s="35" t="str">
        <f aca="true">IF(OR(V1525="",AG1525&gt;=8),"",IF(V1525&lt;TODAY(),"Vencida",IF(V1525=TODAY(),"Hoy","")))</f>
        <v/>
      </c>
      <c r="X1525" s="36" t="str">
        <f aca="false">IF(A1525="","",IF(COUNTIF(Seguimiento!$B$2:$B$5001,A1525)=0,"",_xlfn.MAXIFS(Seguimiento!$A$2:$A$5001,Seguimiento!$B$2:$B$5001,A1525)))</f>
        <v/>
      </c>
      <c r="Y1525" s="37" t="str">
        <f aca="true">IF(B1525="","",TODAY()-B1525)</f>
        <v/>
      </c>
      <c r="Z1525" s="38" t="str">
        <f aca="false">IF(OR(O1525="",G1525=""),"",O1525*IFERROR(INDEX(Listas!$B$2:$B$50,MATCH(G1525,Listas!$A$2:$A$50,0)),0))</f>
        <v/>
      </c>
      <c r="AA1525" s="32"/>
      <c r="AB1525" s="32"/>
      <c r="AC1525" s="32"/>
      <c r="AD1525" s="35" t="str">
        <f aca="false">IF(OR(LEFT(H1525,4)="Meta",LEFT(H1525,6)="Google"),IF(AG1525=3,"Lead calificado",IF(OR(AG1525=4,AG1525=5),"Tasación/visita",IF(OR(AG1525=6,AG1525=7),"Captación/oferta",IF(AG1525=8,"Cierre","")))),"")</f>
        <v/>
      </c>
      <c r="AE1525" s="32"/>
      <c r="AF1525" s="32"/>
      <c r="AG1525" s="37" t="n">
        <f aca="false">IF(R1525="",0,IFERROR(MATCH(R1525,Listas!$L$2:$L$50,0),0))</f>
        <v>0</v>
      </c>
    </row>
    <row r="1526" customFormat="false" ht="15" hidden="false" customHeight="false" outlineLevel="0" collapsed="false">
      <c r="A1526" s="30"/>
      <c r="B1526" s="31"/>
      <c r="C1526" s="32"/>
      <c r="D1526" s="32"/>
      <c r="E1526" s="33"/>
      <c r="F1526" s="32"/>
      <c r="G1526" s="32"/>
      <c r="H1526" s="32"/>
      <c r="I1526" s="32"/>
      <c r="J1526" s="32"/>
      <c r="K1526" s="32"/>
      <c r="L1526" s="32"/>
      <c r="M1526" s="30"/>
      <c r="N1526" s="32"/>
      <c r="O1526" s="34"/>
      <c r="P1526" s="32"/>
      <c r="Q1526" s="32"/>
      <c r="R1526" s="32"/>
      <c r="S1526" s="32"/>
      <c r="T1526" s="32"/>
      <c r="U1526" s="32"/>
      <c r="V1526" s="31"/>
      <c r="W1526" s="35" t="str">
        <f aca="true">IF(OR(V1526="",AG1526&gt;=8),"",IF(V1526&lt;TODAY(),"Vencida",IF(V1526=TODAY(),"Hoy","")))</f>
        <v/>
      </c>
      <c r="X1526" s="36" t="str">
        <f aca="false">IF(A1526="","",IF(COUNTIF(Seguimiento!$B$2:$B$5001,A1526)=0,"",_xlfn.MAXIFS(Seguimiento!$A$2:$A$5001,Seguimiento!$B$2:$B$5001,A1526)))</f>
        <v/>
      </c>
      <c r="Y1526" s="37" t="str">
        <f aca="true">IF(B1526="","",TODAY()-B1526)</f>
        <v/>
      </c>
      <c r="Z1526" s="38" t="str">
        <f aca="false">IF(OR(O1526="",G1526=""),"",O1526*IFERROR(INDEX(Listas!$B$2:$B$50,MATCH(G1526,Listas!$A$2:$A$50,0)),0))</f>
        <v/>
      </c>
      <c r="AA1526" s="32"/>
      <c r="AB1526" s="32"/>
      <c r="AC1526" s="32"/>
      <c r="AD1526" s="35" t="str">
        <f aca="false">IF(OR(LEFT(H1526,4)="Meta",LEFT(H1526,6)="Google"),IF(AG1526=3,"Lead calificado",IF(OR(AG1526=4,AG1526=5),"Tasación/visita",IF(OR(AG1526=6,AG1526=7),"Captación/oferta",IF(AG1526=8,"Cierre","")))),"")</f>
        <v/>
      </c>
      <c r="AE1526" s="32"/>
      <c r="AF1526" s="32"/>
      <c r="AG1526" s="37" t="n">
        <f aca="false">IF(R1526="",0,IFERROR(MATCH(R1526,Listas!$L$2:$L$50,0),0))</f>
        <v>0</v>
      </c>
    </row>
    <row r="1527" customFormat="false" ht="15" hidden="false" customHeight="false" outlineLevel="0" collapsed="false">
      <c r="A1527" s="30"/>
      <c r="B1527" s="31"/>
      <c r="C1527" s="32"/>
      <c r="D1527" s="32"/>
      <c r="E1527" s="33"/>
      <c r="F1527" s="32"/>
      <c r="G1527" s="32"/>
      <c r="H1527" s="32"/>
      <c r="I1527" s="32"/>
      <c r="J1527" s="32"/>
      <c r="K1527" s="32"/>
      <c r="L1527" s="32"/>
      <c r="M1527" s="30"/>
      <c r="N1527" s="32"/>
      <c r="O1527" s="34"/>
      <c r="P1527" s="32"/>
      <c r="Q1527" s="32"/>
      <c r="R1527" s="32"/>
      <c r="S1527" s="32"/>
      <c r="T1527" s="32"/>
      <c r="U1527" s="32"/>
      <c r="V1527" s="31"/>
      <c r="W1527" s="35" t="str">
        <f aca="true">IF(OR(V1527="",AG1527&gt;=8),"",IF(V1527&lt;TODAY(),"Vencida",IF(V1527=TODAY(),"Hoy","")))</f>
        <v/>
      </c>
      <c r="X1527" s="36" t="str">
        <f aca="false">IF(A1527="","",IF(COUNTIF(Seguimiento!$B$2:$B$5001,A1527)=0,"",_xlfn.MAXIFS(Seguimiento!$A$2:$A$5001,Seguimiento!$B$2:$B$5001,A1527)))</f>
        <v/>
      </c>
      <c r="Y1527" s="37" t="str">
        <f aca="true">IF(B1527="","",TODAY()-B1527)</f>
        <v/>
      </c>
      <c r="Z1527" s="38" t="str">
        <f aca="false">IF(OR(O1527="",G1527=""),"",O1527*IFERROR(INDEX(Listas!$B$2:$B$50,MATCH(G1527,Listas!$A$2:$A$50,0)),0))</f>
        <v/>
      </c>
      <c r="AA1527" s="32"/>
      <c r="AB1527" s="32"/>
      <c r="AC1527" s="32"/>
      <c r="AD1527" s="35" t="str">
        <f aca="false">IF(OR(LEFT(H1527,4)="Meta",LEFT(H1527,6)="Google"),IF(AG1527=3,"Lead calificado",IF(OR(AG1527=4,AG1527=5),"Tasación/visita",IF(OR(AG1527=6,AG1527=7),"Captación/oferta",IF(AG1527=8,"Cierre","")))),"")</f>
        <v/>
      </c>
      <c r="AE1527" s="32"/>
      <c r="AF1527" s="32"/>
      <c r="AG1527" s="37" t="n">
        <f aca="false">IF(R1527="",0,IFERROR(MATCH(R1527,Listas!$L$2:$L$50,0),0))</f>
        <v>0</v>
      </c>
    </row>
    <row r="1528" customFormat="false" ht="15" hidden="false" customHeight="false" outlineLevel="0" collapsed="false">
      <c r="A1528" s="30"/>
      <c r="B1528" s="31"/>
      <c r="C1528" s="32"/>
      <c r="D1528" s="32"/>
      <c r="E1528" s="33"/>
      <c r="F1528" s="32"/>
      <c r="G1528" s="32"/>
      <c r="H1528" s="32"/>
      <c r="I1528" s="32"/>
      <c r="J1528" s="32"/>
      <c r="K1528" s="32"/>
      <c r="L1528" s="32"/>
      <c r="M1528" s="30"/>
      <c r="N1528" s="32"/>
      <c r="O1528" s="34"/>
      <c r="P1528" s="32"/>
      <c r="Q1528" s="32"/>
      <c r="R1528" s="32"/>
      <c r="S1528" s="32"/>
      <c r="T1528" s="32"/>
      <c r="U1528" s="32"/>
      <c r="V1528" s="31"/>
      <c r="W1528" s="35" t="str">
        <f aca="true">IF(OR(V1528="",AG1528&gt;=8),"",IF(V1528&lt;TODAY(),"Vencida",IF(V1528=TODAY(),"Hoy","")))</f>
        <v/>
      </c>
      <c r="X1528" s="36" t="str">
        <f aca="false">IF(A1528="","",IF(COUNTIF(Seguimiento!$B$2:$B$5001,A1528)=0,"",_xlfn.MAXIFS(Seguimiento!$A$2:$A$5001,Seguimiento!$B$2:$B$5001,A1528)))</f>
        <v/>
      </c>
      <c r="Y1528" s="37" t="str">
        <f aca="true">IF(B1528="","",TODAY()-B1528)</f>
        <v/>
      </c>
      <c r="Z1528" s="38" t="str">
        <f aca="false">IF(OR(O1528="",G1528=""),"",O1528*IFERROR(INDEX(Listas!$B$2:$B$50,MATCH(G1528,Listas!$A$2:$A$50,0)),0))</f>
        <v/>
      </c>
      <c r="AA1528" s="32"/>
      <c r="AB1528" s="32"/>
      <c r="AC1528" s="32"/>
      <c r="AD1528" s="35" t="str">
        <f aca="false">IF(OR(LEFT(H1528,4)="Meta",LEFT(H1528,6)="Google"),IF(AG1528=3,"Lead calificado",IF(OR(AG1528=4,AG1528=5),"Tasación/visita",IF(OR(AG1528=6,AG1528=7),"Captación/oferta",IF(AG1528=8,"Cierre","")))),"")</f>
        <v/>
      </c>
      <c r="AE1528" s="32"/>
      <c r="AF1528" s="32"/>
      <c r="AG1528" s="37" t="n">
        <f aca="false">IF(R1528="",0,IFERROR(MATCH(R1528,Listas!$L$2:$L$50,0),0))</f>
        <v>0</v>
      </c>
    </row>
    <row r="1529" customFormat="false" ht="15" hidden="false" customHeight="false" outlineLevel="0" collapsed="false">
      <c r="A1529" s="30"/>
      <c r="B1529" s="31"/>
      <c r="C1529" s="32"/>
      <c r="D1529" s="32"/>
      <c r="E1529" s="33"/>
      <c r="F1529" s="32"/>
      <c r="G1529" s="32"/>
      <c r="H1529" s="32"/>
      <c r="I1529" s="32"/>
      <c r="J1529" s="32"/>
      <c r="K1529" s="32"/>
      <c r="L1529" s="32"/>
      <c r="M1529" s="30"/>
      <c r="N1529" s="32"/>
      <c r="O1529" s="34"/>
      <c r="P1529" s="32"/>
      <c r="Q1529" s="32"/>
      <c r="R1529" s="32"/>
      <c r="S1529" s="32"/>
      <c r="T1529" s="32"/>
      <c r="U1529" s="32"/>
      <c r="V1529" s="31"/>
      <c r="W1529" s="35" t="str">
        <f aca="true">IF(OR(V1529="",AG1529&gt;=8),"",IF(V1529&lt;TODAY(),"Vencida",IF(V1529=TODAY(),"Hoy","")))</f>
        <v/>
      </c>
      <c r="X1529" s="36" t="str">
        <f aca="false">IF(A1529="","",IF(COUNTIF(Seguimiento!$B$2:$B$5001,A1529)=0,"",_xlfn.MAXIFS(Seguimiento!$A$2:$A$5001,Seguimiento!$B$2:$B$5001,A1529)))</f>
        <v/>
      </c>
      <c r="Y1529" s="37" t="str">
        <f aca="true">IF(B1529="","",TODAY()-B1529)</f>
        <v/>
      </c>
      <c r="Z1529" s="38" t="str">
        <f aca="false">IF(OR(O1529="",G1529=""),"",O1529*IFERROR(INDEX(Listas!$B$2:$B$50,MATCH(G1529,Listas!$A$2:$A$50,0)),0))</f>
        <v/>
      </c>
      <c r="AA1529" s="32"/>
      <c r="AB1529" s="32"/>
      <c r="AC1529" s="32"/>
      <c r="AD1529" s="35" t="str">
        <f aca="false">IF(OR(LEFT(H1529,4)="Meta",LEFT(H1529,6)="Google"),IF(AG1529=3,"Lead calificado",IF(OR(AG1529=4,AG1529=5),"Tasación/visita",IF(OR(AG1529=6,AG1529=7),"Captación/oferta",IF(AG1529=8,"Cierre","")))),"")</f>
        <v/>
      </c>
      <c r="AE1529" s="32"/>
      <c r="AF1529" s="32"/>
      <c r="AG1529" s="37" t="n">
        <f aca="false">IF(R1529="",0,IFERROR(MATCH(R1529,Listas!$L$2:$L$50,0),0))</f>
        <v>0</v>
      </c>
    </row>
    <row r="1530" customFormat="false" ht="15" hidden="false" customHeight="false" outlineLevel="0" collapsed="false">
      <c r="A1530" s="30"/>
      <c r="B1530" s="31"/>
      <c r="C1530" s="32"/>
      <c r="D1530" s="32"/>
      <c r="E1530" s="33"/>
      <c r="F1530" s="32"/>
      <c r="G1530" s="32"/>
      <c r="H1530" s="32"/>
      <c r="I1530" s="32"/>
      <c r="J1530" s="32"/>
      <c r="K1530" s="32"/>
      <c r="L1530" s="32"/>
      <c r="M1530" s="30"/>
      <c r="N1530" s="32"/>
      <c r="O1530" s="34"/>
      <c r="P1530" s="32"/>
      <c r="Q1530" s="32"/>
      <c r="R1530" s="32"/>
      <c r="S1530" s="32"/>
      <c r="T1530" s="32"/>
      <c r="U1530" s="32"/>
      <c r="V1530" s="31"/>
      <c r="W1530" s="35" t="str">
        <f aca="true">IF(OR(V1530="",AG1530&gt;=8),"",IF(V1530&lt;TODAY(),"Vencida",IF(V1530=TODAY(),"Hoy","")))</f>
        <v/>
      </c>
      <c r="X1530" s="36" t="str">
        <f aca="false">IF(A1530="","",IF(COUNTIF(Seguimiento!$B$2:$B$5001,A1530)=0,"",_xlfn.MAXIFS(Seguimiento!$A$2:$A$5001,Seguimiento!$B$2:$B$5001,A1530)))</f>
        <v/>
      </c>
      <c r="Y1530" s="37" t="str">
        <f aca="true">IF(B1530="","",TODAY()-B1530)</f>
        <v/>
      </c>
      <c r="Z1530" s="38" t="str">
        <f aca="false">IF(OR(O1530="",G1530=""),"",O1530*IFERROR(INDEX(Listas!$B$2:$B$50,MATCH(G1530,Listas!$A$2:$A$50,0)),0))</f>
        <v/>
      </c>
      <c r="AA1530" s="32"/>
      <c r="AB1530" s="32"/>
      <c r="AC1530" s="32"/>
      <c r="AD1530" s="35" t="str">
        <f aca="false">IF(OR(LEFT(H1530,4)="Meta",LEFT(H1530,6)="Google"),IF(AG1530=3,"Lead calificado",IF(OR(AG1530=4,AG1530=5),"Tasación/visita",IF(OR(AG1530=6,AG1530=7),"Captación/oferta",IF(AG1530=8,"Cierre","")))),"")</f>
        <v/>
      </c>
      <c r="AE1530" s="32"/>
      <c r="AF1530" s="32"/>
      <c r="AG1530" s="37" t="n">
        <f aca="false">IF(R1530="",0,IFERROR(MATCH(R1530,Listas!$L$2:$L$50,0),0))</f>
        <v>0</v>
      </c>
    </row>
    <row r="1531" customFormat="false" ht="15" hidden="false" customHeight="false" outlineLevel="0" collapsed="false">
      <c r="A1531" s="30"/>
      <c r="B1531" s="31"/>
      <c r="C1531" s="32"/>
      <c r="D1531" s="32"/>
      <c r="E1531" s="33"/>
      <c r="F1531" s="32"/>
      <c r="G1531" s="32"/>
      <c r="H1531" s="32"/>
      <c r="I1531" s="32"/>
      <c r="J1531" s="32"/>
      <c r="K1531" s="32"/>
      <c r="L1531" s="32"/>
      <c r="M1531" s="30"/>
      <c r="N1531" s="32"/>
      <c r="O1531" s="34"/>
      <c r="P1531" s="32"/>
      <c r="Q1531" s="32"/>
      <c r="R1531" s="32"/>
      <c r="S1531" s="32"/>
      <c r="T1531" s="32"/>
      <c r="U1531" s="32"/>
      <c r="V1531" s="31"/>
      <c r="W1531" s="35" t="str">
        <f aca="true">IF(OR(V1531="",AG1531&gt;=8),"",IF(V1531&lt;TODAY(),"Vencida",IF(V1531=TODAY(),"Hoy","")))</f>
        <v/>
      </c>
      <c r="X1531" s="36" t="str">
        <f aca="false">IF(A1531="","",IF(COUNTIF(Seguimiento!$B$2:$B$5001,A1531)=0,"",_xlfn.MAXIFS(Seguimiento!$A$2:$A$5001,Seguimiento!$B$2:$B$5001,A1531)))</f>
        <v/>
      </c>
      <c r="Y1531" s="37" t="str">
        <f aca="true">IF(B1531="","",TODAY()-B1531)</f>
        <v/>
      </c>
      <c r="Z1531" s="38" t="str">
        <f aca="false">IF(OR(O1531="",G1531=""),"",O1531*IFERROR(INDEX(Listas!$B$2:$B$50,MATCH(G1531,Listas!$A$2:$A$50,0)),0))</f>
        <v/>
      </c>
      <c r="AA1531" s="32"/>
      <c r="AB1531" s="32"/>
      <c r="AC1531" s="32"/>
      <c r="AD1531" s="35" t="str">
        <f aca="false">IF(OR(LEFT(H1531,4)="Meta",LEFT(H1531,6)="Google"),IF(AG1531=3,"Lead calificado",IF(OR(AG1531=4,AG1531=5),"Tasación/visita",IF(OR(AG1531=6,AG1531=7),"Captación/oferta",IF(AG1531=8,"Cierre","")))),"")</f>
        <v/>
      </c>
      <c r="AE1531" s="32"/>
      <c r="AF1531" s="32"/>
      <c r="AG1531" s="37" t="n">
        <f aca="false">IF(R1531="",0,IFERROR(MATCH(R1531,Listas!$L$2:$L$50,0),0))</f>
        <v>0</v>
      </c>
    </row>
    <row r="1532" customFormat="false" ht="15" hidden="false" customHeight="false" outlineLevel="0" collapsed="false">
      <c r="A1532" s="30"/>
      <c r="B1532" s="31"/>
      <c r="C1532" s="32"/>
      <c r="D1532" s="32"/>
      <c r="E1532" s="33"/>
      <c r="F1532" s="32"/>
      <c r="G1532" s="32"/>
      <c r="H1532" s="32"/>
      <c r="I1532" s="32"/>
      <c r="J1532" s="32"/>
      <c r="K1532" s="32"/>
      <c r="L1532" s="32"/>
      <c r="M1532" s="30"/>
      <c r="N1532" s="32"/>
      <c r="O1532" s="34"/>
      <c r="P1532" s="32"/>
      <c r="Q1532" s="32"/>
      <c r="R1532" s="32"/>
      <c r="S1532" s="32"/>
      <c r="T1532" s="32"/>
      <c r="U1532" s="32"/>
      <c r="V1532" s="31"/>
      <c r="W1532" s="35" t="str">
        <f aca="true">IF(OR(V1532="",AG1532&gt;=8),"",IF(V1532&lt;TODAY(),"Vencida",IF(V1532=TODAY(),"Hoy","")))</f>
        <v/>
      </c>
      <c r="X1532" s="36" t="str">
        <f aca="false">IF(A1532="","",IF(COUNTIF(Seguimiento!$B$2:$B$5001,A1532)=0,"",_xlfn.MAXIFS(Seguimiento!$A$2:$A$5001,Seguimiento!$B$2:$B$5001,A1532)))</f>
        <v/>
      </c>
      <c r="Y1532" s="37" t="str">
        <f aca="true">IF(B1532="","",TODAY()-B1532)</f>
        <v/>
      </c>
      <c r="Z1532" s="38" t="str">
        <f aca="false">IF(OR(O1532="",G1532=""),"",O1532*IFERROR(INDEX(Listas!$B$2:$B$50,MATCH(G1532,Listas!$A$2:$A$50,0)),0))</f>
        <v/>
      </c>
      <c r="AA1532" s="32"/>
      <c r="AB1532" s="32"/>
      <c r="AC1532" s="32"/>
      <c r="AD1532" s="35" t="str">
        <f aca="false">IF(OR(LEFT(H1532,4)="Meta",LEFT(H1532,6)="Google"),IF(AG1532=3,"Lead calificado",IF(OR(AG1532=4,AG1532=5),"Tasación/visita",IF(OR(AG1532=6,AG1532=7),"Captación/oferta",IF(AG1532=8,"Cierre","")))),"")</f>
        <v/>
      </c>
      <c r="AE1532" s="32"/>
      <c r="AF1532" s="32"/>
      <c r="AG1532" s="37" t="n">
        <f aca="false">IF(R1532="",0,IFERROR(MATCH(R1532,Listas!$L$2:$L$50,0),0))</f>
        <v>0</v>
      </c>
    </row>
    <row r="1533" customFormat="false" ht="15" hidden="false" customHeight="false" outlineLevel="0" collapsed="false">
      <c r="A1533" s="30"/>
      <c r="B1533" s="31"/>
      <c r="C1533" s="32"/>
      <c r="D1533" s="32"/>
      <c r="E1533" s="33"/>
      <c r="F1533" s="32"/>
      <c r="G1533" s="32"/>
      <c r="H1533" s="32"/>
      <c r="I1533" s="32"/>
      <c r="J1533" s="32"/>
      <c r="K1533" s="32"/>
      <c r="L1533" s="32"/>
      <c r="M1533" s="30"/>
      <c r="N1533" s="32"/>
      <c r="O1533" s="34"/>
      <c r="P1533" s="32"/>
      <c r="Q1533" s="32"/>
      <c r="R1533" s="32"/>
      <c r="S1533" s="32"/>
      <c r="T1533" s="32"/>
      <c r="U1533" s="32"/>
      <c r="V1533" s="31"/>
      <c r="W1533" s="35" t="str">
        <f aca="true">IF(OR(V1533="",AG1533&gt;=8),"",IF(V1533&lt;TODAY(),"Vencida",IF(V1533=TODAY(),"Hoy","")))</f>
        <v/>
      </c>
      <c r="X1533" s="36" t="str">
        <f aca="false">IF(A1533="","",IF(COUNTIF(Seguimiento!$B$2:$B$5001,A1533)=0,"",_xlfn.MAXIFS(Seguimiento!$A$2:$A$5001,Seguimiento!$B$2:$B$5001,A1533)))</f>
        <v/>
      </c>
      <c r="Y1533" s="37" t="str">
        <f aca="true">IF(B1533="","",TODAY()-B1533)</f>
        <v/>
      </c>
      <c r="Z1533" s="38" t="str">
        <f aca="false">IF(OR(O1533="",G1533=""),"",O1533*IFERROR(INDEX(Listas!$B$2:$B$50,MATCH(G1533,Listas!$A$2:$A$50,0)),0))</f>
        <v/>
      </c>
      <c r="AA1533" s="32"/>
      <c r="AB1533" s="32"/>
      <c r="AC1533" s="32"/>
      <c r="AD1533" s="35" t="str">
        <f aca="false">IF(OR(LEFT(H1533,4)="Meta",LEFT(H1533,6)="Google"),IF(AG1533=3,"Lead calificado",IF(OR(AG1533=4,AG1533=5),"Tasación/visita",IF(OR(AG1533=6,AG1533=7),"Captación/oferta",IF(AG1533=8,"Cierre","")))),"")</f>
        <v/>
      </c>
      <c r="AE1533" s="32"/>
      <c r="AF1533" s="32"/>
      <c r="AG1533" s="37" t="n">
        <f aca="false">IF(R1533="",0,IFERROR(MATCH(R1533,Listas!$L$2:$L$50,0),0))</f>
        <v>0</v>
      </c>
    </row>
    <row r="1534" customFormat="false" ht="15" hidden="false" customHeight="false" outlineLevel="0" collapsed="false">
      <c r="A1534" s="30"/>
      <c r="B1534" s="31"/>
      <c r="C1534" s="32"/>
      <c r="D1534" s="32"/>
      <c r="E1534" s="33"/>
      <c r="F1534" s="32"/>
      <c r="G1534" s="32"/>
      <c r="H1534" s="32"/>
      <c r="I1534" s="32"/>
      <c r="J1534" s="32"/>
      <c r="K1534" s="32"/>
      <c r="L1534" s="32"/>
      <c r="M1534" s="30"/>
      <c r="N1534" s="32"/>
      <c r="O1534" s="34"/>
      <c r="P1534" s="32"/>
      <c r="Q1534" s="32"/>
      <c r="R1534" s="32"/>
      <c r="S1534" s="32"/>
      <c r="T1534" s="32"/>
      <c r="U1534" s="32"/>
      <c r="V1534" s="31"/>
      <c r="W1534" s="35" t="str">
        <f aca="true">IF(OR(V1534="",AG1534&gt;=8),"",IF(V1534&lt;TODAY(),"Vencida",IF(V1534=TODAY(),"Hoy","")))</f>
        <v/>
      </c>
      <c r="X1534" s="36" t="str">
        <f aca="false">IF(A1534="","",IF(COUNTIF(Seguimiento!$B$2:$B$5001,A1534)=0,"",_xlfn.MAXIFS(Seguimiento!$A$2:$A$5001,Seguimiento!$B$2:$B$5001,A1534)))</f>
        <v/>
      </c>
      <c r="Y1534" s="37" t="str">
        <f aca="true">IF(B1534="","",TODAY()-B1534)</f>
        <v/>
      </c>
      <c r="Z1534" s="38" t="str">
        <f aca="false">IF(OR(O1534="",G1534=""),"",O1534*IFERROR(INDEX(Listas!$B$2:$B$50,MATCH(G1534,Listas!$A$2:$A$50,0)),0))</f>
        <v/>
      </c>
      <c r="AA1534" s="32"/>
      <c r="AB1534" s="32"/>
      <c r="AC1534" s="32"/>
      <c r="AD1534" s="35" t="str">
        <f aca="false">IF(OR(LEFT(H1534,4)="Meta",LEFT(H1534,6)="Google"),IF(AG1534=3,"Lead calificado",IF(OR(AG1534=4,AG1534=5),"Tasación/visita",IF(OR(AG1534=6,AG1534=7),"Captación/oferta",IF(AG1534=8,"Cierre","")))),"")</f>
        <v/>
      </c>
      <c r="AE1534" s="32"/>
      <c r="AF1534" s="32"/>
      <c r="AG1534" s="37" t="n">
        <f aca="false">IF(R1534="",0,IFERROR(MATCH(R1534,Listas!$L$2:$L$50,0),0))</f>
        <v>0</v>
      </c>
    </row>
    <row r="1535" customFormat="false" ht="15" hidden="false" customHeight="false" outlineLevel="0" collapsed="false">
      <c r="A1535" s="30"/>
      <c r="B1535" s="31"/>
      <c r="C1535" s="32"/>
      <c r="D1535" s="32"/>
      <c r="E1535" s="33"/>
      <c r="F1535" s="32"/>
      <c r="G1535" s="32"/>
      <c r="H1535" s="32"/>
      <c r="I1535" s="32"/>
      <c r="J1535" s="32"/>
      <c r="K1535" s="32"/>
      <c r="L1535" s="32"/>
      <c r="M1535" s="30"/>
      <c r="N1535" s="32"/>
      <c r="O1535" s="34"/>
      <c r="P1535" s="32"/>
      <c r="Q1535" s="32"/>
      <c r="R1535" s="32"/>
      <c r="S1535" s="32"/>
      <c r="T1535" s="32"/>
      <c r="U1535" s="32"/>
      <c r="V1535" s="31"/>
      <c r="W1535" s="35" t="str">
        <f aca="true">IF(OR(V1535="",AG1535&gt;=8),"",IF(V1535&lt;TODAY(),"Vencida",IF(V1535=TODAY(),"Hoy","")))</f>
        <v/>
      </c>
      <c r="X1535" s="36" t="str">
        <f aca="false">IF(A1535="","",IF(COUNTIF(Seguimiento!$B$2:$B$5001,A1535)=0,"",_xlfn.MAXIFS(Seguimiento!$A$2:$A$5001,Seguimiento!$B$2:$B$5001,A1535)))</f>
        <v/>
      </c>
      <c r="Y1535" s="37" t="str">
        <f aca="true">IF(B1535="","",TODAY()-B1535)</f>
        <v/>
      </c>
      <c r="Z1535" s="38" t="str">
        <f aca="false">IF(OR(O1535="",G1535=""),"",O1535*IFERROR(INDEX(Listas!$B$2:$B$50,MATCH(G1535,Listas!$A$2:$A$50,0)),0))</f>
        <v/>
      </c>
      <c r="AA1535" s="32"/>
      <c r="AB1535" s="32"/>
      <c r="AC1535" s="32"/>
      <c r="AD1535" s="35" t="str">
        <f aca="false">IF(OR(LEFT(H1535,4)="Meta",LEFT(H1535,6)="Google"),IF(AG1535=3,"Lead calificado",IF(OR(AG1535=4,AG1535=5),"Tasación/visita",IF(OR(AG1535=6,AG1535=7),"Captación/oferta",IF(AG1535=8,"Cierre","")))),"")</f>
        <v/>
      </c>
      <c r="AE1535" s="32"/>
      <c r="AF1535" s="32"/>
      <c r="AG1535" s="37" t="n">
        <f aca="false">IF(R1535="",0,IFERROR(MATCH(R1535,Listas!$L$2:$L$50,0),0))</f>
        <v>0</v>
      </c>
    </row>
    <row r="1536" customFormat="false" ht="15" hidden="false" customHeight="false" outlineLevel="0" collapsed="false">
      <c r="A1536" s="30"/>
      <c r="B1536" s="31"/>
      <c r="C1536" s="32"/>
      <c r="D1536" s="32"/>
      <c r="E1536" s="33"/>
      <c r="F1536" s="32"/>
      <c r="G1536" s="32"/>
      <c r="H1536" s="32"/>
      <c r="I1536" s="32"/>
      <c r="J1536" s="32"/>
      <c r="K1536" s="32"/>
      <c r="L1536" s="32"/>
      <c r="M1536" s="30"/>
      <c r="N1536" s="32"/>
      <c r="O1536" s="34"/>
      <c r="P1536" s="32"/>
      <c r="Q1536" s="32"/>
      <c r="R1536" s="32"/>
      <c r="S1536" s="32"/>
      <c r="T1536" s="32"/>
      <c r="U1536" s="32"/>
      <c r="V1536" s="31"/>
      <c r="W1536" s="35" t="str">
        <f aca="true">IF(OR(V1536="",AG1536&gt;=8),"",IF(V1536&lt;TODAY(),"Vencida",IF(V1536=TODAY(),"Hoy","")))</f>
        <v/>
      </c>
      <c r="X1536" s="36" t="str">
        <f aca="false">IF(A1536="","",IF(COUNTIF(Seguimiento!$B$2:$B$5001,A1536)=0,"",_xlfn.MAXIFS(Seguimiento!$A$2:$A$5001,Seguimiento!$B$2:$B$5001,A1536)))</f>
        <v/>
      </c>
      <c r="Y1536" s="37" t="str">
        <f aca="true">IF(B1536="","",TODAY()-B1536)</f>
        <v/>
      </c>
      <c r="Z1536" s="38" t="str">
        <f aca="false">IF(OR(O1536="",G1536=""),"",O1536*IFERROR(INDEX(Listas!$B$2:$B$50,MATCH(G1536,Listas!$A$2:$A$50,0)),0))</f>
        <v/>
      </c>
      <c r="AA1536" s="32"/>
      <c r="AB1536" s="32"/>
      <c r="AC1536" s="32"/>
      <c r="AD1536" s="35" t="str">
        <f aca="false">IF(OR(LEFT(H1536,4)="Meta",LEFT(H1536,6)="Google"),IF(AG1536=3,"Lead calificado",IF(OR(AG1536=4,AG1536=5),"Tasación/visita",IF(OR(AG1536=6,AG1536=7),"Captación/oferta",IF(AG1536=8,"Cierre","")))),"")</f>
        <v/>
      </c>
      <c r="AE1536" s="32"/>
      <c r="AF1536" s="32"/>
      <c r="AG1536" s="37" t="n">
        <f aca="false">IF(R1536="",0,IFERROR(MATCH(R1536,Listas!$L$2:$L$50,0),0))</f>
        <v>0</v>
      </c>
    </row>
    <row r="1537" customFormat="false" ht="15" hidden="false" customHeight="false" outlineLevel="0" collapsed="false">
      <c r="A1537" s="30"/>
      <c r="B1537" s="31"/>
      <c r="C1537" s="32"/>
      <c r="D1537" s="32"/>
      <c r="E1537" s="33"/>
      <c r="F1537" s="32"/>
      <c r="G1537" s="32"/>
      <c r="H1537" s="32"/>
      <c r="I1537" s="32"/>
      <c r="J1537" s="32"/>
      <c r="K1537" s="32"/>
      <c r="L1537" s="32"/>
      <c r="M1537" s="30"/>
      <c r="N1537" s="32"/>
      <c r="O1537" s="34"/>
      <c r="P1537" s="32"/>
      <c r="Q1537" s="32"/>
      <c r="R1537" s="32"/>
      <c r="S1537" s="32"/>
      <c r="T1537" s="32"/>
      <c r="U1537" s="32"/>
      <c r="V1537" s="31"/>
      <c r="W1537" s="35" t="str">
        <f aca="true">IF(OR(V1537="",AG1537&gt;=8),"",IF(V1537&lt;TODAY(),"Vencida",IF(V1537=TODAY(),"Hoy","")))</f>
        <v/>
      </c>
      <c r="X1537" s="36" t="str">
        <f aca="false">IF(A1537="","",IF(COUNTIF(Seguimiento!$B$2:$B$5001,A1537)=0,"",_xlfn.MAXIFS(Seguimiento!$A$2:$A$5001,Seguimiento!$B$2:$B$5001,A1537)))</f>
        <v/>
      </c>
      <c r="Y1537" s="37" t="str">
        <f aca="true">IF(B1537="","",TODAY()-B1537)</f>
        <v/>
      </c>
      <c r="Z1537" s="38" t="str">
        <f aca="false">IF(OR(O1537="",G1537=""),"",O1537*IFERROR(INDEX(Listas!$B$2:$B$50,MATCH(G1537,Listas!$A$2:$A$50,0)),0))</f>
        <v/>
      </c>
      <c r="AA1537" s="32"/>
      <c r="AB1537" s="32"/>
      <c r="AC1537" s="32"/>
      <c r="AD1537" s="35" t="str">
        <f aca="false">IF(OR(LEFT(H1537,4)="Meta",LEFT(H1537,6)="Google"),IF(AG1537=3,"Lead calificado",IF(OR(AG1537=4,AG1537=5),"Tasación/visita",IF(OR(AG1537=6,AG1537=7),"Captación/oferta",IF(AG1537=8,"Cierre","")))),"")</f>
        <v/>
      </c>
      <c r="AE1537" s="32"/>
      <c r="AF1537" s="32"/>
      <c r="AG1537" s="37" t="n">
        <f aca="false">IF(R1537="",0,IFERROR(MATCH(R1537,Listas!$L$2:$L$50,0),0))</f>
        <v>0</v>
      </c>
    </row>
    <row r="1538" customFormat="false" ht="15" hidden="false" customHeight="false" outlineLevel="0" collapsed="false">
      <c r="A1538" s="30"/>
      <c r="B1538" s="31"/>
      <c r="C1538" s="32"/>
      <c r="D1538" s="32"/>
      <c r="E1538" s="33"/>
      <c r="F1538" s="32"/>
      <c r="G1538" s="32"/>
      <c r="H1538" s="32"/>
      <c r="I1538" s="32"/>
      <c r="J1538" s="32"/>
      <c r="K1538" s="32"/>
      <c r="L1538" s="32"/>
      <c r="M1538" s="30"/>
      <c r="N1538" s="32"/>
      <c r="O1538" s="34"/>
      <c r="P1538" s="32"/>
      <c r="Q1538" s="32"/>
      <c r="R1538" s="32"/>
      <c r="S1538" s="32"/>
      <c r="T1538" s="32"/>
      <c r="U1538" s="32"/>
      <c r="V1538" s="31"/>
      <c r="W1538" s="35" t="str">
        <f aca="true">IF(OR(V1538="",AG1538&gt;=8),"",IF(V1538&lt;TODAY(),"Vencida",IF(V1538=TODAY(),"Hoy","")))</f>
        <v/>
      </c>
      <c r="X1538" s="36" t="str">
        <f aca="false">IF(A1538="","",IF(COUNTIF(Seguimiento!$B$2:$B$5001,A1538)=0,"",_xlfn.MAXIFS(Seguimiento!$A$2:$A$5001,Seguimiento!$B$2:$B$5001,A1538)))</f>
        <v/>
      </c>
      <c r="Y1538" s="37" t="str">
        <f aca="true">IF(B1538="","",TODAY()-B1538)</f>
        <v/>
      </c>
      <c r="Z1538" s="38" t="str">
        <f aca="false">IF(OR(O1538="",G1538=""),"",O1538*IFERROR(INDEX(Listas!$B$2:$B$50,MATCH(G1538,Listas!$A$2:$A$50,0)),0))</f>
        <v/>
      </c>
      <c r="AA1538" s="32"/>
      <c r="AB1538" s="32"/>
      <c r="AC1538" s="32"/>
      <c r="AD1538" s="35" t="str">
        <f aca="false">IF(OR(LEFT(H1538,4)="Meta",LEFT(H1538,6)="Google"),IF(AG1538=3,"Lead calificado",IF(OR(AG1538=4,AG1538=5),"Tasación/visita",IF(OR(AG1538=6,AG1538=7),"Captación/oferta",IF(AG1538=8,"Cierre","")))),"")</f>
        <v/>
      </c>
      <c r="AE1538" s="32"/>
      <c r="AF1538" s="32"/>
      <c r="AG1538" s="37" t="n">
        <f aca="false">IF(R1538="",0,IFERROR(MATCH(R1538,Listas!$L$2:$L$50,0),0))</f>
        <v>0</v>
      </c>
    </row>
    <row r="1539" customFormat="false" ht="15" hidden="false" customHeight="false" outlineLevel="0" collapsed="false">
      <c r="A1539" s="30"/>
      <c r="B1539" s="31"/>
      <c r="C1539" s="32"/>
      <c r="D1539" s="32"/>
      <c r="E1539" s="33"/>
      <c r="F1539" s="32"/>
      <c r="G1539" s="32"/>
      <c r="H1539" s="32"/>
      <c r="I1539" s="32"/>
      <c r="J1539" s="32"/>
      <c r="K1539" s="32"/>
      <c r="L1539" s="32"/>
      <c r="M1539" s="30"/>
      <c r="N1539" s="32"/>
      <c r="O1539" s="34"/>
      <c r="P1539" s="32"/>
      <c r="Q1539" s="32"/>
      <c r="R1539" s="32"/>
      <c r="S1539" s="32"/>
      <c r="T1539" s="32"/>
      <c r="U1539" s="32"/>
      <c r="V1539" s="31"/>
      <c r="W1539" s="35" t="str">
        <f aca="true">IF(OR(V1539="",AG1539&gt;=8),"",IF(V1539&lt;TODAY(),"Vencida",IF(V1539=TODAY(),"Hoy","")))</f>
        <v/>
      </c>
      <c r="X1539" s="36" t="str">
        <f aca="false">IF(A1539="","",IF(COUNTIF(Seguimiento!$B$2:$B$5001,A1539)=0,"",_xlfn.MAXIFS(Seguimiento!$A$2:$A$5001,Seguimiento!$B$2:$B$5001,A1539)))</f>
        <v/>
      </c>
      <c r="Y1539" s="37" t="str">
        <f aca="true">IF(B1539="","",TODAY()-B1539)</f>
        <v/>
      </c>
      <c r="Z1539" s="38" t="str">
        <f aca="false">IF(OR(O1539="",G1539=""),"",O1539*IFERROR(INDEX(Listas!$B$2:$B$50,MATCH(G1539,Listas!$A$2:$A$50,0)),0))</f>
        <v/>
      </c>
      <c r="AA1539" s="32"/>
      <c r="AB1539" s="32"/>
      <c r="AC1539" s="32"/>
      <c r="AD1539" s="35" t="str">
        <f aca="false">IF(OR(LEFT(H1539,4)="Meta",LEFT(H1539,6)="Google"),IF(AG1539=3,"Lead calificado",IF(OR(AG1539=4,AG1539=5),"Tasación/visita",IF(OR(AG1539=6,AG1539=7),"Captación/oferta",IF(AG1539=8,"Cierre","")))),"")</f>
        <v/>
      </c>
      <c r="AE1539" s="32"/>
      <c r="AF1539" s="32"/>
      <c r="AG1539" s="37" t="n">
        <f aca="false">IF(R1539="",0,IFERROR(MATCH(R1539,Listas!$L$2:$L$50,0),0))</f>
        <v>0</v>
      </c>
    </row>
    <row r="1540" customFormat="false" ht="15" hidden="false" customHeight="false" outlineLevel="0" collapsed="false">
      <c r="A1540" s="30"/>
      <c r="B1540" s="31"/>
      <c r="C1540" s="32"/>
      <c r="D1540" s="32"/>
      <c r="E1540" s="33"/>
      <c r="F1540" s="32"/>
      <c r="G1540" s="32"/>
      <c r="H1540" s="32"/>
      <c r="I1540" s="32"/>
      <c r="J1540" s="32"/>
      <c r="K1540" s="32"/>
      <c r="L1540" s="32"/>
      <c r="M1540" s="30"/>
      <c r="N1540" s="32"/>
      <c r="O1540" s="34"/>
      <c r="P1540" s="32"/>
      <c r="Q1540" s="32"/>
      <c r="R1540" s="32"/>
      <c r="S1540" s="32"/>
      <c r="T1540" s="32"/>
      <c r="U1540" s="32"/>
      <c r="V1540" s="31"/>
      <c r="W1540" s="35" t="str">
        <f aca="true">IF(OR(V1540="",AG1540&gt;=8),"",IF(V1540&lt;TODAY(),"Vencida",IF(V1540=TODAY(),"Hoy","")))</f>
        <v/>
      </c>
      <c r="X1540" s="36" t="str">
        <f aca="false">IF(A1540="","",IF(COUNTIF(Seguimiento!$B$2:$B$5001,A1540)=0,"",_xlfn.MAXIFS(Seguimiento!$A$2:$A$5001,Seguimiento!$B$2:$B$5001,A1540)))</f>
        <v/>
      </c>
      <c r="Y1540" s="37" t="str">
        <f aca="true">IF(B1540="","",TODAY()-B1540)</f>
        <v/>
      </c>
      <c r="Z1540" s="38" t="str">
        <f aca="false">IF(OR(O1540="",G1540=""),"",O1540*IFERROR(INDEX(Listas!$B$2:$B$50,MATCH(G1540,Listas!$A$2:$A$50,0)),0))</f>
        <v/>
      </c>
      <c r="AA1540" s="32"/>
      <c r="AB1540" s="32"/>
      <c r="AC1540" s="32"/>
      <c r="AD1540" s="35" t="str">
        <f aca="false">IF(OR(LEFT(H1540,4)="Meta",LEFT(H1540,6)="Google"),IF(AG1540=3,"Lead calificado",IF(OR(AG1540=4,AG1540=5),"Tasación/visita",IF(OR(AG1540=6,AG1540=7),"Captación/oferta",IF(AG1540=8,"Cierre","")))),"")</f>
        <v/>
      </c>
      <c r="AE1540" s="32"/>
      <c r="AF1540" s="32"/>
      <c r="AG1540" s="37" t="n">
        <f aca="false">IF(R1540="",0,IFERROR(MATCH(R1540,Listas!$L$2:$L$50,0),0))</f>
        <v>0</v>
      </c>
    </row>
    <row r="1541" customFormat="false" ht="15" hidden="false" customHeight="false" outlineLevel="0" collapsed="false">
      <c r="A1541" s="30"/>
      <c r="B1541" s="31"/>
      <c r="C1541" s="32"/>
      <c r="D1541" s="32"/>
      <c r="E1541" s="33"/>
      <c r="F1541" s="32"/>
      <c r="G1541" s="32"/>
      <c r="H1541" s="32"/>
      <c r="I1541" s="32"/>
      <c r="J1541" s="32"/>
      <c r="K1541" s="32"/>
      <c r="L1541" s="32"/>
      <c r="M1541" s="30"/>
      <c r="N1541" s="32"/>
      <c r="O1541" s="34"/>
      <c r="P1541" s="32"/>
      <c r="Q1541" s="32"/>
      <c r="R1541" s="32"/>
      <c r="S1541" s="32"/>
      <c r="T1541" s="32"/>
      <c r="U1541" s="32"/>
      <c r="V1541" s="31"/>
      <c r="W1541" s="35" t="str">
        <f aca="true">IF(OR(V1541="",AG1541&gt;=8),"",IF(V1541&lt;TODAY(),"Vencida",IF(V1541=TODAY(),"Hoy","")))</f>
        <v/>
      </c>
      <c r="X1541" s="36" t="str">
        <f aca="false">IF(A1541="","",IF(COUNTIF(Seguimiento!$B$2:$B$5001,A1541)=0,"",_xlfn.MAXIFS(Seguimiento!$A$2:$A$5001,Seguimiento!$B$2:$B$5001,A1541)))</f>
        <v/>
      </c>
      <c r="Y1541" s="37" t="str">
        <f aca="true">IF(B1541="","",TODAY()-B1541)</f>
        <v/>
      </c>
      <c r="Z1541" s="38" t="str">
        <f aca="false">IF(OR(O1541="",G1541=""),"",O1541*IFERROR(INDEX(Listas!$B$2:$B$50,MATCH(G1541,Listas!$A$2:$A$50,0)),0))</f>
        <v/>
      </c>
      <c r="AA1541" s="32"/>
      <c r="AB1541" s="32"/>
      <c r="AC1541" s="32"/>
      <c r="AD1541" s="35" t="str">
        <f aca="false">IF(OR(LEFT(H1541,4)="Meta",LEFT(H1541,6)="Google"),IF(AG1541=3,"Lead calificado",IF(OR(AG1541=4,AG1541=5),"Tasación/visita",IF(OR(AG1541=6,AG1541=7),"Captación/oferta",IF(AG1541=8,"Cierre","")))),"")</f>
        <v/>
      </c>
      <c r="AE1541" s="32"/>
      <c r="AF1541" s="32"/>
      <c r="AG1541" s="37" t="n">
        <f aca="false">IF(R1541="",0,IFERROR(MATCH(R1541,Listas!$L$2:$L$50,0),0))</f>
        <v>0</v>
      </c>
    </row>
    <row r="1542" customFormat="false" ht="15" hidden="false" customHeight="false" outlineLevel="0" collapsed="false">
      <c r="A1542" s="30"/>
      <c r="B1542" s="31"/>
      <c r="C1542" s="32"/>
      <c r="D1542" s="32"/>
      <c r="E1542" s="33"/>
      <c r="F1542" s="32"/>
      <c r="G1542" s="32"/>
      <c r="H1542" s="32"/>
      <c r="I1542" s="32"/>
      <c r="J1542" s="32"/>
      <c r="K1542" s="32"/>
      <c r="L1542" s="32"/>
      <c r="M1542" s="30"/>
      <c r="N1542" s="32"/>
      <c r="O1542" s="34"/>
      <c r="P1542" s="32"/>
      <c r="Q1542" s="32"/>
      <c r="R1542" s="32"/>
      <c r="S1542" s="32"/>
      <c r="T1542" s="32"/>
      <c r="U1542" s="32"/>
      <c r="V1542" s="31"/>
      <c r="W1542" s="35" t="str">
        <f aca="true">IF(OR(V1542="",AG1542&gt;=8),"",IF(V1542&lt;TODAY(),"Vencida",IF(V1542=TODAY(),"Hoy","")))</f>
        <v/>
      </c>
      <c r="X1542" s="36" t="str">
        <f aca="false">IF(A1542="","",IF(COUNTIF(Seguimiento!$B$2:$B$5001,A1542)=0,"",_xlfn.MAXIFS(Seguimiento!$A$2:$A$5001,Seguimiento!$B$2:$B$5001,A1542)))</f>
        <v/>
      </c>
      <c r="Y1542" s="37" t="str">
        <f aca="true">IF(B1542="","",TODAY()-B1542)</f>
        <v/>
      </c>
      <c r="Z1542" s="38" t="str">
        <f aca="false">IF(OR(O1542="",G1542=""),"",O1542*IFERROR(INDEX(Listas!$B$2:$B$50,MATCH(G1542,Listas!$A$2:$A$50,0)),0))</f>
        <v/>
      </c>
      <c r="AA1542" s="32"/>
      <c r="AB1542" s="32"/>
      <c r="AC1542" s="32"/>
      <c r="AD1542" s="35" t="str">
        <f aca="false">IF(OR(LEFT(H1542,4)="Meta",LEFT(H1542,6)="Google"),IF(AG1542=3,"Lead calificado",IF(OR(AG1542=4,AG1542=5),"Tasación/visita",IF(OR(AG1542=6,AG1542=7),"Captación/oferta",IF(AG1542=8,"Cierre","")))),"")</f>
        <v/>
      </c>
      <c r="AE1542" s="32"/>
      <c r="AF1542" s="32"/>
      <c r="AG1542" s="37" t="n">
        <f aca="false">IF(R1542="",0,IFERROR(MATCH(R1542,Listas!$L$2:$L$50,0),0))</f>
        <v>0</v>
      </c>
    </row>
    <row r="1543" customFormat="false" ht="15" hidden="false" customHeight="false" outlineLevel="0" collapsed="false">
      <c r="A1543" s="30"/>
      <c r="B1543" s="31"/>
      <c r="C1543" s="32"/>
      <c r="D1543" s="32"/>
      <c r="E1543" s="33"/>
      <c r="F1543" s="32"/>
      <c r="G1543" s="32"/>
      <c r="H1543" s="32"/>
      <c r="I1543" s="32"/>
      <c r="J1543" s="32"/>
      <c r="K1543" s="32"/>
      <c r="L1543" s="32"/>
      <c r="M1543" s="30"/>
      <c r="N1543" s="32"/>
      <c r="O1543" s="34"/>
      <c r="P1543" s="32"/>
      <c r="Q1543" s="32"/>
      <c r="R1543" s="32"/>
      <c r="S1543" s="32"/>
      <c r="T1543" s="32"/>
      <c r="U1543" s="32"/>
      <c r="V1543" s="31"/>
      <c r="W1543" s="35" t="str">
        <f aca="true">IF(OR(V1543="",AG1543&gt;=8),"",IF(V1543&lt;TODAY(),"Vencida",IF(V1543=TODAY(),"Hoy","")))</f>
        <v/>
      </c>
      <c r="X1543" s="36" t="str">
        <f aca="false">IF(A1543="","",IF(COUNTIF(Seguimiento!$B$2:$B$5001,A1543)=0,"",_xlfn.MAXIFS(Seguimiento!$A$2:$A$5001,Seguimiento!$B$2:$B$5001,A1543)))</f>
        <v/>
      </c>
      <c r="Y1543" s="37" t="str">
        <f aca="true">IF(B1543="","",TODAY()-B1543)</f>
        <v/>
      </c>
      <c r="Z1543" s="38" t="str">
        <f aca="false">IF(OR(O1543="",G1543=""),"",O1543*IFERROR(INDEX(Listas!$B$2:$B$50,MATCH(G1543,Listas!$A$2:$A$50,0)),0))</f>
        <v/>
      </c>
      <c r="AA1543" s="32"/>
      <c r="AB1543" s="32"/>
      <c r="AC1543" s="32"/>
      <c r="AD1543" s="35" t="str">
        <f aca="false">IF(OR(LEFT(H1543,4)="Meta",LEFT(H1543,6)="Google"),IF(AG1543=3,"Lead calificado",IF(OR(AG1543=4,AG1543=5),"Tasación/visita",IF(OR(AG1543=6,AG1543=7),"Captación/oferta",IF(AG1543=8,"Cierre","")))),"")</f>
        <v/>
      </c>
      <c r="AE1543" s="32"/>
      <c r="AF1543" s="32"/>
      <c r="AG1543" s="37" t="n">
        <f aca="false">IF(R1543="",0,IFERROR(MATCH(R1543,Listas!$L$2:$L$50,0),0))</f>
        <v>0</v>
      </c>
    </row>
    <row r="1544" customFormat="false" ht="15" hidden="false" customHeight="false" outlineLevel="0" collapsed="false">
      <c r="A1544" s="30"/>
      <c r="B1544" s="31"/>
      <c r="C1544" s="32"/>
      <c r="D1544" s="32"/>
      <c r="E1544" s="33"/>
      <c r="F1544" s="32"/>
      <c r="G1544" s="32"/>
      <c r="H1544" s="32"/>
      <c r="I1544" s="32"/>
      <c r="J1544" s="32"/>
      <c r="K1544" s="32"/>
      <c r="L1544" s="32"/>
      <c r="M1544" s="30"/>
      <c r="N1544" s="32"/>
      <c r="O1544" s="34"/>
      <c r="P1544" s="32"/>
      <c r="Q1544" s="32"/>
      <c r="R1544" s="32"/>
      <c r="S1544" s="32"/>
      <c r="T1544" s="32"/>
      <c r="U1544" s="32"/>
      <c r="V1544" s="31"/>
      <c r="W1544" s="35" t="str">
        <f aca="true">IF(OR(V1544="",AG1544&gt;=8),"",IF(V1544&lt;TODAY(),"Vencida",IF(V1544=TODAY(),"Hoy","")))</f>
        <v/>
      </c>
      <c r="X1544" s="36" t="str">
        <f aca="false">IF(A1544="","",IF(COUNTIF(Seguimiento!$B$2:$B$5001,A1544)=0,"",_xlfn.MAXIFS(Seguimiento!$A$2:$A$5001,Seguimiento!$B$2:$B$5001,A1544)))</f>
        <v/>
      </c>
      <c r="Y1544" s="37" t="str">
        <f aca="true">IF(B1544="","",TODAY()-B1544)</f>
        <v/>
      </c>
      <c r="Z1544" s="38" t="str">
        <f aca="false">IF(OR(O1544="",G1544=""),"",O1544*IFERROR(INDEX(Listas!$B$2:$B$50,MATCH(G1544,Listas!$A$2:$A$50,0)),0))</f>
        <v/>
      </c>
      <c r="AA1544" s="32"/>
      <c r="AB1544" s="32"/>
      <c r="AC1544" s="32"/>
      <c r="AD1544" s="35" t="str">
        <f aca="false">IF(OR(LEFT(H1544,4)="Meta",LEFT(H1544,6)="Google"),IF(AG1544=3,"Lead calificado",IF(OR(AG1544=4,AG1544=5),"Tasación/visita",IF(OR(AG1544=6,AG1544=7),"Captación/oferta",IF(AG1544=8,"Cierre","")))),"")</f>
        <v/>
      </c>
      <c r="AE1544" s="32"/>
      <c r="AF1544" s="32"/>
      <c r="AG1544" s="37" t="n">
        <f aca="false">IF(R1544="",0,IFERROR(MATCH(R1544,Listas!$L$2:$L$50,0),0))</f>
        <v>0</v>
      </c>
    </row>
    <row r="1545" customFormat="false" ht="15" hidden="false" customHeight="false" outlineLevel="0" collapsed="false">
      <c r="A1545" s="30"/>
      <c r="B1545" s="31"/>
      <c r="C1545" s="32"/>
      <c r="D1545" s="32"/>
      <c r="E1545" s="33"/>
      <c r="F1545" s="32"/>
      <c r="G1545" s="32"/>
      <c r="H1545" s="32"/>
      <c r="I1545" s="32"/>
      <c r="J1545" s="32"/>
      <c r="K1545" s="32"/>
      <c r="L1545" s="32"/>
      <c r="M1545" s="30"/>
      <c r="N1545" s="32"/>
      <c r="O1545" s="34"/>
      <c r="P1545" s="32"/>
      <c r="Q1545" s="32"/>
      <c r="R1545" s="32"/>
      <c r="S1545" s="32"/>
      <c r="T1545" s="32"/>
      <c r="U1545" s="32"/>
      <c r="V1545" s="31"/>
      <c r="W1545" s="35" t="str">
        <f aca="true">IF(OR(V1545="",AG1545&gt;=8),"",IF(V1545&lt;TODAY(),"Vencida",IF(V1545=TODAY(),"Hoy","")))</f>
        <v/>
      </c>
      <c r="X1545" s="36" t="str">
        <f aca="false">IF(A1545="","",IF(COUNTIF(Seguimiento!$B$2:$B$5001,A1545)=0,"",_xlfn.MAXIFS(Seguimiento!$A$2:$A$5001,Seguimiento!$B$2:$B$5001,A1545)))</f>
        <v/>
      </c>
      <c r="Y1545" s="37" t="str">
        <f aca="true">IF(B1545="","",TODAY()-B1545)</f>
        <v/>
      </c>
      <c r="Z1545" s="38" t="str">
        <f aca="false">IF(OR(O1545="",G1545=""),"",O1545*IFERROR(INDEX(Listas!$B$2:$B$50,MATCH(G1545,Listas!$A$2:$A$50,0)),0))</f>
        <v/>
      </c>
      <c r="AA1545" s="32"/>
      <c r="AB1545" s="32"/>
      <c r="AC1545" s="32"/>
      <c r="AD1545" s="35" t="str">
        <f aca="false">IF(OR(LEFT(H1545,4)="Meta",LEFT(H1545,6)="Google"),IF(AG1545=3,"Lead calificado",IF(OR(AG1545=4,AG1545=5),"Tasación/visita",IF(OR(AG1545=6,AG1545=7),"Captación/oferta",IF(AG1545=8,"Cierre","")))),"")</f>
        <v/>
      </c>
      <c r="AE1545" s="32"/>
      <c r="AF1545" s="32"/>
      <c r="AG1545" s="37" t="n">
        <f aca="false">IF(R1545="",0,IFERROR(MATCH(R1545,Listas!$L$2:$L$50,0),0))</f>
        <v>0</v>
      </c>
    </row>
    <row r="1546" customFormat="false" ht="15" hidden="false" customHeight="false" outlineLevel="0" collapsed="false">
      <c r="A1546" s="30"/>
      <c r="B1546" s="31"/>
      <c r="C1546" s="32"/>
      <c r="D1546" s="32"/>
      <c r="E1546" s="33"/>
      <c r="F1546" s="32"/>
      <c r="G1546" s="32"/>
      <c r="H1546" s="32"/>
      <c r="I1546" s="32"/>
      <c r="J1546" s="32"/>
      <c r="K1546" s="32"/>
      <c r="L1546" s="32"/>
      <c r="M1546" s="30"/>
      <c r="N1546" s="32"/>
      <c r="O1546" s="34"/>
      <c r="P1546" s="32"/>
      <c r="Q1546" s="32"/>
      <c r="R1546" s="32"/>
      <c r="S1546" s="32"/>
      <c r="T1546" s="32"/>
      <c r="U1546" s="32"/>
      <c r="V1546" s="31"/>
      <c r="W1546" s="35" t="str">
        <f aca="true">IF(OR(V1546="",AG1546&gt;=8),"",IF(V1546&lt;TODAY(),"Vencida",IF(V1546=TODAY(),"Hoy","")))</f>
        <v/>
      </c>
      <c r="X1546" s="36" t="str">
        <f aca="false">IF(A1546="","",IF(COUNTIF(Seguimiento!$B$2:$B$5001,A1546)=0,"",_xlfn.MAXIFS(Seguimiento!$A$2:$A$5001,Seguimiento!$B$2:$B$5001,A1546)))</f>
        <v/>
      </c>
      <c r="Y1546" s="37" t="str">
        <f aca="true">IF(B1546="","",TODAY()-B1546)</f>
        <v/>
      </c>
      <c r="Z1546" s="38" t="str">
        <f aca="false">IF(OR(O1546="",G1546=""),"",O1546*IFERROR(INDEX(Listas!$B$2:$B$50,MATCH(G1546,Listas!$A$2:$A$50,0)),0))</f>
        <v/>
      </c>
      <c r="AA1546" s="32"/>
      <c r="AB1546" s="32"/>
      <c r="AC1546" s="32"/>
      <c r="AD1546" s="35" t="str">
        <f aca="false">IF(OR(LEFT(H1546,4)="Meta",LEFT(H1546,6)="Google"),IF(AG1546=3,"Lead calificado",IF(OR(AG1546=4,AG1546=5),"Tasación/visita",IF(OR(AG1546=6,AG1546=7),"Captación/oferta",IF(AG1546=8,"Cierre","")))),"")</f>
        <v/>
      </c>
      <c r="AE1546" s="32"/>
      <c r="AF1546" s="32"/>
      <c r="AG1546" s="37" t="n">
        <f aca="false">IF(R1546="",0,IFERROR(MATCH(R1546,Listas!$L$2:$L$50,0),0))</f>
        <v>0</v>
      </c>
    </row>
    <row r="1547" customFormat="false" ht="15" hidden="false" customHeight="false" outlineLevel="0" collapsed="false">
      <c r="A1547" s="30"/>
      <c r="B1547" s="31"/>
      <c r="C1547" s="32"/>
      <c r="D1547" s="32"/>
      <c r="E1547" s="33"/>
      <c r="F1547" s="32"/>
      <c r="G1547" s="32"/>
      <c r="H1547" s="32"/>
      <c r="I1547" s="32"/>
      <c r="J1547" s="32"/>
      <c r="K1547" s="32"/>
      <c r="L1547" s="32"/>
      <c r="M1547" s="30"/>
      <c r="N1547" s="32"/>
      <c r="O1547" s="34"/>
      <c r="P1547" s="32"/>
      <c r="Q1547" s="32"/>
      <c r="R1547" s="32"/>
      <c r="S1547" s="32"/>
      <c r="T1547" s="32"/>
      <c r="U1547" s="32"/>
      <c r="V1547" s="31"/>
      <c r="W1547" s="35" t="str">
        <f aca="true">IF(OR(V1547="",AG1547&gt;=8),"",IF(V1547&lt;TODAY(),"Vencida",IF(V1547=TODAY(),"Hoy","")))</f>
        <v/>
      </c>
      <c r="X1547" s="36" t="str">
        <f aca="false">IF(A1547="","",IF(COUNTIF(Seguimiento!$B$2:$B$5001,A1547)=0,"",_xlfn.MAXIFS(Seguimiento!$A$2:$A$5001,Seguimiento!$B$2:$B$5001,A1547)))</f>
        <v/>
      </c>
      <c r="Y1547" s="37" t="str">
        <f aca="true">IF(B1547="","",TODAY()-B1547)</f>
        <v/>
      </c>
      <c r="Z1547" s="38" t="str">
        <f aca="false">IF(OR(O1547="",G1547=""),"",O1547*IFERROR(INDEX(Listas!$B$2:$B$50,MATCH(G1547,Listas!$A$2:$A$50,0)),0))</f>
        <v/>
      </c>
      <c r="AA1547" s="32"/>
      <c r="AB1547" s="32"/>
      <c r="AC1547" s="32"/>
      <c r="AD1547" s="35" t="str">
        <f aca="false">IF(OR(LEFT(H1547,4)="Meta",LEFT(H1547,6)="Google"),IF(AG1547=3,"Lead calificado",IF(OR(AG1547=4,AG1547=5),"Tasación/visita",IF(OR(AG1547=6,AG1547=7),"Captación/oferta",IF(AG1547=8,"Cierre","")))),"")</f>
        <v/>
      </c>
      <c r="AE1547" s="32"/>
      <c r="AF1547" s="32"/>
      <c r="AG1547" s="37" t="n">
        <f aca="false">IF(R1547="",0,IFERROR(MATCH(R1547,Listas!$L$2:$L$50,0),0))</f>
        <v>0</v>
      </c>
    </row>
    <row r="1548" customFormat="false" ht="15" hidden="false" customHeight="false" outlineLevel="0" collapsed="false">
      <c r="A1548" s="30"/>
      <c r="B1548" s="31"/>
      <c r="C1548" s="32"/>
      <c r="D1548" s="32"/>
      <c r="E1548" s="33"/>
      <c r="F1548" s="32"/>
      <c r="G1548" s="32"/>
      <c r="H1548" s="32"/>
      <c r="I1548" s="32"/>
      <c r="J1548" s="32"/>
      <c r="K1548" s="32"/>
      <c r="L1548" s="32"/>
      <c r="M1548" s="30"/>
      <c r="N1548" s="32"/>
      <c r="O1548" s="34"/>
      <c r="P1548" s="32"/>
      <c r="Q1548" s="32"/>
      <c r="R1548" s="32"/>
      <c r="S1548" s="32"/>
      <c r="T1548" s="32"/>
      <c r="U1548" s="32"/>
      <c r="V1548" s="31"/>
      <c r="W1548" s="35" t="str">
        <f aca="true">IF(OR(V1548="",AG1548&gt;=8),"",IF(V1548&lt;TODAY(),"Vencida",IF(V1548=TODAY(),"Hoy","")))</f>
        <v/>
      </c>
      <c r="X1548" s="36" t="str">
        <f aca="false">IF(A1548="","",IF(COUNTIF(Seguimiento!$B$2:$B$5001,A1548)=0,"",_xlfn.MAXIFS(Seguimiento!$A$2:$A$5001,Seguimiento!$B$2:$B$5001,A1548)))</f>
        <v/>
      </c>
      <c r="Y1548" s="37" t="str">
        <f aca="true">IF(B1548="","",TODAY()-B1548)</f>
        <v/>
      </c>
      <c r="Z1548" s="38" t="str">
        <f aca="false">IF(OR(O1548="",G1548=""),"",O1548*IFERROR(INDEX(Listas!$B$2:$B$50,MATCH(G1548,Listas!$A$2:$A$50,0)),0))</f>
        <v/>
      </c>
      <c r="AA1548" s="32"/>
      <c r="AB1548" s="32"/>
      <c r="AC1548" s="32"/>
      <c r="AD1548" s="35" t="str">
        <f aca="false">IF(OR(LEFT(H1548,4)="Meta",LEFT(H1548,6)="Google"),IF(AG1548=3,"Lead calificado",IF(OR(AG1548=4,AG1548=5),"Tasación/visita",IF(OR(AG1548=6,AG1548=7),"Captación/oferta",IF(AG1548=8,"Cierre","")))),"")</f>
        <v/>
      </c>
      <c r="AE1548" s="32"/>
      <c r="AF1548" s="32"/>
      <c r="AG1548" s="37" t="n">
        <f aca="false">IF(R1548="",0,IFERROR(MATCH(R1548,Listas!$L$2:$L$50,0),0))</f>
        <v>0</v>
      </c>
    </row>
    <row r="1549" customFormat="false" ht="15" hidden="false" customHeight="false" outlineLevel="0" collapsed="false">
      <c r="A1549" s="30"/>
      <c r="B1549" s="31"/>
      <c r="C1549" s="32"/>
      <c r="D1549" s="32"/>
      <c r="E1549" s="33"/>
      <c r="F1549" s="32"/>
      <c r="G1549" s="32"/>
      <c r="H1549" s="32"/>
      <c r="I1549" s="32"/>
      <c r="J1549" s="32"/>
      <c r="K1549" s="32"/>
      <c r="L1549" s="32"/>
      <c r="M1549" s="30"/>
      <c r="N1549" s="32"/>
      <c r="O1549" s="34"/>
      <c r="P1549" s="32"/>
      <c r="Q1549" s="32"/>
      <c r="R1549" s="32"/>
      <c r="S1549" s="32"/>
      <c r="T1549" s="32"/>
      <c r="U1549" s="32"/>
      <c r="V1549" s="31"/>
      <c r="W1549" s="35" t="str">
        <f aca="true">IF(OR(V1549="",AG1549&gt;=8),"",IF(V1549&lt;TODAY(),"Vencida",IF(V1549=TODAY(),"Hoy","")))</f>
        <v/>
      </c>
      <c r="X1549" s="36" t="str">
        <f aca="false">IF(A1549="","",IF(COUNTIF(Seguimiento!$B$2:$B$5001,A1549)=0,"",_xlfn.MAXIFS(Seguimiento!$A$2:$A$5001,Seguimiento!$B$2:$B$5001,A1549)))</f>
        <v/>
      </c>
      <c r="Y1549" s="37" t="str">
        <f aca="true">IF(B1549="","",TODAY()-B1549)</f>
        <v/>
      </c>
      <c r="Z1549" s="38" t="str">
        <f aca="false">IF(OR(O1549="",G1549=""),"",O1549*IFERROR(INDEX(Listas!$B$2:$B$50,MATCH(G1549,Listas!$A$2:$A$50,0)),0))</f>
        <v/>
      </c>
      <c r="AA1549" s="32"/>
      <c r="AB1549" s="32"/>
      <c r="AC1549" s="32"/>
      <c r="AD1549" s="35" t="str">
        <f aca="false">IF(OR(LEFT(H1549,4)="Meta",LEFT(H1549,6)="Google"),IF(AG1549=3,"Lead calificado",IF(OR(AG1549=4,AG1549=5),"Tasación/visita",IF(OR(AG1549=6,AG1549=7),"Captación/oferta",IF(AG1549=8,"Cierre","")))),"")</f>
        <v/>
      </c>
      <c r="AE1549" s="32"/>
      <c r="AF1549" s="32"/>
      <c r="AG1549" s="37" t="n">
        <f aca="false">IF(R1549="",0,IFERROR(MATCH(R1549,Listas!$L$2:$L$50,0),0))</f>
        <v>0</v>
      </c>
    </row>
    <row r="1550" customFormat="false" ht="15" hidden="false" customHeight="false" outlineLevel="0" collapsed="false">
      <c r="A1550" s="30"/>
      <c r="B1550" s="31"/>
      <c r="C1550" s="32"/>
      <c r="D1550" s="32"/>
      <c r="E1550" s="33"/>
      <c r="F1550" s="32"/>
      <c r="G1550" s="32"/>
      <c r="H1550" s="32"/>
      <c r="I1550" s="32"/>
      <c r="J1550" s="32"/>
      <c r="K1550" s="32"/>
      <c r="L1550" s="32"/>
      <c r="M1550" s="30"/>
      <c r="N1550" s="32"/>
      <c r="O1550" s="34"/>
      <c r="P1550" s="32"/>
      <c r="Q1550" s="32"/>
      <c r="R1550" s="32"/>
      <c r="S1550" s="32"/>
      <c r="T1550" s="32"/>
      <c r="U1550" s="32"/>
      <c r="V1550" s="31"/>
      <c r="W1550" s="35" t="str">
        <f aca="true">IF(OR(V1550="",AG1550&gt;=8),"",IF(V1550&lt;TODAY(),"Vencida",IF(V1550=TODAY(),"Hoy","")))</f>
        <v/>
      </c>
      <c r="X1550" s="36" t="str">
        <f aca="false">IF(A1550="","",IF(COUNTIF(Seguimiento!$B$2:$B$5001,A1550)=0,"",_xlfn.MAXIFS(Seguimiento!$A$2:$A$5001,Seguimiento!$B$2:$B$5001,A1550)))</f>
        <v/>
      </c>
      <c r="Y1550" s="37" t="str">
        <f aca="true">IF(B1550="","",TODAY()-B1550)</f>
        <v/>
      </c>
      <c r="Z1550" s="38" t="str">
        <f aca="false">IF(OR(O1550="",G1550=""),"",O1550*IFERROR(INDEX(Listas!$B$2:$B$50,MATCH(G1550,Listas!$A$2:$A$50,0)),0))</f>
        <v/>
      </c>
      <c r="AA1550" s="32"/>
      <c r="AB1550" s="32"/>
      <c r="AC1550" s="32"/>
      <c r="AD1550" s="35" t="str">
        <f aca="false">IF(OR(LEFT(H1550,4)="Meta",LEFT(H1550,6)="Google"),IF(AG1550=3,"Lead calificado",IF(OR(AG1550=4,AG1550=5),"Tasación/visita",IF(OR(AG1550=6,AG1550=7),"Captación/oferta",IF(AG1550=8,"Cierre","")))),"")</f>
        <v/>
      </c>
      <c r="AE1550" s="32"/>
      <c r="AF1550" s="32"/>
      <c r="AG1550" s="37" t="n">
        <f aca="false">IF(R1550="",0,IFERROR(MATCH(R1550,Listas!$L$2:$L$50,0),0))</f>
        <v>0</v>
      </c>
    </row>
    <row r="1551" customFormat="false" ht="15" hidden="false" customHeight="false" outlineLevel="0" collapsed="false">
      <c r="A1551" s="30"/>
      <c r="B1551" s="31"/>
      <c r="C1551" s="32"/>
      <c r="D1551" s="32"/>
      <c r="E1551" s="33"/>
      <c r="F1551" s="32"/>
      <c r="G1551" s="32"/>
      <c r="H1551" s="32"/>
      <c r="I1551" s="32"/>
      <c r="J1551" s="32"/>
      <c r="K1551" s="32"/>
      <c r="L1551" s="32"/>
      <c r="M1551" s="30"/>
      <c r="N1551" s="32"/>
      <c r="O1551" s="34"/>
      <c r="P1551" s="32"/>
      <c r="Q1551" s="32"/>
      <c r="R1551" s="32"/>
      <c r="S1551" s="32"/>
      <c r="T1551" s="32"/>
      <c r="U1551" s="32"/>
      <c r="V1551" s="31"/>
      <c r="W1551" s="35" t="str">
        <f aca="true">IF(OR(V1551="",AG1551&gt;=8),"",IF(V1551&lt;TODAY(),"Vencida",IF(V1551=TODAY(),"Hoy","")))</f>
        <v/>
      </c>
      <c r="X1551" s="36" t="str">
        <f aca="false">IF(A1551="","",IF(COUNTIF(Seguimiento!$B$2:$B$5001,A1551)=0,"",_xlfn.MAXIFS(Seguimiento!$A$2:$A$5001,Seguimiento!$B$2:$B$5001,A1551)))</f>
        <v/>
      </c>
      <c r="Y1551" s="37" t="str">
        <f aca="true">IF(B1551="","",TODAY()-B1551)</f>
        <v/>
      </c>
      <c r="Z1551" s="38" t="str">
        <f aca="false">IF(OR(O1551="",G1551=""),"",O1551*IFERROR(INDEX(Listas!$B$2:$B$50,MATCH(G1551,Listas!$A$2:$A$50,0)),0))</f>
        <v/>
      </c>
      <c r="AA1551" s="32"/>
      <c r="AB1551" s="32"/>
      <c r="AC1551" s="32"/>
      <c r="AD1551" s="35" t="str">
        <f aca="false">IF(OR(LEFT(H1551,4)="Meta",LEFT(H1551,6)="Google"),IF(AG1551=3,"Lead calificado",IF(OR(AG1551=4,AG1551=5),"Tasación/visita",IF(OR(AG1551=6,AG1551=7),"Captación/oferta",IF(AG1551=8,"Cierre","")))),"")</f>
        <v/>
      </c>
      <c r="AE1551" s="32"/>
      <c r="AF1551" s="32"/>
      <c r="AG1551" s="37" t="n">
        <f aca="false">IF(R1551="",0,IFERROR(MATCH(R1551,Listas!$L$2:$L$50,0),0))</f>
        <v>0</v>
      </c>
    </row>
    <row r="1552" customFormat="false" ht="15" hidden="false" customHeight="false" outlineLevel="0" collapsed="false">
      <c r="A1552" s="30"/>
      <c r="B1552" s="31"/>
      <c r="C1552" s="32"/>
      <c r="D1552" s="32"/>
      <c r="E1552" s="33"/>
      <c r="F1552" s="32"/>
      <c r="G1552" s="32"/>
      <c r="H1552" s="32"/>
      <c r="I1552" s="32"/>
      <c r="J1552" s="32"/>
      <c r="K1552" s="32"/>
      <c r="L1552" s="32"/>
      <c r="M1552" s="30"/>
      <c r="N1552" s="32"/>
      <c r="O1552" s="34"/>
      <c r="P1552" s="32"/>
      <c r="Q1552" s="32"/>
      <c r="R1552" s="32"/>
      <c r="S1552" s="32"/>
      <c r="T1552" s="32"/>
      <c r="U1552" s="32"/>
      <c r="V1552" s="31"/>
      <c r="W1552" s="35" t="str">
        <f aca="true">IF(OR(V1552="",AG1552&gt;=8),"",IF(V1552&lt;TODAY(),"Vencida",IF(V1552=TODAY(),"Hoy","")))</f>
        <v/>
      </c>
      <c r="X1552" s="36" t="str">
        <f aca="false">IF(A1552="","",IF(COUNTIF(Seguimiento!$B$2:$B$5001,A1552)=0,"",_xlfn.MAXIFS(Seguimiento!$A$2:$A$5001,Seguimiento!$B$2:$B$5001,A1552)))</f>
        <v/>
      </c>
      <c r="Y1552" s="37" t="str">
        <f aca="true">IF(B1552="","",TODAY()-B1552)</f>
        <v/>
      </c>
      <c r="Z1552" s="38" t="str">
        <f aca="false">IF(OR(O1552="",G1552=""),"",O1552*IFERROR(INDEX(Listas!$B$2:$B$50,MATCH(G1552,Listas!$A$2:$A$50,0)),0))</f>
        <v/>
      </c>
      <c r="AA1552" s="32"/>
      <c r="AB1552" s="32"/>
      <c r="AC1552" s="32"/>
      <c r="AD1552" s="35" t="str">
        <f aca="false">IF(OR(LEFT(H1552,4)="Meta",LEFT(H1552,6)="Google"),IF(AG1552=3,"Lead calificado",IF(OR(AG1552=4,AG1552=5),"Tasación/visita",IF(OR(AG1552=6,AG1552=7),"Captación/oferta",IF(AG1552=8,"Cierre","")))),"")</f>
        <v/>
      </c>
      <c r="AE1552" s="32"/>
      <c r="AF1552" s="32"/>
      <c r="AG1552" s="37" t="n">
        <f aca="false">IF(R1552="",0,IFERROR(MATCH(R1552,Listas!$L$2:$L$50,0),0))</f>
        <v>0</v>
      </c>
    </row>
    <row r="1553" customFormat="false" ht="15" hidden="false" customHeight="false" outlineLevel="0" collapsed="false">
      <c r="A1553" s="30"/>
      <c r="B1553" s="31"/>
      <c r="C1553" s="32"/>
      <c r="D1553" s="32"/>
      <c r="E1553" s="33"/>
      <c r="F1553" s="32"/>
      <c r="G1553" s="32"/>
      <c r="H1553" s="32"/>
      <c r="I1553" s="32"/>
      <c r="J1553" s="32"/>
      <c r="K1553" s="32"/>
      <c r="L1553" s="32"/>
      <c r="M1553" s="30"/>
      <c r="N1553" s="32"/>
      <c r="O1553" s="34"/>
      <c r="P1553" s="32"/>
      <c r="Q1553" s="32"/>
      <c r="R1553" s="32"/>
      <c r="S1553" s="32"/>
      <c r="T1553" s="32"/>
      <c r="U1553" s="32"/>
      <c r="V1553" s="31"/>
      <c r="W1553" s="35" t="str">
        <f aca="true">IF(OR(V1553="",AG1553&gt;=8),"",IF(V1553&lt;TODAY(),"Vencida",IF(V1553=TODAY(),"Hoy","")))</f>
        <v/>
      </c>
      <c r="X1553" s="36" t="str">
        <f aca="false">IF(A1553="","",IF(COUNTIF(Seguimiento!$B$2:$B$5001,A1553)=0,"",_xlfn.MAXIFS(Seguimiento!$A$2:$A$5001,Seguimiento!$B$2:$B$5001,A1553)))</f>
        <v/>
      </c>
      <c r="Y1553" s="37" t="str">
        <f aca="true">IF(B1553="","",TODAY()-B1553)</f>
        <v/>
      </c>
      <c r="Z1553" s="38" t="str">
        <f aca="false">IF(OR(O1553="",G1553=""),"",O1553*IFERROR(INDEX(Listas!$B$2:$B$50,MATCH(G1553,Listas!$A$2:$A$50,0)),0))</f>
        <v/>
      </c>
      <c r="AA1553" s="32"/>
      <c r="AB1553" s="32"/>
      <c r="AC1553" s="32"/>
      <c r="AD1553" s="35" t="str">
        <f aca="false">IF(OR(LEFT(H1553,4)="Meta",LEFT(H1553,6)="Google"),IF(AG1553=3,"Lead calificado",IF(OR(AG1553=4,AG1553=5),"Tasación/visita",IF(OR(AG1553=6,AG1553=7),"Captación/oferta",IF(AG1553=8,"Cierre","")))),"")</f>
        <v/>
      </c>
      <c r="AE1553" s="32"/>
      <c r="AF1553" s="32"/>
      <c r="AG1553" s="37" t="n">
        <f aca="false">IF(R1553="",0,IFERROR(MATCH(R1553,Listas!$L$2:$L$50,0),0))</f>
        <v>0</v>
      </c>
    </row>
    <row r="1554" customFormat="false" ht="15" hidden="false" customHeight="false" outlineLevel="0" collapsed="false">
      <c r="A1554" s="30"/>
      <c r="B1554" s="31"/>
      <c r="C1554" s="32"/>
      <c r="D1554" s="32"/>
      <c r="E1554" s="33"/>
      <c r="F1554" s="32"/>
      <c r="G1554" s="32"/>
      <c r="H1554" s="32"/>
      <c r="I1554" s="32"/>
      <c r="J1554" s="32"/>
      <c r="K1554" s="32"/>
      <c r="L1554" s="32"/>
      <c r="M1554" s="30"/>
      <c r="N1554" s="32"/>
      <c r="O1554" s="34"/>
      <c r="P1554" s="32"/>
      <c r="Q1554" s="32"/>
      <c r="R1554" s="32"/>
      <c r="S1554" s="32"/>
      <c r="T1554" s="32"/>
      <c r="U1554" s="32"/>
      <c r="V1554" s="31"/>
      <c r="W1554" s="35" t="str">
        <f aca="true">IF(OR(V1554="",AG1554&gt;=8),"",IF(V1554&lt;TODAY(),"Vencida",IF(V1554=TODAY(),"Hoy","")))</f>
        <v/>
      </c>
      <c r="X1554" s="36" t="str">
        <f aca="false">IF(A1554="","",IF(COUNTIF(Seguimiento!$B$2:$B$5001,A1554)=0,"",_xlfn.MAXIFS(Seguimiento!$A$2:$A$5001,Seguimiento!$B$2:$B$5001,A1554)))</f>
        <v/>
      </c>
      <c r="Y1554" s="37" t="str">
        <f aca="true">IF(B1554="","",TODAY()-B1554)</f>
        <v/>
      </c>
      <c r="Z1554" s="38" t="str">
        <f aca="false">IF(OR(O1554="",G1554=""),"",O1554*IFERROR(INDEX(Listas!$B$2:$B$50,MATCH(G1554,Listas!$A$2:$A$50,0)),0))</f>
        <v/>
      </c>
      <c r="AA1554" s="32"/>
      <c r="AB1554" s="32"/>
      <c r="AC1554" s="32"/>
      <c r="AD1554" s="35" t="str">
        <f aca="false">IF(OR(LEFT(H1554,4)="Meta",LEFT(H1554,6)="Google"),IF(AG1554=3,"Lead calificado",IF(OR(AG1554=4,AG1554=5),"Tasación/visita",IF(OR(AG1554=6,AG1554=7),"Captación/oferta",IF(AG1554=8,"Cierre","")))),"")</f>
        <v/>
      </c>
      <c r="AE1554" s="32"/>
      <c r="AF1554" s="32"/>
      <c r="AG1554" s="37" t="n">
        <f aca="false">IF(R1554="",0,IFERROR(MATCH(R1554,Listas!$L$2:$L$50,0),0))</f>
        <v>0</v>
      </c>
    </row>
    <row r="1555" customFormat="false" ht="15" hidden="false" customHeight="false" outlineLevel="0" collapsed="false">
      <c r="A1555" s="30"/>
      <c r="B1555" s="31"/>
      <c r="C1555" s="32"/>
      <c r="D1555" s="32"/>
      <c r="E1555" s="33"/>
      <c r="F1555" s="32"/>
      <c r="G1555" s="32"/>
      <c r="H1555" s="32"/>
      <c r="I1555" s="32"/>
      <c r="J1555" s="32"/>
      <c r="K1555" s="32"/>
      <c r="L1555" s="32"/>
      <c r="M1555" s="30"/>
      <c r="N1555" s="32"/>
      <c r="O1555" s="34"/>
      <c r="P1555" s="32"/>
      <c r="Q1555" s="32"/>
      <c r="R1555" s="32"/>
      <c r="S1555" s="32"/>
      <c r="T1555" s="32"/>
      <c r="U1555" s="32"/>
      <c r="V1555" s="31"/>
      <c r="W1555" s="35" t="str">
        <f aca="true">IF(OR(V1555="",AG1555&gt;=8),"",IF(V1555&lt;TODAY(),"Vencida",IF(V1555=TODAY(),"Hoy","")))</f>
        <v/>
      </c>
      <c r="X1555" s="36" t="str">
        <f aca="false">IF(A1555="","",IF(COUNTIF(Seguimiento!$B$2:$B$5001,A1555)=0,"",_xlfn.MAXIFS(Seguimiento!$A$2:$A$5001,Seguimiento!$B$2:$B$5001,A1555)))</f>
        <v/>
      </c>
      <c r="Y1555" s="37" t="str">
        <f aca="true">IF(B1555="","",TODAY()-B1555)</f>
        <v/>
      </c>
      <c r="Z1555" s="38" t="str">
        <f aca="false">IF(OR(O1555="",G1555=""),"",O1555*IFERROR(INDEX(Listas!$B$2:$B$50,MATCH(G1555,Listas!$A$2:$A$50,0)),0))</f>
        <v/>
      </c>
      <c r="AA1555" s="32"/>
      <c r="AB1555" s="32"/>
      <c r="AC1555" s="32"/>
      <c r="AD1555" s="35" t="str">
        <f aca="false">IF(OR(LEFT(H1555,4)="Meta",LEFT(H1555,6)="Google"),IF(AG1555=3,"Lead calificado",IF(OR(AG1555=4,AG1555=5),"Tasación/visita",IF(OR(AG1555=6,AG1555=7),"Captación/oferta",IF(AG1555=8,"Cierre","")))),"")</f>
        <v/>
      </c>
      <c r="AE1555" s="32"/>
      <c r="AF1555" s="32"/>
      <c r="AG1555" s="37" t="n">
        <f aca="false">IF(R1555="",0,IFERROR(MATCH(R1555,Listas!$L$2:$L$50,0),0))</f>
        <v>0</v>
      </c>
    </row>
    <row r="1556" customFormat="false" ht="15" hidden="false" customHeight="false" outlineLevel="0" collapsed="false">
      <c r="A1556" s="30"/>
      <c r="B1556" s="31"/>
      <c r="C1556" s="32"/>
      <c r="D1556" s="32"/>
      <c r="E1556" s="33"/>
      <c r="F1556" s="32"/>
      <c r="G1556" s="32"/>
      <c r="H1556" s="32"/>
      <c r="I1556" s="32"/>
      <c r="J1556" s="32"/>
      <c r="K1556" s="32"/>
      <c r="L1556" s="32"/>
      <c r="M1556" s="30"/>
      <c r="N1556" s="32"/>
      <c r="O1556" s="34"/>
      <c r="P1556" s="32"/>
      <c r="Q1556" s="32"/>
      <c r="R1556" s="32"/>
      <c r="S1556" s="32"/>
      <c r="T1556" s="32"/>
      <c r="U1556" s="32"/>
      <c r="V1556" s="31"/>
      <c r="W1556" s="35" t="str">
        <f aca="true">IF(OR(V1556="",AG1556&gt;=8),"",IF(V1556&lt;TODAY(),"Vencida",IF(V1556=TODAY(),"Hoy","")))</f>
        <v/>
      </c>
      <c r="X1556" s="36" t="str">
        <f aca="false">IF(A1556="","",IF(COUNTIF(Seguimiento!$B$2:$B$5001,A1556)=0,"",_xlfn.MAXIFS(Seguimiento!$A$2:$A$5001,Seguimiento!$B$2:$B$5001,A1556)))</f>
        <v/>
      </c>
      <c r="Y1556" s="37" t="str">
        <f aca="true">IF(B1556="","",TODAY()-B1556)</f>
        <v/>
      </c>
      <c r="Z1556" s="38" t="str">
        <f aca="false">IF(OR(O1556="",G1556=""),"",O1556*IFERROR(INDEX(Listas!$B$2:$B$50,MATCH(G1556,Listas!$A$2:$A$50,0)),0))</f>
        <v/>
      </c>
      <c r="AA1556" s="32"/>
      <c r="AB1556" s="32"/>
      <c r="AC1556" s="32"/>
      <c r="AD1556" s="35" t="str">
        <f aca="false">IF(OR(LEFT(H1556,4)="Meta",LEFT(H1556,6)="Google"),IF(AG1556=3,"Lead calificado",IF(OR(AG1556=4,AG1556=5),"Tasación/visita",IF(OR(AG1556=6,AG1556=7),"Captación/oferta",IF(AG1556=8,"Cierre","")))),"")</f>
        <v/>
      </c>
      <c r="AE1556" s="32"/>
      <c r="AF1556" s="32"/>
      <c r="AG1556" s="37" t="n">
        <f aca="false">IF(R1556="",0,IFERROR(MATCH(R1556,Listas!$L$2:$L$50,0),0))</f>
        <v>0</v>
      </c>
    </row>
    <row r="1557" customFormat="false" ht="15" hidden="false" customHeight="false" outlineLevel="0" collapsed="false">
      <c r="A1557" s="30"/>
      <c r="B1557" s="31"/>
      <c r="C1557" s="32"/>
      <c r="D1557" s="32"/>
      <c r="E1557" s="33"/>
      <c r="F1557" s="32"/>
      <c r="G1557" s="32"/>
      <c r="H1557" s="32"/>
      <c r="I1557" s="32"/>
      <c r="J1557" s="32"/>
      <c r="K1557" s="32"/>
      <c r="L1557" s="32"/>
      <c r="M1557" s="30"/>
      <c r="N1557" s="32"/>
      <c r="O1557" s="34"/>
      <c r="P1557" s="32"/>
      <c r="Q1557" s="32"/>
      <c r="R1557" s="32"/>
      <c r="S1557" s="32"/>
      <c r="T1557" s="32"/>
      <c r="U1557" s="32"/>
      <c r="V1557" s="31"/>
      <c r="W1557" s="35" t="str">
        <f aca="true">IF(OR(V1557="",AG1557&gt;=8),"",IF(V1557&lt;TODAY(),"Vencida",IF(V1557=TODAY(),"Hoy","")))</f>
        <v/>
      </c>
      <c r="X1557" s="36" t="str">
        <f aca="false">IF(A1557="","",IF(COUNTIF(Seguimiento!$B$2:$B$5001,A1557)=0,"",_xlfn.MAXIFS(Seguimiento!$A$2:$A$5001,Seguimiento!$B$2:$B$5001,A1557)))</f>
        <v/>
      </c>
      <c r="Y1557" s="37" t="str">
        <f aca="true">IF(B1557="","",TODAY()-B1557)</f>
        <v/>
      </c>
      <c r="Z1557" s="38" t="str">
        <f aca="false">IF(OR(O1557="",G1557=""),"",O1557*IFERROR(INDEX(Listas!$B$2:$B$50,MATCH(G1557,Listas!$A$2:$A$50,0)),0))</f>
        <v/>
      </c>
      <c r="AA1557" s="32"/>
      <c r="AB1557" s="32"/>
      <c r="AC1557" s="32"/>
      <c r="AD1557" s="35" t="str">
        <f aca="false">IF(OR(LEFT(H1557,4)="Meta",LEFT(H1557,6)="Google"),IF(AG1557=3,"Lead calificado",IF(OR(AG1557=4,AG1557=5),"Tasación/visita",IF(OR(AG1557=6,AG1557=7),"Captación/oferta",IF(AG1557=8,"Cierre","")))),"")</f>
        <v/>
      </c>
      <c r="AE1557" s="32"/>
      <c r="AF1557" s="32"/>
      <c r="AG1557" s="37" t="n">
        <f aca="false">IF(R1557="",0,IFERROR(MATCH(R1557,Listas!$L$2:$L$50,0),0))</f>
        <v>0</v>
      </c>
    </row>
    <row r="1558" customFormat="false" ht="15" hidden="false" customHeight="false" outlineLevel="0" collapsed="false">
      <c r="A1558" s="30"/>
      <c r="B1558" s="31"/>
      <c r="C1558" s="32"/>
      <c r="D1558" s="32"/>
      <c r="E1558" s="33"/>
      <c r="F1558" s="32"/>
      <c r="G1558" s="32"/>
      <c r="H1558" s="32"/>
      <c r="I1558" s="32"/>
      <c r="J1558" s="32"/>
      <c r="K1558" s="32"/>
      <c r="L1558" s="32"/>
      <c r="M1558" s="30"/>
      <c r="N1558" s="32"/>
      <c r="O1558" s="34"/>
      <c r="P1558" s="32"/>
      <c r="Q1558" s="32"/>
      <c r="R1558" s="32"/>
      <c r="S1558" s="32"/>
      <c r="T1558" s="32"/>
      <c r="U1558" s="32"/>
      <c r="V1558" s="31"/>
      <c r="W1558" s="35" t="str">
        <f aca="true">IF(OR(V1558="",AG1558&gt;=8),"",IF(V1558&lt;TODAY(),"Vencida",IF(V1558=TODAY(),"Hoy","")))</f>
        <v/>
      </c>
      <c r="X1558" s="36" t="str">
        <f aca="false">IF(A1558="","",IF(COUNTIF(Seguimiento!$B$2:$B$5001,A1558)=0,"",_xlfn.MAXIFS(Seguimiento!$A$2:$A$5001,Seguimiento!$B$2:$B$5001,A1558)))</f>
        <v/>
      </c>
      <c r="Y1558" s="37" t="str">
        <f aca="true">IF(B1558="","",TODAY()-B1558)</f>
        <v/>
      </c>
      <c r="Z1558" s="38" t="str">
        <f aca="false">IF(OR(O1558="",G1558=""),"",O1558*IFERROR(INDEX(Listas!$B$2:$B$50,MATCH(G1558,Listas!$A$2:$A$50,0)),0))</f>
        <v/>
      </c>
      <c r="AA1558" s="32"/>
      <c r="AB1558" s="32"/>
      <c r="AC1558" s="32"/>
      <c r="AD1558" s="35" t="str">
        <f aca="false">IF(OR(LEFT(H1558,4)="Meta",LEFT(H1558,6)="Google"),IF(AG1558=3,"Lead calificado",IF(OR(AG1558=4,AG1558=5),"Tasación/visita",IF(OR(AG1558=6,AG1558=7),"Captación/oferta",IF(AG1558=8,"Cierre","")))),"")</f>
        <v/>
      </c>
      <c r="AE1558" s="32"/>
      <c r="AF1558" s="32"/>
      <c r="AG1558" s="37" t="n">
        <f aca="false">IF(R1558="",0,IFERROR(MATCH(R1558,Listas!$L$2:$L$50,0),0))</f>
        <v>0</v>
      </c>
    </row>
    <row r="1559" customFormat="false" ht="15" hidden="false" customHeight="false" outlineLevel="0" collapsed="false">
      <c r="A1559" s="30"/>
      <c r="B1559" s="31"/>
      <c r="C1559" s="32"/>
      <c r="D1559" s="32"/>
      <c r="E1559" s="33"/>
      <c r="F1559" s="32"/>
      <c r="G1559" s="32"/>
      <c r="H1559" s="32"/>
      <c r="I1559" s="32"/>
      <c r="J1559" s="32"/>
      <c r="K1559" s="32"/>
      <c r="L1559" s="32"/>
      <c r="M1559" s="30"/>
      <c r="N1559" s="32"/>
      <c r="O1559" s="34"/>
      <c r="P1559" s="32"/>
      <c r="Q1559" s="32"/>
      <c r="R1559" s="32"/>
      <c r="S1559" s="32"/>
      <c r="T1559" s="32"/>
      <c r="U1559" s="32"/>
      <c r="V1559" s="31"/>
      <c r="W1559" s="35" t="str">
        <f aca="true">IF(OR(V1559="",AG1559&gt;=8),"",IF(V1559&lt;TODAY(),"Vencida",IF(V1559=TODAY(),"Hoy","")))</f>
        <v/>
      </c>
      <c r="X1559" s="36" t="str">
        <f aca="false">IF(A1559="","",IF(COUNTIF(Seguimiento!$B$2:$B$5001,A1559)=0,"",_xlfn.MAXIFS(Seguimiento!$A$2:$A$5001,Seguimiento!$B$2:$B$5001,A1559)))</f>
        <v/>
      </c>
      <c r="Y1559" s="37" t="str">
        <f aca="true">IF(B1559="","",TODAY()-B1559)</f>
        <v/>
      </c>
      <c r="Z1559" s="38" t="str">
        <f aca="false">IF(OR(O1559="",G1559=""),"",O1559*IFERROR(INDEX(Listas!$B$2:$B$50,MATCH(G1559,Listas!$A$2:$A$50,0)),0))</f>
        <v/>
      </c>
      <c r="AA1559" s="32"/>
      <c r="AB1559" s="32"/>
      <c r="AC1559" s="32"/>
      <c r="AD1559" s="35" t="str">
        <f aca="false">IF(OR(LEFT(H1559,4)="Meta",LEFT(H1559,6)="Google"),IF(AG1559=3,"Lead calificado",IF(OR(AG1559=4,AG1559=5),"Tasación/visita",IF(OR(AG1559=6,AG1559=7),"Captación/oferta",IF(AG1559=8,"Cierre","")))),"")</f>
        <v/>
      </c>
      <c r="AE1559" s="32"/>
      <c r="AF1559" s="32"/>
      <c r="AG1559" s="37" t="n">
        <f aca="false">IF(R1559="",0,IFERROR(MATCH(R1559,Listas!$L$2:$L$50,0),0))</f>
        <v>0</v>
      </c>
    </row>
    <row r="1560" customFormat="false" ht="15" hidden="false" customHeight="false" outlineLevel="0" collapsed="false">
      <c r="A1560" s="30"/>
      <c r="B1560" s="31"/>
      <c r="C1560" s="32"/>
      <c r="D1560" s="32"/>
      <c r="E1560" s="33"/>
      <c r="F1560" s="32"/>
      <c r="G1560" s="32"/>
      <c r="H1560" s="32"/>
      <c r="I1560" s="32"/>
      <c r="J1560" s="32"/>
      <c r="K1560" s="32"/>
      <c r="L1560" s="32"/>
      <c r="M1560" s="30"/>
      <c r="N1560" s="32"/>
      <c r="O1560" s="34"/>
      <c r="P1560" s="32"/>
      <c r="Q1560" s="32"/>
      <c r="R1560" s="32"/>
      <c r="S1560" s="32"/>
      <c r="T1560" s="32"/>
      <c r="U1560" s="32"/>
      <c r="V1560" s="31"/>
      <c r="W1560" s="35" t="str">
        <f aca="true">IF(OR(V1560="",AG1560&gt;=8),"",IF(V1560&lt;TODAY(),"Vencida",IF(V1560=TODAY(),"Hoy","")))</f>
        <v/>
      </c>
      <c r="X1560" s="36" t="str">
        <f aca="false">IF(A1560="","",IF(COUNTIF(Seguimiento!$B$2:$B$5001,A1560)=0,"",_xlfn.MAXIFS(Seguimiento!$A$2:$A$5001,Seguimiento!$B$2:$B$5001,A1560)))</f>
        <v/>
      </c>
      <c r="Y1560" s="37" t="str">
        <f aca="true">IF(B1560="","",TODAY()-B1560)</f>
        <v/>
      </c>
      <c r="Z1560" s="38" t="str">
        <f aca="false">IF(OR(O1560="",G1560=""),"",O1560*IFERROR(INDEX(Listas!$B$2:$B$50,MATCH(G1560,Listas!$A$2:$A$50,0)),0))</f>
        <v/>
      </c>
      <c r="AA1560" s="32"/>
      <c r="AB1560" s="32"/>
      <c r="AC1560" s="32"/>
      <c r="AD1560" s="35" t="str">
        <f aca="false">IF(OR(LEFT(H1560,4)="Meta",LEFT(H1560,6)="Google"),IF(AG1560=3,"Lead calificado",IF(OR(AG1560=4,AG1560=5),"Tasación/visita",IF(OR(AG1560=6,AG1560=7),"Captación/oferta",IF(AG1560=8,"Cierre","")))),"")</f>
        <v/>
      </c>
      <c r="AE1560" s="32"/>
      <c r="AF1560" s="32"/>
      <c r="AG1560" s="37" t="n">
        <f aca="false">IF(R1560="",0,IFERROR(MATCH(R1560,Listas!$L$2:$L$50,0),0))</f>
        <v>0</v>
      </c>
    </row>
    <row r="1561" customFormat="false" ht="15" hidden="false" customHeight="false" outlineLevel="0" collapsed="false">
      <c r="A1561" s="30"/>
      <c r="B1561" s="31"/>
      <c r="C1561" s="32"/>
      <c r="D1561" s="32"/>
      <c r="E1561" s="33"/>
      <c r="F1561" s="32"/>
      <c r="G1561" s="32"/>
      <c r="H1561" s="32"/>
      <c r="I1561" s="32"/>
      <c r="J1561" s="32"/>
      <c r="K1561" s="32"/>
      <c r="L1561" s="32"/>
      <c r="M1561" s="30"/>
      <c r="N1561" s="32"/>
      <c r="O1561" s="34"/>
      <c r="P1561" s="32"/>
      <c r="Q1561" s="32"/>
      <c r="R1561" s="32"/>
      <c r="S1561" s="32"/>
      <c r="T1561" s="32"/>
      <c r="U1561" s="32"/>
      <c r="V1561" s="31"/>
      <c r="W1561" s="35" t="str">
        <f aca="true">IF(OR(V1561="",AG1561&gt;=8),"",IF(V1561&lt;TODAY(),"Vencida",IF(V1561=TODAY(),"Hoy","")))</f>
        <v/>
      </c>
      <c r="X1561" s="36" t="str">
        <f aca="false">IF(A1561="","",IF(COUNTIF(Seguimiento!$B$2:$B$5001,A1561)=0,"",_xlfn.MAXIFS(Seguimiento!$A$2:$A$5001,Seguimiento!$B$2:$B$5001,A1561)))</f>
        <v/>
      </c>
      <c r="Y1561" s="37" t="str">
        <f aca="true">IF(B1561="","",TODAY()-B1561)</f>
        <v/>
      </c>
      <c r="Z1561" s="38" t="str">
        <f aca="false">IF(OR(O1561="",G1561=""),"",O1561*IFERROR(INDEX(Listas!$B$2:$B$50,MATCH(G1561,Listas!$A$2:$A$50,0)),0))</f>
        <v/>
      </c>
      <c r="AA1561" s="32"/>
      <c r="AB1561" s="32"/>
      <c r="AC1561" s="32"/>
      <c r="AD1561" s="35" t="str">
        <f aca="false">IF(OR(LEFT(H1561,4)="Meta",LEFT(H1561,6)="Google"),IF(AG1561=3,"Lead calificado",IF(OR(AG1561=4,AG1561=5),"Tasación/visita",IF(OR(AG1561=6,AG1561=7),"Captación/oferta",IF(AG1561=8,"Cierre","")))),"")</f>
        <v/>
      </c>
      <c r="AE1561" s="32"/>
      <c r="AF1561" s="32"/>
      <c r="AG1561" s="37" t="n">
        <f aca="false">IF(R1561="",0,IFERROR(MATCH(R1561,Listas!$L$2:$L$50,0),0))</f>
        <v>0</v>
      </c>
    </row>
    <row r="1562" customFormat="false" ht="15" hidden="false" customHeight="false" outlineLevel="0" collapsed="false">
      <c r="A1562" s="30"/>
      <c r="B1562" s="31"/>
      <c r="C1562" s="32"/>
      <c r="D1562" s="32"/>
      <c r="E1562" s="33"/>
      <c r="F1562" s="32"/>
      <c r="G1562" s="32"/>
      <c r="H1562" s="32"/>
      <c r="I1562" s="32"/>
      <c r="J1562" s="32"/>
      <c r="K1562" s="32"/>
      <c r="L1562" s="32"/>
      <c r="M1562" s="30"/>
      <c r="N1562" s="32"/>
      <c r="O1562" s="34"/>
      <c r="P1562" s="32"/>
      <c r="Q1562" s="32"/>
      <c r="R1562" s="32"/>
      <c r="S1562" s="32"/>
      <c r="T1562" s="32"/>
      <c r="U1562" s="32"/>
      <c r="V1562" s="31"/>
      <c r="W1562" s="35" t="str">
        <f aca="true">IF(OR(V1562="",AG1562&gt;=8),"",IF(V1562&lt;TODAY(),"Vencida",IF(V1562=TODAY(),"Hoy","")))</f>
        <v/>
      </c>
      <c r="X1562" s="36" t="str">
        <f aca="false">IF(A1562="","",IF(COUNTIF(Seguimiento!$B$2:$B$5001,A1562)=0,"",_xlfn.MAXIFS(Seguimiento!$A$2:$A$5001,Seguimiento!$B$2:$B$5001,A1562)))</f>
        <v/>
      </c>
      <c r="Y1562" s="37" t="str">
        <f aca="true">IF(B1562="","",TODAY()-B1562)</f>
        <v/>
      </c>
      <c r="Z1562" s="38" t="str">
        <f aca="false">IF(OR(O1562="",G1562=""),"",O1562*IFERROR(INDEX(Listas!$B$2:$B$50,MATCH(G1562,Listas!$A$2:$A$50,0)),0))</f>
        <v/>
      </c>
      <c r="AA1562" s="32"/>
      <c r="AB1562" s="32"/>
      <c r="AC1562" s="32"/>
      <c r="AD1562" s="35" t="str">
        <f aca="false">IF(OR(LEFT(H1562,4)="Meta",LEFT(H1562,6)="Google"),IF(AG1562=3,"Lead calificado",IF(OR(AG1562=4,AG1562=5),"Tasación/visita",IF(OR(AG1562=6,AG1562=7),"Captación/oferta",IF(AG1562=8,"Cierre","")))),"")</f>
        <v/>
      </c>
      <c r="AE1562" s="32"/>
      <c r="AF1562" s="32"/>
      <c r="AG1562" s="37" t="n">
        <f aca="false">IF(R1562="",0,IFERROR(MATCH(R1562,Listas!$L$2:$L$50,0),0))</f>
        <v>0</v>
      </c>
    </row>
    <row r="1563" customFormat="false" ht="15" hidden="false" customHeight="false" outlineLevel="0" collapsed="false">
      <c r="A1563" s="30"/>
      <c r="B1563" s="31"/>
      <c r="C1563" s="32"/>
      <c r="D1563" s="32"/>
      <c r="E1563" s="33"/>
      <c r="F1563" s="32"/>
      <c r="G1563" s="32"/>
      <c r="H1563" s="32"/>
      <c r="I1563" s="32"/>
      <c r="J1563" s="32"/>
      <c r="K1563" s="32"/>
      <c r="L1563" s="32"/>
      <c r="M1563" s="30"/>
      <c r="N1563" s="32"/>
      <c r="O1563" s="34"/>
      <c r="P1563" s="32"/>
      <c r="Q1563" s="32"/>
      <c r="R1563" s="32"/>
      <c r="S1563" s="32"/>
      <c r="T1563" s="32"/>
      <c r="U1563" s="32"/>
      <c r="V1563" s="31"/>
      <c r="W1563" s="35" t="str">
        <f aca="true">IF(OR(V1563="",AG1563&gt;=8),"",IF(V1563&lt;TODAY(),"Vencida",IF(V1563=TODAY(),"Hoy","")))</f>
        <v/>
      </c>
      <c r="X1563" s="36" t="str">
        <f aca="false">IF(A1563="","",IF(COUNTIF(Seguimiento!$B$2:$B$5001,A1563)=0,"",_xlfn.MAXIFS(Seguimiento!$A$2:$A$5001,Seguimiento!$B$2:$B$5001,A1563)))</f>
        <v/>
      </c>
      <c r="Y1563" s="37" t="str">
        <f aca="true">IF(B1563="","",TODAY()-B1563)</f>
        <v/>
      </c>
      <c r="Z1563" s="38" t="str">
        <f aca="false">IF(OR(O1563="",G1563=""),"",O1563*IFERROR(INDEX(Listas!$B$2:$B$50,MATCH(G1563,Listas!$A$2:$A$50,0)),0))</f>
        <v/>
      </c>
      <c r="AA1563" s="32"/>
      <c r="AB1563" s="32"/>
      <c r="AC1563" s="32"/>
      <c r="AD1563" s="35" t="str">
        <f aca="false">IF(OR(LEFT(H1563,4)="Meta",LEFT(H1563,6)="Google"),IF(AG1563=3,"Lead calificado",IF(OR(AG1563=4,AG1563=5),"Tasación/visita",IF(OR(AG1563=6,AG1563=7),"Captación/oferta",IF(AG1563=8,"Cierre","")))),"")</f>
        <v/>
      </c>
      <c r="AE1563" s="32"/>
      <c r="AF1563" s="32"/>
      <c r="AG1563" s="37" t="n">
        <f aca="false">IF(R1563="",0,IFERROR(MATCH(R1563,Listas!$L$2:$L$50,0),0))</f>
        <v>0</v>
      </c>
    </row>
    <row r="1564" customFormat="false" ht="15" hidden="false" customHeight="false" outlineLevel="0" collapsed="false">
      <c r="A1564" s="30"/>
      <c r="B1564" s="31"/>
      <c r="C1564" s="32"/>
      <c r="D1564" s="32"/>
      <c r="E1564" s="33"/>
      <c r="F1564" s="32"/>
      <c r="G1564" s="32"/>
      <c r="H1564" s="32"/>
      <c r="I1564" s="32"/>
      <c r="J1564" s="32"/>
      <c r="K1564" s="32"/>
      <c r="L1564" s="32"/>
      <c r="M1564" s="30"/>
      <c r="N1564" s="32"/>
      <c r="O1564" s="34"/>
      <c r="P1564" s="32"/>
      <c r="Q1564" s="32"/>
      <c r="R1564" s="32"/>
      <c r="S1564" s="32"/>
      <c r="T1564" s="32"/>
      <c r="U1564" s="32"/>
      <c r="V1564" s="31"/>
      <c r="W1564" s="35" t="str">
        <f aca="true">IF(OR(V1564="",AG1564&gt;=8),"",IF(V1564&lt;TODAY(),"Vencida",IF(V1564=TODAY(),"Hoy","")))</f>
        <v/>
      </c>
      <c r="X1564" s="36" t="str">
        <f aca="false">IF(A1564="","",IF(COUNTIF(Seguimiento!$B$2:$B$5001,A1564)=0,"",_xlfn.MAXIFS(Seguimiento!$A$2:$A$5001,Seguimiento!$B$2:$B$5001,A1564)))</f>
        <v/>
      </c>
      <c r="Y1564" s="37" t="str">
        <f aca="true">IF(B1564="","",TODAY()-B1564)</f>
        <v/>
      </c>
      <c r="Z1564" s="38" t="str">
        <f aca="false">IF(OR(O1564="",G1564=""),"",O1564*IFERROR(INDEX(Listas!$B$2:$B$50,MATCH(G1564,Listas!$A$2:$A$50,0)),0))</f>
        <v/>
      </c>
      <c r="AA1564" s="32"/>
      <c r="AB1564" s="32"/>
      <c r="AC1564" s="32"/>
      <c r="AD1564" s="35" t="str">
        <f aca="false">IF(OR(LEFT(H1564,4)="Meta",LEFT(H1564,6)="Google"),IF(AG1564=3,"Lead calificado",IF(OR(AG1564=4,AG1564=5),"Tasación/visita",IF(OR(AG1564=6,AG1564=7),"Captación/oferta",IF(AG1564=8,"Cierre","")))),"")</f>
        <v/>
      </c>
      <c r="AE1564" s="32"/>
      <c r="AF1564" s="32"/>
      <c r="AG1564" s="37" t="n">
        <f aca="false">IF(R1564="",0,IFERROR(MATCH(R1564,Listas!$L$2:$L$50,0),0))</f>
        <v>0</v>
      </c>
    </row>
    <row r="1565" customFormat="false" ht="15" hidden="false" customHeight="false" outlineLevel="0" collapsed="false">
      <c r="A1565" s="30"/>
      <c r="B1565" s="31"/>
      <c r="C1565" s="32"/>
      <c r="D1565" s="32"/>
      <c r="E1565" s="33"/>
      <c r="F1565" s="32"/>
      <c r="G1565" s="32"/>
      <c r="H1565" s="32"/>
      <c r="I1565" s="32"/>
      <c r="J1565" s="32"/>
      <c r="K1565" s="32"/>
      <c r="L1565" s="32"/>
      <c r="M1565" s="30"/>
      <c r="N1565" s="32"/>
      <c r="O1565" s="34"/>
      <c r="P1565" s="32"/>
      <c r="Q1565" s="32"/>
      <c r="R1565" s="32"/>
      <c r="S1565" s="32"/>
      <c r="T1565" s="32"/>
      <c r="U1565" s="32"/>
      <c r="V1565" s="31"/>
      <c r="W1565" s="35" t="str">
        <f aca="true">IF(OR(V1565="",AG1565&gt;=8),"",IF(V1565&lt;TODAY(),"Vencida",IF(V1565=TODAY(),"Hoy","")))</f>
        <v/>
      </c>
      <c r="X1565" s="36" t="str">
        <f aca="false">IF(A1565="","",IF(COUNTIF(Seguimiento!$B$2:$B$5001,A1565)=0,"",_xlfn.MAXIFS(Seguimiento!$A$2:$A$5001,Seguimiento!$B$2:$B$5001,A1565)))</f>
        <v/>
      </c>
      <c r="Y1565" s="37" t="str">
        <f aca="true">IF(B1565="","",TODAY()-B1565)</f>
        <v/>
      </c>
      <c r="Z1565" s="38" t="str">
        <f aca="false">IF(OR(O1565="",G1565=""),"",O1565*IFERROR(INDEX(Listas!$B$2:$B$50,MATCH(G1565,Listas!$A$2:$A$50,0)),0))</f>
        <v/>
      </c>
      <c r="AA1565" s="32"/>
      <c r="AB1565" s="32"/>
      <c r="AC1565" s="32"/>
      <c r="AD1565" s="35" t="str">
        <f aca="false">IF(OR(LEFT(H1565,4)="Meta",LEFT(H1565,6)="Google"),IF(AG1565=3,"Lead calificado",IF(OR(AG1565=4,AG1565=5),"Tasación/visita",IF(OR(AG1565=6,AG1565=7),"Captación/oferta",IF(AG1565=8,"Cierre","")))),"")</f>
        <v/>
      </c>
      <c r="AE1565" s="32"/>
      <c r="AF1565" s="32"/>
      <c r="AG1565" s="37" t="n">
        <f aca="false">IF(R1565="",0,IFERROR(MATCH(R1565,Listas!$L$2:$L$50,0),0))</f>
        <v>0</v>
      </c>
    </row>
    <row r="1566" customFormat="false" ht="15" hidden="false" customHeight="false" outlineLevel="0" collapsed="false">
      <c r="A1566" s="30"/>
      <c r="B1566" s="31"/>
      <c r="C1566" s="32"/>
      <c r="D1566" s="32"/>
      <c r="E1566" s="33"/>
      <c r="F1566" s="32"/>
      <c r="G1566" s="32"/>
      <c r="H1566" s="32"/>
      <c r="I1566" s="32"/>
      <c r="J1566" s="32"/>
      <c r="K1566" s="32"/>
      <c r="L1566" s="32"/>
      <c r="M1566" s="30"/>
      <c r="N1566" s="32"/>
      <c r="O1566" s="34"/>
      <c r="P1566" s="32"/>
      <c r="Q1566" s="32"/>
      <c r="R1566" s="32"/>
      <c r="S1566" s="32"/>
      <c r="T1566" s="32"/>
      <c r="U1566" s="32"/>
      <c r="V1566" s="31"/>
      <c r="W1566" s="35" t="str">
        <f aca="true">IF(OR(V1566="",AG1566&gt;=8),"",IF(V1566&lt;TODAY(),"Vencida",IF(V1566=TODAY(),"Hoy","")))</f>
        <v/>
      </c>
      <c r="X1566" s="36" t="str">
        <f aca="false">IF(A1566="","",IF(COUNTIF(Seguimiento!$B$2:$B$5001,A1566)=0,"",_xlfn.MAXIFS(Seguimiento!$A$2:$A$5001,Seguimiento!$B$2:$B$5001,A1566)))</f>
        <v/>
      </c>
      <c r="Y1566" s="37" t="str">
        <f aca="true">IF(B1566="","",TODAY()-B1566)</f>
        <v/>
      </c>
      <c r="Z1566" s="38" t="str">
        <f aca="false">IF(OR(O1566="",G1566=""),"",O1566*IFERROR(INDEX(Listas!$B$2:$B$50,MATCH(G1566,Listas!$A$2:$A$50,0)),0))</f>
        <v/>
      </c>
      <c r="AA1566" s="32"/>
      <c r="AB1566" s="32"/>
      <c r="AC1566" s="32"/>
      <c r="AD1566" s="35" t="str">
        <f aca="false">IF(OR(LEFT(H1566,4)="Meta",LEFT(H1566,6)="Google"),IF(AG1566=3,"Lead calificado",IF(OR(AG1566=4,AG1566=5),"Tasación/visita",IF(OR(AG1566=6,AG1566=7),"Captación/oferta",IF(AG1566=8,"Cierre","")))),"")</f>
        <v/>
      </c>
      <c r="AE1566" s="32"/>
      <c r="AF1566" s="32"/>
      <c r="AG1566" s="37" t="n">
        <f aca="false">IF(R1566="",0,IFERROR(MATCH(R1566,Listas!$L$2:$L$50,0),0))</f>
        <v>0</v>
      </c>
    </row>
    <row r="1567" customFormat="false" ht="15" hidden="false" customHeight="false" outlineLevel="0" collapsed="false">
      <c r="A1567" s="30"/>
      <c r="B1567" s="31"/>
      <c r="C1567" s="32"/>
      <c r="D1567" s="32"/>
      <c r="E1567" s="33"/>
      <c r="F1567" s="32"/>
      <c r="G1567" s="32"/>
      <c r="H1567" s="32"/>
      <c r="I1567" s="32"/>
      <c r="J1567" s="32"/>
      <c r="K1567" s="32"/>
      <c r="L1567" s="32"/>
      <c r="M1567" s="30"/>
      <c r="N1567" s="32"/>
      <c r="O1567" s="34"/>
      <c r="P1567" s="32"/>
      <c r="Q1567" s="32"/>
      <c r="R1567" s="32"/>
      <c r="S1567" s="32"/>
      <c r="T1567" s="32"/>
      <c r="U1567" s="32"/>
      <c r="V1567" s="31"/>
      <c r="W1567" s="35" t="str">
        <f aca="true">IF(OR(V1567="",AG1567&gt;=8),"",IF(V1567&lt;TODAY(),"Vencida",IF(V1567=TODAY(),"Hoy","")))</f>
        <v/>
      </c>
      <c r="X1567" s="36" t="str">
        <f aca="false">IF(A1567="","",IF(COUNTIF(Seguimiento!$B$2:$B$5001,A1567)=0,"",_xlfn.MAXIFS(Seguimiento!$A$2:$A$5001,Seguimiento!$B$2:$B$5001,A1567)))</f>
        <v/>
      </c>
      <c r="Y1567" s="37" t="str">
        <f aca="true">IF(B1567="","",TODAY()-B1567)</f>
        <v/>
      </c>
      <c r="Z1567" s="38" t="str">
        <f aca="false">IF(OR(O1567="",G1567=""),"",O1567*IFERROR(INDEX(Listas!$B$2:$B$50,MATCH(G1567,Listas!$A$2:$A$50,0)),0))</f>
        <v/>
      </c>
      <c r="AA1567" s="32"/>
      <c r="AB1567" s="32"/>
      <c r="AC1567" s="32"/>
      <c r="AD1567" s="35" t="str">
        <f aca="false">IF(OR(LEFT(H1567,4)="Meta",LEFT(H1567,6)="Google"),IF(AG1567=3,"Lead calificado",IF(OR(AG1567=4,AG1567=5),"Tasación/visita",IF(OR(AG1567=6,AG1567=7),"Captación/oferta",IF(AG1567=8,"Cierre","")))),"")</f>
        <v/>
      </c>
      <c r="AE1567" s="32"/>
      <c r="AF1567" s="32"/>
      <c r="AG1567" s="37" t="n">
        <f aca="false">IF(R1567="",0,IFERROR(MATCH(R1567,Listas!$L$2:$L$50,0),0))</f>
        <v>0</v>
      </c>
    </row>
    <row r="1568" customFormat="false" ht="15" hidden="false" customHeight="false" outlineLevel="0" collapsed="false">
      <c r="A1568" s="30"/>
      <c r="B1568" s="31"/>
      <c r="C1568" s="32"/>
      <c r="D1568" s="32"/>
      <c r="E1568" s="33"/>
      <c r="F1568" s="32"/>
      <c r="G1568" s="32"/>
      <c r="H1568" s="32"/>
      <c r="I1568" s="32"/>
      <c r="J1568" s="32"/>
      <c r="K1568" s="32"/>
      <c r="L1568" s="32"/>
      <c r="M1568" s="30"/>
      <c r="N1568" s="32"/>
      <c r="O1568" s="34"/>
      <c r="P1568" s="32"/>
      <c r="Q1568" s="32"/>
      <c r="R1568" s="32"/>
      <c r="S1568" s="32"/>
      <c r="T1568" s="32"/>
      <c r="U1568" s="32"/>
      <c r="V1568" s="31"/>
      <c r="W1568" s="35" t="str">
        <f aca="true">IF(OR(V1568="",AG1568&gt;=8),"",IF(V1568&lt;TODAY(),"Vencida",IF(V1568=TODAY(),"Hoy","")))</f>
        <v/>
      </c>
      <c r="X1568" s="36" t="str">
        <f aca="false">IF(A1568="","",IF(COUNTIF(Seguimiento!$B$2:$B$5001,A1568)=0,"",_xlfn.MAXIFS(Seguimiento!$A$2:$A$5001,Seguimiento!$B$2:$B$5001,A1568)))</f>
        <v/>
      </c>
      <c r="Y1568" s="37" t="str">
        <f aca="true">IF(B1568="","",TODAY()-B1568)</f>
        <v/>
      </c>
      <c r="Z1568" s="38" t="str">
        <f aca="false">IF(OR(O1568="",G1568=""),"",O1568*IFERROR(INDEX(Listas!$B$2:$B$50,MATCH(G1568,Listas!$A$2:$A$50,0)),0))</f>
        <v/>
      </c>
      <c r="AA1568" s="32"/>
      <c r="AB1568" s="32"/>
      <c r="AC1568" s="32"/>
      <c r="AD1568" s="35" t="str">
        <f aca="false">IF(OR(LEFT(H1568,4)="Meta",LEFT(H1568,6)="Google"),IF(AG1568=3,"Lead calificado",IF(OR(AG1568=4,AG1568=5),"Tasación/visita",IF(OR(AG1568=6,AG1568=7),"Captación/oferta",IF(AG1568=8,"Cierre","")))),"")</f>
        <v/>
      </c>
      <c r="AE1568" s="32"/>
      <c r="AF1568" s="32"/>
      <c r="AG1568" s="37" t="n">
        <f aca="false">IF(R1568="",0,IFERROR(MATCH(R1568,Listas!$L$2:$L$50,0),0))</f>
        <v>0</v>
      </c>
    </row>
    <row r="1569" customFormat="false" ht="15" hidden="false" customHeight="false" outlineLevel="0" collapsed="false">
      <c r="A1569" s="30"/>
      <c r="B1569" s="31"/>
      <c r="C1569" s="32"/>
      <c r="D1569" s="32"/>
      <c r="E1569" s="33"/>
      <c r="F1569" s="32"/>
      <c r="G1569" s="32"/>
      <c r="H1569" s="32"/>
      <c r="I1569" s="32"/>
      <c r="J1569" s="32"/>
      <c r="K1569" s="32"/>
      <c r="L1569" s="32"/>
      <c r="M1569" s="30"/>
      <c r="N1569" s="32"/>
      <c r="O1569" s="34"/>
      <c r="P1569" s="32"/>
      <c r="Q1569" s="32"/>
      <c r="R1569" s="32"/>
      <c r="S1569" s="32"/>
      <c r="T1569" s="32"/>
      <c r="U1569" s="32"/>
      <c r="V1569" s="31"/>
      <c r="W1569" s="35" t="str">
        <f aca="true">IF(OR(V1569="",AG1569&gt;=8),"",IF(V1569&lt;TODAY(),"Vencida",IF(V1569=TODAY(),"Hoy","")))</f>
        <v/>
      </c>
      <c r="X1569" s="36" t="str">
        <f aca="false">IF(A1569="","",IF(COUNTIF(Seguimiento!$B$2:$B$5001,A1569)=0,"",_xlfn.MAXIFS(Seguimiento!$A$2:$A$5001,Seguimiento!$B$2:$B$5001,A1569)))</f>
        <v/>
      </c>
      <c r="Y1569" s="37" t="str">
        <f aca="true">IF(B1569="","",TODAY()-B1569)</f>
        <v/>
      </c>
      <c r="Z1569" s="38" t="str">
        <f aca="false">IF(OR(O1569="",G1569=""),"",O1569*IFERROR(INDEX(Listas!$B$2:$B$50,MATCH(G1569,Listas!$A$2:$A$50,0)),0))</f>
        <v/>
      </c>
      <c r="AA1569" s="32"/>
      <c r="AB1569" s="32"/>
      <c r="AC1569" s="32"/>
      <c r="AD1569" s="35" t="str">
        <f aca="false">IF(OR(LEFT(H1569,4)="Meta",LEFT(H1569,6)="Google"),IF(AG1569=3,"Lead calificado",IF(OR(AG1569=4,AG1569=5),"Tasación/visita",IF(OR(AG1569=6,AG1569=7),"Captación/oferta",IF(AG1569=8,"Cierre","")))),"")</f>
        <v/>
      </c>
      <c r="AE1569" s="32"/>
      <c r="AF1569" s="32"/>
      <c r="AG1569" s="37" t="n">
        <f aca="false">IF(R1569="",0,IFERROR(MATCH(R1569,Listas!$L$2:$L$50,0),0))</f>
        <v>0</v>
      </c>
    </row>
    <row r="1570" customFormat="false" ht="15" hidden="false" customHeight="false" outlineLevel="0" collapsed="false">
      <c r="A1570" s="30"/>
      <c r="B1570" s="31"/>
      <c r="C1570" s="32"/>
      <c r="D1570" s="32"/>
      <c r="E1570" s="33"/>
      <c r="F1570" s="32"/>
      <c r="G1570" s="32"/>
      <c r="H1570" s="32"/>
      <c r="I1570" s="32"/>
      <c r="J1570" s="32"/>
      <c r="K1570" s="32"/>
      <c r="L1570" s="32"/>
      <c r="M1570" s="30"/>
      <c r="N1570" s="32"/>
      <c r="O1570" s="34"/>
      <c r="P1570" s="32"/>
      <c r="Q1570" s="32"/>
      <c r="R1570" s="32"/>
      <c r="S1570" s="32"/>
      <c r="T1570" s="32"/>
      <c r="U1570" s="32"/>
      <c r="V1570" s="31"/>
      <c r="W1570" s="35" t="str">
        <f aca="true">IF(OR(V1570="",AG1570&gt;=8),"",IF(V1570&lt;TODAY(),"Vencida",IF(V1570=TODAY(),"Hoy","")))</f>
        <v/>
      </c>
      <c r="X1570" s="36" t="str">
        <f aca="false">IF(A1570="","",IF(COUNTIF(Seguimiento!$B$2:$B$5001,A1570)=0,"",_xlfn.MAXIFS(Seguimiento!$A$2:$A$5001,Seguimiento!$B$2:$B$5001,A1570)))</f>
        <v/>
      </c>
      <c r="Y1570" s="37" t="str">
        <f aca="true">IF(B1570="","",TODAY()-B1570)</f>
        <v/>
      </c>
      <c r="Z1570" s="38" t="str">
        <f aca="false">IF(OR(O1570="",G1570=""),"",O1570*IFERROR(INDEX(Listas!$B$2:$B$50,MATCH(G1570,Listas!$A$2:$A$50,0)),0))</f>
        <v/>
      </c>
      <c r="AA1570" s="32"/>
      <c r="AB1570" s="32"/>
      <c r="AC1570" s="32"/>
      <c r="AD1570" s="35" t="str">
        <f aca="false">IF(OR(LEFT(H1570,4)="Meta",LEFT(H1570,6)="Google"),IF(AG1570=3,"Lead calificado",IF(OR(AG1570=4,AG1570=5),"Tasación/visita",IF(OR(AG1570=6,AG1570=7),"Captación/oferta",IF(AG1570=8,"Cierre","")))),"")</f>
        <v/>
      </c>
      <c r="AE1570" s="32"/>
      <c r="AF1570" s="32"/>
      <c r="AG1570" s="37" t="n">
        <f aca="false">IF(R1570="",0,IFERROR(MATCH(R1570,Listas!$L$2:$L$50,0),0))</f>
        <v>0</v>
      </c>
    </row>
    <row r="1571" customFormat="false" ht="15" hidden="false" customHeight="false" outlineLevel="0" collapsed="false">
      <c r="A1571" s="30"/>
      <c r="B1571" s="31"/>
      <c r="C1571" s="32"/>
      <c r="D1571" s="32"/>
      <c r="E1571" s="33"/>
      <c r="F1571" s="32"/>
      <c r="G1571" s="32"/>
      <c r="H1571" s="32"/>
      <c r="I1571" s="32"/>
      <c r="J1571" s="32"/>
      <c r="K1571" s="32"/>
      <c r="L1571" s="32"/>
      <c r="M1571" s="30"/>
      <c r="N1571" s="32"/>
      <c r="O1571" s="34"/>
      <c r="P1571" s="32"/>
      <c r="Q1571" s="32"/>
      <c r="R1571" s="32"/>
      <c r="S1571" s="32"/>
      <c r="T1571" s="32"/>
      <c r="U1571" s="32"/>
      <c r="V1571" s="31"/>
      <c r="W1571" s="35" t="str">
        <f aca="true">IF(OR(V1571="",AG1571&gt;=8),"",IF(V1571&lt;TODAY(),"Vencida",IF(V1571=TODAY(),"Hoy","")))</f>
        <v/>
      </c>
      <c r="X1571" s="36" t="str">
        <f aca="false">IF(A1571="","",IF(COUNTIF(Seguimiento!$B$2:$B$5001,A1571)=0,"",_xlfn.MAXIFS(Seguimiento!$A$2:$A$5001,Seguimiento!$B$2:$B$5001,A1571)))</f>
        <v/>
      </c>
      <c r="Y1571" s="37" t="str">
        <f aca="true">IF(B1571="","",TODAY()-B1571)</f>
        <v/>
      </c>
      <c r="Z1571" s="38" t="str">
        <f aca="false">IF(OR(O1571="",G1571=""),"",O1571*IFERROR(INDEX(Listas!$B$2:$B$50,MATCH(G1571,Listas!$A$2:$A$50,0)),0))</f>
        <v/>
      </c>
      <c r="AA1571" s="32"/>
      <c r="AB1571" s="32"/>
      <c r="AC1571" s="32"/>
      <c r="AD1571" s="35" t="str">
        <f aca="false">IF(OR(LEFT(H1571,4)="Meta",LEFT(H1571,6)="Google"),IF(AG1571=3,"Lead calificado",IF(OR(AG1571=4,AG1571=5),"Tasación/visita",IF(OR(AG1571=6,AG1571=7),"Captación/oferta",IF(AG1571=8,"Cierre","")))),"")</f>
        <v/>
      </c>
      <c r="AE1571" s="32"/>
      <c r="AF1571" s="32"/>
      <c r="AG1571" s="37" t="n">
        <f aca="false">IF(R1571="",0,IFERROR(MATCH(R1571,Listas!$L$2:$L$50,0),0))</f>
        <v>0</v>
      </c>
    </row>
    <row r="1572" customFormat="false" ht="15" hidden="false" customHeight="false" outlineLevel="0" collapsed="false">
      <c r="A1572" s="30"/>
      <c r="B1572" s="31"/>
      <c r="C1572" s="32"/>
      <c r="D1572" s="32"/>
      <c r="E1572" s="33"/>
      <c r="F1572" s="32"/>
      <c r="G1572" s="32"/>
      <c r="H1572" s="32"/>
      <c r="I1572" s="32"/>
      <c r="J1572" s="32"/>
      <c r="K1572" s="32"/>
      <c r="L1572" s="32"/>
      <c r="M1572" s="30"/>
      <c r="N1572" s="32"/>
      <c r="O1572" s="34"/>
      <c r="P1572" s="32"/>
      <c r="Q1572" s="32"/>
      <c r="R1572" s="32"/>
      <c r="S1572" s="32"/>
      <c r="T1572" s="32"/>
      <c r="U1572" s="32"/>
      <c r="V1572" s="31"/>
      <c r="W1572" s="35" t="str">
        <f aca="true">IF(OR(V1572="",AG1572&gt;=8),"",IF(V1572&lt;TODAY(),"Vencida",IF(V1572=TODAY(),"Hoy","")))</f>
        <v/>
      </c>
      <c r="X1572" s="36" t="str">
        <f aca="false">IF(A1572="","",IF(COUNTIF(Seguimiento!$B$2:$B$5001,A1572)=0,"",_xlfn.MAXIFS(Seguimiento!$A$2:$A$5001,Seguimiento!$B$2:$B$5001,A1572)))</f>
        <v/>
      </c>
      <c r="Y1572" s="37" t="str">
        <f aca="true">IF(B1572="","",TODAY()-B1572)</f>
        <v/>
      </c>
      <c r="Z1572" s="38" t="str">
        <f aca="false">IF(OR(O1572="",G1572=""),"",O1572*IFERROR(INDEX(Listas!$B$2:$B$50,MATCH(G1572,Listas!$A$2:$A$50,0)),0))</f>
        <v/>
      </c>
      <c r="AA1572" s="32"/>
      <c r="AB1572" s="32"/>
      <c r="AC1572" s="32"/>
      <c r="AD1572" s="35" t="str">
        <f aca="false">IF(OR(LEFT(H1572,4)="Meta",LEFT(H1572,6)="Google"),IF(AG1572=3,"Lead calificado",IF(OR(AG1572=4,AG1572=5),"Tasación/visita",IF(OR(AG1572=6,AG1572=7),"Captación/oferta",IF(AG1572=8,"Cierre","")))),"")</f>
        <v/>
      </c>
      <c r="AE1572" s="32"/>
      <c r="AF1572" s="32"/>
      <c r="AG1572" s="37" t="n">
        <f aca="false">IF(R1572="",0,IFERROR(MATCH(R1572,Listas!$L$2:$L$50,0),0))</f>
        <v>0</v>
      </c>
    </row>
    <row r="1573" customFormat="false" ht="15" hidden="false" customHeight="false" outlineLevel="0" collapsed="false">
      <c r="A1573" s="30"/>
      <c r="B1573" s="31"/>
      <c r="C1573" s="32"/>
      <c r="D1573" s="32"/>
      <c r="E1573" s="33"/>
      <c r="F1573" s="32"/>
      <c r="G1573" s="32"/>
      <c r="H1573" s="32"/>
      <c r="I1573" s="32"/>
      <c r="J1573" s="32"/>
      <c r="K1573" s="32"/>
      <c r="L1573" s="32"/>
      <c r="M1573" s="30"/>
      <c r="N1573" s="32"/>
      <c r="O1573" s="34"/>
      <c r="P1573" s="32"/>
      <c r="Q1573" s="32"/>
      <c r="R1573" s="32"/>
      <c r="S1573" s="32"/>
      <c r="T1573" s="32"/>
      <c r="U1573" s="32"/>
      <c r="V1573" s="31"/>
      <c r="W1573" s="35" t="str">
        <f aca="true">IF(OR(V1573="",AG1573&gt;=8),"",IF(V1573&lt;TODAY(),"Vencida",IF(V1573=TODAY(),"Hoy","")))</f>
        <v/>
      </c>
      <c r="X1573" s="36" t="str">
        <f aca="false">IF(A1573="","",IF(COUNTIF(Seguimiento!$B$2:$B$5001,A1573)=0,"",_xlfn.MAXIFS(Seguimiento!$A$2:$A$5001,Seguimiento!$B$2:$B$5001,A1573)))</f>
        <v/>
      </c>
      <c r="Y1573" s="37" t="str">
        <f aca="true">IF(B1573="","",TODAY()-B1573)</f>
        <v/>
      </c>
      <c r="Z1573" s="38" t="str">
        <f aca="false">IF(OR(O1573="",G1573=""),"",O1573*IFERROR(INDEX(Listas!$B$2:$B$50,MATCH(G1573,Listas!$A$2:$A$50,0)),0))</f>
        <v/>
      </c>
      <c r="AA1573" s="32"/>
      <c r="AB1573" s="32"/>
      <c r="AC1573" s="32"/>
      <c r="AD1573" s="35" t="str">
        <f aca="false">IF(OR(LEFT(H1573,4)="Meta",LEFT(H1573,6)="Google"),IF(AG1573=3,"Lead calificado",IF(OR(AG1573=4,AG1573=5),"Tasación/visita",IF(OR(AG1573=6,AG1573=7),"Captación/oferta",IF(AG1573=8,"Cierre","")))),"")</f>
        <v/>
      </c>
      <c r="AE1573" s="32"/>
      <c r="AF1573" s="32"/>
      <c r="AG1573" s="37" t="n">
        <f aca="false">IF(R1573="",0,IFERROR(MATCH(R1573,Listas!$L$2:$L$50,0),0))</f>
        <v>0</v>
      </c>
    </row>
    <row r="1574" customFormat="false" ht="15" hidden="false" customHeight="false" outlineLevel="0" collapsed="false">
      <c r="A1574" s="30"/>
      <c r="B1574" s="31"/>
      <c r="C1574" s="32"/>
      <c r="D1574" s="32"/>
      <c r="E1574" s="33"/>
      <c r="F1574" s="32"/>
      <c r="G1574" s="32"/>
      <c r="H1574" s="32"/>
      <c r="I1574" s="32"/>
      <c r="J1574" s="32"/>
      <c r="K1574" s="32"/>
      <c r="L1574" s="32"/>
      <c r="M1574" s="30"/>
      <c r="N1574" s="32"/>
      <c r="O1574" s="34"/>
      <c r="P1574" s="32"/>
      <c r="Q1574" s="32"/>
      <c r="R1574" s="32"/>
      <c r="S1574" s="32"/>
      <c r="T1574" s="32"/>
      <c r="U1574" s="32"/>
      <c r="V1574" s="31"/>
      <c r="W1574" s="35" t="str">
        <f aca="true">IF(OR(V1574="",AG1574&gt;=8),"",IF(V1574&lt;TODAY(),"Vencida",IF(V1574=TODAY(),"Hoy","")))</f>
        <v/>
      </c>
      <c r="X1574" s="36" t="str">
        <f aca="false">IF(A1574="","",IF(COUNTIF(Seguimiento!$B$2:$B$5001,A1574)=0,"",_xlfn.MAXIFS(Seguimiento!$A$2:$A$5001,Seguimiento!$B$2:$B$5001,A1574)))</f>
        <v/>
      </c>
      <c r="Y1574" s="37" t="str">
        <f aca="true">IF(B1574="","",TODAY()-B1574)</f>
        <v/>
      </c>
      <c r="Z1574" s="38" t="str">
        <f aca="false">IF(OR(O1574="",G1574=""),"",O1574*IFERROR(INDEX(Listas!$B$2:$B$50,MATCH(G1574,Listas!$A$2:$A$50,0)),0))</f>
        <v/>
      </c>
      <c r="AA1574" s="32"/>
      <c r="AB1574" s="32"/>
      <c r="AC1574" s="32"/>
      <c r="AD1574" s="35" t="str">
        <f aca="false">IF(OR(LEFT(H1574,4)="Meta",LEFT(H1574,6)="Google"),IF(AG1574=3,"Lead calificado",IF(OR(AG1574=4,AG1574=5),"Tasación/visita",IF(OR(AG1574=6,AG1574=7),"Captación/oferta",IF(AG1574=8,"Cierre","")))),"")</f>
        <v/>
      </c>
      <c r="AE1574" s="32"/>
      <c r="AF1574" s="32"/>
      <c r="AG1574" s="37" t="n">
        <f aca="false">IF(R1574="",0,IFERROR(MATCH(R1574,Listas!$L$2:$L$50,0),0))</f>
        <v>0</v>
      </c>
    </row>
    <row r="1575" customFormat="false" ht="15" hidden="false" customHeight="false" outlineLevel="0" collapsed="false">
      <c r="A1575" s="30"/>
      <c r="B1575" s="31"/>
      <c r="C1575" s="32"/>
      <c r="D1575" s="32"/>
      <c r="E1575" s="33"/>
      <c r="F1575" s="32"/>
      <c r="G1575" s="32"/>
      <c r="H1575" s="32"/>
      <c r="I1575" s="32"/>
      <c r="J1575" s="32"/>
      <c r="K1575" s="32"/>
      <c r="L1575" s="32"/>
      <c r="M1575" s="30"/>
      <c r="N1575" s="32"/>
      <c r="O1575" s="34"/>
      <c r="P1575" s="32"/>
      <c r="Q1575" s="32"/>
      <c r="R1575" s="32"/>
      <c r="S1575" s="32"/>
      <c r="T1575" s="32"/>
      <c r="U1575" s="32"/>
      <c r="V1575" s="31"/>
      <c r="W1575" s="35" t="str">
        <f aca="true">IF(OR(V1575="",AG1575&gt;=8),"",IF(V1575&lt;TODAY(),"Vencida",IF(V1575=TODAY(),"Hoy","")))</f>
        <v/>
      </c>
      <c r="X1575" s="36" t="str">
        <f aca="false">IF(A1575="","",IF(COUNTIF(Seguimiento!$B$2:$B$5001,A1575)=0,"",_xlfn.MAXIFS(Seguimiento!$A$2:$A$5001,Seguimiento!$B$2:$B$5001,A1575)))</f>
        <v/>
      </c>
      <c r="Y1575" s="37" t="str">
        <f aca="true">IF(B1575="","",TODAY()-B1575)</f>
        <v/>
      </c>
      <c r="Z1575" s="38" t="str">
        <f aca="false">IF(OR(O1575="",G1575=""),"",O1575*IFERROR(INDEX(Listas!$B$2:$B$50,MATCH(G1575,Listas!$A$2:$A$50,0)),0))</f>
        <v/>
      </c>
      <c r="AA1575" s="32"/>
      <c r="AB1575" s="32"/>
      <c r="AC1575" s="32"/>
      <c r="AD1575" s="35" t="str">
        <f aca="false">IF(OR(LEFT(H1575,4)="Meta",LEFT(H1575,6)="Google"),IF(AG1575=3,"Lead calificado",IF(OR(AG1575=4,AG1575=5),"Tasación/visita",IF(OR(AG1575=6,AG1575=7),"Captación/oferta",IF(AG1575=8,"Cierre","")))),"")</f>
        <v/>
      </c>
      <c r="AE1575" s="32"/>
      <c r="AF1575" s="32"/>
      <c r="AG1575" s="37" t="n">
        <f aca="false">IF(R1575="",0,IFERROR(MATCH(R1575,Listas!$L$2:$L$50,0),0))</f>
        <v>0</v>
      </c>
    </row>
    <row r="1576" customFormat="false" ht="15" hidden="false" customHeight="false" outlineLevel="0" collapsed="false">
      <c r="A1576" s="30"/>
      <c r="B1576" s="31"/>
      <c r="C1576" s="32"/>
      <c r="D1576" s="32"/>
      <c r="E1576" s="33"/>
      <c r="F1576" s="32"/>
      <c r="G1576" s="32"/>
      <c r="H1576" s="32"/>
      <c r="I1576" s="32"/>
      <c r="J1576" s="32"/>
      <c r="K1576" s="32"/>
      <c r="L1576" s="32"/>
      <c r="M1576" s="30"/>
      <c r="N1576" s="32"/>
      <c r="O1576" s="34"/>
      <c r="P1576" s="32"/>
      <c r="Q1576" s="32"/>
      <c r="R1576" s="32"/>
      <c r="S1576" s="32"/>
      <c r="T1576" s="32"/>
      <c r="U1576" s="32"/>
      <c r="V1576" s="31"/>
      <c r="W1576" s="35" t="str">
        <f aca="true">IF(OR(V1576="",AG1576&gt;=8),"",IF(V1576&lt;TODAY(),"Vencida",IF(V1576=TODAY(),"Hoy","")))</f>
        <v/>
      </c>
      <c r="X1576" s="36" t="str">
        <f aca="false">IF(A1576="","",IF(COUNTIF(Seguimiento!$B$2:$B$5001,A1576)=0,"",_xlfn.MAXIFS(Seguimiento!$A$2:$A$5001,Seguimiento!$B$2:$B$5001,A1576)))</f>
        <v/>
      </c>
      <c r="Y1576" s="37" t="str">
        <f aca="true">IF(B1576="","",TODAY()-B1576)</f>
        <v/>
      </c>
      <c r="Z1576" s="38" t="str">
        <f aca="false">IF(OR(O1576="",G1576=""),"",O1576*IFERROR(INDEX(Listas!$B$2:$B$50,MATCH(G1576,Listas!$A$2:$A$50,0)),0))</f>
        <v/>
      </c>
      <c r="AA1576" s="32"/>
      <c r="AB1576" s="32"/>
      <c r="AC1576" s="32"/>
      <c r="AD1576" s="35" t="str">
        <f aca="false">IF(OR(LEFT(H1576,4)="Meta",LEFT(H1576,6)="Google"),IF(AG1576=3,"Lead calificado",IF(OR(AG1576=4,AG1576=5),"Tasación/visita",IF(OR(AG1576=6,AG1576=7),"Captación/oferta",IF(AG1576=8,"Cierre","")))),"")</f>
        <v/>
      </c>
      <c r="AE1576" s="32"/>
      <c r="AF1576" s="32"/>
      <c r="AG1576" s="37" t="n">
        <f aca="false">IF(R1576="",0,IFERROR(MATCH(R1576,Listas!$L$2:$L$50,0),0))</f>
        <v>0</v>
      </c>
    </row>
    <row r="1577" customFormat="false" ht="15" hidden="false" customHeight="false" outlineLevel="0" collapsed="false">
      <c r="A1577" s="30"/>
      <c r="B1577" s="31"/>
      <c r="C1577" s="32"/>
      <c r="D1577" s="32"/>
      <c r="E1577" s="33"/>
      <c r="F1577" s="32"/>
      <c r="G1577" s="32"/>
      <c r="H1577" s="32"/>
      <c r="I1577" s="32"/>
      <c r="J1577" s="32"/>
      <c r="K1577" s="32"/>
      <c r="L1577" s="32"/>
      <c r="M1577" s="30"/>
      <c r="N1577" s="32"/>
      <c r="O1577" s="34"/>
      <c r="P1577" s="32"/>
      <c r="Q1577" s="32"/>
      <c r="R1577" s="32"/>
      <c r="S1577" s="32"/>
      <c r="T1577" s="32"/>
      <c r="U1577" s="32"/>
      <c r="V1577" s="31"/>
      <c r="W1577" s="35" t="str">
        <f aca="true">IF(OR(V1577="",AG1577&gt;=8),"",IF(V1577&lt;TODAY(),"Vencida",IF(V1577=TODAY(),"Hoy","")))</f>
        <v/>
      </c>
      <c r="X1577" s="36" t="str">
        <f aca="false">IF(A1577="","",IF(COUNTIF(Seguimiento!$B$2:$B$5001,A1577)=0,"",_xlfn.MAXIFS(Seguimiento!$A$2:$A$5001,Seguimiento!$B$2:$B$5001,A1577)))</f>
        <v/>
      </c>
      <c r="Y1577" s="37" t="str">
        <f aca="true">IF(B1577="","",TODAY()-B1577)</f>
        <v/>
      </c>
      <c r="Z1577" s="38" t="str">
        <f aca="false">IF(OR(O1577="",G1577=""),"",O1577*IFERROR(INDEX(Listas!$B$2:$B$50,MATCH(G1577,Listas!$A$2:$A$50,0)),0))</f>
        <v/>
      </c>
      <c r="AA1577" s="32"/>
      <c r="AB1577" s="32"/>
      <c r="AC1577" s="32"/>
      <c r="AD1577" s="35" t="str">
        <f aca="false">IF(OR(LEFT(H1577,4)="Meta",LEFT(H1577,6)="Google"),IF(AG1577=3,"Lead calificado",IF(OR(AG1577=4,AG1577=5),"Tasación/visita",IF(OR(AG1577=6,AG1577=7),"Captación/oferta",IF(AG1577=8,"Cierre","")))),"")</f>
        <v/>
      </c>
      <c r="AE1577" s="32"/>
      <c r="AF1577" s="32"/>
      <c r="AG1577" s="37" t="n">
        <f aca="false">IF(R1577="",0,IFERROR(MATCH(R1577,Listas!$L$2:$L$50,0),0))</f>
        <v>0</v>
      </c>
    </row>
    <row r="1578" customFormat="false" ht="15" hidden="false" customHeight="false" outlineLevel="0" collapsed="false">
      <c r="A1578" s="30"/>
      <c r="B1578" s="31"/>
      <c r="C1578" s="32"/>
      <c r="D1578" s="32"/>
      <c r="E1578" s="33"/>
      <c r="F1578" s="32"/>
      <c r="G1578" s="32"/>
      <c r="H1578" s="32"/>
      <c r="I1578" s="32"/>
      <c r="J1578" s="32"/>
      <c r="K1578" s="32"/>
      <c r="L1578" s="32"/>
      <c r="M1578" s="30"/>
      <c r="N1578" s="32"/>
      <c r="O1578" s="34"/>
      <c r="P1578" s="32"/>
      <c r="Q1578" s="32"/>
      <c r="R1578" s="32"/>
      <c r="S1578" s="32"/>
      <c r="T1578" s="32"/>
      <c r="U1578" s="32"/>
      <c r="V1578" s="31"/>
      <c r="W1578" s="35" t="str">
        <f aca="true">IF(OR(V1578="",AG1578&gt;=8),"",IF(V1578&lt;TODAY(),"Vencida",IF(V1578=TODAY(),"Hoy","")))</f>
        <v/>
      </c>
      <c r="X1578" s="36" t="str">
        <f aca="false">IF(A1578="","",IF(COUNTIF(Seguimiento!$B$2:$B$5001,A1578)=0,"",_xlfn.MAXIFS(Seguimiento!$A$2:$A$5001,Seguimiento!$B$2:$B$5001,A1578)))</f>
        <v/>
      </c>
      <c r="Y1578" s="37" t="str">
        <f aca="true">IF(B1578="","",TODAY()-B1578)</f>
        <v/>
      </c>
      <c r="Z1578" s="38" t="str">
        <f aca="false">IF(OR(O1578="",G1578=""),"",O1578*IFERROR(INDEX(Listas!$B$2:$B$50,MATCH(G1578,Listas!$A$2:$A$50,0)),0))</f>
        <v/>
      </c>
      <c r="AA1578" s="32"/>
      <c r="AB1578" s="32"/>
      <c r="AC1578" s="32"/>
      <c r="AD1578" s="35" t="str">
        <f aca="false">IF(OR(LEFT(H1578,4)="Meta",LEFT(H1578,6)="Google"),IF(AG1578=3,"Lead calificado",IF(OR(AG1578=4,AG1578=5),"Tasación/visita",IF(OR(AG1578=6,AG1578=7),"Captación/oferta",IF(AG1578=8,"Cierre","")))),"")</f>
        <v/>
      </c>
      <c r="AE1578" s="32"/>
      <c r="AF1578" s="32"/>
      <c r="AG1578" s="37" t="n">
        <f aca="false">IF(R1578="",0,IFERROR(MATCH(R1578,Listas!$L$2:$L$50,0),0))</f>
        <v>0</v>
      </c>
    </row>
    <row r="1579" customFormat="false" ht="15" hidden="false" customHeight="false" outlineLevel="0" collapsed="false">
      <c r="A1579" s="30"/>
      <c r="B1579" s="31"/>
      <c r="C1579" s="32"/>
      <c r="D1579" s="32"/>
      <c r="E1579" s="33"/>
      <c r="F1579" s="32"/>
      <c r="G1579" s="32"/>
      <c r="H1579" s="32"/>
      <c r="I1579" s="32"/>
      <c r="J1579" s="32"/>
      <c r="K1579" s="32"/>
      <c r="L1579" s="32"/>
      <c r="M1579" s="30"/>
      <c r="N1579" s="32"/>
      <c r="O1579" s="34"/>
      <c r="P1579" s="32"/>
      <c r="Q1579" s="32"/>
      <c r="R1579" s="32"/>
      <c r="S1579" s="32"/>
      <c r="T1579" s="32"/>
      <c r="U1579" s="32"/>
      <c r="V1579" s="31"/>
      <c r="W1579" s="35" t="str">
        <f aca="true">IF(OR(V1579="",AG1579&gt;=8),"",IF(V1579&lt;TODAY(),"Vencida",IF(V1579=TODAY(),"Hoy","")))</f>
        <v/>
      </c>
      <c r="X1579" s="36" t="str">
        <f aca="false">IF(A1579="","",IF(COUNTIF(Seguimiento!$B$2:$B$5001,A1579)=0,"",_xlfn.MAXIFS(Seguimiento!$A$2:$A$5001,Seguimiento!$B$2:$B$5001,A1579)))</f>
        <v/>
      </c>
      <c r="Y1579" s="37" t="str">
        <f aca="true">IF(B1579="","",TODAY()-B1579)</f>
        <v/>
      </c>
      <c r="Z1579" s="38" t="str">
        <f aca="false">IF(OR(O1579="",G1579=""),"",O1579*IFERROR(INDEX(Listas!$B$2:$B$50,MATCH(G1579,Listas!$A$2:$A$50,0)),0))</f>
        <v/>
      </c>
      <c r="AA1579" s="32"/>
      <c r="AB1579" s="32"/>
      <c r="AC1579" s="32"/>
      <c r="AD1579" s="35" t="str">
        <f aca="false">IF(OR(LEFT(H1579,4)="Meta",LEFT(H1579,6)="Google"),IF(AG1579=3,"Lead calificado",IF(OR(AG1579=4,AG1579=5),"Tasación/visita",IF(OR(AG1579=6,AG1579=7),"Captación/oferta",IF(AG1579=8,"Cierre","")))),"")</f>
        <v/>
      </c>
      <c r="AE1579" s="32"/>
      <c r="AF1579" s="32"/>
      <c r="AG1579" s="37" t="n">
        <f aca="false">IF(R1579="",0,IFERROR(MATCH(R1579,Listas!$L$2:$L$50,0),0))</f>
        <v>0</v>
      </c>
    </row>
    <row r="1580" customFormat="false" ht="15" hidden="false" customHeight="false" outlineLevel="0" collapsed="false">
      <c r="A1580" s="30"/>
      <c r="B1580" s="31"/>
      <c r="C1580" s="32"/>
      <c r="D1580" s="32"/>
      <c r="E1580" s="33"/>
      <c r="F1580" s="32"/>
      <c r="G1580" s="32"/>
      <c r="H1580" s="32"/>
      <c r="I1580" s="32"/>
      <c r="J1580" s="32"/>
      <c r="K1580" s="32"/>
      <c r="L1580" s="32"/>
      <c r="M1580" s="30"/>
      <c r="N1580" s="32"/>
      <c r="O1580" s="34"/>
      <c r="P1580" s="32"/>
      <c r="Q1580" s="32"/>
      <c r="R1580" s="32"/>
      <c r="S1580" s="32"/>
      <c r="T1580" s="32"/>
      <c r="U1580" s="32"/>
      <c r="V1580" s="31"/>
      <c r="W1580" s="35" t="str">
        <f aca="true">IF(OR(V1580="",AG1580&gt;=8),"",IF(V1580&lt;TODAY(),"Vencida",IF(V1580=TODAY(),"Hoy","")))</f>
        <v/>
      </c>
      <c r="X1580" s="36" t="str">
        <f aca="false">IF(A1580="","",IF(COUNTIF(Seguimiento!$B$2:$B$5001,A1580)=0,"",_xlfn.MAXIFS(Seguimiento!$A$2:$A$5001,Seguimiento!$B$2:$B$5001,A1580)))</f>
        <v/>
      </c>
      <c r="Y1580" s="37" t="str">
        <f aca="true">IF(B1580="","",TODAY()-B1580)</f>
        <v/>
      </c>
      <c r="Z1580" s="38" t="str">
        <f aca="false">IF(OR(O1580="",G1580=""),"",O1580*IFERROR(INDEX(Listas!$B$2:$B$50,MATCH(G1580,Listas!$A$2:$A$50,0)),0))</f>
        <v/>
      </c>
      <c r="AA1580" s="32"/>
      <c r="AB1580" s="32"/>
      <c r="AC1580" s="32"/>
      <c r="AD1580" s="35" t="str">
        <f aca="false">IF(OR(LEFT(H1580,4)="Meta",LEFT(H1580,6)="Google"),IF(AG1580=3,"Lead calificado",IF(OR(AG1580=4,AG1580=5),"Tasación/visita",IF(OR(AG1580=6,AG1580=7),"Captación/oferta",IF(AG1580=8,"Cierre","")))),"")</f>
        <v/>
      </c>
      <c r="AE1580" s="32"/>
      <c r="AF1580" s="32"/>
      <c r="AG1580" s="37" t="n">
        <f aca="false">IF(R1580="",0,IFERROR(MATCH(R1580,Listas!$L$2:$L$50,0),0))</f>
        <v>0</v>
      </c>
    </row>
    <row r="1581" customFormat="false" ht="15" hidden="false" customHeight="false" outlineLevel="0" collapsed="false">
      <c r="A1581" s="30"/>
      <c r="B1581" s="31"/>
      <c r="C1581" s="32"/>
      <c r="D1581" s="32"/>
      <c r="E1581" s="33"/>
      <c r="F1581" s="32"/>
      <c r="G1581" s="32"/>
      <c r="H1581" s="32"/>
      <c r="I1581" s="32"/>
      <c r="J1581" s="32"/>
      <c r="K1581" s="32"/>
      <c r="L1581" s="32"/>
      <c r="M1581" s="30"/>
      <c r="N1581" s="32"/>
      <c r="O1581" s="34"/>
      <c r="P1581" s="32"/>
      <c r="Q1581" s="32"/>
      <c r="R1581" s="32"/>
      <c r="S1581" s="32"/>
      <c r="T1581" s="32"/>
      <c r="U1581" s="32"/>
      <c r="V1581" s="31"/>
      <c r="W1581" s="35" t="str">
        <f aca="true">IF(OR(V1581="",AG1581&gt;=8),"",IF(V1581&lt;TODAY(),"Vencida",IF(V1581=TODAY(),"Hoy","")))</f>
        <v/>
      </c>
      <c r="X1581" s="36" t="str">
        <f aca="false">IF(A1581="","",IF(COUNTIF(Seguimiento!$B$2:$B$5001,A1581)=0,"",_xlfn.MAXIFS(Seguimiento!$A$2:$A$5001,Seguimiento!$B$2:$B$5001,A1581)))</f>
        <v/>
      </c>
      <c r="Y1581" s="37" t="str">
        <f aca="true">IF(B1581="","",TODAY()-B1581)</f>
        <v/>
      </c>
      <c r="Z1581" s="38" t="str">
        <f aca="false">IF(OR(O1581="",G1581=""),"",O1581*IFERROR(INDEX(Listas!$B$2:$B$50,MATCH(G1581,Listas!$A$2:$A$50,0)),0))</f>
        <v/>
      </c>
      <c r="AA1581" s="32"/>
      <c r="AB1581" s="32"/>
      <c r="AC1581" s="32"/>
      <c r="AD1581" s="35" t="str">
        <f aca="false">IF(OR(LEFT(H1581,4)="Meta",LEFT(H1581,6)="Google"),IF(AG1581=3,"Lead calificado",IF(OR(AG1581=4,AG1581=5),"Tasación/visita",IF(OR(AG1581=6,AG1581=7),"Captación/oferta",IF(AG1581=8,"Cierre","")))),"")</f>
        <v/>
      </c>
      <c r="AE1581" s="32"/>
      <c r="AF1581" s="32"/>
      <c r="AG1581" s="37" t="n">
        <f aca="false">IF(R1581="",0,IFERROR(MATCH(R1581,Listas!$L$2:$L$50,0),0))</f>
        <v>0</v>
      </c>
    </row>
    <row r="1582" customFormat="false" ht="15" hidden="false" customHeight="false" outlineLevel="0" collapsed="false">
      <c r="A1582" s="30"/>
      <c r="B1582" s="31"/>
      <c r="C1582" s="32"/>
      <c r="D1582" s="32"/>
      <c r="E1582" s="33"/>
      <c r="F1582" s="32"/>
      <c r="G1582" s="32"/>
      <c r="H1582" s="32"/>
      <c r="I1582" s="32"/>
      <c r="J1582" s="32"/>
      <c r="K1582" s="32"/>
      <c r="L1582" s="32"/>
      <c r="M1582" s="30"/>
      <c r="N1582" s="32"/>
      <c r="O1582" s="34"/>
      <c r="P1582" s="32"/>
      <c r="Q1582" s="32"/>
      <c r="R1582" s="32"/>
      <c r="S1582" s="32"/>
      <c r="T1582" s="32"/>
      <c r="U1582" s="32"/>
      <c r="V1582" s="31"/>
      <c r="W1582" s="35" t="str">
        <f aca="true">IF(OR(V1582="",AG1582&gt;=8),"",IF(V1582&lt;TODAY(),"Vencida",IF(V1582=TODAY(),"Hoy","")))</f>
        <v/>
      </c>
      <c r="X1582" s="36" t="str">
        <f aca="false">IF(A1582="","",IF(COUNTIF(Seguimiento!$B$2:$B$5001,A1582)=0,"",_xlfn.MAXIFS(Seguimiento!$A$2:$A$5001,Seguimiento!$B$2:$B$5001,A1582)))</f>
        <v/>
      </c>
      <c r="Y1582" s="37" t="str">
        <f aca="true">IF(B1582="","",TODAY()-B1582)</f>
        <v/>
      </c>
      <c r="Z1582" s="38" t="str">
        <f aca="false">IF(OR(O1582="",G1582=""),"",O1582*IFERROR(INDEX(Listas!$B$2:$B$50,MATCH(G1582,Listas!$A$2:$A$50,0)),0))</f>
        <v/>
      </c>
      <c r="AA1582" s="32"/>
      <c r="AB1582" s="32"/>
      <c r="AC1582" s="32"/>
      <c r="AD1582" s="35" t="str">
        <f aca="false">IF(OR(LEFT(H1582,4)="Meta",LEFT(H1582,6)="Google"),IF(AG1582=3,"Lead calificado",IF(OR(AG1582=4,AG1582=5),"Tasación/visita",IF(OR(AG1582=6,AG1582=7),"Captación/oferta",IF(AG1582=8,"Cierre","")))),"")</f>
        <v/>
      </c>
      <c r="AE1582" s="32"/>
      <c r="AF1582" s="32"/>
      <c r="AG1582" s="37" t="n">
        <f aca="false">IF(R1582="",0,IFERROR(MATCH(R1582,Listas!$L$2:$L$50,0),0))</f>
        <v>0</v>
      </c>
    </row>
    <row r="1583" customFormat="false" ht="15" hidden="false" customHeight="false" outlineLevel="0" collapsed="false">
      <c r="A1583" s="30"/>
      <c r="B1583" s="31"/>
      <c r="C1583" s="32"/>
      <c r="D1583" s="32"/>
      <c r="E1583" s="33"/>
      <c r="F1583" s="32"/>
      <c r="G1583" s="32"/>
      <c r="H1583" s="32"/>
      <c r="I1583" s="32"/>
      <c r="J1583" s="32"/>
      <c r="K1583" s="32"/>
      <c r="L1583" s="32"/>
      <c r="M1583" s="30"/>
      <c r="N1583" s="32"/>
      <c r="O1583" s="34"/>
      <c r="P1583" s="32"/>
      <c r="Q1583" s="32"/>
      <c r="R1583" s="32"/>
      <c r="S1583" s="32"/>
      <c r="T1583" s="32"/>
      <c r="U1583" s="32"/>
      <c r="V1583" s="31"/>
      <c r="W1583" s="35" t="str">
        <f aca="true">IF(OR(V1583="",AG1583&gt;=8),"",IF(V1583&lt;TODAY(),"Vencida",IF(V1583=TODAY(),"Hoy","")))</f>
        <v/>
      </c>
      <c r="X1583" s="36" t="str">
        <f aca="false">IF(A1583="","",IF(COUNTIF(Seguimiento!$B$2:$B$5001,A1583)=0,"",_xlfn.MAXIFS(Seguimiento!$A$2:$A$5001,Seguimiento!$B$2:$B$5001,A1583)))</f>
        <v/>
      </c>
      <c r="Y1583" s="37" t="str">
        <f aca="true">IF(B1583="","",TODAY()-B1583)</f>
        <v/>
      </c>
      <c r="Z1583" s="38" t="str">
        <f aca="false">IF(OR(O1583="",G1583=""),"",O1583*IFERROR(INDEX(Listas!$B$2:$B$50,MATCH(G1583,Listas!$A$2:$A$50,0)),0))</f>
        <v/>
      </c>
      <c r="AA1583" s="32"/>
      <c r="AB1583" s="32"/>
      <c r="AC1583" s="32"/>
      <c r="AD1583" s="35" t="str">
        <f aca="false">IF(OR(LEFT(H1583,4)="Meta",LEFT(H1583,6)="Google"),IF(AG1583=3,"Lead calificado",IF(OR(AG1583=4,AG1583=5),"Tasación/visita",IF(OR(AG1583=6,AG1583=7),"Captación/oferta",IF(AG1583=8,"Cierre","")))),"")</f>
        <v/>
      </c>
      <c r="AE1583" s="32"/>
      <c r="AF1583" s="32"/>
      <c r="AG1583" s="37" t="n">
        <f aca="false">IF(R1583="",0,IFERROR(MATCH(R1583,Listas!$L$2:$L$50,0),0))</f>
        <v>0</v>
      </c>
    </row>
    <row r="1584" customFormat="false" ht="15" hidden="false" customHeight="false" outlineLevel="0" collapsed="false">
      <c r="A1584" s="30"/>
      <c r="B1584" s="31"/>
      <c r="C1584" s="32"/>
      <c r="D1584" s="32"/>
      <c r="E1584" s="33"/>
      <c r="F1584" s="32"/>
      <c r="G1584" s="32"/>
      <c r="H1584" s="32"/>
      <c r="I1584" s="32"/>
      <c r="J1584" s="32"/>
      <c r="K1584" s="32"/>
      <c r="L1584" s="32"/>
      <c r="M1584" s="30"/>
      <c r="N1584" s="32"/>
      <c r="O1584" s="34"/>
      <c r="P1584" s="32"/>
      <c r="Q1584" s="32"/>
      <c r="R1584" s="32"/>
      <c r="S1584" s="32"/>
      <c r="T1584" s="32"/>
      <c r="U1584" s="32"/>
      <c r="V1584" s="31"/>
      <c r="W1584" s="35" t="str">
        <f aca="true">IF(OR(V1584="",AG1584&gt;=8),"",IF(V1584&lt;TODAY(),"Vencida",IF(V1584=TODAY(),"Hoy","")))</f>
        <v/>
      </c>
      <c r="X1584" s="36" t="str">
        <f aca="false">IF(A1584="","",IF(COUNTIF(Seguimiento!$B$2:$B$5001,A1584)=0,"",_xlfn.MAXIFS(Seguimiento!$A$2:$A$5001,Seguimiento!$B$2:$B$5001,A1584)))</f>
        <v/>
      </c>
      <c r="Y1584" s="37" t="str">
        <f aca="true">IF(B1584="","",TODAY()-B1584)</f>
        <v/>
      </c>
      <c r="Z1584" s="38" t="str">
        <f aca="false">IF(OR(O1584="",G1584=""),"",O1584*IFERROR(INDEX(Listas!$B$2:$B$50,MATCH(G1584,Listas!$A$2:$A$50,0)),0))</f>
        <v/>
      </c>
      <c r="AA1584" s="32"/>
      <c r="AB1584" s="32"/>
      <c r="AC1584" s="32"/>
      <c r="AD1584" s="35" t="str">
        <f aca="false">IF(OR(LEFT(H1584,4)="Meta",LEFT(H1584,6)="Google"),IF(AG1584=3,"Lead calificado",IF(OR(AG1584=4,AG1584=5),"Tasación/visita",IF(OR(AG1584=6,AG1584=7),"Captación/oferta",IF(AG1584=8,"Cierre","")))),"")</f>
        <v/>
      </c>
      <c r="AE1584" s="32"/>
      <c r="AF1584" s="32"/>
      <c r="AG1584" s="37" t="n">
        <f aca="false">IF(R1584="",0,IFERROR(MATCH(R1584,Listas!$L$2:$L$50,0),0))</f>
        <v>0</v>
      </c>
    </row>
    <row r="1585" customFormat="false" ht="15" hidden="false" customHeight="false" outlineLevel="0" collapsed="false">
      <c r="A1585" s="30"/>
      <c r="B1585" s="31"/>
      <c r="C1585" s="32"/>
      <c r="D1585" s="32"/>
      <c r="E1585" s="33"/>
      <c r="F1585" s="32"/>
      <c r="G1585" s="32"/>
      <c r="H1585" s="32"/>
      <c r="I1585" s="32"/>
      <c r="J1585" s="32"/>
      <c r="K1585" s="32"/>
      <c r="L1585" s="32"/>
      <c r="M1585" s="30"/>
      <c r="N1585" s="32"/>
      <c r="O1585" s="34"/>
      <c r="P1585" s="32"/>
      <c r="Q1585" s="32"/>
      <c r="R1585" s="32"/>
      <c r="S1585" s="32"/>
      <c r="T1585" s="32"/>
      <c r="U1585" s="32"/>
      <c r="V1585" s="31"/>
      <c r="W1585" s="35" t="str">
        <f aca="true">IF(OR(V1585="",AG1585&gt;=8),"",IF(V1585&lt;TODAY(),"Vencida",IF(V1585=TODAY(),"Hoy","")))</f>
        <v/>
      </c>
      <c r="X1585" s="36" t="str">
        <f aca="false">IF(A1585="","",IF(COUNTIF(Seguimiento!$B$2:$B$5001,A1585)=0,"",_xlfn.MAXIFS(Seguimiento!$A$2:$A$5001,Seguimiento!$B$2:$B$5001,A1585)))</f>
        <v/>
      </c>
      <c r="Y1585" s="37" t="str">
        <f aca="true">IF(B1585="","",TODAY()-B1585)</f>
        <v/>
      </c>
      <c r="Z1585" s="38" t="str">
        <f aca="false">IF(OR(O1585="",G1585=""),"",O1585*IFERROR(INDEX(Listas!$B$2:$B$50,MATCH(G1585,Listas!$A$2:$A$50,0)),0))</f>
        <v/>
      </c>
      <c r="AA1585" s="32"/>
      <c r="AB1585" s="32"/>
      <c r="AC1585" s="32"/>
      <c r="AD1585" s="35" t="str">
        <f aca="false">IF(OR(LEFT(H1585,4)="Meta",LEFT(H1585,6)="Google"),IF(AG1585=3,"Lead calificado",IF(OR(AG1585=4,AG1585=5),"Tasación/visita",IF(OR(AG1585=6,AG1585=7),"Captación/oferta",IF(AG1585=8,"Cierre","")))),"")</f>
        <v/>
      </c>
      <c r="AE1585" s="32"/>
      <c r="AF1585" s="32"/>
      <c r="AG1585" s="37" t="n">
        <f aca="false">IF(R1585="",0,IFERROR(MATCH(R1585,Listas!$L$2:$L$50,0),0))</f>
        <v>0</v>
      </c>
    </row>
    <row r="1586" customFormat="false" ht="15" hidden="false" customHeight="false" outlineLevel="0" collapsed="false">
      <c r="A1586" s="30"/>
      <c r="B1586" s="31"/>
      <c r="C1586" s="32"/>
      <c r="D1586" s="32"/>
      <c r="E1586" s="33"/>
      <c r="F1586" s="32"/>
      <c r="G1586" s="32"/>
      <c r="H1586" s="32"/>
      <c r="I1586" s="32"/>
      <c r="J1586" s="32"/>
      <c r="K1586" s="32"/>
      <c r="L1586" s="32"/>
      <c r="M1586" s="30"/>
      <c r="N1586" s="32"/>
      <c r="O1586" s="34"/>
      <c r="P1586" s="32"/>
      <c r="Q1586" s="32"/>
      <c r="R1586" s="32"/>
      <c r="S1586" s="32"/>
      <c r="T1586" s="32"/>
      <c r="U1586" s="32"/>
      <c r="V1586" s="31"/>
      <c r="W1586" s="35" t="str">
        <f aca="true">IF(OR(V1586="",AG1586&gt;=8),"",IF(V1586&lt;TODAY(),"Vencida",IF(V1586=TODAY(),"Hoy","")))</f>
        <v/>
      </c>
      <c r="X1586" s="36" t="str">
        <f aca="false">IF(A1586="","",IF(COUNTIF(Seguimiento!$B$2:$B$5001,A1586)=0,"",_xlfn.MAXIFS(Seguimiento!$A$2:$A$5001,Seguimiento!$B$2:$B$5001,A1586)))</f>
        <v/>
      </c>
      <c r="Y1586" s="37" t="str">
        <f aca="true">IF(B1586="","",TODAY()-B1586)</f>
        <v/>
      </c>
      <c r="Z1586" s="38" t="str">
        <f aca="false">IF(OR(O1586="",G1586=""),"",O1586*IFERROR(INDEX(Listas!$B$2:$B$50,MATCH(G1586,Listas!$A$2:$A$50,0)),0))</f>
        <v/>
      </c>
      <c r="AA1586" s="32"/>
      <c r="AB1586" s="32"/>
      <c r="AC1586" s="32"/>
      <c r="AD1586" s="35" t="str">
        <f aca="false">IF(OR(LEFT(H1586,4)="Meta",LEFT(H1586,6)="Google"),IF(AG1586=3,"Lead calificado",IF(OR(AG1586=4,AG1586=5),"Tasación/visita",IF(OR(AG1586=6,AG1586=7),"Captación/oferta",IF(AG1586=8,"Cierre","")))),"")</f>
        <v/>
      </c>
      <c r="AE1586" s="32"/>
      <c r="AF1586" s="32"/>
      <c r="AG1586" s="37" t="n">
        <f aca="false">IF(R1586="",0,IFERROR(MATCH(R1586,Listas!$L$2:$L$50,0),0))</f>
        <v>0</v>
      </c>
    </row>
    <row r="1587" customFormat="false" ht="15" hidden="false" customHeight="false" outlineLevel="0" collapsed="false">
      <c r="A1587" s="30"/>
      <c r="B1587" s="31"/>
      <c r="C1587" s="32"/>
      <c r="D1587" s="32"/>
      <c r="E1587" s="33"/>
      <c r="F1587" s="32"/>
      <c r="G1587" s="32"/>
      <c r="H1587" s="32"/>
      <c r="I1587" s="32"/>
      <c r="J1587" s="32"/>
      <c r="K1587" s="32"/>
      <c r="L1587" s="32"/>
      <c r="M1587" s="30"/>
      <c r="N1587" s="32"/>
      <c r="O1587" s="34"/>
      <c r="P1587" s="32"/>
      <c r="Q1587" s="32"/>
      <c r="R1587" s="32"/>
      <c r="S1587" s="32"/>
      <c r="T1587" s="32"/>
      <c r="U1587" s="32"/>
      <c r="V1587" s="31"/>
      <c r="W1587" s="35" t="str">
        <f aca="true">IF(OR(V1587="",AG1587&gt;=8),"",IF(V1587&lt;TODAY(),"Vencida",IF(V1587=TODAY(),"Hoy","")))</f>
        <v/>
      </c>
      <c r="X1587" s="36" t="str">
        <f aca="false">IF(A1587="","",IF(COUNTIF(Seguimiento!$B$2:$B$5001,A1587)=0,"",_xlfn.MAXIFS(Seguimiento!$A$2:$A$5001,Seguimiento!$B$2:$B$5001,A1587)))</f>
        <v/>
      </c>
      <c r="Y1587" s="37" t="str">
        <f aca="true">IF(B1587="","",TODAY()-B1587)</f>
        <v/>
      </c>
      <c r="Z1587" s="38" t="str">
        <f aca="false">IF(OR(O1587="",G1587=""),"",O1587*IFERROR(INDEX(Listas!$B$2:$B$50,MATCH(G1587,Listas!$A$2:$A$50,0)),0))</f>
        <v/>
      </c>
      <c r="AA1587" s="32"/>
      <c r="AB1587" s="32"/>
      <c r="AC1587" s="32"/>
      <c r="AD1587" s="35" t="str">
        <f aca="false">IF(OR(LEFT(H1587,4)="Meta",LEFT(H1587,6)="Google"),IF(AG1587=3,"Lead calificado",IF(OR(AG1587=4,AG1587=5),"Tasación/visita",IF(OR(AG1587=6,AG1587=7),"Captación/oferta",IF(AG1587=8,"Cierre","")))),"")</f>
        <v/>
      </c>
      <c r="AE1587" s="32"/>
      <c r="AF1587" s="32"/>
      <c r="AG1587" s="37" t="n">
        <f aca="false">IF(R1587="",0,IFERROR(MATCH(R1587,Listas!$L$2:$L$50,0),0))</f>
        <v>0</v>
      </c>
    </row>
    <row r="1588" customFormat="false" ht="15" hidden="false" customHeight="false" outlineLevel="0" collapsed="false">
      <c r="A1588" s="30"/>
      <c r="B1588" s="31"/>
      <c r="C1588" s="32"/>
      <c r="D1588" s="32"/>
      <c r="E1588" s="33"/>
      <c r="F1588" s="32"/>
      <c r="G1588" s="32"/>
      <c r="H1588" s="32"/>
      <c r="I1588" s="32"/>
      <c r="J1588" s="32"/>
      <c r="K1588" s="32"/>
      <c r="L1588" s="32"/>
      <c r="M1588" s="30"/>
      <c r="N1588" s="32"/>
      <c r="O1588" s="34"/>
      <c r="P1588" s="32"/>
      <c r="Q1588" s="32"/>
      <c r="R1588" s="32"/>
      <c r="S1588" s="32"/>
      <c r="T1588" s="32"/>
      <c r="U1588" s="32"/>
      <c r="V1588" s="31"/>
      <c r="W1588" s="35" t="str">
        <f aca="true">IF(OR(V1588="",AG1588&gt;=8),"",IF(V1588&lt;TODAY(),"Vencida",IF(V1588=TODAY(),"Hoy","")))</f>
        <v/>
      </c>
      <c r="X1588" s="36" t="str">
        <f aca="false">IF(A1588="","",IF(COUNTIF(Seguimiento!$B$2:$B$5001,A1588)=0,"",_xlfn.MAXIFS(Seguimiento!$A$2:$A$5001,Seguimiento!$B$2:$B$5001,A1588)))</f>
        <v/>
      </c>
      <c r="Y1588" s="37" t="str">
        <f aca="true">IF(B1588="","",TODAY()-B1588)</f>
        <v/>
      </c>
      <c r="Z1588" s="38" t="str">
        <f aca="false">IF(OR(O1588="",G1588=""),"",O1588*IFERROR(INDEX(Listas!$B$2:$B$50,MATCH(G1588,Listas!$A$2:$A$50,0)),0))</f>
        <v/>
      </c>
      <c r="AA1588" s="32"/>
      <c r="AB1588" s="32"/>
      <c r="AC1588" s="32"/>
      <c r="AD1588" s="35" t="str">
        <f aca="false">IF(OR(LEFT(H1588,4)="Meta",LEFT(H1588,6)="Google"),IF(AG1588=3,"Lead calificado",IF(OR(AG1588=4,AG1588=5),"Tasación/visita",IF(OR(AG1588=6,AG1588=7),"Captación/oferta",IF(AG1588=8,"Cierre","")))),"")</f>
        <v/>
      </c>
      <c r="AE1588" s="32"/>
      <c r="AF1588" s="32"/>
      <c r="AG1588" s="37" t="n">
        <f aca="false">IF(R1588="",0,IFERROR(MATCH(R1588,Listas!$L$2:$L$50,0),0))</f>
        <v>0</v>
      </c>
    </row>
    <row r="1589" customFormat="false" ht="15" hidden="false" customHeight="false" outlineLevel="0" collapsed="false">
      <c r="A1589" s="30"/>
      <c r="B1589" s="31"/>
      <c r="C1589" s="32"/>
      <c r="D1589" s="32"/>
      <c r="E1589" s="33"/>
      <c r="F1589" s="32"/>
      <c r="G1589" s="32"/>
      <c r="H1589" s="32"/>
      <c r="I1589" s="32"/>
      <c r="J1589" s="32"/>
      <c r="K1589" s="32"/>
      <c r="L1589" s="32"/>
      <c r="M1589" s="30"/>
      <c r="N1589" s="32"/>
      <c r="O1589" s="34"/>
      <c r="P1589" s="32"/>
      <c r="Q1589" s="32"/>
      <c r="R1589" s="32"/>
      <c r="S1589" s="32"/>
      <c r="T1589" s="32"/>
      <c r="U1589" s="32"/>
      <c r="V1589" s="31"/>
      <c r="W1589" s="35" t="str">
        <f aca="true">IF(OR(V1589="",AG1589&gt;=8),"",IF(V1589&lt;TODAY(),"Vencida",IF(V1589=TODAY(),"Hoy","")))</f>
        <v/>
      </c>
      <c r="X1589" s="36" t="str">
        <f aca="false">IF(A1589="","",IF(COUNTIF(Seguimiento!$B$2:$B$5001,A1589)=0,"",_xlfn.MAXIFS(Seguimiento!$A$2:$A$5001,Seguimiento!$B$2:$B$5001,A1589)))</f>
        <v/>
      </c>
      <c r="Y1589" s="37" t="str">
        <f aca="true">IF(B1589="","",TODAY()-B1589)</f>
        <v/>
      </c>
      <c r="Z1589" s="38" t="str">
        <f aca="false">IF(OR(O1589="",G1589=""),"",O1589*IFERROR(INDEX(Listas!$B$2:$B$50,MATCH(G1589,Listas!$A$2:$A$50,0)),0))</f>
        <v/>
      </c>
      <c r="AA1589" s="32"/>
      <c r="AB1589" s="32"/>
      <c r="AC1589" s="32"/>
      <c r="AD1589" s="35" t="str">
        <f aca="false">IF(OR(LEFT(H1589,4)="Meta",LEFT(H1589,6)="Google"),IF(AG1589=3,"Lead calificado",IF(OR(AG1589=4,AG1589=5),"Tasación/visita",IF(OR(AG1589=6,AG1589=7),"Captación/oferta",IF(AG1589=8,"Cierre","")))),"")</f>
        <v/>
      </c>
      <c r="AE1589" s="32"/>
      <c r="AF1589" s="32"/>
      <c r="AG1589" s="37" t="n">
        <f aca="false">IF(R1589="",0,IFERROR(MATCH(R1589,Listas!$L$2:$L$50,0),0))</f>
        <v>0</v>
      </c>
    </row>
    <row r="1590" customFormat="false" ht="15" hidden="false" customHeight="false" outlineLevel="0" collapsed="false">
      <c r="A1590" s="30"/>
      <c r="B1590" s="31"/>
      <c r="C1590" s="32"/>
      <c r="D1590" s="32"/>
      <c r="E1590" s="33"/>
      <c r="F1590" s="32"/>
      <c r="G1590" s="32"/>
      <c r="H1590" s="32"/>
      <c r="I1590" s="32"/>
      <c r="J1590" s="32"/>
      <c r="K1590" s="32"/>
      <c r="L1590" s="32"/>
      <c r="M1590" s="30"/>
      <c r="N1590" s="32"/>
      <c r="O1590" s="34"/>
      <c r="P1590" s="32"/>
      <c r="Q1590" s="32"/>
      <c r="R1590" s="32"/>
      <c r="S1590" s="32"/>
      <c r="T1590" s="32"/>
      <c r="U1590" s="32"/>
      <c r="V1590" s="31"/>
      <c r="W1590" s="35" t="str">
        <f aca="true">IF(OR(V1590="",AG1590&gt;=8),"",IF(V1590&lt;TODAY(),"Vencida",IF(V1590=TODAY(),"Hoy","")))</f>
        <v/>
      </c>
      <c r="X1590" s="36" t="str">
        <f aca="false">IF(A1590="","",IF(COUNTIF(Seguimiento!$B$2:$B$5001,A1590)=0,"",_xlfn.MAXIFS(Seguimiento!$A$2:$A$5001,Seguimiento!$B$2:$B$5001,A1590)))</f>
        <v/>
      </c>
      <c r="Y1590" s="37" t="str">
        <f aca="true">IF(B1590="","",TODAY()-B1590)</f>
        <v/>
      </c>
      <c r="Z1590" s="38" t="str">
        <f aca="false">IF(OR(O1590="",G1590=""),"",O1590*IFERROR(INDEX(Listas!$B$2:$B$50,MATCH(G1590,Listas!$A$2:$A$50,0)),0))</f>
        <v/>
      </c>
      <c r="AA1590" s="32"/>
      <c r="AB1590" s="32"/>
      <c r="AC1590" s="32"/>
      <c r="AD1590" s="35" t="str">
        <f aca="false">IF(OR(LEFT(H1590,4)="Meta",LEFT(H1590,6)="Google"),IF(AG1590=3,"Lead calificado",IF(OR(AG1590=4,AG1590=5),"Tasación/visita",IF(OR(AG1590=6,AG1590=7),"Captación/oferta",IF(AG1590=8,"Cierre","")))),"")</f>
        <v/>
      </c>
      <c r="AE1590" s="32"/>
      <c r="AF1590" s="32"/>
      <c r="AG1590" s="37" t="n">
        <f aca="false">IF(R1590="",0,IFERROR(MATCH(R1590,Listas!$L$2:$L$50,0),0))</f>
        <v>0</v>
      </c>
    </row>
    <row r="1591" customFormat="false" ht="15" hidden="false" customHeight="false" outlineLevel="0" collapsed="false">
      <c r="A1591" s="30"/>
      <c r="B1591" s="31"/>
      <c r="C1591" s="32"/>
      <c r="D1591" s="32"/>
      <c r="E1591" s="33"/>
      <c r="F1591" s="32"/>
      <c r="G1591" s="32"/>
      <c r="H1591" s="32"/>
      <c r="I1591" s="32"/>
      <c r="J1591" s="32"/>
      <c r="K1591" s="32"/>
      <c r="L1591" s="32"/>
      <c r="M1591" s="30"/>
      <c r="N1591" s="32"/>
      <c r="O1591" s="34"/>
      <c r="P1591" s="32"/>
      <c r="Q1591" s="32"/>
      <c r="R1591" s="32"/>
      <c r="S1591" s="32"/>
      <c r="T1591" s="32"/>
      <c r="U1591" s="32"/>
      <c r="V1591" s="31"/>
      <c r="W1591" s="35" t="str">
        <f aca="true">IF(OR(V1591="",AG1591&gt;=8),"",IF(V1591&lt;TODAY(),"Vencida",IF(V1591=TODAY(),"Hoy","")))</f>
        <v/>
      </c>
      <c r="X1591" s="36" t="str">
        <f aca="false">IF(A1591="","",IF(COUNTIF(Seguimiento!$B$2:$B$5001,A1591)=0,"",_xlfn.MAXIFS(Seguimiento!$A$2:$A$5001,Seguimiento!$B$2:$B$5001,A1591)))</f>
        <v/>
      </c>
      <c r="Y1591" s="37" t="str">
        <f aca="true">IF(B1591="","",TODAY()-B1591)</f>
        <v/>
      </c>
      <c r="Z1591" s="38" t="str">
        <f aca="false">IF(OR(O1591="",G1591=""),"",O1591*IFERROR(INDEX(Listas!$B$2:$B$50,MATCH(G1591,Listas!$A$2:$A$50,0)),0))</f>
        <v/>
      </c>
      <c r="AA1591" s="32"/>
      <c r="AB1591" s="32"/>
      <c r="AC1591" s="32"/>
      <c r="AD1591" s="35" t="str">
        <f aca="false">IF(OR(LEFT(H1591,4)="Meta",LEFT(H1591,6)="Google"),IF(AG1591=3,"Lead calificado",IF(OR(AG1591=4,AG1591=5),"Tasación/visita",IF(OR(AG1591=6,AG1591=7),"Captación/oferta",IF(AG1591=8,"Cierre","")))),"")</f>
        <v/>
      </c>
      <c r="AE1591" s="32"/>
      <c r="AF1591" s="32"/>
      <c r="AG1591" s="37" t="n">
        <f aca="false">IF(R1591="",0,IFERROR(MATCH(R1591,Listas!$L$2:$L$50,0),0))</f>
        <v>0</v>
      </c>
    </row>
    <row r="1592" customFormat="false" ht="15" hidden="false" customHeight="false" outlineLevel="0" collapsed="false">
      <c r="A1592" s="30"/>
      <c r="B1592" s="31"/>
      <c r="C1592" s="32"/>
      <c r="D1592" s="32"/>
      <c r="E1592" s="33"/>
      <c r="F1592" s="32"/>
      <c r="G1592" s="32"/>
      <c r="H1592" s="32"/>
      <c r="I1592" s="32"/>
      <c r="J1592" s="32"/>
      <c r="K1592" s="32"/>
      <c r="L1592" s="32"/>
      <c r="M1592" s="30"/>
      <c r="N1592" s="32"/>
      <c r="O1592" s="34"/>
      <c r="P1592" s="32"/>
      <c r="Q1592" s="32"/>
      <c r="R1592" s="32"/>
      <c r="S1592" s="32"/>
      <c r="T1592" s="32"/>
      <c r="U1592" s="32"/>
      <c r="V1592" s="31"/>
      <c r="W1592" s="35" t="str">
        <f aca="true">IF(OR(V1592="",AG1592&gt;=8),"",IF(V1592&lt;TODAY(),"Vencida",IF(V1592=TODAY(),"Hoy","")))</f>
        <v/>
      </c>
      <c r="X1592" s="36" t="str">
        <f aca="false">IF(A1592="","",IF(COUNTIF(Seguimiento!$B$2:$B$5001,A1592)=0,"",_xlfn.MAXIFS(Seguimiento!$A$2:$A$5001,Seguimiento!$B$2:$B$5001,A1592)))</f>
        <v/>
      </c>
      <c r="Y1592" s="37" t="str">
        <f aca="true">IF(B1592="","",TODAY()-B1592)</f>
        <v/>
      </c>
      <c r="Z1592" s="38" t="str">
        <f aca="false">IF(OR(O1592="",G1592=""),"",O1592*IFERROR(INDEX(Listas!$B$2:$B$50,MATCH(G1592,Listas!$A$2:$A$50,0)),0))</f>
        <v/>
      </c>
      <c r="AA1592" s="32"/>
      <c r="AB1592" s="32"/>
      <c r="AC1592" s="32"/>
      <c r="AD1592" s="35" t="str">
        <f aca="false">IF(OR(LEFT(H1592,4)="Meta",LEFT(H1592,6)="Google"),IF(AG1592=3,"Lead calificado",IF(OR(AG1592=4,AG1592=5),"Tasación/visita",IF(OR(AG1592=6,AG1592=7),"Captación/oferta",IF(AG1592=8,"Cierre","")))),"")</f>
        <v/>
      </c>
      <c r="AE1592" s="32"/>
      <c r="AF1592" s="32"/>
      <c r="AG1592" s="37" t="n">
        <f aca="false">IF(R1592="",0,IFERROR(MATCH(R1592,Listas!$L$2:$L$50,0),0))</f>
        <v>0</v>
      </c>
    </row>
    <row r="1593" customFormat="false" ht="15" hidden="false" customHeight="false" outlineLevel="0" collapsed="false">
      <c r="A1593" s="30"/>
      <c r="B1593" s="31"/>
      <c r="C1593" s="32"/>
      <c r="D1593" s="32"/>
      <c r="E1593" s="33"/>
      <c r="F1593" s="32"/>
      <c r="G1593" s="32"/>
      <c r="H1593" s="32"/>
      <c r="I1593" s="32"/>
      <c r="J1593" s="32"/>
      <c r="K1593" s="32"/>
      <c r="L1593" s="32"/>
      <c r="M1593" s="30"/>
      <c r="N1593" s="32"/>
      <c r="O1593" s="34"/>
      <c r="P1593" s="32"/>
      <c r="Q1593" s="32"/>
      <c r="R1593" s="32"/>
      <c r="S1593" s="32"/>
      <c r="T1593" s="32"/>
      <c r="U1593" s="32"/>
      <c r="V1593" s="31"/>
      <c r="W1593" s="35" t="str">
        <f aca="true">IF(OR(V1593="",AG1593&gt;=8),"",IF(V1593&lt;TODAY(),"Vencida",IF(V1593=TODAY(),"Hoy","")))</f>
        <v/>
      </c>
      <c r="X1593" s="36" t="str">
        <f aca="false">IF(A1593="","",IF(COUNTIF(Seguimiento!$B$2:$B$5001,A1593)=0,"",_xlfn.MAXIFS(Seguimiento!$A$2:$A$5001,Seguimiento!$B$2:$B$5001,A1593)))</f>
        <v/>
      </c>
      <c r="Y1593" s="37" t="str">
        <f aca="true">IF(B1593="","",TODAY()-B1593)</f>
        <v/>
      </c>
      <c r="Z1593" s="38" t="str">
        <f aca="false">IF(OR(O1593="",G1593=""),"",O1593*IFERROR(INDEX(Listas!$B$2:$B$50,MATCH(G1593,Listas!$A$2:$A$50,0)),0))</f>
        <v/>
      </c>
      <c r="AA1593" s="32"/>
      <c r="AB1593" s="32"/>
      <c r="AC1593" s="32"/>
      <c r="AD1593" s="35" t="str">
        <f aca="false">IF(OR(LEFT(H1593,4)="Meta",LEFT(H1593,6)="Google"),IF(AG1593=3,"Lead calificado",IF(OR(AG1593=4,AG1593=5),"Tasación/visita",IF(OR(AG1593=6,AG1593=7),"Captación/oferta",IF(AG1593=8,"Cierre","")))),"")</f>
        <v/>
      </c>
      <c r="AE1593" s="32"/>
      <c r="AF1593" s="32"/>
      <c r="AG1593" s="37" t="n">
        <f aca="false">IF(R1593="",0,IFERROR(MATCH(R1593,Listas!$L$2:$L$50,0),0))</f>
        <v>0</v>
      </c>
    </row>
    <row r="1594" customFormat="false" ht="15" hidden="false" customHeight="false" outlineLevel="0" collapsed="false">
      <c r="A1594" s="30"/>
      <c r="B1594" s="31"/>
      <c r="C1594" s="32"/>
      <c r="D1594" s="32"/>
      <c r="E1594" s="33"/>
      <c r="F1594" s="32"/>
      <c r="G1594" s="32"/>
      <c r="H1594" s="32"/>
      <c r="I1594" s="32"/>
      <c r="J1594" s="32"/>
      <c r="K1594" s="32"/>
      <c r="L1594" s="32"/>
      <c r="M1594" s="30"/>
      <c r="N1594" s="32"/>
      <c r="O1594" s="34"/>
      <c r="P1594" s="32"/>
      <c r="Q1594" s="32"/>
      <c r="R1594" s="32"/>
      <c r="S1594" s="32"/>
      <c r="T1594" s="32"/>
      <c r="U1594" s="32"/>
      <c r="V1594" s="31"/>
      <c r="W1594" s="35" t="str">
        <f aca="true">IF(OR(V1594="",AG1594&gt;=8),"",IF(V1594&lt;TODAY(),"Vencida",IF(V1594=TODAY(),"Hoy","")))</f>
        <v/>
      </c>
      <c r="X1594" s="36" t="str">
        <f aca="false">IF(A1594="","",IF(COUNTIF(Seguimiento!$B$2:$B$5001,A1594)=0,"",_xlfn.MAXIFS(Seguimiento!$A$2:$A$5001,Seguimiento!$B$2:$B$5001,A1594)))</f>
        <v/>
      </c>
      <c r="Y1594" s="37" t="str">
        <f aca="true">IF(B1594="","",TODAY()-B1594)</f>
        <v/>
      </c>
      <c r="Z1594" s="38" t="str">
        <f aca="false">IF(OR(O1594="",G1594=""),"",O1594*IFERROR(INDEX(Listas!$B$2:$B$50,MATCH(G1594,Listas!$A$2:$A$50,0)),0))</f>
        <v/>
      </c>
      <c r="AA1594" s="32"/>
      <c r="AB1594" s="32"/>
      <c r="AC1594" s="32"/>
      <c r="AD1594" s="35" t="str">
        <f aca="false">IF(OR(LEFT(H1594,4)="Meta",LEFT(H1594,6)="Google"),IF(AG1594=3,"Lead calificado",IF(OR(AG1594=4,AG1594=5),"Tasación/visita",IF(OR(AG1594=6,AG1594=7),"Captación/oferta",IF(AG1594=8,"Cierre","")))),"")</f>
        <v/>
      </c>
      <c r="AE1594" s="32"/>
      <c r="AF1594" s="32"/>
      <c r="AG1594" s="37" t="n">
        <f aca="false">IF(R1594="",0,IFERROR(MATCH(R1594,Listas!$L$2:$L$50,0),0))</f>
        <v>0</v>
      </c>
    </row>
    <row r="1595" customFormat="false" ht="15" hidden="false" customHeight="false" outlineLevel="0" collapsed="false">
      <c r="A1595" s="30"/>
      <c r="B1595" s="31"/>
      <c r="C1595" s="32"/>
      <c r="D1595" s="32"/>
      <c r="E1595" s="33"/>
      <c r="F1595" s="32"/>
      <c r="G1595" s="32"/>
      <c r="H1595" s="32"/>
      <c r="I1595" s="32"/>
      <c r="J1595" s="32"/>
      <c r="K1595" s="32"/>
      <c r="L1595" s="32"/>
      <c r="M1595" s="30"/>
      <c r="N1595" s="32"/>
      <c r="O1595" s="34"/>
      <c r="P1595" s="32"/>
      <c r="Q1595" s="32"/>
      <c r="R1595" s="32"/>
      <c r="S1595" s="32"/>
      <c r="T1595" s="32"/>
      <c r="U1595" s="32"/>
      <c r="V1595" s="31"/>
      <c r="W1595" s="35" t="str">
        <f aca="true">IF(OR(V1595="",AG1595&gt;=8),"",IF(V1595&lt;TODAY(),"Vencida",IF(V1595=TODAY(),"Hoy","")))</f>
        <v/>
      </c>
      <c r="X1595" s="36" t="str">
        <f aca="false">IF(A1595="","",IF(COUNTIF(Seguimiento!$B$2:$B$5001,A1595)=0,"",_xlfn.MAXIFS(Seguimiento!$A$2:$A$5001,Seguimiento!$B$2:$B$5001,A1595)))</f>
        <v/>
      </c>
      <c r="Y1595" s="37" t="str">
        <f aca="true">IF(B1595="","",TODAY()-B1595)</f>
        <v/>
      </c>
      <c r="Z1595" s="38" t="str">
        <f aca="false">IF(OR(O1595="",G1595=""),"",O1595*IFERROR(INDEX(Listas!$B$2:$B$50,MATCH(G1595,Listas!$A$2:$A$50,0)),0))</f>
        <v/>
      </c>
      <c r="AA1595" s="32"/>
      <c r="AB1595" s="32"/>
      <c r="AC1595" s="32"/>
      <c r="AD1595" s="35" t="str">
        <f aca="false">IF(OR(LEFT(H1595,4)="Meta",LEFT(H1595,6)="Google"),IF(AG1595=3,"Lead calificado",IF(OR(AG1595=4,AG1595=5),"Tasación/visita",IF(OR(AG1595=6,AG1595=7),"Captación/oferta",IF(AG1595=8,"Cierre","")))),"")</f>
        <v/>
      </c>
      <c r="AE1595" s="32"/>
      <c r="AF1595" s="32"/>
      <c r="AG1595" s="37" t="n">
        <f aca="false">IF(R1595="",0,IFERROR(MATCH(R1595,Listas!$L$2:$L$50,0),0))</f>
        <v>0</v>
      </c>
    </row>
    <row r="1596" customFormat="false" ht="15" hidden="false" customHeight="false" outlineLevel="0" collapsed="false">
      <c r="A1596" s="30"/>
      <c r="B1596" s="31"/>
      <c r="C1596" s="32"/>
      <c r="D1596" s="32"/>
      <c r="E1596" s="33"/>
      <c r="F1596" s="32"/>
      <c r="G1596" s="32"/>
      <c r="H1596" s="32"/>
      <c r="I1596" s="32"/>
      <c r="J1596" s="32"/>
      <c r="K1596" s="32"/>
      <c r="L1596" s="32"/>
      <c r="M1596" s="30"/>
      <c r="N1596" s="32"/>
      <c r="O1596" s="34"/>
      <c r="P1596" s="32"/>
      <c r="Q1596" s="32"/>
      <c r="R1596" s="32"/>
      <c r="S1596" s="32"/>
      <c r="T1596" s="32"/>
      <c r="U1596" s="32"/>
      <c r="V1596" s="31"/>
      <c r="W1596" s="35" t="str">
        <f aca="true">IF(OR(V1596="",AG1596&gt;=8),"",IF(V1596&lt;TODAY(),"Vencida",IF(V1596=TODAY(),"Hoy","")))</f>
        <v/>
      </c>
      <c r="X1596" s="36" t="str">
        <f aca="false">IF(A1596="","",IF(COUNTIF(Seguimiento!$B$2:$B$5001,A1596)=0,"",_xlfn.MAXIFS(Seguimiento!$A$2:$A$5001,Seguimiento!$B$2:$B$5001,A1596)))</f>
        <v/>
      </c>
      <c r="Y1596" s="37" t="str">
        <f aca="true">IF(B1596="","",TODAY()-B1596)</f>
        <v/>
      </c>
      <c r="Z1596" s="38" t="str">
        <f aca="false">IF(OR(O1596="",G1596=""),"",O1596*IFERROR(INDEX(Listas!$B$2:$B$50,MATCH(G1596,Listas!$A$2:$A$50,0)),0))</f>
        <v/>
      </c>
      <c r="AA1596" s="32"/>
      <c r="AB1596" s="32"/>
      <c r="AC1596" s="32"/>
      <c r="AD1596" s="35" t="str">
        <f aca="false">IF(OR(LEFT(H1596,4)="Meta",LEFT(H1596,6)="Google"),IF(AG1596=3,"Lead calificado",IF(OR(AG1596=4,AG1596=5),"Tasación/visita",IF(OR(AG1596=6,AG1596=7),"Captación/oferta",IF(AG1596=8,"Cierre","")))),"")</f>
        <v/>
      </c>
      <c r="AE1596" s="32"/>
      <c r="AF1596" s="32"/>
      <c r="AG1596" s="37" t="n">
        <f aca="false">IF(R1596="",0,IFERROR(MATCH(R1596,Listas!$L$2:$L$50,0),0))</f>
        <v>0</v>
      </c>
    </row>
    <row r="1597" customFormat="false" ht="15" hidden="false" customHeight="false" outlineLevel="0" collapsed="false">
      <c r="A1597" s="30"/>
      <c r="B1597" s="31"/>
      <c r="C1597" s="32"/>
      <c r="D1597" s="32"/>
      <c r="E1597" s="33"/>
      <c r="F1597" s="32"/>
      <c r="G1597" s="32"/>
      <c r="H1597" s="32"/>
      <c r="I1597" s="32"/>
      <c r="J1597" s="32"/>
      <c r="K1597" s="32"/>
      <c r="L1597" s="32"/>
      <c r="M1597" s="30"/>
      <c r="N1597" s="32"/>
      <c r="O1597" s="34"/>
      <c r="P1597" s="32"/>
      <c r="Q1597" s="32"/>
      <c r="R1597" s="32"/>
      <c r="S1597" s="32"/>
      <c r="T1597" s="32"/>
      <c r="U1597" s="32"/>
      <c r="V1597" s="31"/>
      <c r="W1597" s="35" t="str">
        <f aca="true">IF(OR(V1597="",AG1597&gt;=8),"",IF(V1597&lt;TODAY(),"Vencida",IF(V1597=TODAY(),"Hoy","")))</f>
        <v/>
      </c>
      <c r="X1597" s="36" t="str">
        <f aca="false">IF(A1597="","",IF(COUNTIF(Seguimiento!$B$2:$B$5001,A1597)=0,"",_xlfn.MAXIFS(Seguimiento!$A$2:$A$5001,Seguimiento!$B$2:$B$5001,A1597)))</f>
        <v/>
      </c>
      <c r="Y1597" s="37" t="str">
        <f aca="true">IF(B1597="","",TODAY()-B1597)</f>
        <v/>
      </c>
      <c r="Z1597" s="38" t="str">
        <f aca="false">IF(OR(O1597="",G1597=""),"",O1597*IFERROR(INDEX(Listas!$B$2:$B$50,MATCH(G1597,Listas!$A$2:$A$50,0)),0))</f>
        <v/>
      </c>
      <c r="AA1597" s="32"/>
      <c r="AB1597" s="32"/>
      <c r="AC1597" s="32"/>
      <c r="AD1597" s="35" t="str">
        <f aca="false">IF(OR(LEFT(H1597,4)="Meta",LEFT(H1597,6)="Google"),IF(AG1597=3,"Lead calificado",IF(OR(AG1597=4,AG1597=5),"Tasación/visita",IF(OR(AG1597=6,AG1597=7),"Captación/oferta",IF(AG1597=8,"Cierre","")))),"")</f>
        <v/>
      </c>
      <c r="AE1597" s="32"/>
      <c r="AF1597" s="32"/>
      <c r="AG1597" s="37" t="n">
        <f aca="false">IF(R1597="",0,IFERROR(MATCH(R1597,Listas!$L$2:$L$50,0),0))</f>
        <v>0</v>
      </c>
    </row>
    <row r="1598" customFormat="false" ht="15" hidden="false" customHeight="false" outlineLevel="0" collapsed="false">
      <c r="A1598" s="30"/>
      <c r="B1598" s="31"/>
      <c r="C1598" s="32"/>
      <c r="D1598" s="32"/>
      <c r="E1598" s="33"/>
      <c r="F1598" s="32"/>
      <c r="G1598" s="32"/>
      <c r="H1598" s="32"/>
      <c r="I1598" s="32"/>
      <c r="J1598" s="32"/>
      <c r="K1598" s="32"/>
      <c r="L1598" s="32"/>
      <c r="M1598" s="30"/>
      <c r="N1598" s="32"/>
      <c r="O1598" s="34"/>
      <c r="P1598" s="32"/>
      <c r="Q1598" s="32"/>
      <c r="R1598" s="32"/>
      <c r="S1598" s="32"/>
      <c r="T1598" s="32"/>
      <c r="U1598" s="32"/>
      <c r="V1598" s="31"/>
      <c r="W1598" s="35" t="str">
        <f aca="true">IF(OR(V1598="",AG1598&gt;=8),"",IF(V1598&lt;TODAY(),"Vencida",IF(V1598=TODAY(),"Hoy","")))</f>
        <v/>
      </c>
      <c r="X1598" s="36" t="str">
        <f aca="false">IF(A1598="","",IF(COUNTIF(Seguimiento!$B$2:$B$5001,A1598)=0,"",_xlfn.MAXIFS(Seguimiento!$A$2:$A$5001,Seguimiento!$B$2:$B$5001,A1598)))</f>
        <v/>
      </c>
      <c r="Y1598" s="37" t="str">
        <f aca="true">IF(B1598="","",TODAY()-B1598)</f>
        <v/>
      </c>
      <c r="Z1598" s="38" t="str">
        <f aca="false">IF(OR(O1598="",G1598=""),"",O1598*IFERROR(INDEX(Listas!$B$2:$B$50,MATCH(G1598,Listas!$A$2:$A$50,0)),0))</f>
        <v/>
      </c>
      <c r="AA1598" s="32"/>
      <c r="AB1598" s="32"/>
      <c r="AC1598" s="32"/>
      <c r="AD1598" s="35" t="str">
        <f aca="false">IF(OR(LEFT(H1598,4)="Meta",LEFT(H1598,6)="Google"),IF(AG1598=3,"Lead calificado",IF(OR(AG1598=4,AG1598=5),"Tasación/visita",IF(OR(AG1598=6,AG1598=7),"Captación/oferta",IF(AG1598=8,"Cierre","")))),"")</f>
        <v/>
      </c>
      <c r="AE1598" s="32"/>
      <c r="AF1598" s="32"/>
      <c r="AG1598" s="37" t="n">
        <f aca="false">IF(R1598="",0,IFERROR(MATCH(R1598,Listas!$L$2:$L$50,0),0))</f>
        <v>0</v>
      </c>
    </row>
    <row r="1599" customFormat="false" ht="15" hidden="false" customHeight="false" outlineLevel="0" collapsed="false">
      <c r="A1599" s="30"/>
      <c r="B1599" s="31"/>
      <c r="C1599" s="32"/>
      <c r="D1599" s="32"/>
      <c r="E1599" s="33"/>
      <c r="F1599" s="32"/>
      <c r="G1599" s="32"/>
      <c r="H1599" s="32"/>
      <c r="I1599" s="32"/>
      <c r="J1599" s="32"/>
      <c r="K1599" s="32"/>
      <c r="L1599" s="32"/>
      <c r="M1599" s="30"/>
      <c r="N1599" s="32"/>
      <c r="O1599" s="34"/>
      <c r="P1599" s="32"/>
      <c r="Q1599" s="32"/>
      <c r="R1599" s="32"/>
      <c r="S1599" s="32"/>
      <c r="T1599" s="32"/>
      <c r="U1599" s="32"/>
      <c r="V1599" s="31"/>
      <c r="W1599" s="35" t="str">
        <f aca="true">IF(OR(V1599="",AG1599&gt;=8),"",IF(V1599&lt;TODAY(),"Vencida",IF(V1599=TODAY(),"Hoy","")))</f>
        <v/>
      </c>
      <c r="X1599" s="36" t="str">
        <f aca="false">IF(A1599="","",IF(COUNTIF(Seguimiento!$B$2:$B$5001,A1599)=0,"",_xlfn.MAXIFS(Seguimiento!$A$2:$A$5001,Seguimiento!$B$2:$B$5001,A1599)))</f>
        <v/>
      </c>
      <c r="Y1599" s="37" t="str">
        <f aca="true">IF(B1599="","",TODAY()-B1599)</f>
        <v/>
      </c>
      <c r="Z1599" s="38" t="str">
        <f aca="false">IF(OR(O1599="",G1599=""),"",O1599*IFERROR(INDEX(Listas!$B$2:$B$50,MATCH(G1599,Listas!$A$2:$A$50,0)),0))</f>
        <v/>
      </c>
      <c r="AA1599" s="32"/>
      <c r="AB1599" s="32"/>
      <c r="AC1599" s="32"/>
      <c r="AD1599" s="35" t="str">
        <f aca="false">IF(OR(LEFT(H1599,4)="Meta",LEFT(H1599,6)="Google"),IF(AG1599=3,"Lead calificado",IF(OR(AG1599=4,AG1599=5),"Tasación/visita",IF(OR(AG1599=6,AG1599=7),"Captación/oferta",IF(AG1599=8,"Cierre","")))),"")</f>
        <v/>
      </c>
      <c r="AE1599" s="32"/>
      <c r="AF1599" s="32"/>
      <c r="AG1599" s="37" t="n">
        <f aca="false">IF(R1599="",0,IFERROR(MATCH(R1599,Listas!$L$2:$L$50,0),0))</f>
        <v>0</v>
      </c>
    </row>
    <row r="1600" customFormat="false" ht="15" hidden="false" customHeight="false" outlineLevel="0" collapsed="false">
      <c r="A1600" s="30"/>
      <c r="B1600" s="31"/>
      <c r="C1600" s="32"/>
      <c r="D1600" s="32"/>
      <c r="E1600" s="33"/>
      <c r="F1600" s="32"/>
      <c r="G1600" s="32"/>
      <c r="H1600" s="32"/>
      <c r="I1600" s="32"/>
      <c r="J1600" s="32"/>
      <c r="K1600" s="32"/>
      <c r="L1600" s="32"/>
      <c r="M1600" s="30"/>
      <c r="N1600" s="32"/>
      <c r="O1600" s="34"/>
      <c r="P1600" s="32"/>
      <c r="Q1600" s="32"/>
      <c r="R1600" s="32"/>
      <c r="S1600" s="32"/>
      <c r="T1600" s="32"/>
      <c r="U1600" s="32"/>
      <c r="V1600" s="31"/>
      <c r="W1600" s="35" t="str">
        <f aca="true">IF(OR(V1600="",AG1600&gt;=8),"",IF(V1600&lt;TODAY(),"Vencida",IF(V1600=TODAY(),"Hoy","")))</f>
        <v/>
      </c>
      <c r="X1600" s="36" t="str">
        <f aca="false">IF(A1600="","",IF(COUNTIF(Seguimiento!$B$2:$B$5001,A1600)=0,"",_xlfn.MAXIFS(Seguimiento!$A$2:$A$5001,Seguimiento!$B$2:$B$5001,A1600)))</f>
        <v/>
      </c>
      <c r="Y1600" s="37" t="str">
        <f aca="true">IF(B1600="","",TODAY()-B1600)</f>
        <v/>
      </c>
      <c r="Z1600" s="38" t="str">
        <f aca="false">IF(OR(O1600="",G1600=""),"",O1600*IFERROR(INDEX(Listas!$B$2:$B$50,MATCH(G1600,Listas!$A$2:$A$50,0)),0))</f>
        <v/>
      </c>
      <c r="AA1600" s="32"/>
      <c r="AB1600" s="32"/>
      <c r="AC1600" s="32"/>
      <c r="AD1600" s="35" t="str">
        <f aca="false">IF(OR(LEFT(H1600,4)="Meta",LEFT(H1600,6)="Google"),IF(AG1600=3,"Lead calificado",IF(OR(AG1600=4,AG1600=5),"Tasación/visita",IF(OR(AG1600=6,AG1600=7),"Captación/oferta",IF(AG1600=8,"Cierre","")))),"")</f>
        <v/>
      </c>
      <c r="AE1600" s="32"/>
      <c r="AF1600" s="32"/>
      <c r="AG1600" s="37" t="n">
        <f aca="false">IF(R1600="",0,IFERROR(MATCH(R1600,Listas!$L$2:$L$50,0),0))</f>
        <v>0</v>
      </c>
    </row>
    <row r="1601" customFormat="false" ht="15" hidden="false" customHeight="false" outlineLevel="0" collapsed="false">
      <c r="A1601" s="30"/>
      <c r="B1601" s="31"/>
      <c r="C1601" s="32"/>
      <c r="D1601" s="32"/>
      <c r="E1601" s="33"/>
      <c r="F1601" s="32"/>
      <c r="G1601" s="32"/>
      <c r="H1601" s="32"/>
      <c r="I1601" s="32"/>
      <c r="J1601" s="32"/>
      <c r="K1601" s="32"/>
      <c r="L1601" s="32"/>
      <c r="M1601" s="30"/>
      <c r="N1601" s="32"/>
      <c r="O1601" s="34"/>
      <c r="P1601" s="32"/>
      <c r="Q1601" s="32"/>
      <c r="R1601" s="32"/>
      <c r="S1601" s="32"/>
      <c r="T1601" s="32"/>
      <c r="U1601" s="32"/>
      <c r="V1601" s="31"/>
      <c r="W1601" s="35" t="str">
        <f aca="true">IF(OR(V1601="",AG1601&gt;=8),"",IF(V1601&lt;TODAY(),"Vencida",IF(V1601=TODAY(),"Hoy","")))</f>
        <v/>
      </c>
      <c r="X1601" s="36" t="str">
        <f aca="false">IF(A1601="","",IF(COUNTIF(Seguimiento!$B$2:$B$5001,A1601)=0,"",_xlfn.MAXIFS(Seguimiento!$A$2:$A$5001,Seguimiento!$B$2:$B$5001,A1601)))</f>
        <v/>
      </c>
      <c r="Y1601" s="37" t="str">
        <f aca="true">IF(B1601="","",TODAY()-B1601)</f>
        <v/>
      </c>
      <c r="Z1601" s="38" t="str">
        <f aca="false">IF(OR(O1601="",G1601=""),"",O1601*IFERROR(INDEX(Listas!$B$2:$B$50,MATCH(G1601,Listas!$A$2:$A$50,0)),0))</f>
        <v/>
      </c>
      <c r="AA1601" s="32"/>
      <c r="AB1601" s="32"/>
      <c r="AC1601" s="32"/>
      <c r="AD1601" s="35" t="str">
        <f aca="false">IF(OR(LEFT(H1601,4)="Meta",LEFT(H1601,6)="Google"),IF(AG1601=3,"Lead calificado",IF(OR(AG1601=4,AG1601=5),"Tasación/visita",IF(OR(AG1601=6,AG1601=7),"Captación/oferta",IF(AG1601=8,"Cierre","")))),"")</f>
        <v/>
      </c>
      <c r="AE1601" s="32"/>
      <c r="AF1601" s="32"/>
      <c r="AG1601" s="37" t="n">
        <f aca="false">IF(R1601="",0,IFERROR(MATCH(R1601,Listas!$L$2:$L$50,0),0))</f>
        <v>0</v>
      </c>
    </row>
    <row r="1602" customFormat="false" ht="15" hidden="false" customHeight="false" outlineLevel="0" collapsed="false">
      <c r="A1602" s="30"/>
      <c r="B1602" s="31"/>
      <c r="C1602" s="32"/>
      <c r="D1602" s="32"/>
      <c r="E1602" s="33"/>
      <c r="F1602" s="32"/>
      <c r="G1602" s="32"/>
      <c r="H1602" s="32"/>
      <c r="I1602" s="32"/>
      <c r="J1602" s="32"/>
      <c r="K1602" s="32"/>
      <c r="L1602" s="32"/>
      <c r="M1602" s="30"/>
      <c r="N1602" s="32"/>
      <c r="O1602" s="34"/>
      <c r="P1602" s="32"/>
      <c r="Q1602" s="32"/>
      <c r="R1602" s="32"/>
      <c r="S1602" s="32"/>
      <c r="T1602" s="32"/>
      <c r="U1602" s="32"/>
      <c r="V1602" s="31"/>
      <c r="W1602" s="35" t="str">
        <f aca="true">IF(OR(V1602="",AG1602&gt;=8),"",IF(V1602&lt;TODAY(),"Vencida",IF(V1602=TODAY(),"Hoy","")))</f>
        <v/>
      </c>
      <c r="X1602" s="36" t="str">
        <f aca="false">IF(A1602="","",IF(COUNTIF(Seguimiento!$B$2:$B$5001,A1602)=0,"",_xlfn.MAXIFS(Seguimiento!$A$2:$A$5001,Seguimiento!$B$2:$B$5001,A1602)))</f>
        <v/>
      </c>
      <c r="Y1602" s="37" t="str">
        <f aca="true">IF(B1602="","",TODAY()-B1602)</f>
        <v/>
      </c>
      <c r="Z1602" s="38" t="str">
        <f aca="false">IF(OR(O1602="",G1602=""),"",O1602*IFERROR(INDEX(Listas!$B$2:$B$50,MATCH(G1602,Listas!$A$2:$A$50,0)),0))</f>
        <v/>
      </c>
      <c r="AA1602" s="32"/>
      <c r="AB1602" s="32"/>
      <c r="AC1602" s="32"/>
      <c r="AD1602" s="35" t="str">
        <f aca="false">IF(OR(LEFT(H1602,4)="Meta",LEFT(H1602,6)="Google"),IF(AG1602=3,"Lead calificado",IF(OR(AG1602=4,AG1602=5),"Tasación/visita",IF(OR(AG1602=6,AG1602=7),"Captación/oferta",IF(AG1602=8,"Cierre","")))),"")</f>
        <v/>
      </c>
      <c r="AE1602" s="32"/>
      <c r="AF1602" s="32"/>
      <c r="AG1602" s="37" t="n">
        <f aca="false">IF(R1602="",0,IFERROR(MATCH(R1602,Listas!$L$2:$L$50,0),0))</f>
        <v>0</v>
      </c>
    </row>
    <row r="1603" customFormat="false" ht="15" hidden="false" customHeight="false" outlineLevel="0" collapsed="false">
      <c r="A1603" s="30"/>
      <c r="B1603" s="31"/>
      <c r="C1603" s="32"/>
      <c r="D1603" s="32"/>
      <c r="E1603" s="33"/>
      <c r="F1603" s="32"/>
      <c r="G1603" s="32"/>
      <c r="H1603" s="32"/>
      <c r="I1603" s="32"/>
      <c r="J1603" s="32"/>
      <c r="K1603" s="32"/>
      <c r="L1603" s="32"/>
      <c r="M1603" s="30"/>
      <c r="N1603" s="32"/>
      <c r="O1603" s="34"/>
      <c r="P1603" s="32"/>
      <c r="Q1603" s="32"/>
      <c r="R1603" s="32"/>
      <c r="S1603" s="32"/>
      <c r="T1603" s="32"/>
      <c r="U1603" s="32"/>
      <c r="V1603" s="31"/>
      <c r="W1603" s="35" t="str">
        <f aca="true">IF(OR(V1603="",AG1603&gt;=8),"",IF(V1603&lt;TODAY(),"Vencida",IF(V1603=TODAY(),"Hoy","")))</f>
        <v/>
      </c>
      <c r="X1603" s="36" t="str">
        <f aca="false">IF(A1603="","",IF(COUNTIF(Seguimiento!$B$2:$B$5001,A1603)=0,"",_xlfn.MAXIFS(Seguimiento!$A$2:$A$5001,Seguimiento!$B$2:$B$5001,A1603)))</f>
        <v/>
      </c>
      <c r="Y1603" s="37" t="str">
        <f aca="true">IF(B1603="","",TODAY()-B1603)</f>
        <v/>
      </c>
      <c r="Z1603" s="38" t="str">
        <f aca="false">IF(OR(O1603="",G1603=""),"",O1603*IFERROR(INDEX(Listas!$B$2:$B$50,MATCH(G1603,Listas!$A$2:$A$50,0)),0))</f>
        <v/>
      </c>
      <c r="AA1603" s="32"/>
      <c r="AB1603" s="32"/>
      <c r="AC1603" s="32"/>
      <c r="AD1603" s="35" t="str">
        <f aca="false">IF(OR(LEFT(H1603,4)="Meta",LEFT(H1603,6)="Google"),IF(AG1603=3,"Lead calificado",IF(OR(AG1603=4,AG1603=5),"Tasación/visita",IF(OR(AG1603=6,AG1603=7),"Captación/oferta",IF(AG1603=8,"Cierre","")))),"")</f>
        <v/>
      </c>
      <c r="AE1603" s="32"/>
      <c r="AF1603" s="32"/>
      <c r="AG1603" s="37" t="n">
        <f aca="false">IF(R1603="",0,IFERROR(MATCH(R1603,Listas!$L$2:$L$50,0),0))</f>
        <v>0</v>
      </c>
    </row>
    <row r="1604" customFormat="false" ht="15" hidden="false" customHeight="false" outlineLevel="0" collapsed="false">
      <c r="A1604" s="30"/>
      <c r="B1604" s="31"/>
      <c r="C1604" s="32"/>
      <c r="D1604" s="32"/>
      <c r="E1604" s="33"/>
      <c r="F1604" s="32"/>
      <c r="G1604" s="32"/>
      <c r="H1604" s="32"/>
      <c r="I1604" s="32"/>
      <c r="J1604" s="32"/>
      <c r="K1604" s="32"/>
      <c r="L1604" s="32"/>
      <c r="M1604" s="30"/>
      <c r="N1604" s="32"/>
      <c r="O1604" s="34"/>
      <c r="P1604" s="32"/>
      <c r="Q1604" s="32"/>
      <c r="R1604" s="32"/>
      <c r="S1604" s="32"/>
      <c r="T1604" s="32"/>
      <c r="U1604" s="32"/>
      <c r="V1604" s="31"/>
      <c r="W1604" s="35" t="str">
        <f aca="true">IF(OR(V1604="",AG1604&gt;=8),"",IF(V1604&lt;TODAY(),"Vencida",IF(V1604=TODAY(),"Hoy","")))</f>
        <v/>
      </c>
      <c r="X1604" s="36" t="str">
        <f aca="false">IF(A1604="","",IF(COUNTIF(Seguimiento!$B$2:$B$5001,A1604)=0,"",_xlfn.MAXIFS(Seguimiento!$A$2:$A$5001,Seguimiento!$B$2:$B$5001,A1604)))</f>
        <v/>
      </c>
      <c r="Y1604" s="37" t="str">
        <f aca="true">IF(B1604="","",TODAY()-B1604)</f>
        <v/>
      </c>
      <c r="Z1604" s="38" t="str">
        <f aca="false">IF(OR(O1604="",G1604=""),"",O1604*IFERROR(INDEX(Listas!$B$2:$B$50,MATCH(G1604,Listas!$A$2:$A$50,0)),0))</f>
        <v/>
      </c>
      <c r="AA1604" s="32"/>
      <c r="AB1604" s="32"/>
      <c r="AC1604" s="32"/>
      <c r="AD1604" s="35" t="str">
        <f aca="false">IF(OR(LEFT(H1604,4)="Meta",LEFT(H1604,6)="Google"),IF(AG1604=3,"Lead calificado",IF(OR(AG1604=4,AG1604=5),"Tasación/visita",IF(OR(AG1604=6,AG1604=7),"Captación/oferta",IF(AG1604=8,"Cierre","")))),"")</f>
        <v/>
      </c>
      <c r="AE1604" s="32"/>
      <c r="AF1604" s="32"/>
      <c r="AG1604" s="37" t="n">
        <f aca="false">IF(R1604="",0,IFERROR(MATCH(R1604,Listas!$L$2:$L$50,0),0))</f>
        <v>0</v>
      </c>
    </row>
    <row r="1605" customFormat="false" ht="15" hidden="false" customHeight="false" outlineLevel="0" collapsed="false">
      <c r="A1605" s="30"/>
      <c r="B1605" s="31"/>
      <c r="C1605" s="32"/>
      <c r="D1605" s="32"/>
      <c r="E1605" s="33"/>
      <c r="F1605" s="32"/>
      <c r="G1605" s="32"/>
      <c r="H1605" s="32"/>
      <c r="I1605" s="32"/>
      <c r="J1605" s="32"/>
      <c r="K1605" s="32"/>
      <c r="L1605" s="32"/>
      <c r="M1605" s="30"/>
      <c r="N1605" s="32"/>
      <c r="O1605" s="34"/>
      <c r="P1605" s="32"/>
      <c r="Q1605" s="32"/>
      <c r="R1605" s="32"/>
      <c r="S1605" s="32"/>
      <c r="T1605" s="32"/>
      <c r="U1605" s="32"/>
      <c r="V1605" s="31"/>
      <c r="W1605" s="35" t="str">
        <f aca="true">IF(OR(V1605="",AG1605&gt;=8),"",IF(V1605&lt;TODAY(),"Vencida",IF(V1605=TODAY(),"Hoy","")))</f>
        <v/>
      </c>
      <c r="X1605" s="36" t="str">
        <f aca="false">IF(A1605="","",IF(COUNTIF(Seguimiento!$B$2:$B$5001,A1605)=0,"",_xlfn.MAXIFS(Seguimiento!$A$2:$A$5001,Seguimiento!$B$2:$B$5001,A1605)))</f>
        <v/>
      </c>
      <c r="Y1605" s="37" t="str">
        <f aca="true">IF(B1605="","",TODAY()-B1605)</f>
        <v/>
      </c>
      <c r="Z1605" s="38" t="str">
        <f aca="false">IF(OR(O1605="",G1605=""),"",O1605*IFERROR(INDEX(Listas!$B$2:$B$50,MATCH(G1605,Listas!$A$2:$A$50,0)),0))</f>
        <v/>
      </c>
      <c r="AA1605" s="32"/>
      <c r="AB1605" s="32"/>
      <c r="AC1605" s="32"/>
      <c r="AD1605" s="35" t="str">
        <f aca="false">IF(OR(LEFT(H1605,4)="Meta",LEFT(H1605,6)="Google"),IF(AG1605=3,"Lead calificado",IF(OR(AG1605=4,AG1605=5),"Tasación/visita",IF(OR(AG1605=6,AG1605=7),"Captación/oferta",IF(AG1605=8,"Cierre","")))),"")</f>
        <v/>
      </c>
      <c r="AE1605" s="32"/>
      <c r="AF1605" s="32"/>
      <c r="AG1605" s="37" t="n">
        <f aca="false">IF(R1605="",0,IFERROR(MATCH(R1605,Listas!$L$2:$L$50,0),0))</f>
        <v>0</v>
      </c>
    </row>
    <row r="1606" customFormat="false" ht="15" hidden="false" customHeight="false" outlineLevel="0" collapsed="false">
      <c r="A1606" s="30"/>
      <c r="B1606" s="31"/>
      <c r="C1606" s="32"/>
      <c r="D1606" s="32"/>
      <c r="E1606" s="33"/>
      <c r="F1606" s="32"/>
      <c r="G1606" s="32"/>
      <c r="H1606" s="32"/>
      <c r="I1606" s="32"/>
      <c r="J1606" s="32"/>
      <c r="K1606" s="32"/>
      <c r="L1606" s="32"/>
      <c r="M1606" s="30"/>
      <c r="N1606" s="32"/>
      <c r="O1606" s="34"/>
      <c r="P1606" s="32"/>
      <c r="Q1606" s="32"/>
      <c r="R1606" s="32"/>
      <c r="S1606" s="32"/>
      <c r="T1606" s="32"/>
      <c r="U1606" s="32"/>
      <c r="V1606" s="31"/>
      <c r="W1606" s="35" t="str">
        <f aca="true">IF(OR(V1606="",AG1606&gt;=8),"",IF(V1606&lt;TODAY(),"Vencida",IF(V1606=TODAY(),"Hoy","")))</f>
        <v/>
      </c>
      <c r="X1606" s="36" t="str">
        <f aca="false">IF(A1606="","",IF(COUNTIF(Seguimiento!$B$2:$B$5001,A1606)=0,"",_xlfn.MAXIFS(Seguimiento!$A$2:$A$5001,Seguimiento!$B$2:$B$5001,A1606)))</f>
        <v/>
      </c>
      <c r="Y1606" s="37" t="str">
        <f aca="true">IF(B1606="","",TODAY()-B1606)</f>
        <v/>
      </c>
      <c r="Z1606" s="38" t="str">
        <f aca="false">IF(OR(O1606="",G1606=""),"",O1606*IFERROR(INDEX(Listas!$B$2:$B$50,MATCH(G1606,Listas!$A$2:$A$50,0)),0))</f>
        <v/>
      </c>
      <c r="AA1606" s="32"/>
      <c r="AB1606" s="32"/>
      <c r="AC1606" s="32"/>
      <c r="AD1606" s="35" t="str">
        <f aca="false">IF(OR(LEFT(H1606,4)="Meta",LEFT(H1606,6)="Google"),IF(AG1606=3,"Lead calificado",IF(OR(AG1606=4,AG1606=5),"Tasación/visita",IF(OR(AG1606=6,AG1606=7),"Captación/oferta",IF(AG1606=8,"Cierre","")))),"")</f>
        <v/>
      </c>
      <c r="AE1606" s="32"/>
      <c r="AF1606" s="32"/>
      <c r="AG1606" s="37" t="n">
        <f aca="false">IF(R1606="",0,IFERROR(MATCH(R1606,Listas!$L$2:$L$50,0),0))</f>
        <v>0</v>
      </c>
    </row>
    <row r="1607" customFormat="false" ht="15" hidden="false" customHeight="false" outlineLevel="0" collapsed="false">
      <c r="A1607" s="30"/>
      <c r="B1607" s="31"/>
      <c r="C1607" s="32"/>
      <c r="D1607" s="32"/>
      <c r="E1607" s="33"/>
      <c r="F1607" s="32"/>
      <c r="G1607" s="32"/>
      <c r="H1607" s="32"/>
      <c r="I1607" s="32"/>
      <c r="J1607" s="32"/>
      <c r="K1607" s="32"/>
      <c r="L1607" s="32"/>
      <c r="M1607" s="30"/>
      <c r="N1607" s="32"/>
      <c r="O1607" s="34"/>
      <c r="P1607" s="32"/>
      <c r="Q1607" s="32"/>
      <c r="R1607" s="32"/>
      <c r="S1607" s="32"/>
      <c r="T1607" s="32"/>
      <c r="U1607" s="32"/>
      <c r="V1607" s="31"/>
      <c r="W1607" s="35" t="str">
        <f aca="true">IF(OR(V1607="",AG1607&gt;=8),"",IF(V1607&lt;TODAY(),"Vencida",IF(V1607=TODAY(),"Hoy","")))</f>
        <v/>
      </c>
      <c r="X1607" s="36" t="str">
        <f aca="false">IF(A1607="","",IF(COUNTIF(Seguimiento!$B$2:$B$5001,A1607)=0,"",_xlfn.MAXIFS(Seguimiento!$A$2:$A$5001,Seguimiento!$B$2:$B$5001,A1607)))</f>
        <v/>
      </c>
      <c r="Y1607" s="37" t="str">
        <f aca="true">IF(B1607="","",TODAY()-B1607)</f>
        <v/>
      </c>
      <c r="Z1607" s="38" t="str">
        <f aca="false">IF(OR(O1607="",G1607=""),"",O1607*IFERROR(INDEX(Listas!$B$2:$B$50,MATCH(G1607,Listas!$A$2:$A$50,0)),0))</f>
        <v/>
      </c>
      <c r="AA1607" s="32"/>
      <c r="AB1607" s="32"/>
      <c r="AC1607" s="32"/>
      <c r="AD1607" s="35" t="str">
        <f aca="false">IF(OR(LEFT(H1607,4)="Meta",LEFT(H1607,6)="Google"),IF(AG1607=3,"Lead calificado",IF(OR(AG1607=4,AG1607=5),"Tasación/visita",IF(OR(AG1607=6,AG1607=7),"Captación/oferta",IF(AG1607=8,"Cierre","")))),"")</f>
        <v/>
      </c>
      <c r="AE1607" s="32"/>
      <c r="AF1607" s="32"/>
      <c r="AG1607" s="37" t="n">
        <f aca="false">IF(R1607="",0,IFERROR(MATCH(R1607,Listas!$L$2:$L$50,0),0))</f>
        <v>0</v>
      </c>
    </row>
    <row r="1608" customFormat="false" ht="15" hidden="false" customHeight="false" outlineLevel="0" collapsed="false">
      <c r="A1608" s="30"/>
      <c r="B1608" s="31"/>
      <c r="C1608" s="32"/>
      <c r="D1608" s="32"/>
      <c r="E1608" s="33"/>
      <c r="F1608" s="32"/>
      <c r="G1608" s="32"/>
      <c r="H1608" s="32"/>
      <c r="I1608" s="32"/>
      <c r="J1608" s="32"/>
      <c r="K1608" s="32"/>
      <c r="L1608" s="32"/>
      <c r="M1608" s="30"/>
      <c r="N1608" s="32"/>
      <c r="O1608" s="34"/>
      <c r="P1608" s="32"/>
      <c r="Q1608" s="32"/>
      <c r="R1608" s="32"/>
      <c r="S1608" s="32"/>
      <c r="T1608" s="32"/>
      <c r="U1608" s="32"/>
      <c r="V1608" s="31"/>
      <c r="W1608" s="35" t="str">
        <f aca="true">IF(OR(V1608="",AG1608&gt;=8),"",IF(V1608&lt;TODAY(),"Vencida",IF(V1608=TODAY(),"Hoy","")))</f>
        <v/>
      </c>
      <c r="X1608" s="36" t="str">
        <f aca="false">IF(A1608="","",IF(COUNTIF(Seguimiento!$B$2:$B$5001,A1608)=0,"",_xlfn.MAXIFS(Seguimiento!$A$2:$A$5001,Seguimiento!$B$2:$B$5001,A1608)))</f>
        <v/>
      </c>
      <c r="Y1608" s="37" t="str">
        <f aca="true">IF(B1608="","",TODAY()-B1608)</f>
        <v/>
      </c>
      <c r="Z1608" s="38" t="str">
        <f aca="false">IF(OR(O1608="",G1608=""),"",O1608*IFERROR(INDEX(Listas!$B$2:$B$50,MATCH(G1608,Listas!$A$2:$A$50,0)),0))</f>
        <v/>
      </c>
      <c r="AA1608" s="32"/>
      <c r="AB1608" s="32"/>
      <c r="AC1608" s="32"/>
      <c r="AD1608" s="35" t="str">
        <f aca="false">IF(OR(LEFT(H1608,4)="Meta",LEFT(H1608,6)="Google"),IF(AG1608=3,"Lead calificado",IF(OR(AG1608=4,AG1608=5),"Tasación/visita",IF(OR(AG1608=6,AG1608=7),"Captación/oferta",IF(AG1608=8,"Cierre","")))),"")</f>
        <v/>
      </c>
      <c r="AE1608" s="32"/>
      <c r="AF1608" s="32"/>
      <c r="AG1608" s="37" t="n">
        <f aca="false">IF(R1608="",0,IFERROR(MATCH(R1608,Listas!$L$2:$L$50,0),0))</f>
        <v>0</v>
      </c>
    </row>
    <row r="1609" customFormat="false" ht="15" hidden="false" customHeight="false" outlineLevel="0" collapsed="false">
      <c r="A1609" s="30"/>
      <c r="B1609" s="31"/>
      <c r="C1609" s="32"/>
      <c r="D1609" s="32"/>
      <c r="E1609" s="33"/>
      <c r="F1609" s="32"/>
      <c r="G1609" s="32"/>
      <c r="H1609" s="32"/>
      <c r="I1609" s="32"/>
      <c r="J1609" s="32"/>
      <c r="K1609" s="32"/>
      <c r="L1609" s="32"/>
      <c r="M1609" s="30"/>
      <c r="N1609" s="32"/>
      <c r="O1609" s="34"/>
      <c r="P1609" s="32"/>
      <c r="Q1609" s="32"/>
      <c r="R1609" s="32"/>
      <c r="S1609" s="32"/>
      <c r="T1609" s="32"/>
      <c r="U1609" s="32"/>
      <c r="V1609" s="31"/>
      <c r="W1609" s="35" t="str">
        <f aca="true">IF(OR(V1609="",AG1609&gt;=8),"",IF(V1609&lt;TODAY(),"Vencida",IF(V1609=TODAY(),"Hoy","")))</f>
        <v/>
      </c>
      <c r="X1609" s="36" t="str">
        <f aca="false">IF(A1609="","",IF(COUNTIF(Seguimiento!$B$2:$B$5001,A1609)=0,"",_xlfn.MAXIFS(Seguimiento!$A$2:$A$5001,Seguimiento!$B$2:$B$5001,A1609)))</f>
        <v/>
      </c>
      <c r="Y1609" s="37" t="str">
        <f aca="true">IF(B1609="","",TODAY()-B1609)</f>
        <v/>
      </c>
      <c r="Z1609" s="38" t="str">
        <f aca="false">IF(OR(O1609="",G1609=""),"",O1609*IFERROR(INDEX(Listas!$B$2:$B$50,MATCH(G1609,Listas!$A$2:$A$50,0)),0))</f>
        <v/>
      </c>
      <c r="AA1609" s="32"/>
      <c r="AB1609" s="32"/>
      <c r="AC1609" s="32"/>
      <c r="AD1609" s="35" t="str">
        <f aca="false">IF(OR(LEFT(H1609,4)="Meta",LEFT(H1609,6)="Google"),IF(AG1609=3,"Lead calificado",IF(OR(AG1609=4,AG1609=5),"Tasación/visita",IF(OR(AG1609=6,AG1609=7),"Captación/oferta",IF(AG1609=8,"Cierre","")))),"")</f>
        <v/>
      </c>
      <c r="AE1609" s="32"/>
      <c r="AF1609" s="32"/>
      <c r="AG1609" s="37" t="n">
        <f aca="false">IF(R1609="",0,IFERROR(MATCH(R1609,Listas!$L$2:$L$50,0),0))</f>
        <v>0</v>
      </c>
    </row>
    <row r="1610" customFormat="false" ht="15" hidden="false" customHeight="false" outlineLevel="0" collapsed="false">
      <c r="A1610" s="30"/>
      <c r="B1610" s="31"/>
      <c r="C1610" s="32"/>
      <c r="D1610" s="32"/>
      <c r="E1610" s="33"/>
      <c r="F1610" s="32"/>
      <c r="G1610" s="32"/>
      <c r="H1610" s="32"/>
      <c r="I1610" s="32"/>
      <c r="J1610" s="32"/>
      <c r="K1610" s="32"/>
      <c r="L1610" s="32"/>
      <c r="M1610" s="30"/>
      <c r="N1610" s="32"/>
      <c r="O1610" s="34"/>
      <c r="P1610" s="32"/>
      <c r="Q1610" s="32"/>
      <c r="R1610" s="32"/>
      <c r="S1610" s="32"/>
      <c r="T1610" s="32"/>
      <c r="U1610" s="32"/>
      <c r="V1610" s="31"/>
      <c r="W1610" s="35" t="str">
        <f aca="true">IF(OR(V1610="",AG1610&gt;=8),"",IF(V1610&lt;TODAY(),"Vencida",IF(V1610=TODAY(),"Hoy","")))</f>
        <v/>
      </c>
      <c r="X1610" s="36" t="str">
        <f aca="false">IF(A1610="","",IF(COUNTIF(Seguimiento!$B$2:$B$5001,A1610)=0,"",_xlfn.MAXIFS(Seguimiento!$A$2:$A$5001,Seguimiento!$B$2:$B$5001,A1610)))</f>
        <v/>
      </c>
      <c r="Y1610" s="37" t="str">
        <f aca="true">IF(B1610="","",TODAY()-B1610)</f>
        <v/>
      </c>
      <c r="Z1610" s="38" t="str">
        <f aca="false">IF(OR(O1610="",G1610=""),"",O1610*IFERROR(INDEX(Listas!$B$2:$B$50,MATCH(G1610,Listas!$A$2:$A$50,0)),0))</f>
        <v/>
      </c>
      <c r="AA1610" s="32"/>
      <c r="AB1610" s="32"/>
      <c r="AC1610" s="32"/>
      <c r="AD1610" s="35" t="str">
        <f aca="false">IF(OR(LEFT(H1610,4)="Meta",LEFT(H1610,6)="Google"),IF(AG1610=3,"Lead calificado",IF(OR(AG1610=4,AG1610=5),"Tasación/visita",IF(OR(AG1610=6,AG1610=7),"Captación/oferta",IF(AG1610=8,"Cierre","")))),"")</f>
        <v/>
      </c>
      <c r="AE1610" s="32"/>
      <c r="AF1610" s="32"/>
      <c r="AG1610" s="37" t="n">
        <f aca="false">IF(R1610="",0,IFERROR(MATCH(R1610,Listas!$L$2:$L$50,0),0))</f>
        <v>0</v>
      </c>
    </row>
    <row r="1611" customFormat="false" ht="15" hidden="false" customHeight="false" outlineLevel="0" collapsed="false">
      <c r="A1611" s="30"/>
      <c r="B1611" s="31"/>
      <c r="C1611" s="32"/>
      <c r="D1611" s="32"/>
      <c r="E1611" s="33"/>
      <c r="F1611" s="32"/>
      <c r="G1611" s="32"/>
      <c r="H1611" s="32"/>
      <c r="I1611" s="32"/>
      <c r="J1611" s="32"/>
      <c r="K1611" s="32"/>
      <c r="L1611" s="32"/>
      <c r="M1611" s="30"/>
      <c r="N1611" s="32"/>
      <c r="O1611" s="34"/>
      <c r="P1611" s="32"/>
      <c r="Q1611" s="32"/>
      <c r="R1611" s="32"/>
      <c r="S1611" s="32"/>
      <c r="T1611" s="32"/>
      <c r="U1611" s="32"/>
      <c r="V1611" s="31"/>
      <c r="W1611" s="35" t="str">
        <f aca="true">IF(OR(V1611="",AG1611&gt;=8),"",IF(V1611&lt;TODAY(),"Vencida",IF(V1611=TODAY(),"Hoy","")))</f>
        <v/>
      </c>
      <c r="X1611" s="36" t="str">
        <f aca="false">IF(A1611="","",IF(COUNTIF(Seguimiento!$B$2:$B$5001,A1611)=0,"",_xlfn.MAXIFS(Seguimiento!$A$2:$A$5001,Seguimiento!$B$2:$B$5001,A1611)))</f>
        <v/>
      </c>
      <c r="Y1611" s="37" t="str">
        <f aca="true">IF(B1611="","",TODAY()-B1611)</f>
        <v/>
      </c>
      <c r="Z1611" s="38" t="str">
        <f aca="false">IF(OR(O1611="",G1611=""),"",O1611*IFERROR(INDEX(Listas!$B$2:$B$50,MATCH(G1611,Listas!$A$2:$A$50,0)),0))</f>
        <v/>
      </c>
      <c r="AA1611" s="32"/>
      <c r="AB1611" s="32"/>
      <c r="AC1611" s="32"/>
      <c r="AD1611" s="35" t="str">
        <f aca="false">IF(OR(LEFT(H1611,4)="Meta",LEFT(H1611,6)="Google"),IF(AG1611=3,"Lead calificado",IF(OR(AG1611=4,AG1611=5),"Tasación/visita",IF(OR(AG1611=6,AG1611=7),"Captación/oferta",IF(AG1611=8,"Cierre","")))),"")</f>
        <v/>
      </c>
      <c r="AE1611" s="32"/>
      <c r="AF1611" s="32"/>
      <c r="AG1611" s="37" t="n">
        <f aca="false">IF(R1611="",0,IFERROR(MATCH(R1611,Listas!$L$2:$L$50,0),0))</f>
        <v>0</v>
      </c>
    </row>
    <row r="1612" customFormat="false" ht="15" hidden="false" customHeight="false" outlineLevel="0" collapsed="false">
      <c r="A1612" s="30"/>
      <c r="B1612" s="31"/>
      <c r="C1612" s="32"/>
      <c r="D1612" s="32"/>
      <c r="E1612" s="33"/>
      <c r="F1612" s="32"/>
      <c r="G1612" s="32"/>
      <c r="H1612" s="32"/>
      <c r="I1612" s="32"/>
      <c r="J1612" s="32"/>
      <c r="K1612" s="32"/>
      <c r="L1612" s="32"/>
      <c r="M1612" s="30"/>
      <c r="N1612" s="32"/>
      <c r="O1612" s="34"/>
      <c r="P1612" s="32"/>
      <c r="Q1612" s="32"/>
      <c r="R1612" s="32"/>
      <c r="S1612" s="32"/>
      <c r="T1612" s="32"/>
      <c r="U1612" s="32"/>
      <c r="V1612" s="31"/>
      <c r="W1612" s="35" t="str">
        <f aca="true">IF(OR(V1612="",AG1612&gt;=8),"",IF(V1612&lt;TODAY(),"Vencida",IF(V1612=TODAY(),"Hoy","")))</f>
        <v/>
      </c>
      <c r="X1612" s="36" t="str">
        <f aca="false">IF(A1612="","",IF(COUNTIF(Seguimiento!$B$2:$B$5001,A1612)=0,"",_xlfn.MAXIFS(Seguimiento!$A$2:$A$5001,Seguimiento!$B$2:$B$5001,A1612)))</f>
        <v/>
      </c>
      <c r="Y1612" s="37" t="str">
        <f aca="true">IF(B1612="","",TODAY()-B1612)</f>
        <v/>
      </c>
      <c r="Z1612" s="38" t="str">
        <f aca="false">IF(OR(O1612="",G1612=""),"",O1612*IFERROR(INDEX(Listas!$B$2:$B$50,MATCH(G1612,Listas!$A$2:$A$50,0)),0))</f>
        <v/>
      </c>
      <c r="AA1612" s="32"/>
      <c r="AB1612" s="32"/>
      <c r="AC1612" s="32"/>
      <c r="AD1612" s="35" t="str">
        <f aca="false">IF(OR(LEFT(H1612,4)="Meta",LEFT(H1612,6)="Google"),IF(AG1612=3,"Lead calificado",IF(OR(AG1612=4,AG1612=5),"Tasación/visita",IF(OR(AG1612=6,AG1612=7),"Captación/oferta",IF(AG1612=8,"Cierre","")))),"")</f>
        <v/>
      </c>
      <c r="AE1612" s="32"/>
      <c r="AF1612" s="32"/>
      <c r="AG1612" s="37" t="n">
        <f aca="false">IF(R1612="",0,IFERROR(MATCH(R1612,Listas!$L$2:$L$50,0),0))</f>
        <v>0</v>
      </c>
    </row>
    <row r="1613" customFormat="false" ht="15" hidden="false" customHeight="false" outlineLevel="0" collapsed="false">
      <c r="A1613" s="30"/>
      <c r="B1613" s="31"/>
      <c r="C1613" s="32"/>
      <c r="D1613" s="32"/>
      <c r="E1613" s="33"/>
      <c r="F1613" s="32"/>
      <c r="G1613" s="32"/>
      <c r="H1613" s="32"/>
      <c r="I1613" s="32"/>
      <c r="J1613" s="32"/>
      <c r="K1613" s="32"/>
      <c r="L1613" s="32"/>
      <c r="M1613" s="30"/>
      <c r="N1613" s="32"/>
      <c r="O1613" s="34"/>
      <c r="P1613" s="32"/>
      <c r="Q1613" s="32"/>
      <c r="R1613" s="32"/>
      <c r="S1613" s="32"/>
      <c r="T1613" s="32"/>
      <c r="U1613" s="32"/>
      <c r="V1613" s="31"/>
      <c r="W1613" s="35" t="str">
        <f aca="true">IF(OR(V1613="",AG1613&gt;=8),"",IF(V1613&lt;TODAY(),"Vencida",IF(V1613=TODAY(),"Hoy","")))</f>
        <v/>
      </c>
      <c r="X1613" s="36" t="str">
        <f aca="false">IF(A1613="","",IF(COUNTIF(Seguimiento!$B$2:$B$5001,A1613)=0,"",_xlfn.MAXIFS(Seguimiento!$A$2:$A$5001,Seguimiento!$B$2:$B$5001,A1613)))</f>
        <v/>
      </c>
      <c r="Y1613" s="37" t="str">
        <f aca="true">IF(B1613="","",TODAY()-B1613)</f>
        <v/>
      </c>
      <c r="Z1613" s="38" t="str">
        <f aca="false">IF(OR(O1613="",G1613=""),"",O1613*IFERROR(INDEX(Listas!$B$2:$B$50,MATCH(G1613,Listas!$A$2:$A$50,0)),0))</f>
        <v/>
      </c>
      <c r="AA1613" s="32"/>
      <c r="AB1613" s="32"/>
      <c r="AC1613" s="32"/>
      <c r="AD1613" s="35" t="str">
        <f aca="false">IF(OR(LEFT(H1613,4)="Meta",LEFT(H1613,6)="Google"),IF(AG1613=3,"Lead calificado",IF(OR(AG1613=4,AG1613=5),"Tasación/visita",IF(OR(AG1613=6,AG1613=7),"Captación/oferta",IF(AG1613=8,"Cierre","")))),"")</f>
        <v/>
      </c>
      <c r="AE1613" s="32"/>
      <c r="AF1613" s="32"/>
      <c r="AG1613" s="37" t="n">
        <f aca="false">IF(R1613="",0,IFERROR(MATCH(R1613,Listas!$L$2:$L$50,0),0))</f>
        <v>0</v>
      </c>
    </row>
    <row r="1614" customFormat="false" ht="15" hidden="false" customHeight="false" outlineLevel="0" collapsed="false">
      <c r="A1614" s="30"/>
      <c r="B1614" s="31"/>
      <c r="C1614" s="32"/>
      <c r="D1614" s="32"/>
      <c r="E1614" s="33"/>
      <c r="F1614" s="32"/>
      <c r="G1614" s="32"/>
      <c r="H1614" s="32"/>
      <c r="I1614" s="32"/>
      <c r="J1614" s="32"/>
      <c r="K1614" s="32"/>
      <c r="L1614" s="32"/>
      <c r="M1614" s="30"/>
      <c r="N1614" s="32"/>
      <c r="O1614" s="34"/>
      <c r="P1614" s="32"/>
      <c r="Q1614" s="32"/>
      <c r="R1614" s="32"/>
      <c r="S1614" s="32"/>
      <c r="T1614" s="32"/>
      <c r="U1614" s="32"/>
      <c r="V1614" s="31"/>
      <c r="W1614" s="35" t="str">
        <f aca="true">IF(OR(V1614="",AG1614&gt;=8),"",IF(V1614&lt;TODAY(),"Vencida",IF(V1614=TODAY(),"Hoy","")))</f>
        <v/>
      </c>
      <c r="X1614" s="36" t="str">
        <f aca="false">IF(A1614="","",IF(COUNTIF(Seguimiento!$B$2:$B$5001,A1614)=0,"",_xlfn.MAXIFS(Seguimiento!$A$2:$A$5001,Seguimiento!$B$2:$B$5001,A1614)))</f>
        <v/>
      </c>
      <c r="Y1614" s="37" t="str">
        <f aca="true">IF(B1614="","",TODAY()-B1614)</f>
        <v/>
      </c>
      <c r="Z1614" s="38" t="str">
        <f aca="false">IF(OR(O1614="",G1614=""),"",O1614*IFERROR(INDEX(Listas!$B$2:$B$50,MATCH(G1614,Listas!$A$2:$A$50,0)),0))</f>
        <v/>
      </c>
      <c r="AA1614" s="32"/>
      <c r="AB1614" s="32"/>
      <c r="AC1614" s="32"/>
      <c r="AD1614" s="35" t="str">
        <f aca="false">IF(OR(LEFT(H1614,4)="Meta",LEFT(H1614,6)="Google"),IF(AG1614=3,"Lead calificado",IF(OR(AG1614=4,AG1614=5),"Tasación/visita",IF(OR(AG1614=6,AG1614=7),"Captación/oferta",IF(AG1614=8,"Cierre","")))),"")</f>
        <v/>
      </c>
      <c r="AE1614" s="32"/>
      <c r="AF1614" s="32"/>
      <c r="AG1614" s="37" t="n">
        <f aca="false">IF(R1614="",0,IFERROR(MATCH(R1614,Listas!$L$2:$L$50,0),0))</f>
        <v>0</v>
      </c>
    </row>
    <row r="1615" customFormat="false" ht="15" hidden="false" customHeight="false" outlineLevel="0" collapsed="false">
      <c r="A1615" s="30"/>
      <c r="B1615" s="31"/>
      <c r="C1615" s="32"/>
      <c r="D1615" s="32"/>
      <c r="E1615" s="33"/>
      <c r="F1615" s="32"/>
      <c r="G1615" s="32"/>
      <c r="H1615" s="32"/>
      <c r="I1615" s="32"/>
      <c r="J1615" s="32"/>
      <c r="K1615" s="32"/>
      <c r="L1615" s="32"/>
      <c r="M1615" s="30"/>
      <c r="N1615" s="32"/>
      <c r="O1615" s="34"/>
      <c r="P1615" s="32"/>
      <c r="Q1615" s="32"/>
      <c r="R1615" s="32"/>
      <c r="S1615" s="32"/>
      <c r="T1615" s="32"/>
      <c r="U1615" s="32"/>
      <c r="V1615" s="31"/>
      <c r="W1615" s="35" t="str">
        <f aca="true">IF(OR(V1615="",AG1615&gt;=8),"",IF(V1615&lt;TODAY(),"Vencida",IF(V1615=TODAY(),"Hoy","")))</f>
        <v/>
      </c>
      <c r="X1615" s="36" t="str">
        <f aca="false">IF(A1615="","",IF(COUNTIF(Seguimiento!$B$2:$B$5001,A1615)=0,"",_xlfn.MAXIFS(Seguimiento!$A$2:$A$5001,Seguimiento!$B$2:$B$5001,A1615)))</f>
        <v/>
      </c>
      <c r="Y1615" s="37" t="str">
        <f aca="true">IF(B1615="","",TODAY()-B1615)</f>
        <v/>
      </c>
      <c r="Z1615" s="38" t="str">
        <f aca="false">IF(OR(O1615="",G1615=""),"",O1615*IFERROR(INDEX(Listas!$B$2:$B$50,MATCH(G1615,Listas!$A$2:$A$50,0)),0))</f>
        <v/>
      </c>
      <c r="AA1615" s="32"/>
      <c r="AB1615" s="32"/>
      <c r="AC1615" s="32"/>
      <c r="AD1615" s="35" t="str">
        <f aca="false">IF(OR(LEFT(H1615,4)="Meta",LEFT(H1615,6)="Google"),IF(AG1615=3,"Lead calificado",IF(OR(AG1615=4,AG1615=5),"Tasación/visita",IF(OR(AG1615=6,AG1615=7),"Captación/oferta",IF(AG1615=8,"Cierre","")))),"")</f>
        <v/>
      </c>
      <c r="AE1615" s="32"/>
      <c r="AF1615" s="32"/>
      <c r="AG1615" s="37" t="n">
        <f aca="false">IF(R1615="",0,IFERROR(MATCH(R1615,Listas!$L$2:$L$50,0),0))</f>
        <v>0</v>
      </c>
    </row>
    <row r="1616" customFormat="false" ht="15" hidden="false" customHeight="false" outlineLevel="0" collapsed="false">
      <c r="A1616" s="30"/>
      <c r="B1616" s="31"/>
      <c r="C1616" s="32"/>
      <c r="D1616" s="32"/>
      <c r="E1616" s="33"/>
      <c r="F1616" s="32"/>
      <c r="G1616" s="32"/>
      <c r="H1616" s="32"/>
      <c r="I1616" s="32"/>
      <c r="J1616" s="32"/>
      <c r="K1616" s="32"/>
      <c r="L1616" s="32"/>
      <c r="M1616" s="30"/>
      <c r="N1616" s="32"/>
      <c r="O1616" s="34"/>
      <c r="P1616" s="32"/>
      <c r="Q1616" s="32"/>
      <c r="R1616" s="32"/>
      <c r="S1616" s="32"/>
      <c r="T1616" s="32"/>
      <c r="U1616" s="32"/>
      <c r="V1616" s="31"/>
      <c r="W1616" s="35" t="str">
        <f aca="true">IF(OR(V1616="",AG1616&gt;=8),"",IF(V1616&lt;TODAY(),"Vencida",IF(V1616=TODAY(),"Hoy","")))</f>
        <v/>
      </c>
      <c r="X1616" s="36" t="str">
        <f aca="false">IF(A1616="","",IF(COUNTIF(Seguimiento!$B$2:$B$5001,A1616)=0,"",_xlfn.MAXIFS(Seguimiento!$A$2:$A$5001,Seguimiento!$B$2:$B$5001,A1616)))</f>
        <v/>
      </c>
      <c r="Y1616" s="37" t="str">
        <f aca="true">IF(B1616="","",TODAY()-B1616)</f>
        <v/>
      </c>
      <c r="Z1616" s="38" t="str">
        <f aca="false">IF(OR(O1616="",G1616=""),"",O1616*IFERROR(INDEX(Listas!$B$2:$B$50,MATCH(G1616,Listas!$A$2:$A$50,0)),0))</f>
        <v/>
      </c>
      <c r="AA1616" s="32"/>
      <c r="AB1616" s="32"/>
      <c r="AC1616" s="32"/>
      <c r="AD1616" s="35" t="str">
        <f aca="false">IF(OR(LEFT(H1616,4)="Meta",LEFT(H1616,6)="Google"),IF(AG1616=3,"Lead calificado",IF(OR(AG1616=4,AG1616=5),"Tasación/visita",IF(OR(AG1616=6,AG1616=7),"Captación/oferta",IF(AG1616=8,"Cierre","")))),"")</f>
        <v/>
      </c>
      <c r="AE1616" s="32"/>
      <c r="AF1616" s="32"/>
      <c r="AG1616" s="37" t="n">
        <f aca="false">IF(R1616="",0,IFERROR(MATCH(R1616,Listas!$L$2:$L$50,0),0))</f>
        <v>0</v>
      </c>
    </row>
    <row r="1617" customFormat="false" ht="15" hidden="false" customHeight="false" outlineLevel="0" collapsed="false">
      <c r="A1617" s="30"/>
      <c r="B1617" s="31"/>
      <c r="C1617" s="32"/>
      <c r="D1617" s="32"/>
      <c r="E1617" s="33"/>
      <c r="F1617" s="32"/>
      <c r="G1617" s="32"/>
      <c r="H1617" s="32"/>
      <c r="I1617" s="32"/>
      <c r="J1617" s="32"/>
      <c r="K1617" s="32"/>
      <c r="L1617" s="32"/>
      <c r="M1617" s="30"/>
      <c r="N1617" s="32"/>
      <c r="O1617" s="34"/>
      <c r="P1617" s="32"/>
      <c r="Q1617" s="32"/>
      <c r="R1617" s="32"/>
      <c r="S1617" s="32"/>
      <c r="T1617" s="32"/>
      <c r="U1617" s="32"/>
      <c r="V1617" s="31"/>
      <c r="W1617" s="35" t="str">
        <f aca="true">IF(OR(V1617="",AG1617&gt;=8),"",IF(V1617&lt;TODAY(),"Vencida",IF(V1617=TODAY(),"Hoy","")))</f>
        <v/>
      </c>
      <c r="X1617" s="36" t="str">
        <f aca="false">IF(A1617="","",IF(COUNTIF(Seguimiento!$B$2:$B$5001,A1617)=0,"",_xlfn.MAXIFS(Seguimiento!$A$2:$A$5001,Seguimiento!$B$2:$B$5001,A1617)))</f>
        <v/>
      </c>
      <c r="Y1617" s="37" t="str">
        <f aca="true">IF(B1617="","",TODAY()-B1617)</f>
        <v/>
      </c>
      <c r="Z1617" s="38" t="str">
        <f aca="false">IF(OR(O1617="",G1617=""),"",O1617*IFERROR(INDEX(Listas!$B$2:$B$50,MATCH(G1617,Listas!$A$2:$A$50,0)),0))</f>
        <v/>
      </c>
      <c r="AA1617" s="32"/>
      <c r="AB1617" s="32"/>
      <c r="AC1617" s="32"/>
      <c r="AD1617" s="35" t="str">
        <f aca="false">IF(OR(LEFT(H1617,4)="Meta",LEFT(H1617,6)="Google"),IF(AG1617=3,"Lead calificado",IF(OR(AG1617=4,AG1617=5),"Tasación/visita",IF(OR(AG1617=6,AG1617=7),"Captación/oferta",IF(AG1617=8,"Cierre","")))),"")</f>
        <v/>
      </c>
      <c r="AE1617" s="32"/>
      <c r="AF1617" s="32"/>
      <c r="AG1617" s="37" t="n">
        <f aca="false">IF(R1617="",0,IFERROR(MATCH(R1617,Listas!$L$2:$L$50,0),0))</f>
        <v>0</v>
      </c>
    </row>
    <row r="1618" customFormat="false" ht="15" hidden="false" customHeight="false" outlineLevel="0" collapsed="false">
      <c r="A1618" s="30"/>
      <c r="B1618" s="31"/>
      <c r="C1618" s="32"/>
      <c r="D1618" s="32"/>
      <c r="E1618" s="33"/>
      <c r="F1618" s="32"/>
      <c r="G1618" s="32"/>
      <c r="H1618" s="32"/>
      <c r="I1618" s="32"/>
      <c r="J1618" s="32"/>
      <c r="K1618" s="32"/>
      <c r="L1618" s="32"/>
      <c r="M1618" s="30"/>
      <c r="N1618" s="32"/>
      <c r="O1618" s="34"/>
      <c r="P1618" s="32"/>
      <c r="Q1618" s="32"/>
      <c r="R1618" s="32"/>
      <c r="S1618" s="32"/>
      <c r="T1618" s="32"/>
      <c r="U1618" s="32"/>
      <c r="V1618" s="31"/>
      <c r="W1618" s="35" t="str">
        <f aca="true">IF(OR(V1618="",AG1618&gt;=8),"",IF(V1618&lt;TODAY(),"Vencida",IF(V1618=TODAY(),"Hoy","")))</f>
        <v/>
      </c>
      <c r="X1618" s="36" t="str">
        <f aca="false">IF(A1618="","",IF(COUNTIF(Seguimiento!$B$2:$B$5001,A1618)=0,"",_xlfn.MAXIFS(Seguimiento!$A$2:$A$5001,Seguimiento!$B$2:$B$5001,A1618)))</f>
        <v/>
      </c>
      <c r="Y1618" s="37" t="str">
        <f aca="true">IF(B1618="","",TODAY()-B1618)</f>
        <v/>
      </c>
      <c r="Z1618" s="38" t="str">
        <f aca="false">IF(OR(O1618="",G1618=""),"",O1618*IFERROR(INDEX(Listas!$B$2:$B$50,MATCH(G1618,Listas!$A$2:$A$50,0)),0))</f>
        <v/>
      </c>
      <c r="AA1618" s="32"/>
      <c r="AB1618" s="32"/>
      <c r="AC1618" s="32"/>
      <c r="AD1618" s="35" t="str">
        <f aca="false">IF(OR(LEFT(H1618,4)="Meta",LEFT(H1618,6)="Google"),IF(AG1618=3,"Lead calificado",IF(OR(AG1618=4,AG1618=5),"Tasación/visita",IF(OR(AG1618=6,AG1618=7),"Captación/oferta",IF(AG1618=8,"Cierre","")))),"")</f>
        <v/>
      </c>
      <c r="AE1618" s="32"/>
      <c r="AF1618" s="32"/>
      <c r="AG1618" s="37" t="n">
        <f aca="false">IF(R1618="",0,IFERROR(MATCH(R1618,Listas!$L$2:$L$50,0),0))</f>
        <v>0</v>
      </c>
    </row>
    <row r="1619" customFormat="false" ht="15" hidden="false" customHeight="false" outlineLevel="0" collapsed="false">
      <c r="A1619" s="30"/>
      <c r="B1619" s="31"/>
      <c r="C1619" s="32"/>
      <c r="D1619" s="32"/>
      <c r="E1619" s="33"/>
      <c r="F1619" s="32"/>
      <c r="G1619" s="32"/>
      <c r="H1619" s="32"/>
      <c r="I1619" s="32"/>
      <c r="J1619" s="32"/>
      <c r="K1619" s="32"/>
      <c r="L1619" s="32"/>
      <c r="M1619" s="30"/>
      <c r="N1619" s="32"/>
      <c r="O1619" s="34"/>
      <c r="P1619" s="32"/>
      <c r="Q1619" s="32"/>
      <c r="R1619" s="32"/>
      <c r="S1619" s="32"/>
      <c r="T1619" s="32"/>
      <c r="U1619" s="32"/>
      <c r="V1619" s="31"/>
      <c r="W1619" s="35" t="str">
        <f aca="true">IF(OR(V1619="",AG1619&gt;=8),"",IF(V1619&lt;TODAY(),"Vencida",IF(V1619=TODAY(),"Hoy","")))</f>
        <v/>
      </c>
      <c r="X1619" s="36" t="str">
        <f aca="false">IF(A1619="","",IF(COUNTIF(Seguimiento!$B$2:$B$5001,A1619)=0,"",_xlfn.MAXIFS(Seguimiento!$A$2:$A$5001,Seguimiento!$B$2:$B$5001,A1619)))</f>
        <v/>
      </c>
      <c r="Y1619" s="37" t="str">
        <f aca="true">IF(B1619="","",TODAY()-B1619)</f>
        <v/>
      </c>
      <c r="Z1619" s="38" t="str">
        <f aca="false">IF(OR(O1619="",G1619=""),"",O1619*IFERROR(INDEX(Listas!$B$2:$B$50,MATCH(G1619,Listas!$A$2:$A$50,0)),0))</f>
        <v/>
      </c>
      <c r="AA1619" s="32"/>
      <c r="AB1619" s="32"/>
      <c r="AC1619" s="32"/>
      <c r="AD1619" s="35" t="str">
        <f aca="false">IF(OR(LEFT(H1619,4)="Meta",LEFT(H1619,6)="Google"),IF(AG1619=3,"Lead calificado",IF(OR(AG1619=4,AG1619=5),"Tasación/visita",IF(OR(AG1619=6,AG1619=7),"Captación/oferta",IF(AG1619=8,"Cierre","")))),"")</f>
        <v/>
      </c>
      <c r="AE1619" s="32"/>
      <c r="AF1619" s="32"/>
      <c r="AG1619" s="37" t="n">
        <f aca="false">IF(R1619="",0,IFERROR(MATCH(R1619,Listas!$L$2:$L$50,0),0))</f>
        <v>0</v>
      </c>
    </row>
    <row r="1620" customFormat="false" ht="15" hidden="false" customHeight="false" outlineLevel="0" collapsed="false">
      <c r="A1620" s="30"/>
      <c r="B1620" s="31"/>
      <c r="C1620" s="32"/>
      <c r="D1620" s="32"/>
      <c r="E1620" s="33"/>
      <c r="F1620" s="32"/>
      <c r="G1620" s="32"/>
      <c r="H1620" s="32"/>
      <c r="I1620" s="32"/>
      <c r="J1620" s="32"/>
      <c r="K1620" s="32"/>
      <c r="L1620" s="32"/>
      <c r="M1620" s="30"/>
      <c r="N1620" s="32"/>
      <c r="O1620" s="34"/>
      <c r="P1620" s="32"/>
      <c r="Q1620" s="32"/>
      <c r="R1620" s="32"/>
      <c r="S1620" s="32"/>
      <c r="T1620" s="32"/>
      <c r="U1620" s="32"/>
      <c r="V1620" s="31"/>
      <c r="W1620" s="35" t="str">
        <f aca="true">IF(OR(V1620="",AG1620&gt;=8),"",IF(V1620&lt;TODAY(),"Vencida",IF(V1620=TODAY(),"Hoy","")))</f>
        <v/>
      </c>
      <c r="X1620" s="36" t="str">
        <f aca="false">IF(A1620="","",IF(COUNTIF(Seguimiento!$B$2:$B$5001,A1620)=0,"",_xlfn.MAXIFS(Seguimiento!$A$2:$A$5001,Seguimiento!$B$2:$B$5001,A1620)))</f>
        <v/>
      </c>
      <c r="Y1620" s="37" t="str">
        <f aca="true">IF(B1620="","",TODAY()-B1620)</f>
        <v/>
      </c>
      <c r="Z1620" s="38" t="str">
        <f aca="false">IF(OR(O1620="",G1620=""),"",O1620*IFERROR(INDEX(Listas!$B$2:$B$50,MATCH(G1620,Listas!$A$2:$A$50,0)),0))</f>
        <v/>
      </c>
      <c r="AA1620" s="32"/>
      <c r="AB1620" s="32"/>
      <c r="AC1620" s="32"/>
      <c r="AD1620" s="35" t="str">
        <f aca="false">IF(OR(LEFT(H1620,4)="Meta",LEFT(H1620,6)="Google"),IF(AG1620=3,"Lead calificado",IF(OR(AG1620=4,AG1620=5),"Tasación/visita",IF(OR(AG1620=6,AG1620=7),"Captación/oferta",IF(AG1620=8,"Cierre","")))),"")</f>
        <v/>
      </c>
      <c r="AE1620" s="32"/>
      <c r="AF1620" s="32"/>
      <c r="AG1620" s="37" t="n">
        <f aca="false">IF(R1620="",0,IFERROR(MATCH(R1620,Listas!$L$2:$L$50,0),0))</f>
        <v>0</v>
      </c>
    </row>
    <row r="1621" customFormat="false" ht="15" hidden="false" customHeight="false" outlineLevel="0" collapsed="false">
      <c r="A1621" s="30"/>
      <c r="B1621" s="31"/>
      <c r="C1621" s="32"/>
      <c r="D1621" s="32"/>
      <c r="E1621" s="33"/>
      <c r="F1621" s="32"/>
      <c r="G1621" s="32"/>
      <c r="H1621" s="32"/>
      <c r="I1621" s="32"/>
      <c r="J1621" s="32"/>
      <c r="K1621" s="32"/>
      <c r="L1621" s="32"/>
      <c r="M1621" s="30"/>
      <c r="N1621" s="32"/>
      <c r="O1621" s="34"/>
      <c r="P1621" s="32"/>
      <c r="Q1621" s="32"/>
      <c r="R1621" s="32"/>
      <c r="S1621" s="32"/>
      <c r="T1621" s="32"/>
      <c r="U1621" s="32"/>
      <c r="V1621" s="31"/>
      <c r="W1621" s="35" t="str">
        <f aca="true">IF(OR(V1621="",AG1621&gt;=8),"",IF(V1621&lt;TODAY(),"Vencida",IF(V1621=TODAY(),"Hoy","")))</f>
        <v/>
      </c>
      <c r="X1621" s="36" t="str">
        <f aca="false">IF(A1621="","",IF(COUNTIF(Seguimiento!$B$2:$B$5001,A1621)=0,"",_xlfn.MAXIFS(Seguimiento!$A$2:$A$5001,Seguimiento!$B$2:$B$5001,A1621)))</f>
        <v/>
      </c>
      <c r="Y1621" s="37" t="str">
        <f aca="true">IF(B1621="","",TODAY()-B1621)</f>
        <v/>
      </c>
      <c r="Z1621" s="38" t="str">
        <f aca="false">IF(OR(O1621="",G1621=""),"",O1621*IFERROR(INDEX(Listas!$B$2:$B$50,MATCH(G1621,Listas!$A$2:$A$50,0)),0))</f>
        <v/>
      </c>
      <c r="AA1621" s="32"/>
      <c r="AB1621" s="32"/>
      <c r="AC1621" s="32"/>
      <c r="AD1621" s="35" t="str">
        <f aca="false">IF(OR(LEFT(H1621,4)="Meta",LEFT(H1621,6)="Google"),IF(AG1621=3,"Lead calificado",IF(OR(AG1621=4,AG1621=5),"Tasación/visita",IF(OR(AG1621=6,AG1621=7),"Captación/oferta",IF(AG1621=8,"Cierre","")))),"")</f>
        <v/>
      </c>
      <c r="AE1621" s="32"/>
      <c r="AF1621" s="32"/>
      <c r="AG1621" s="37" t="n">
        <f aca="false">IF(R1621="",0,IFERROR(MATCH(R1621,Listas!$L$2:$L$50,0),0))</f>
        <v>0</v>
      </c>
    </row>
    <row r="1622" customFormat="false" ht="15" hidden="false" customHeight="false" outlineLevel="0" collapsed="false">
      <c r="A1622" s="30"/>
      <c r="B1622" s="31"/>
      <c r="C1622" s="32"/>
      <c r="D1622" s="32"/>
      <c r="E1622" s="33"/>
      <c r="F1622" s="32"/>
      <c r="G1622" s="32"/>
      <c r="H1622" s="32"/>
      <c r="I1622" s="32"/>
      <c r="J1622" s="32"/>
      <c r="K1622" s="32"/>
      <c r="L1622" s="32"/>
      <c r="M1622" s="30"/>
      <c r="N1622" s="32"/>
      <c r="O1622" s="34"/>
      <c r="P1622" s="32"/>
      <c r="Q1622" s="32"/>
      <c r="R1622" s="32"/>
      <c r="S1622" s="32"/>
      <c r="T1622" s="32"/>
      <c r="U1622" s="32"/>
      <c r="V1622" s="31"/>
      <c r="W1622" s="35" t="str">
        <f aca="true">IF(OR(V1622="",AG1622&gt;=8),"",IF(V1622&lt;TODAY(),"Vencida",IF(V1622=TODAY(),"Hoy","")))</f>
        <v/>
      </c>
      <c r="X1622" s="36" t="str">
        <f aca="false">IF(A1622="","",IF(COUNTIF(Seguimiento!$B$2:$B$5001,A1622)=0,"",_xlfn.MAXIFS(Seguimiento!$A$2:$A$5001,Seguimiento!$B$2:$B$5001,A1622)))</f>
        <v/>
      </c>
      <c r="Y1622" s="37" t="str">
        <f aca="true">IF(B1622="","",TODAY()-B1622)</f>
        <v/>
      </c>
      <c r="Z1622" s="38" t="str">
        <f aca="false">IF(OR(O1622="",G1622=""),"",O1622*IFERROR(INDEX(Listas!$B$2:$B$50,MATCH(G1622,Listas!$A$2:$A$50,0)),0))</f>
        <v/>
      </c>
      <c r="AA1622" s="32"/>
      <c r="AB1622" s="32"/>
      <c r="AC1622" s="32"/>
      <c r="AD1622" s="35" t="str">
        <f aca="false">IF(OR(LEFT(H1622,4)="Meta",LEFT(H1622,6)="Google"),IF(AG1622=3,"Lead calificado",IF(OR(AG1622=4,AG1622=5),"Tasación/visita",IF(OR(AG1622=6,AG1622=7),"Captación/oferta",IF(AG1622=8,"Cierre","")))),"")</f>
        <v/>
      </c>
      <c r="AE1622" s="32"/>
      <c r="AF1622" s="32"/>
      <c r="AG1622" s="37" t="n">
        <f aca="false">IF(R1622="",0,IFERROR(MATCH(R1622,Listas!$L$2:$L$50,0),0))</f>
        <v>0</v>
      </c>
    </row>
    <row r="1623" customFormat="false" ht="15" hidden="false" customHeight="false" outlineLevel="0" collapsed="false">
      <c r="A1623" s="30"/>
      <c r="B1623" s="31"/>
      <c r="C1623" s="32"/>
      <c r="D1623" s="32"/>
      <c r="E1623" s="33"/>
      <c r="F1623" s="32"/>
      <c r="G1623" s="32"/>
      <c r="H1623" s="32"/>
      <c r="I1623" s="32"/>
      <c r="J1623" s="32"/>
      <c r="K1623" s="32"/>
      <c r="L1623" s="32"/>
      <c r="M1623" s="30"/>
      <c r="N1623" s="32"/>
      <c r="O1623" s="34"/>
      <c r="P1623" s="32"/>
      <c r="Q1623" s="32"/>
      <c r="R1623" s="32"/>
      <c r="S1623" s="32"/>
      <c r="T1623" s="32"/>
      <c r="U1623" s="32"/>
      <c r="V1623" s="31"/>
      <c r="W1623" s="35" t="str">
        <f aca="true">IF(OR(V1623="",AG1623&gt;=8),"",IF(V1623&lt;TODAY(),"Vencida",IF(V1623=TODAY(),"Hoy","")))</f>
        <v/>
      </c>
      <c r="X1623" s="36" t="str">
        <f aca="false">IF(A1623="","",IF(COUNTIF(Seguimiento!$B$2:$B$5001,A1623)=0,"",_xlfn.MAXIFS(Seguimiento!$A$2:$A$5001,Seguimiento!$B$2:$B$5001,A1623)))</f>
        <v/>
      </c>
      <c r="Y1623" s="37" t="str">
        <f aca="true">IF(B1623="","",TODAY()-B1623)</f>
        <v/>
      </c>
      <c r="Z1623" s="38" t="str">
        <f aca="false">IF(OR(O1623="",G1623=""),"",O1623*IFERROR(INDEX(Listas!$B$2:$B$50,MATCH(G1623,Listas!$A$2:$A$50,0)),0))</f>
        <v/>
      </c>
      <c r="AA1623" s="32"/>
      <c r="AB1623" s="32"/>
      <c r="AC1623" s="32"/>
      <c r="AD1623" s="35" t="str">
        <f aca="false">IF(OR(LEFT(H1623,4)="Meta",LEFT(H1623,6)="Google"),IF(AG1623=3,"Lead calificado",IF(OR(AG1623=4,AG1623=5),"Tasación/visita",IF(OR(AG1623=6,AG1623=7),"Captación/oferta",IF(AG1623=8,"Cierre","")))),"")</f>
        <v/>
      </c>
      <c r="AE1623" s="32"/>
      <c r="AF1623" s="32"/>
      <c r="AG1623" s="37" t="n">
        <f aca="false">IF(R1623="",0,IFERROR(MATCH(R1623,Listas!$L$2:$L$50,0),0))</f>
        <v>0</v>
      </c>
    </row>
    <row r="1624" customFormat="false" ht="15" hidden="false" customHeight="false" outlineLevel="0" collapsed="false">
      <c r="A1624" s="30"/>
      <c r="B1624" s="31"/>
      <c r="C1624" s="32"/>
      <c r="D1624" s="32"/>
      <c r="E1624" s="33"/>
      <c r="F1624" s="32"/>
      <c r="G1624" s="32"/>
      <c r="H1624" s="32"/>
      <c r="I1624" s="32"/>
      <c r="J1624" s="32"/>
      <c r="K1624" s="32"/>
      <c r="L1624" s="32"/>
      <c r="M1624" s="30"/>
      <c r="N1624" s="32"/>
      <c r="O1624" s="34"/>
      <c r="P1624" s="32"/>
      <c r="Q1624" s="32"/>
      <c r="R1624" s="32"/>
      <c r="S1624" s="32"/>
      <c r="T1624" s="32"/>
      <c r="U1624" s="32"/>
      <c r="V1624" s="31"/>
      <c r="W1624" s="35" t="str">
        <f aca="true">IF(OR(V1624="",AG1624&gt;=8),"",IF(V1624&lt;TODAY(),"Vencida",IF(V1624=TODAY(),"Hoy","")))</f>
        <v/>
      </c>
      <c r="X1624" s="36" t="str">
        <f aca="false">IF(A1624="","",IF(COUNTIF(Seguimiento!$B$2:$B$5001,A1624)=0,"",_xlfn.MAXIFS(Seguimiento!$A$2:$A$5001,Seguimiento!$B$2:$B$5001,A1624)))</f>
        <v/>
      </c>
      <c r="Y1624" s="37" t="str">
        <f aca="true">IF(B1624="","",TODAY()-B1624)</f>
        <v/>
      </c>
      <c r="Z1624" s="38" t="str">
        <f aca="false">IF(OR(O1624="",G1624=""),"",O1624*IFERROR(INDEX(Listas!$B$2:$B$50,MATCH(G1624,Listas!$A$2:$A$50,0)),0))</f>
        <v/>
      </c>
      <c r="AA1624" s="32"/>
      <c r="AB1624" s="32"/>
      <c r="AC1624" s="32"/>
      <c r="AD1624" s="35" t="str">
        <f aca="false">IF(OR(LEFT(H1624,4)="Meta",LEFT(H1624,6)="Google"),IF(AG1624=3,"Lead calificado",IF(OR(AG1624=4,AG1624=5),"Tasación/visita",IF(OR(AG1624=6,AG1624=7),"Captación/oferta",IF(AG1624=8,"Cierre","")))),"")</f>
        <v/>
      </c>
      <c r="AE1624" s="32"/>
      <c r="AF1624" s="32"/>
      <c r="AG1624" s="37" t="n">
        <f aca="false">IF(R1624="",0,IFERROR(MATCH(R1624,Listas!$L$2:$L$50,0),0))</f>
        <v>0</v>
      </c>
    </row>
    <row r="1625" customFormat="false" ht="15" hidden="false" customHeight="false" outlineLevel="0" collapsed="false">
      <c r="A1625" s="30"/>
      <c r="B1625" s="31"/>
      <c r="C1625" s="32"/>
      <c r="D1625" s="32"/>
      <c r="E1625" s="33"/>
      <c r="F1625" s="32"/>
      <c r="G1625" s="32"/>
      <c r="H1625" s="32"/>
      <c r="I1625" s="32"/>
      <c r="J1625" s="32"/>
      <c r="K1625" s="32"/>
      <c r="L1625" s="32"/>
      <c r="M1625" s="30"/>
      <c r="N1625" s="32"/>
      <c r="O1625" s="34"/>
      <c r="P1625" s="32"/>
      <c r="Q1625" s="32"/>
      <c r="R1625" s="32"/>
      <c r="S1625" s="32"/>
      <c r="T1625" s="32"/>
      <c r="U1625" s="32"/>
      <c r="V1625" s="31"/>
      <c r="W1625" s="35" t="str">
        <f aca="true">IF(OR(V1625="",AG1625&gt;=8),"",IF(V1625&lt;TODAY(),"Vencida",IF(V1625=TODAY(),"Hoy","")))</f>
        <v/>
      </c>
      <c r="X1625" s="36" t="str">
        <f aca="false">IF(A1625="","",IF(COUNTIF(Seguimiento!$B$2:$B$5001,A1625)=0,"",_xlfn.MAXIFS(Seguimiento!$A$2:$A$5001,Seguimiento!$B$2:$B$5001,A1625)))</f>
        <v/>
      </c>
      <c r="Y1625" s="37" t="str">
        <f aca="true">IF(B1625="","",TODAY()-B1625)</f>
        <v/>
      </c>
      <c r="Z1625" s="38" t="str">
        <f aca="false">IF(OR(O1625="",G1625=""),"",O1625*IFERROR(INDEX(Listas!$B$2:$B$50,MATCH(G1625,Listas!$A$2:$A$50,0)),0))</f>
        <v/>
      </c>
      <c r="AA1625" s="32"/>
      <c r="AB1625" s="32"/>
      <c r="AC1625" s="32"/>
      <c r="AD1625" s="35" t="str">
        <f aca="false">IF(OR(LEFT(H1625,4)="Meta",LEFT(H1625,6)="Google"),IF(AG1625=3,"Lead calificado",IF(OR(AG1625=4,AG1625=5),"Tasación/visita",IF(OR(AG1625=6,AG1625=7),"Captación/oferta",IF(AG1625=8,"Cierre","")))),"")</f>
        <v/>
      </c>
      <c r="AE1625" s="32"/>
      <c r="AF1625" s="32"/>
      <c r="AG1625" s="37" t="n">
        <f aca="false">IF(R1625="",0,IFERROR(MATCH(R1625,Listas!$L$2:$L$50,0),0))</f>
        <v>0</v>
      </c>
    </row>
    <row r="1626" customFormat="false" ht="15" hidden="false" customHeight="false" outlineLevel="0" collapsed="false">
      <c r="A1626" s="30"/>
      <c r="B1626" s="31"/>
      <c r="C1626" s="32"/>
      <c r="D1626" s="32"/>
      <c r="E1626" s="33"/>
      <c r="F1626" s="32"/>
      <c r="G1626" s="32"/>
      <c r="H1626" s="32"/>
      <c r="I1626" s="32"/>
      <c r="J1626" s="32"/>
      <c r="K1626" s="32"/>
      <c r="L1626" s="32"/>
      <c r="M1626" s="30"/>
      <c r="N1626" s="32"/>
      <c r="O1626" s="34"/>
      <c r="P1626" s="32"/>
      <c r="Q1626" s="32"/>
      <c r="R1626" s="32"/>
      <c r="S1626" s="32"/>
      <c r="T1626" s="32"/>
      <c r="U1626" s="32"/>
      <c r="V1626" s="31"/>
      <c r="W1626" s="35" t="str">
        <f aca="true">IF(OR(V1626="",AG1626&gt;=8),"",IF(V1626&lt;TODAY(),"Vencida",IF(V1626=TODAY(),"Hoy","")))</f>
        <v/>
      </c>
      <c r="X1626" s="36" t="str">
        <f aca="false">IF(A1626="","",IF(COUNTIF(Seguimiento!$B$2:$B$5001,A1626)=0,"",_xlfn.MAXIFS(Seguimiento!$A$2:$A$5001,Seguimiento!$B$2:$B$5001,A1626)))</f>
        <v/>
      </c>
      <c r="Y1626" s="37" t="str">
        <f aca="true">IF(B1626="","",TODAY()-B1626)</f>
        <v/>
      </c>
      <c r="Z1626" s="38" t="str">
        <f aca="false">IF(OR(O1626="",G1626=""),"",O1626*IFERROR(INDEX(Listas!$B$2:$B$50,MATCH(G1626,Listas!$A$2:$A$50,0)),0))</f>
        <v/>
      </c>
      <c r="AA1626" s="32"/>
      <c r="AB1626" s="32"/>
      <c r="AC1626" s="32"/>
      <c r="AD1626" s="35" t="str">
        <f aca="false">IF(OR(LEFT(H1626,4)="Meta",LEFT(H1626,6)="Google"),IF(AG1626=3,"Lead calificado",IF(OR(AG1626=4,AG1626=5),"Tasación/visita",IF(OR(AG1626=6,AG1626=7),"Captación/oferta",IF(AG1626=8,"Cierre","")))),"")</f>
        <v/>
      </c>
      <c r="AE1626" s="32"/>
      <c r="AF1626" s="32"/>
      <c r="AG1626" s="37" t="n">
        <f aca="false">IF(R1626="",0,IFERROR(MATCH(R1626,Listas!$L$2:$L$50,0),0))</f>
        <v>0</v>
      </c>
    </row>
    <row r="1627" customFormat="false" ht="15" hidden="false" customHeight="false" outlineLevel="0" collapsed="false">
      <c r="A1627" s="30"/>
      <c r="B1627" s="31"/>
      <c r="C1627" s="32"/>
      <c r="D1627" s="32"/>
      <c r="E1627" s="33"/>
      <c r="F1627" s="32"/>
      <c r="G1627" s="32"/>
      <c r="H1627" s="32"/>
      <c r="I1627" s="32"/>
      <c r="J1627" s="32"/>
      <c r="K1627" s="32"/>
      <c r="L1627" s="32"/>
      <c r="M1627" s="30"/>
      <c r="N1627" s="32"/>
      <c r="O1627" s="34"/>
      <c r="P1627" s="32"/>
      <c r="Q1627" s="32"/>
      <c r="R1627" s="32"/>
      <c r="S1627" s="32"/>
      <c r="T1627" s="32"/>
      <c r="U1627" s="32"/>
      <c r="V1627" s="31"/>
      <c r="W1627" s="35" t="str">
        <f aca="true">IF(OR(V1627="",AG1627&gt;=8),"",IF(V1627&lt;TODAY(),"Vencida",IF(V1627=TODAY(),"Hoy","")))</f>
        <v/>
      </c>
      <c r="X1627" s="36" t="str">
        <f aca="false">IF(A1627="","",IF(COUNTIF(Seguimiento!$B$2:$B$5001,A1627)=0,"",_xlfn.MAXIFS(Seguimiento!$A$2:$A$5001,Seguimiento!$B$2:$B$5001,A1627)))</f>
        <v/>
      </c>
      <c r="Y1627" s="37" t="str">
        <f aca="true">IF(B1627="","",TODAY()-B1627)</f>
        <v/>
      </c>
      <c r="Z1627" s="38" t="str">
        <f aca="false">IF(OR(O1627="",G1627=""),"",O1627*IFERROR(INDEX(Listas!$B$2:$B$50,MATCH(G1627,Listas!$A$2:$A$50,0)),0))</f>
        <v/>
      </c>
      <c r="AA1627" s="32"/>
      <c r="AB1627" s="32"/>
      <c r="AC1627" s="32"/>
      <c r="AD1627" s="35" t="str">
        <f aca="false">IF(OR(LEFT(H1627,4)="Meta",LEFT(H1627,6)="Google"),IF(AG1627=3,"Lead calificado",IF(OR(AG1627=4,AG1627=5),"Tasación/visita",IF(OR(AG1627=6,AG1627=7),"Captación/oferta",IF(AG1627=8,"Cierre","")))),"")</f>
        <v/>
      </c>
      <c r="AE1627" s="32"/>
      <c r="AF1627" s="32"/>
      <c r="AG1627" s="37" t="n">
        <f aca="false">IF(R1627="",0,IFERROR(MATCH(R1627,Listas!$L$2:$L$50,0),0))</f>
        <v>0</v>
      </c>
    </row>
    <row r="1628" customFormat="false" ht="15" hidden="false" customHeight="false" outlineLevel="0" collapsed="false">
      <c r="A1628" s="30"/>
      <c r="B1628" s="31"/>
      <c r="C1628" s="32"/>
      <c r="D1628" s="32"/>
      <c r="E1628" s="33"/>
      <c r="F1628" s="32"/>
      <c r="G1628" s="32"/>
      <c r="H1628" s="32"/>
      <c r="I1628" s="32"/>
      <c r="J1628" s="32"/>
      <c r="K1628" s="32"/>
      <c r="L1628" s="32"/>
      <c r="M1628" s="30"/>
      <c r="N1628" s="32"/>
      <c r="O1628" s="34"/>
      <c r="P1628" s="32"/>
      <c r="Q1628" s="32"/>
      <c r="R1628" s="32"/>
      <c r="S1628" s="32"/>
      <c r="T1628" s="32"/>
      <c r="U1628" s="32"/>
      <c r="V1628" s="31"/>
      <c r="W1628" s="35" t="str">
        <f aca="true">IF(OR(V1628="",AG1628&gt;=8),"",IF(V1628&lt;TODAY(),"Vencida",IF(V1628=TODAY(),"Hoy","")))</f>
        <v/>
      </c>
      <c r="X1628" s="36" t="str">
        <f aca="false">IF(A1628="","",IF(COUNTIF(Seguimiento!$B$2:$B$5001,A1628)=0,"",_xlfn.MAXIFS(Seguimiento!$A$2:$A$5001,Seguimiento!$B$2:$B$5001,A1628)))</f>
        <v/>
      </c>
      <c r="Y1628" s="37" t="str">
        <f aca="true">IF(B1628="","",TODAY()-B1628)</f>
        <v/>
      </c>
      <c r="Z1628" s="38" t="str">
        <f aca="false">IF(OR(O1628="",G1628=""),"",O1628*IFERROR(INDEX(Listas!$B$2:$B$50,MATCH(G1628,Listas!$A$2:$A$50,0)),0))</f>
        <v/>
      </c>
      <c r="AA1628" s="32"/>
      <c r="AB1628" s="32"/>
      <c r="AC1628" s="32"/>
      <c r="AD1628" s="35" t="str">
        <f aca="false">IF(OR(LEFT(H1628,4)="Meta",LEFT(H1628,6)="Google"),IF(AG1628=3,"Lead calificado",IF(OR(AG1628=4,AG1628=5),"Tasación/visita",IF(OR(AG1628=6,AG1628=7),"Captación/oferta",IF(AG1628=8,"Cierre","")))),"")</f>
        <v/>
      </c>
      <c r="AE1628" s="32"/>
      <c r="AF1628" s="32"/>
      <c r="AG1628" s="37" t="n">
        <f aca="false">IF(R1628="",0,IFERROR(MATCH(R1628,Listas!$L$2:$L$50,0),0))</f>
        <v>0</v>
      </c>
    </row>
    <row r="1629" customFormat="false" ht="15" hidden="false" customHeight="false" outlineLevel="0" collapsed="false">
      <c r="A1629" s="30"/>
      <c r="B1629" s="31"/>
      <c r="C1629" s="32"/>
      <c r="D1629" s="32"/>
      <c r="E1629" s="33"/>
      <c r="F1629" s="32"/>
      <c r="G1629" s="32"/>
      <c r="H1629" s="32"/>
      <c r="I1629" s="32"/>
      <c r="J1629" s="32"/>
      <c r="K1629" s="32"/>
      <c r="L1629" s="32"/>
      <c r="M1629" s="30"/>
      <c r="N1629" s="32"/>
      <c r="O1629" s="34"/>
      <c r="P1629" s="32"/>
      <c r="Q1629" s="32"/>
      <c r="R1629" s="32"/>
      <c r="S1629" s="32"/>
      <c r="T1629" s="32"/>
      <c r="U1629" s="32"/>
      <c r="V1629" s="31"/>
      <c r="W1629" s="35" t="str">
        <f aca="true">IF(OR(V1629="",AG1629&gt;=8),"",IF(V1629&lt;TODAY(),"Vencida",IF(V1629=TODAY(),"Hoy","")))</f>
        <v/>
      </c>
      <c r="X1629" s="36" t="str">
        <f aca="false">IF(A1629="","",IF(COUNTIF(Seguimiento!$B$2:$B$5001,A1629)=0,"",_xlfn.MAXIFS(Seguimiento!$A$2:$A$5001,Seguimiento!$B$2:$B$5001,A1629)))</f>
        <v/>
      </c>
      <c r="Y1629" s="37" t="str">
        <f aca="true">IF(B1629="","",TODAY()-B1629)</f>
        <v/>
      </c>
      <c r="Z1629" s="38" t="str">
        <f aca="false">IF(OR(O1629="",G1629=""),"",O1629*IFERROR(INDEX(Listas!$B$2:$B$50,MATCH(G1629,Listas!$A$2:$A$50,0)),0))</f>
        <v/>
      </c>
      <c r="AA1629" s="32"/>
      <c r="AB1629" s="32"/>
      <c r="AC1629" s="32"/>
      <c r="AD1629" s="35" t="str">
        <f aca="false">IF(OR(LEFT(H1629,4)="Meta",LEFT(H1629,6)="Google"),IF(AG1629=3,"Lead calificado",IF(OR(AG1629=4,AG1629=5),"Tasación/visita",IF(OR(AG1629=6,AG1629=7),"Captación/oferta",IF(AG1629=8,"Cierre","")))),"")</f>
        <v/>
      </c>
      <c r="AE1629" s="32"/>
      <c r="AF1629" s="32"/>
      <c r="AG1629" s="37" t="n">
        <f aca="false">IF(R1629="",0,IFERROR(MATCH(R1629,Listas!$L$2:$L$50,0),0))</f>
        <v>0</v>
      </c>
    </row>
    <row r="1630" customFormat="false" ht="15" hidden="false" customHeight="false" outlineLevel="0" collapsed="false">
      <c r="A1630" s="30"/>
      <c r="B1630" s="31"/>
      <c r="C1630" s="32"/>
      <c r="D1630" s="32"/>
      <c r="E1630" s="33"/>
      <c r="F1630" s="32"/>
      <c r="G1630" s="32"/>
      <c r="H1630" s="32"/>
      <c r="I1630" s="32"/>
      <c r="J1630" s="32"/>
      <c r="K1630" s="32"/>
      <c r="L1630" s="32"/>
      <c r="M1630" s="30"/>
      <c r="N1630" s="32"/>
      <c r="O1630" s="34"/>
      <c r="P1630" s="32"/>
      <c r="Q1630" s="32"/>
      <c r="R1630" s="32"/>
      <c r="S1630" s="32"/>
      <c r="T1630" s="32"/>
      <c r="U1630" s="32"/>
      <c r="V1630" s="31"/>
      <c r="W1630" s="35" t="str">
        <f aca="true">IF(OR(V1630="",AG1630&gt;=8),"",IF(V1630&lt;TODAY(),"Vencida",IF(V1630=TODAY(),"Hoy","")))</f>
        <v/>
      </c>
      <c r="X1630" s="36" t="str">
        <f aca="false">IF(A1630="","",IF(COUNTIF(Seguimiento!$B$2:$B$5001,A1630)=0,"",_xlfn.MAXIFS(Seguimiento!$A$2:$A$5001,Seguimiento!$B$2:$B$5001,A1630)))</f>
        <v/>
      </c>
      <c r="Y1630" s="37" t="str">
        <f aca="true">IF(B1630="","",TODAY()-B1630)</f>
        <v/>
      </c>
      <c r="Z1630" s="38" t="str">
        <f aca="false">IF(OR(O1630="",G1630=""),"",O1630*IFERROR(INDEX(Listas!$B$2:$B$50,MATCH(G1630,Listas!$A$2:$A$50,0)),0))</f>
        <v/>
      </c>
      <c r="AA1630" s="32"/>
      <c r="AB1630" s="32"/>
      <c r="AC1630" s="32"/>
      <c r="AD1630" s="35" t="str">
        <f aca="false">IF(OR(LEFT(H1630,4)="Meta",LEFT(H1630,6)="Google"),IF(AG1630=3,"Lead calificado",IF(OR(AG1630=4,AG1630=5),"Tasación/visita",IF(OR(AG1630=6,AG1630=7),"Captación/oferta",IF(AG1630=8,"Cierre","")))),"")</f>
        <v/>
      </c>
      <c r="AE1630" s="32"/>
      <c r="AF1630" s="32"/>
      <c r="AG1630" s="37" t="n">
        <f aca="false">IF(R1630="",0,IFERROR(MATCH(R1630,Listas!$L$2:$L$50,0),0))</f>
        <v>0</v>
      </c>
    </row>
    <row r="1631" customFormat="false" ht="15" hidden="false" customHeight="false" outlineLevel="0" collapsed="false">
      <c r="A1631" s="30"/>
      <c r="B1631" s="31"/>
      <c r="C1631" s="32"/>
      <c r="D1631" s="32"/>
      <c r="E1631" s="33"/>
      <c r="F1631" s="32"/>
      <c r="G1631" s="32"/>
      <c r="H1631" s="32"/>
      <c r="I1631" s="32"/>
      <c r="J1631" s="32"/>
      <c r="K1631" s="32"/>
      <c r="L1631" s="32"/>
      <c r="M1631" s="30"/>
      <c r="N1631" s="32"/>
      <c r="O1631" s="34"/>
      <c r="P1631" s="32"/>
      <c r="Q1631" s="32"/>
      <c r="R1631" s="32"/>
      <c r="S1631" s="32"/>
      <c r="T1631" s="32"/>
      <c r="U1631" s="32"/>
      <c r="V1631" s="31"/>
      <c r="W1631" s="35" t="str">
        <f aca="true">IF(OR(V1631="",AG1631&gt;=8),"",IF(V1631&lt;TODAY(),"Vencida",IF(V1631=TODAY(),"Hoy","")))</f>
        <v/>
      </c>
      <c r="X1631" s="36" t="str">
        <f aca="false">IF(A1631="","",IF(COUNTIF(Seguimiento!$B$2:$B$5001,A1631)=0,"",_xlfn.MAXIFS(Seguimiento!$A$2:$A$5001,Seguimiento!$B$2:$B$5001,A1631)))</f>
        <v/>
      </c>
      <c r="Y1631" s="37" t="str">
        <f aca="true">IF(B1631="","",TODAY()-B1631)</f>
        <v/>
      </c>
      <c r="Z1631" s="38" t="str">
        <f aca="false">IF(OR(O1631="",G1631=""),"",O1631*IFERROR(INDEX(Listas!$B$2:$B$50,MATCH(G1631,Listas!$A$2:$A$50,0)),0))</f>
        <v/>
      </c>
      <c r="AA1631" s="32"/>
      <c r="AB1631" s="32"/>
      <c r="AC1631" s="32"/>
      <c r="AD1631" s="35" t="str">
        <f aca="false">IF(OR(LEFT(H1631,4)="Meta",LEFT(H1631,6)="Google"),IF(AG1631=3,"Lead calificado",IF(OR(AG1631=4,AG1631=5),"Tasación/visita",IF(OR(AG1631=6,AG1631=7),"Captación/oferta",IF(AG1631=8,"Cierre","")))),"")</f>
        <v/>
      </c>
      <c r="AE1631" s="32"/>
      <c r="AF1631" s="32"/>
      <c r="AG1631" s="37" t="n">
        <f aca="false">IF(R1631="",0,IFERROR(MATCH(R1631,Listas!$L$2:$L$50,0),0))</f>
        <v>0</v>
      </c>
    </row>
    <row r="1632" customFormat="false" ht="15" hidden="false" customHeight="false" outlineLevel="0" collapsed="false">
      <c r="A1632" s="30"/>
      <c r="B1632" s="31"/>
      <c r="C1632" s="32"/>
      <c r="D1632" s="32"/>
      <c r="E1632" s="33"/>
      <c r="F1632" s="32"/>
      <c r="G1632" s="32"/>
      <c r="H1632" s="32"/>
      <c r="I1632" s="32"/>
      <c r="J1632" s="32"/>
      <c r="K1632" s="32"/>
      <c r="L1632" s="32"/>
      <c r="M1632" s="30"/>
      <c r="N1632" s="32"/>
      <c r="O1632" s="34"/>
      <c r="P1632" s="32"/>
      <c r="Q1632" s="32"/>
      <c r="R1632" s="32"/>
      <c r="S1632" s="32"/>
      <c r="T1632" s="32"/>
      <c r="U1632" s="32"/>
      <c r="V1632" s="31"/>
      <c r="W1632" s="35" t="str">
        <f aca="true">IF(OR(V1632="",AG1632&gt;=8),"",IF(V1632&lt;TODAY(),"Vencida",IF(V1632=TODAY(),"Hoy","")))</f>
        <v/>
      </c>
      <c r="X1632" s="36" t="str">
        <f aca="false">IF(A1632="","",IF(COUNTIF(Seguimiento!$B$2:$B$5001,A1632)=0,"",_xlfn.MAXIFS(Seguimiento!$A$2:$A$5001,Seguimiento!$B$2:$B$5001,A1632)))</f>
        <v/>
      </c>
      <c r="Y1632" s="37" t="str">
        <f aca="true">IF(B1632="","",TODAY()-B1632)</f>
        <v/>
      </c>
      <c r="Z1632" s="38" t="str">
        <f aca="false">IF(OR(O1632="",G1632=""),"",O1632*IFERROR(INDEX(Listas!$B$2:$B$50,MATCH(G1632,Listas!$A$2:$A$50,0)),0))</f>
        <v/>
      </c>
      <c r="AA1632" s="32"/>
      <c r="AB1632" s="32"/>
      <c r="AC1632" s="32"/>
      <c r="AD1632" s="35" t="str">
        <f aca="false">IF(OR(LEFT(H1632,4)="Meta",LEFT(H1632,6)="Google"),IF(AG1632=3,"Lead calificado",IF(OR(AG1632=4,AG1632=5),"Tasación/visita",IF(OR(AG1632=6,AG1632=7),"Captación/oferta",IF(AG1632=8,"Cierre","")))),"")</f>
        <v/>
      </c>
      <c r="AE1632" s="32"/>
      <c r="AF1632" s="32"/>
      <c r="AG1632" s="37" t="n">
        <f aca="false">IF(R1632="",0,IFERROR(MATCH(R1632,Listas!$L$2:$L$50,0),0))</f>
        <v>0</v>
      </c>
    </row>
    <row r="1633" customFormat="false" ht="15" hidden="false" customHeight="false" outlineLevel="0" collapsed="false">
      <c r="A1633" s="30"/>
      <c r="B1633" s="31"/>
      <c r="C1633" s="32"/>
      <c r="D1633" s="32"/>
      <c r="E1633" s="33"/>
      <c r="F1633" s="32"/>
      <c r="G1633" s="32"/>
      <c r="H1633" s="32"/>
      <c r="I1633" s="32"/>
      <c r="J1633" s="32"/>
      <c r="K1633" s="32"/>
      <c r="L1633" s="32"/>
      <c r="M1633" s="30"/>
      <c r="N1633" s="32"/>
      <c r="O1633" s="34"/>
      <c r="P1633" s="32"/>
      <c r="Q1633" s="32"/>
      <c r="R1633" s="32"/>
      <c r="S1633" s="32"/>
      <c r="T1633" s="32"/>
      <c r="U1633" s="32"/>
      <c r="V1633" s="31"/>
      <c r="W1633" s="35" t="str">
        <f aca="true">IF(OR(V1633="",AG1633&gt;=8),"",IF(V1633&lt;TODAY(),"Vencida",IF(V1633=TODAY(),"Hoy","")))</f>
        <v/>
      </c>
      <c r="X1633" s="36" t="str">
        <f aca="false">IF(A1633="","",IF(COUNTIF(Seguimiento!$B$2:$B$5001,A1633)=0,"",_xlfn.MAXIFS(Seguimiento!$A$2:$A$5001,Seguimiento!$B$2:$B$5001,A1633)))</f>
        <v/>
      </c>
      <c r="Y1633" s="37" t="str">
        <f aca="true">IF(B1633="","",TODAY()-B1633)</f>
        <v/>
      </c>
      <c r="Z1633" s="38" t="str">
        <f aca="false">IF(OR(O1633="",G1633=""),"",O1633*IFERROR(INDEX(Listas!$B$2:$B$50,MATCH(G1633,Listas!$A$2:$A$50,0)),0))</f>
        <v/>
      </c>
      <c r="AA1633" s="32"/>
      <c r="AB1633" s="32"/>
      <c r="AC1633" s="32"/>
      <c r="AD1633" s="35" t="str">
        <f aca="false">IF(OR(LEFT(H1633,4)="Meta",LEFT(H1633,6)="Google"),IF(AG1633=3,"Lead calificado",IF(OR(AG1633=4,AG1633=5),"Tasación/visita",IF(OR(AG1633=6,AG1633=7),"Captación/oferta",IF(AG1633=8,"Cierre","")))),"")</f>
        <v/>
      </c>
      <c r="AE1633" s="32"/>
      <c r="AF1633" s="32"/>
      <c r="AG1633" s="37" t="n">
        <f aca="false">IF(R1633="",0,IFERROR(MATCH(R1633,Listas!$L$2:$L$50,0),0))</f>
        <v>0</v>
      </c>
    </row>
    <row r="1634" customFormat="false" ht="15" hidden="false" customHeight="false" outlineLevel="0" collapsed="false">
      <c r="A1634" s="30"/>
      <c r="B1634" s="31"/>
      <c r="C1634" s="32"/>
      <c r="D1634" s="32"/>
      <c r="E1634" s="33"/>
      <c r="F1634" s="32"/>
      <c r="G1634" s="32"/>
      <c r="H1634" s="32"/>
      <c r="I1634" s="32"/>
      <c r="J1634" s="32"/>
      <c r="K1634" s="32"/>
      <c r="L1634" s="32"/>
      <c r="M1634" s="30"/>
      <c r="N1634" s="32"/>
      <c r="O1634" s="34"/>
      <c r="P1634" s="32"/>
      <c r="Q1634" s="32"/>
      <c r="R1634" s="32"/>
      <c r="S1634" s="32"/>
      <c r="T1634" s="32"/>
      <c r="U1634" s="32"/>
      <c r="V1634" s="31"/>
      <c r="W1634" s="35" t="str">
        <f aca="true">IF(OR(V1634="",AG1634&gt;=8),"",IF(V1634&lt;TODAY(),"Vencida",IF(V1634=TODAY(),"Hoy","")))</f>
        <v/>
      </c>
      <c r="X1634" s="36" t="str">
        <f aca="false">IF(A1634="","",IF(COUNTIF(Seguimiento!$B$2:$B$5001,A1634)=0,"",_xlfn.MAXIFS(Seguimiento!$A$2:$A$5001,Seguimiento!$B$2:$B$5001,A1634)))</f>
        <v/>
      </c>
      <c r="Y1634" s="37" t="str">
        <f aca="true">IF(B1634="","",TODAY()-B1634)</f>
        <v/>
      </c>
      <c r="Z1634" s="38" t="str">
        <f aca="false">IF(OR(O1634="",G1634=""),"",O1634*IFERROR(INDEX(Listas!$B$2:$B$50,MATCH(G1634,Listas!$A$2:$A$50,0)),0))</f>
        <v/>
      </c>
      <c r="AA1634" s="32"/>
      <c r="AB1634" s="32"/>
      <c r="AC1634" s="32"/>
      <c r="AD1634" s="35" t="str">
        <f aca="false">IF(OR(LEFT(H1634,4)="Meta",LEFT(H1634,6)="Google"),IF(AG1634=3,"Lead calificado",IF(OR(AG1634=4,AG1634=5),"Tasación/visita",IF(OR(AG1634=6,AG1634=7),"Captación/oferta",IF(AG1634=8,"Cierre","")))),"")</f>
        <v/>
      </c>
      <c r="AE1634" s="32"/>
      <c r="AF1634" s="32"/>
      <c r="AG1634" s="37" t="n">
        <f aca="false">IF(R1634="",0,IFERROR(MATCH(R1634,Listas!$L$2:$L$50,0),0))</f>
        <v>0</v>
      </c>
    </row>
    <row r="1635" customFormat="false" ht="15" hidden="false" customHeight="false" outlineLevel="0" collapsed="false">
      <c r="A1635" s="30"/>
      <c r="B1635" s="31"/>
      <c r="C1635" s="32"/>
      <c r="D1635" s="32"/>
      <c r="E1635" s="33"/>
      <c r="F1635" s="32"/>
      <c r="G1635" s="32"/>
      <c r="H1635" s="32"/>
      <c r="I1635" s="32"/>
      <c r="J1635" s="32"/>
      <c r="K1635" s="32"/>
      <c r="L1635" s="32"/>
      <c r="M1635" s="30"/>
      <c r="N1635" s="32"/>
      <c r="O1635" s="34"/>
      <c r="P1635" s="32"/>
      <c r="Q1635" s="32"/>
      <c r="R1635" s="32"/>
      <c r="S1635" s="32"/>
      <c r="T1635" s="32"/>
      <c r="U1635" s="32"/>
      <c r="V1635" s="31"/>
      <c r="W1635" s="35" t="str">
        <f aca="true">IF(OR(V1635="",AG1635&gt;=8),"",IF(V1635&lt;TODAY(),"Vencida",IF(V1635=TODAY(),"Hoy","")))</f>
        <v/>
      </c>
      <c r="X1635" s="36" t="str">
        <f aca="false">IF(A1635="","",IF(COUNTIF(Seguimiento!$B$2:$B$5001,A1635)=0,"",_xlfn.MAXIFS(Seguimiento!$A$2:$A$5001,Seguimiento!$B$2:$B$5001,A1635)))</f>
        <v/>
      </c>
      <c r="Y1635" s="37" t="str">
        <f aca="true">IF(B1635="","",TODAY()-B1635)</f>
        <v/>
      </c>
      <c r="Z1635" s="38" t="str">
        <f aca="false">IF(OR(O1635="",G1635=""),"",O1635*IFERROR(INDEX(Listas!$B$2:$B$50,MATCH(G1635,Listas!$A$2:$A$50,0)),0))</f>
        <v/>
      </c>
      <c r="AA1635" s="32"/>
      <c r="AB1635" s="32"/>
      <c r="AC1635" s="32"/>
      <c r="AD1635" s="35" t="str">
        <f aca="false">IF(OR(LEFT(H1635,4)="Meta",LEFT(H1635,6)="Google"),IF(AG1635=3,"Lead calificado",IF(OR(AG1635=4,AG1635=5),"Tasación/visita",IF(OR(AG1635=6,AG1635=7),"Captación/oferta",IF(AG1635=8,"Cierre","")))),"")</f>
        <v/>
      </c>
      <c r="AE1635" s="32"/>
      <c r="AF1635" s="32"/>
      <c r="AG1635" s="37" t="n">
        <f aca="false">IF(R1635="",0,IFERROR(MATCH(R1635,Listas!$L$2:$L$50,0),0))</f>
        <v>0</v>
      </c>
    </row>
    <row r="1636" customFormat="false" ht="15" hidden="false" customHeight="false" outlineLevel="0" collapsed="false">
      <c r="A1636" s="30"/>
      <c r="B1636" s="31"/>
      <c r="C1636" s="32"/>
      <c r="D1636" s="32"/>
      <c r="E1636" s="33"/>
      <c r="F1636" s="32"/>
      <c r="G1636" s="32"/>
      <c r="H1636" s="32"/>
      <c r="I1636" s="32"/>
      <c r="J1636" s="32"/>
      <c r="K1636" s="32"/>
      <c r="L1636" s="32"/>
      <c r="M1636" s="30"/>
      <c r="N1636" s="32"/>
      <c r="O1636" s="34"/>
      <c r="P1636" s="32"/>
      <c r="Q1636" s="32"/>
      <c r="R1636" s="32"/>
      <c r="S1636" s="32"/>
      <c r="T1636" s="32"/>
      <c r="U1636" s="32"/>
      <c r="V1636" s="31"/>
      <c r="W1636" s="35" t="str">
        <f aca="true">IF(OR(V1636="",AG1636&gt;=8),"",IF(V1636&lt;TODAY(),"Vencida",IF(V1636=TODAY(),"Hoy","")))</f>
        <v/>
      </c>
      <c r="X1636" s="36" t="str">
        <f aca="false">IF(A1636="","",IF(COUNTIF(Seguimiento!$B$2:$B$5001,A1636)=0,"",_xlfn.MAXIFS(Seguimiento!$A$2:$A$5001,Seguimiento!$B$2:$B$5001,A1636)))</f>
        <v/>
      </c>
      <c r="Y1636" s="37" t="str">
        <f aca="true">IF(B1636="","",TODAY()-B1636)</f>
        <v/>
      </c>
      <c r="Z1636" s="38" t="str">
        <f aca="false">IF(OR(O1636="",G1636=""),"",O1636*IFERROR(INDEX(Listas!$B$2:$B$50,MATCH(G1636,Listas!$A$2:$A$50,0)),0))</f>
        <v/>
      </c>
      <c r="AA1636" s="32"/>
      <c r="AB1636" s="32"/>
      <c r="AC1636" s="32"/>
      <c r="AD1636" s="35" t="str">
        <f aca="false">IF(OR(LEFT(H1636,4)="Meta",LEFT(H1636,6)="Google"),IF(AG1636=3,"Lead calificado",IF(OR(AG1636=4,AG1636=5),"Tasación/visita",IF(OR(AG1636=6,AG1636=7),"Captación/oferta",IF(AG1636=8,"Cierre","")))),"")</f>
        <v/>
      </c>
      <c r="AE1636" s="32"/>
      <c r="AF1636" s="32"/>
      <c r="AG1636" s="37" t="n">
        <f aca="false">IF(R1636="",0,IFERROR(MATCH(R1636,Listas!$L$2:$L$50,0),0))</f>
        <v>0</v>
      </c>
    </row>
    <row r="1637" customFormat="false" ht="15" hidden="false" customHeight="false" outlineLevel="0" collapsed="false">
      <c r="A1637" s="30"/>
      <c r="B1637" s="31"/>
      <c r="C1637" s="32"/>
      <c r="D1637" s="32"/>
      <c r="E1637" s="33"/>
      <c r="F1637" s="32"/>
      <c r="G1637" s="32"/>
      <c r="H1637" s="32"/>
      <c r="I1637" s="32"/>
      <c r="J1637" s="32"/>
      <c r="K1637" s="32"/>
      <c r="L1637" s="32"/>
      <c r="M1637" s="30"/>
      <c r="N1637" s="32"/>
      <c r="O1637" s="34"/>
      <c r="P1637" s="32"/>
      <c r="Q1637" s="32"/>
      <c r="R1637" s="32"/>
      <c r="S1637" s="32"/>
      <c r="T1637" s="32"/>
      <c r="U1637" s="32"/>
      <c r="V1637" s="31"/>
      <c r="W1637" s="35" t="str">
        <f aca="true">IF(OR(V1637="",AG1637&gt;=8),"",IF(V1637&lt;TODAY(),"Vencida",IF(V1637=TODAY(),"Hoy","")))</f>
        <v/>
      </c>
      <c r="X1637" s="36" t="str">
        <f aca="false">IF(A1637="","",IF(COUNTIF(Seguimiento!$B$2:$B$5001,A1637)=0,"",_xlfn.MAXIFS(Seguimiento!$A$2:$A$5001,Seguimiento!$B$2:$B$5001,A1637)))</f>
        <v/>
      </c>
      <c r="Y1637" s="37" t="str">
        <f aca="true">IF(B1637="","",TODAY()-B1637)</f>
        <v/>
      </c>
      <c r="Z1637" s="38" t="str">
        <f aca="false">IF(OR(O1637="",G1637=""),"",O1637*IFERROR(INDEX(Listas!$B$2:$B$50,MATCH(G1637,Listas!$A$2:$A$50,0)),0))</f>
        <v/>
      </c>
      <c r="AA1637" s="32"/>
      <c r="AB1637" s="32"/>
      <c r="AC1637" s="32"/>
      <c r="AD1637" s="35" t="str">
        <f aca="false">IF(OR(LEFT(H1637,4)="Meta",LEFT(H1637,6)="Google"),IF(AG1637=3,"Lead calificado",IF(OR(AG1637=4,AG1637=5),"Tasación/visita",IF(OR(AG1637=6,AG1637=7),"Captación/oferta",IF(AG1637=8,"Cierre","")))),"")</f>
        <v/>
      </c>
      <c r="AE1637" s="32"/>
      <c r="AF1637" s="32"/>
      <c r="AG1637" s="37" t="n">
        <f aca="false">IF(R1637="",0,IFERROR(MATCH(R1637,Listas!$L$2:$L$50,0),0))</f>
        <v>0</v>
      </c>
    </row>
    <row r="1638" customFormat="false" ht="15" hidden="false" customHeight="false" outlineLevel="0" collapsed="false">
      <c r="A1638" s="30"/>
      <c r="B1638" s="31"/>
      <c r="C1638" s="32"/>
      <c r="D1638" s="32"/>
      <c r="E1638" s="33"/>
      <c r="F1638" s="32"/>
      <c r="G1638" s="32"/>
      <c r="H1638" s="32"/>
      <c r="I1638" s="32"/>
      <c r="J1638" s="32"/>
      <c r="K1638" s="32"/>
      <c r="L1638" s="32"/>
      <c r="M1638" s="30"/>
      <c r="N1638" s="32"/>
      <c r="O1638" s="34"/>
      <c r="P1638" s="32"/>
      <c r="Q1638" s="32"/>
      <c r="R1638" s="32"/>
      <c r="S1638" s="32"/>
      <c r="T1638" s="32"/>
      <c r="U1638" s="32"/>
      <c r="V1638" s="31"/>
      <c r="W1638" s="35" t="str">
        <f aca="true">IF(OR(V1638="",AG1638&gt;=8),"",IF(V1638&lt;TODAY(),"Vencida",IF(V1638=TODAY(),"Hoy","")))</f>
        <v/>
      </c>
      <c r="X1638" s="36" t="str">
        <f aca="false">IF(A1638="","",IF(COUNTIF(Seguimiento!$B$2:$B$5001,A1638)=0,"",_xlfn.MAXIFS(Seguimiento!$A$2:$A$5001,Seguimiento!$B$2:$B$5001,A1638)))</f>
        <v/>
      </c>
      <c r="Y1638" s="37" t="str">
        <f aca="true">IF(B1638="","",TODAY()-B1638)</f>
        <v/>
      </c>
      <c r="Z1638" s="38" t="str">
        <f aca="false">IF(OR(O1638="",G1638=""),"",O1638*IFERROR(INDEX(Listas!$B$2:$B$50,MATCH(G1638,Listas!$A$2:$A$50,0)),0))</f>
        <v/>
      </c>
      <c r="AA1638" s="32"/>
      <c r="AB1638" s="32"/>
      <c r="AC1638" s="32"/>
      <c r="AD1638" s="35" t="str">
        <f aca="false">IF(OR(LEFT(H1638,4)="Meta",LEFT(H1638,6)="Google"),IF(AG1638=3,"Lead calificado",IF(OR(AG1638=4,AG1638=5),"Tasación/visita",IF(OR(AG1638=6,AG1638=7),"Captación/oferta",IF(AG1638=8,"Cierre","")))),"")</f>
        <v/>
      </c>
      <c r="AE1638" s="32"/>
      <c r="AF1638" s="32"/>
      <c r="AG1638" s="37" t="n">
        <f aca="false">IF(R1638="",0,IFERROR(MATCH(R1638,Listas!$L$2:$L$50,0),0))</f>
        <v>0</v>
      </c>
    </row>
    <row r="1639" customFormat="false" ht="15" hidden="false" customHeight="false" outlineLevel="0" collapsed="false">
      <c r="A1639" s="30"/>
      <c r="B1639" s="31"/>
      <c r="C1639" s="32"/>
      <c r="D1639" s="32"/>
      <c r="E1639" s="33"/>
      <c r="F1639" s="32"/>
      <c r="G1639" s="32"/>
      <c r="H1639" s="32"/>
      <c r="I1639" s="32"/>
      <c r="J1639" s="32"/>
      <c r="K1639" s="32"/>
      <c r="L1639" s="32"/>
      <c r="M1639" s="30"/>
      <c r="N1639" s="32"/>
      <c r="O1639" s="34"/>
      <c r="P1639" s="32"/>
      <c r="Q1639" s="32"/>
      <c r="R1639" s="32"/>
      <c r="S1639" s="32"/>
      <c r="T1639" s="32"/>
      <c r="U1639" s="32"/>
      <c r="V1639" s="31"/>
      <c r="W1639" s="35" t="str">
        <f aca="true">IF(OR(V1639="",AG1639&gt;=8),"",IF(V1639&lt;TODAY(),"Vencida",IF(V1639=TODAY(),"Hoy","")))</f>
        <v/>
      </c>
      <c r="X1639" s="36" t="str">
        <f aca="false">IF(A1639="","",IF(COUNTIF(Seguimiento!$B$2:$B$5001,A1639)=0,"",_xlfn.MAXIFS(Seguimiento!$A$2:$A$5001,Seguimiento!$B$2:$B$5001,A1639)))</f>
        <v/>
      </c>
      <c r="Y1639" s="37" t="str">
        <f aca="true">IF(B1639="","",TODAY()-B1639)</f>
        <v/>
      </c>
      <c r="Z1639" s="38" t="str">
        <f aca="false">IF(OR(O1639="",G1639=""),"",O1639*IFERROR(INDEX(Listas!$B$2:$B$50,MATCH(G1639,Listas!$A$2:$A$50,0)),0))</f>
        <v/>
      </c>
      <c r="AA1639" s="32"/>
      <c r="AB1639" s="32"/>
      <c r="AC1639" s="32"/>
      <c r="AD1639" s="35" t="str">
        <f aca="false">IF(OR(LEFT(H1639,4)="Meta",LEFT(H1639,6)="Google"),IF(AG1639=3,"Lead calificado",IF(OR(AG1639=4,AG1639=5),"Tasación/visita",IF(OR(AG1639=6,AG1639=7),"Captación/oferta",IF(AG1639=8,"Cierre","")))),"")</f>
        <v/>
      </c>
      <c r="AE1639" s="32"/>
      <c r="AF1639" s="32"/>
      <c r="AG1639" s="37" t="n">
        <f aca="false">IF(R1639="",0,IFERROR(MATCH(R1639,Listas!$L$2:$L$50,0),0))</f>
        <v>0</v>
      </c>
    </row>
    <row r="1640" customFormat="false" ht="15" hidden="false" customHeight="false" outlineLevel="0" collapsed="false">
      <c r="A1640" s="30"/>
      <c r="B1640" s="31"/>
      <c r="C1640" s="32"/>
      <c r="D1640" s="32"/>
      <c r="E1640" s="33"/>
      <c r="F1640" s="32"/>
      <c r="G1640" s="32"/>
      <c r="H1640" s="32"/>
      <c r="I1640" s="32"/>
      <c r="J1640" s="32"/>
      <c r="K1640" s="32"/>
      <c r="L1640" s="32"/>
      <c r="M1640" s="30"/>
      <c r="N1640" s="32"/>
      <c r="O1640" s="34"/>
      <c r="P1640" s="32"/>
      <c r="Q1640" s="32"/>
      <c r="R1640" s="32"/>
      <c r="S1640" s="32"/>
      <c r="T1640" s="32"/>
      <c r="U1640" s="32"/>
      <c r="V1640" s="31"/>
      <c r="W1640" s="35" t="str">
        <f aca="true">IF(OR(V1640="",AG1640&gt;=8),"",IF(V1640&lt;TODAY(),"Vencida",IF(V1640=TODAY(),"Hoy","")))</f>
        <v/>
      </c>
      <c r="X1640" s="36" t="str">
        <f aca="false">IF(A1640="","",IF(COUNTIF(Seguimiento!$B$2:$B$5001,A1640)=0,"",_xlfn.MAXIFS(Seguimiento!$A$2:$A$5001,Seguimiento!$B$2:$B$5001,A1640)))</f>
        <v/>
      </c>
      <c r="Y1640" s="37" t="str">
        <f aca="true">IF(B1640="","",TODAY()-B1640)</f>
        <v/>
      </c>
      <c r="Z1640" s="38" t="str">
        <f aca="false">IF(OR(O1640="",G1640=""),"",O1640*IFERROR(INDEX(Listas!$B$2:$B$50,MATCH(G1640,Listas!$A$2:$A$50,0)),0))</f>
        <v/>
      </c>
      <c r="AA1640" s="32"/>
      <c r="AB1640" s="32"/>
      <c r="AC1640" s="32"/>
      <c r="AD1640" s="35" t="str">
        <f aca="false">IF(OR(LEFT(H1640,4)="Meta",LEFT(H1640,6)="Google"),IF(AG1640=3,"Lead calificado",IF(OR(AG1640=4,AG1640=5),"Tasación/visita",IF(OR(AG1640=6,AG1640=7),"Captación/oferta",IF(AG1640=8,"Cierre","")))),"")</f>
        <v/>
      </c>
      <c r="AE1640" s="32"/>
      <c r="AF1640" s="32"/>
      <c r="AG1640" s="37" t="n">
        <f aca="false">IF(R1640="",0,IFERROR(MATCH(R1640,Listas!$L$2:$L$50,0),0))</f>
        <v>0</v>
      </c>
    </row>
    <row r="1641" customFormat="false" ht="15" hidden="false" customHeight="false" outlineLevel="0" collapsed="false">
      <c r="A1641" s="30"/>
      <c r="B1641" s="31"/>
      <c r="C1641" s="32"/>
      <c r="D1641" s="32"/>
      <c r="E1641" s="33"/>
      <c r="F1641" s="32"/>
      <c r="G1641" s="32"/>
      <c r="H1641" s="32"/>
      <c r="I1641" s="32"/>
      <c r="J1641" s="32"/>
      <c r="K1641" s="32"/>
      <c r="L1641" s="32"/>
      <c r="M1641" s="30"/>
      <c r="N1641" s="32"/>
      <c r="O1641" s="34"/>
      <c r="P1641" s="32"/>
      <c r="Q1641" s="32"/>
      <c r="R1641" s="32"/>
      <c r="S1641" s="32"/>
      <c r="T1641" s="32"/>
      <c r="U1641" s="32"/>
      <c r="V1641" s="31"/>
      <c r="W1641" s="35" t="str">
        <f aca="true">IF(OR(V1641="",AG1641&gt;=8),"",IF(V1641&lt;TODAY(),"Vencida",IF(V1641=TODAY(),"Hoy","")))</f>
        <v/>
      </c>
      <c r="X1641" s="36" t="str">
        <f aca="false">IF(A1641="","",IF(COUNTIF(Seguimiento!$B$2:$B$5001,A1641)=0,"",_xlfn.MAXIFS(Seguimiento!$A$2:$A$5001,Seguimiento!$B$2:$B$5001,A1641)))</f>
        <v/>
      </c>
      <c r="Y1641" s="37" t="str">
        <f aca="true">IF(B1641="","",TODAY()-B1641)</f>
        <v/>
      </c>
      <c r="Z1641" s="38" t="str">
        <f aca="false">IF(OR(O1641="",G1641=""),"",O1641*IFERROR(INDEX(Listas!$B$2:$B$50,MATCH(G1641,Listas!$A$2:$A$50,0)),0))</f>
        <v/>
      </c>
      <c r="AA1641" s="32"/>
      <c r="AB1641" s="32"/>
      <c r="AC1641" s="32"/>
      <c r="AD1641" s="35" t="str">
        <f aca="false">IF(OR(LEFT(H1641,4)="Meta",LEFT(H1641,6)="Google"),IF(AG1641=3,"Lead calificado",IF(OR(AG1641=4,AG1641=5),"Tasación/visita",IF(OR(AG1641=6,AG1641=7),"Captación/oferta",IF(AG1641=8,"Cierre","")))),"")</f>
        <v/>
      </c>
      <c r="AE1641" s="32"/>
      <c r="AF1641" s="32"/>
      <c r="AG1641" s="37" t="n">
        <f aca="false">IF(R1641="",0,IFERROR(MATCH(R1641,Listas!$L$2:$L$50,0),0))</f>
        <v>0</v>
      </c>
    </row>
    <row r="1642" customFormat="false" ht="15" hidden="false" customHeight="false" outlineLevel="0" collapsed="false">
      <c r="A1642" s="30"/>
      <c r="B1642" s="31"/>
      <c r="C1642" s="32"/>
      <c r="D1642" s="32"/>
      <c r="E1642" s="33"/>
      <c r="F1642" s="32"/>
      <c r="G1642" s="32"/>
      <c r="H1642" s="32"/>
      <c r="I1642" s="32"/>
      <c r="J1642" s="32"/>
      <c r="K1642" s="32"/>
      <c r="L1642" s="32"/>
      <c r="M1642" s="30"/>
      <c r="N1642" s="32"/>
      <c r="O1642" s="34"/>
      <c r="P1642" s="32"/>
      <c r="Q1642" s="32"/>
      <c r="R1642" s="32"/>
      <c r="S1642" s="32"/>
      <c r="T1642" s="32"/>
      <c r="U1642" s="32"/>
      <c r="V1642" s="31"/>
      <c r="W1642" s="35" t="str">
        <f aca="true">IF(OR(V1642="",AG1642&gt;=8),"",IF(V1642&lt;TODAY(),"Vencida",IF(V1642=TODAY(),"Hoy","")))</f>
        <v/>
      </c>
      <c r="X1642" s="36" t="str">
        <f aca="false">IF(A1642="","",IF(COUNTIF(Seguimiento!$B$2:$B$5001,A1642)=0,"",_xlfn.MAXIFS(Seguimiento!$A$2:$A$5001,Seguimiento!$B$2:$B$5001,A1642)))</f>
        <v/>
      </c>
      <c r="Y1642" s="37" t="str">
        <f aca="true">IF(B1642="","",TODAY()-B1642)</f>
        <v/>
      </c>
      <c r="Z1642" s="38" t="str">
        <f aca="false">IF(OR(O1642="",G1642=""),"",O1642*IFERROR(INDEX(Listas!$B$2:$B$50,MATCH(G1642,Listas!$A$2:$A$50,0)),0))</f>
        <v/>
      </c>
      <c r="AA1642" s="32"/>
      <c r="AB1642" s="32"/>
      <c r="AC1642" s="32"/>
      <c r="AD1642" s="35" t="str">
        <f aca="false">IF(OR(LEFT(H1642,4)="Meta",LEFT(H1642,6)="Google"),IF(AG1642=3,"Lead calificado",IF(OR(AG1642=4,AG1642=5),"Tasación/visita",IF(OR(AG1642=6,AG1642=7),"Captación/oferta",IF(AG1642=8,"Cierre","")))),"")</f>
        <v/>
      </c>
      <c r="AE1642" s="32"/>
      <c r="AF1642" s="32"/>
      <c r="AG1642" s="37" t="n">
        <f aca="false">IF(R1642="",0,IFERROR(MATCH(R1642,Listas!$L$2:$L$50,0),0))</f>
        <v>0</v>
      </c>
    </row>
    <row r="1643" customFormat="false" ht="15" hidden="false" customHeight="false" outlineLevel="0" collapsed="false">
      <c r="A1643" s="30"/>
      <c r="B1643" s="31"/>
      <c r="C1643" s="32"/>
      <c r="D1643" s="32"/>
      <c r="E1643" s="33"/>
      <c r="F1643" s="32"/>
      <c r="G1643" s="32"/>
      <c r="H1643" s="32"/>
      <c r="I1643" s="32"/>
      <c r="J1643" s="32"/>
      <c r="K1643" s="32"/>
      <c r="L1643" s="32"/>
      <c r="M1643" s="30"/>
      <c r="N1643" s="32"/>
      <c r="O1643" s="34"/>
      <c r="P1643" s="32"/>
      <c r="Q1643" s="32"/>
      <c r="R1643" s="32"/>
      <c r="S1643" s="32"/>
      <c r="T1643" s="32"/>
      <c r="U1643" s="32"/>
      <c r="V1643" s="31"/>
      <c r="W1643" s="35" t="str">
        <f aca="true">IF(OR(V1643="",AG1643&gt;=8),"",IF(V1643&lt;TODAY(),"Vencida",IF(V1643=TODAY(),"Hoy","")))</f>
        <v/>
      </c>
      <c r="X1643" s="36" t="str">
        <f aca="false">IF(A1643="","",IF(COUNTIF(Seguimiento!$B$2:$B$5001,A1643)=0,"",_xlfn.MAXIFS(Seguimiento!$A$2:$A$5001,Seguimiento!$B$2:$B$5001,A1643)))</f>
        <v/>
      </c>
      <c r="Y1643" s="37" t="str">
        <f aca="true">IF(B1643="","",TODAY()-B1643)</f>
        <v/>
      </c>
      <c r="Z1643" s="38" t="str">
        <f aca="false">IF(OR(O1643="",G1643=""),"",O1643*IFERROR(INDEX(Listas!$B$2:$B$50,MATCH(G1643,Listas!$A$2:$A$50,0)),0))</f>
        <v/>
      </c>
      <c r="AA1643" s="32"/>
      <c r="AB1643" s="32"/>
      <c r="AC1643" s="32"/>
      <c r="AD1643" s="35" t="str">
        <f aca="false">IF(OR(LEFT(H1643,4)="Meta",LEFT(H1643,6)="Google"),IF(AG1643=3,"Lead calificado",IF(OR(AG1643=4,AG1643=5),"Tasación/visita",IF(OR(AG1643=6,AG1643=7),"Captación/oferta",IF(AG1643=8,"Cierre","")))),"")</f>
        <v/>
      </c>
      <c r="AE1643" s="32"/>
      <c r="AF1643" s="32"/>
      <c r="AG1643" s="37" t="n">
        <f aca="false">IF(R1643="",0,IFERROR(MATCH(R1643,Listas!$L$2:$L$50,0),0))</f>
        <v>0</v>
      </c>
    </row>
    <row r="1644" customFormat="false" ht="15" hidden="false" customHeight="false" outlineLevel="0" collapsed="false">
      <c r="A1644" s="30"/>
      <c r="B1644" s="31"/>
      <c r="C1644" s="32"/>
      <c r="D1644" s="32"/>
      <c r="E1644" s="33"/>
      <c r="F1644" s="32"/>
      <c r="G1644" s="32"/>
      <c r="H1644" s="32"/>
      <c r="I1644" s="32"/>
      <c r="J1644" s="32"/>
      <c r="K1644" s="32"/>
      <c r="L1644" s="32"/>
      <c r="M1644" s="30"/>
      <c r="N1644" s="32"/>
      <c r="O1644" s="34"/>
      <c r="P1644" s="32"/>
      <c r="Q1644" s="32"/>
      <c r="R1644" s="32"/>
      <c r="S1644" s="32"/>
      <c r="T1644" s="32"/>
      <c r="U1644" s="32"/>
      <c r="V1644" s="31"/>
      <c r="W1644" s="35" t="str">
        <f aca="true">IF(OR(V1644="",AG1644&gt;=8),"",IF(V1644&lt;TODAY(),"Vencida",IF(V1644=TODAY(),"Hoy","")))</f>
        <v/>
      </c>
      <c r="X1644" s="36" t="str">
        <f aca="false">IF(A1644="","",IF(COUNTIF(Seguimiento!$B$2:$B$5001,A1644)=0,"",_xlfn.MAXIFS(Seguimiento!$A$2:$A$5001,Seguimiento!$B$2:$B$5001,A1644)))</f>
        <v/>
      </c>
      <c r="Y1644" s="37" t="str">
        <f aca="true">IF(B1644="","",TODAY()-B1644)</f>
        <v/>
      </c>
      <c r="Z1644" s="38" t="str">
        <f aca="false">IF(OR(O1644="",G1644=""),"",O1644*IFERROR(INDEX(Listas!$B$2:$B$50,MATCH(G1644,Listas!$A$2:$A$50,0)),0))</f>
        <v/>
      </c>
      <c r="AA1644" s="32"/>
      <c r="AB1644" s="32"/>
      <c r="AC1644" s="32"/>
      <c r="AD1644" s="35" t="str">
        <f aca="false">IF(OR(LEFT(H1644,4)="Meta",LEFT(H1644,6)="Google"),IF(AG1644=3,"Lead calificado",IF(OR(AG1644=4,AG1644=5),"Tasación/visita",IF(OR(AG1644=6,AG1644=7),"Captación/oferta",IF(AG1644=8,"Cierre","")))),"")</f>
        <v/>
      </c>
      <c r="AE1644" s="32"/>
      <c r="AF1644" s="32"/>
      <c r="AG1644" s="37" t="n">
        <f aca="false">IF(R1644="",0,IFERROR(MATCH(R1644,Listas!$L$2:$L$50,0),0))</f>
        <v>0</v>
      </c>
    </row>
    <row r="1645" customFormat="false" ht="15" hidden="false" customHeight="false" outlineLevel="0" collapsed="false">
      <c r="A1645" s="30"/>
      <c r="B1645" s="31"/>
      <c r="C1645" s="32"/>
      <c r="D1645" s="32"/>
      <c r="E1645" s="33"/>
      <c r="F1645" s="32"/>
      <c r="G1645" s="32"/>
      <c r="H1645" s="32"/>
      <c r="I1645" s="32"/>
      <c r="J1645" s="32"/>
      <c r="K1645" s="32"/>
      <c r="L1645" s="32"/>
      <c r="M1645" s="30"/>
      <c r="N1645" s="32"/>
      <c r="O1645" s="34"/>
      <c r="P1645" s="32"/>
      <c r="Q1645" s="32"/>
      <c r="R1645" s="32"/>
      <c r="S1645" s="32"/>
      <c r="T1645" s="32"/>
      <c r="U1645" s="32"/>
      <c r="V1645" s="31"/>
      <c r="W1645" s="35" t="str">
        <f aca="true">IF(OR(V1645="",AG1645&gt;=8),"",IF(V1645&lt;TODAY(),"Vencida",IF(V1645=TODAY(),"Hoy","")))</f>
        <v/>
      </c>
      <c r="X1645" s="36" t="str">
        <f aca="false">IF(A1645="","",IF(COUNTIF(Seguimiento!$B$2:$B$5001,A1645)=0,"",_xlfn.MAXIFS(Seguimiento!$A$2:$A$5001,Seguimiento!$B$2:$B$5001,A1645)))</f>
        <v/>
      </c>
      <c r="Y1645" s="37" t="str">
        <f aca="true">IF(B1645="","",TODAY()-B1645)</f>
        <v/>
      </c>
      <c r="Z1645" s="38" t="str">
        <f aca="false">IF(OR(O1645="",G1645=""),"",O1645*IFERROR(INDEX(Listas!$B$2:$B$50,MATCH(G1645,Listas!$A$2:$A$50,0)),0))</f>
        <v/>
      </c>
      <c r="AA1645" s="32"/>
      <c r="AB1645" s="32"/>
      <c r="AC1645" s="32"/>
      <c r="AD1645" s="35" t="str">
        <f aca="false">IF(OR(LEFT(H1645,4)="Meta",LEFT(H1645,6)="Google"),IF(AG1645=3,"Lead calificado",IF(OR(AG1645=4,AG1645=5),"Tasación/visita",IF(OR(AG1645=6,AG1645=7),"Captación/oferta",IF(AG1645=8,"Cierre","")))),"")</f>
        <v/>
      </c>
      <c r="AE1645" s="32"/>
      <c r="AF1645" s="32"/>
      <c r="AG1645" s="37" t="n">
        <f aca="false">IF(R1645="",0,IFERROR(MATCH(R1645,Listas!$L$2:$L$50,0),0))</f>
        <v>0</v>
      </c>
    </row>
    <row r="1646" customFormat="false" ht="15" hidden="false" customHeight="false" outlineLevel="0" collapsed="false">
      <c r="A1646" s="30"/>
      <c r="B1646" s="31"/>
      <c r="C1646" s="32"/>
      <c r="D1646" s="32"/>
      <c r="E1646" s="33"/>
      <c r="F1646" s="32"/>
      <c r="G1646" s="32"/>
      <c r="H1646" s="32"/>
      <c r="I1646" s="32"/>
      <c r="J1646" s="32"/>
      <c r="K1646" s="32"/>
      <c r="L1646" s="32"/>
      <c r="M1646" s="30"/>
      <c r="N1646" s="32"/>
      <c r="O1646" s="34"/>
      <c r="P1646" s="32"/>
      <c r="Q1646" s="32"/>
      <c r="R1646" s="32"/>
      <c r="S1646" s="32"/>
      <c r="T1646" s="32"/>
      <c r="U1646" s="32"/>
      <c r="V1646" s="31"/>
      <c r="W1646" s="35" t="str">
        <f aca="true">IF(OR(V1646="",AG1646&gt;=8),"",IF(V1646&lt;TODAY(),"Vencida",IF(V1646=TODAY(),"Hoy","")))</f>
        <v/>
      </c>
      <c r="X1646" s="36" t="str">
        <f aca="false">IF(A1646="","",IF(COUNTIF(Seguimiento!$B$2:$B$5001,A1646)=0,"",_xlfn.MAXIFS(Seguimiento!$A$2:$A$5001,Seguimiento!$B$2:$B$5001,A1646)))</f>
        <v/>
      </c>
      <c r="Y1646" s="37" t="str">
        <f aca="true">IF(B1646="","",TODAY()-B1646)</f>
        <v/>
      </c>
      <c r="Z1646" s="38" t="str">
        <f aca="false">IF(OR(O1646="",G1646=""),"",O1646*IFERROR(INDEX(Listas!$B$2:$B$50,MATCH(G1646,Listas!$A$2:$A$50,0)),0))</f>
        <v/>
      </c>
      <c r="AA1646" s="32"/>
      <c r="AB1646" s="32"/>
      <c r="AC1646" s="32"/>
      <c r="AD1646" s="35" t="str">
        <f aca="false">IF(OR(LEFT(H1646,4)="Meta",LEFT(H1646,6)="Google"),IF(AG1646=3,"Lead calificado",IF(OR(AG1646=4,AG1646=5),"Tasación/visita",IF(OR(AG1646=6,AG1646=7),"Captación/oferta",IF(AG1646=8,"Cierre","")))),"")</f>
        <v/>
      </c>
      <c r="AE1646" s="32"/>
      <c r="AF1646" s="32"/>
      <c r="AG1646" s="37" t="n">
        <f aca="false">IF(R1646="",0,IFERROR(MATCH(R1646,Listas!$L$2:$L$50,0),0))</f>
        <v>0</v>
      </c>
    </row>
    <row r="1647" customFormat="false" ht="15" hidden="false" customHeight="false" outlineLevel="0" collapsed="false">
      <c r="A1647" s="30"/>
      <c r="B1647" s="31"/>
      <c r="C1647" s="32"/>
      <c r="D1647" s="32"/>
      <c r="E1647" s="33"/>
      <c r="F1647" s="32"/>
      <c r="G1647" s="32"/>
      <c r="H1647" s="32"/>
      <c r="I1647" s="32"/>
      <c r="J1647" s="32"/>
      <c r="K1647" s="32"/>
      <c r="L1647" s="32"/>
      <c r="M1647" s="30"/>
      <c r="N1647" s="32"/>
      <c r="O1647" s="34"/>
      <c r="P1647" s="32"/>
      <c r="Q1647" s="32"/>
      <c r="R1647" s="32"/>
      <c r="S1647" s="32"/>
      <c r="T1647" s="32"/>
      <c r="U1647" s="32"/>
      <c r="V1647" s="31"/>
      <c r="W1647" s="35" t="str">
        <f aca="true">IF(OR(V1647="",AG1647&gt;=8),"",IF(V1647&lt;TODAY(),"Vencida",IF(V1647=TODAY(),"Hoy","")))</f>
        <v/>
      </c>
      <c r="X1647" s="36" t="str">
        <f aca="false">IF(A1647="","",IF(COUNTIF(Seguimiento!$B$2:$B$5001,A1647)=0,"",_xlfn.MAXIFS(Seguimiento!$A$2:$A$5001,Seguimiento!$B$2:$B$5001,A1647)))</f>
        <v/>
      </c>
      <c r="Y1647" s="37" t="str">
        <f aca="true">IF(B1647="","",TODAY()-B1647)</f>
        <v/>
      </c>
      <c r="Z1647" s="38" t="str">
        <f aca="false">IF(OR(O1647="",G1647=""),"",O1647*IFERROR(INDEX(Listas!$B$2:$B$50,MATCH(G1647,Listas!$A$2:$A$50,0)),0))</f>
        <v/>
      </c>
      <c r="AA1647" s="32"/>
      <c r="AB1647" s="32"/>
      <c r="AC1647" s="32"/>
      <c r="AD1647" s="35" t="str">
        <f aca="false">IF(OR(LEFT(H1647,4)="Meta",LEFT(H1647,6)="Google"),IF(AG1647=3,"Lead calificado",IF(OR(AG1647=4,AG1647=5),"Tasación/visita",IF(OR(AG1647=6,AG1647=7),"Captación/oferta",IF(AG1647=8,"Cierre","")))),"")</f>
        <v/>
      </c>
      <c r="AE1647" s="32"/>
      <c r="AF1647" s="32"/>
      <c r="AG1647" s="37" t="n">
        <f aca="false">IF(R1647="",0,IFERROR(MATCH(R1647,Listas!$L$2:$L$50,0),0))</f>
        <v>0</v>
      </c>
    </row>
    <row r="1648" customFormat="false" ht="15" hidden="false" customHeight="false" outlineLevel="0" collapsed="false">
      <c r="A1648" s="30"/>
      <c r="B1648" s="31"/>
      <c r="C1648" s="32"/>
      <c r="D1648" s="32"/>
      <c r="E1648" s="33"/>
      <c r="F1648" s="32"/>
      <c r="G1648" s="32"/>
      <c r="H1648" s="32"/>
      <c r="I1648" s="32"/>
      <c r="J1648" s="32"/>
      <c r="K1648" s="32"/>
      <c r="L1648" s="32"/>
      <c r="M1648" s="30"/>
      <c r="N1648" s="32"/>
      <c r="O1648" s="34"/>
      <c r="P1648" s="32"/>
      <c r="Q1648" s="32"/>
      <c r="R1648" s="32"/>
      <c r="S1648" s="32"/>
      <c r="T1648" s="32"/>
      <c r="U1648" s="32"/>
      <c r="V1648" s="31"/>
      <c r="W1648" s="35" t="str">
        <f aca="true">IF(OR(V1648="",AG1648&gt;=8),"",IF(V1648&lt;TODAY(),"Vencida",IF(V1648=TODAY(),"Hoy","")))</f>
        <v/>
      </c>
      <c r="X1648" s="36" t="str">
        <f aca="false">IF(A1648="","",IF(COUNTIF(Seguimiento!$B$2:$B$5001,A1648)=0,"",_xlfn.MAXIFS(Seguimiento!$A$2:$A$5001,Seguimiento!$B$2:$B$5001,A1648)))</f>
        <v/>
      </c>
      <c r="Y1648" s="37" t="str">
        <f aca="true">IF(B1648="","",TODAY()-B1648)</f>
        <v/>
      </c>
      <c r="Z1648" s="38" t="str">
        <f aca="false">IF(OR(O1648="",G1648=""),"",O1648*IFERROR(INDEX(Listas!$B$2:$B$50,MATCH(G1648,Listas!$A$2:$A$50,0)),0))</f>
        <v/>
      </c>
      <c r="AA1648" s="32"/>
      <c r="AB1648" s="32"/>
      <c r="AC1648" s="32"/>
      <c r="AD1648" s="35" t="str">
        <f aca="false">IF(OR(LEFT(H1648,4)="Meta",LEFT(H1648,6)="Google"),IF(AG1648=3,"Lead calificado",IF(OR(AG1648=4,AG1648=5),"Tasación/visita",IF(OR(AG1648=6,AG1648=7),"Captación/oferta",IF(AG1648=8,"Cierre","")))),"")</f>
        <v/>
      </c>
      <c r="AE1648" s="32"/>
      <c r="AF1648" s="32"/>
      <c r="AG1648" s="37" t="n">
        <f aca="false">IF(R1648="",0,IFERROR(MATCH(R1648,Listas!$L$2:$L$50,0),0))</f>
        <v>0</v>
      </c>
    </row>
    <row r="1649" customFormat="false" ht="15" hidden="false" customHeight="false" outlineLevel="0" collapsed="false">
      <c r="A1649" s="30"/>
      <c r="B1649" s="31"/>
      <c r="C1649" s="32"/>
      <c r="D1649" s="32"/>
      <c r="E1649" s="33"/>
      <c r="F1649" s="32"/>
      <c r="G1649" s="32"/>
      <c r="H1649" s="32"/>
      <c r="I1649" s="32"/>
      <c r="J1649" s="32"/>
      <c r="K1649" s="32"/>
      <c r="L1649" s="32"/>
      <c r="M1649" s="30"/>
      <c r="N1649" s="32"/>
      <c r="O1649" s="34"/>
      <c r="P1649" s="32"/>
      <c r="Q1649" s="32"/>
      <c r="R1649" s="32"/>
      <c r="S1649" s="32"/>
      <c r="T1649" s="32"/>
      <c r="U1649" s="32"/>
      <c r="V1649" s="31"/>
      <c r="W1649" s="35" t="str">
        <f aca="true">IF(OR(V1649="",AG1649&gt;=8),"",IF(V1649&lt;TODAY(),"Vencida",IF(V1649=TODAY(),"Hoy","")))</f>
        <v/>
      </c>
      <c r="X1649" s="36" t="str">
        <f aca="false">IF(A1649="","",IF(COUNTIF(Seguimiento!$B$2:$B$5001,A1649)=0,"",_xlfn.MAXIFS(Seguimiento!$A$2:$A$5001,Seguimiento!$B$2:$B$5001,A1649)))</f>
        <v/>
      </c>
      <c r="Y1649" s="37" t="str">
        <f aca="true">IF(B1649="","",TODAY()-B1649)</f>
        <v/>
      </c>
      <c r="Z1649" s="38" t="str">
        <f aca="false">IF(OR(O1649="",G1649=""),"",O1649*IFERROR(INDEX(Listas!$B$2:$B$50,MATCH(G1649,Listas!$A$2:$A$50,0)),0))</f>
        <v/>
      </c>
      <c r="AA1649" s="32"/>
      <c r="AB1649" s="32"/>
      <c r="AC1649" s="32"/>
      <c r="AD1649" s="35" t="str">
        <f aca="false">IF(OR(LEFT(H1649,4)="Meta",LEFT(H1649,6)="Google"),IF(AG1649=3,"Lead calificado",IF(OR(AG1649=4,AG1649=5),"Tasación/visita",IF(OR(AG1649=6,AG1649=7),"Captación/oferta",IF(AG1649=8,"Cierre","")))),"")</f>
        <v/>
      </c>
      <c r="AE1649" s="32"/>
      <c r="AF1649" s="32"/>
      <c r="AG1649" s="37" t="n">
        <f aca="false">IF(R1649="",0,IFERROR(MATCH(R1649,Listas!$L$2:$L$50,0),0))</f>
        <v>0</v>
      </c>
    </row>
    <row r="1650" customFormat="false" ht="15" hidden="false" customHeight="false" outlineLevel="0" collapsed="false">
      <c r="A1650" s="30"/>
      <c r="B1650" s="31"/>
      <c r="C1650" s="32"/>
      <c r="D1650" s="32"/>
      <c r="E1650" s="33"/>
      <c r="F1650" s="32"/>
      <c r="G1650" s="32"/>
      <c r="H1650" s="32"/>
      <c r="I1650" s="32"/>
      <c r="J1650" s="32"/>
      <c r="K1650" s="32"/>
      <c r="L1650" s="32"/>
      <c r="M1650" s="30"/>
      <c r="N1650" s="32"/>
      <c r="O1650" s="34"/>
      <c r="P1650" s="32"/>
      <c r="Q1650" s="32"/>
      <c r="R1650" s="32"/>
      <c r="S1650" s="32"/>
      <c r="T1650" s="32"/>
      <c r="U1650" s="32"/>
      <c r="V1650" s="31"/>
      <c r="W1650" s="35" t="str">
        <f aca="true">IF(OR(V1650="",AG1650&gt;=8),"",IF(V1650&lt;TODAY(),"Vencida",IF(V1650=TODAY(),"Hoy","")))</f>
        <v/>
      </c>
      <c r="X1650" s="36" t="str">
        <f aca="false">IF(A1650="","",IF(COUNTIF(Seguimiento!$B$2:$B$5001,A1650)=0,"",_xlfn.MAXIFS(Seguimiento!$A$2:$A$5001,Seguimiento!$B$2:$B$5001,A1650)))</f>
        <v/>
      </c>
      <c r="Y1650" s="37" t="str">
        <f aca="true">IF(B1650="","",TODAY()-B1650)</f>
        <v/>
      </c>
      <c r="Z1650" s="38" t="str">
        <f aca="false">IF(OR(O1650="",G1650=""),"",O1650*IFERROR(INDEX(Listas!$B$2:$B$50,MATCH(G1650,Listas!$A$2:$A$50,0)),0))</f>
        <v/>
      </c>
      <c r="AA1650" s="32"/>
      <c r="AB1650" s="32"/>
      <c r="AC1650" s="32"/>
      <c r="AD1650" s="35" t="str">
        <f aca="false">IF(OR(LEFT(H1650,4)="Meta",LEFT(H1650,6)="Google"),IF(AG1650=3,"Lead calificado",IF(OR(AG1650=4,AG1650=5),"Tasación/visita",IF(OR(AG1650=6,AG1650=7),"Captación/oferta",IF(AG1650=8,"Cierre","")))),"")</f>
        <v/>
      </c>
      <c r="AE1650" s="32"/>
      <c r="AF1650" s="32"/>
      <c r="AG1650" s="37" t="n">
        <f aca="false">IF(R1650="",0,IFERROR(MATCH(R1650,Listas!$L$2:$L$50,0),0))</f>
        <v>0</v>
      </c>
    </row>
    <row r="1651" customFormat="false" ht="15" hidden="false" customHeight="false" outlineLevel="0" collapsed="false">
      <c r="A1651" s="30"/>
      <c r="B1651" s="31"/>
      <c r="C1651" s="32"/>
      <c r="D1651" s="32"/>
      <c r="E1651" s="33"/>
      <c r="F1651" s="32"/>
      <c r="G1651" s="32"/>
      <c r="H1651" s="32"/>
      <c r="I1651" s="32"/>
      <c r="J1651" s="32"/>
      <c r="K1651" s="32"/>
      <c r="L1651" s="32"/>
      <c r="M1651" s="30"/>
      <c r="N1651" s="32"/>
      <c r="O1651" s="34"/>
      <c r="P1651" s="32"/>
      <c r="Q1651" s="32"/>
      <c r="R1651" s="32"/>
      <c r="S1651" s="32"/>
      <c r="T1651" s="32"/>
      <c r="U1651" s="32"/>
      <c r="V1651" s="31"/>
      <c r="W1651" s="35" t="str">
        <f aca="true">IF(OR(V1651="",AG1651&gt;=8),"",IF(V1651&lt;TODAY(),"Vencida",IF(V1651=TODAY(),"Hoy","")))</f>
        <v/>
      </c>
      <c r="X1651" s="36" t="str">
        <f aca="false">IF(A1651="","",IF(COUNTIF(Seguimiento!$B$2:$B$5001,A1651)=0,"",_xlfn.MAXIFS(Seguimiento!$A$2:$A$5001,Seguimiento!$B$2:$B$5001,A1651)))</f>
        <v/>
      </c>
      <c r="Y1651" s="37" t="str">
        <f aca="true">IF(B1651="","",TODAY()-B1651)</f>
        <v/>
      </c>
      <c r="Z1651" s="38" t="str">
        <f aca="false">IF(OR(O1651="",G1651=""),"",O1651*IFERROR(INDEX(Listas!$B$2:$B$50,MATCH(G1651,Listas!$A$2:$A$50,0)),0))</f>
        <v/>
      </c>
      <c r="AA1651" s="32"/>
      <c r="AB1651" s="32"/>
      <c r="AC1651" s="32"/>
      <c r="AD1651" s="35" t="str">
        <f aca="false">IF(OR(LEFT(H1651,4)="Meta",LEFT(H1651,6)="Google"),IF(AG1651=3,"Lead calificado",IF(OR(AG1651=4,AG1651=5),"Tasación/visita",IF(OR(AG1651=6,AG1651=7),"Captación/oferta",IF(AG1651=8,"Cierre","")))),"")</f>
        <v/>
      </c>
      <c r="AE1651" s="32"/>
      <c r="AF1651" s="32"/>
      <c r="AG1651" s="37" t="n">
        <f aca="false">IF(R1651="",0,IFERROR(MATCH(R1651,Listas!$L$2:$L$50,0),0))</f>
        <v>0</v>
      </c>
    </row>
    <row r="1652" customFormat="false" ht="15" hidden="false" customHeight="false" outlineLevel="0" collapsed="false">
      <c r="A1652" s="30"/>
      <c r="B1652" s="31"/>
      <c r="C1652" s="32"/>
      <c r="D1652" s="32"/>
      <c r="E1652" s="33"/>
      <c r="F1652" s="32"/>
      <c r="G1652" s="32"/>
      <c r="H1652" s="32"/>
      <c r="I1652" s="32"/>
      <c r="J1652" s="32"/>
      <c r="K1652" s="32"/>
      <c r="L1652" s="32"/>
      <c r="M1652" s="30"/>
      <c r="N1652" s="32"/>
      <c r="O1652" s="34"/>
      <c r="P1652" s="32"/>
      <c r="Q1652" s="32"/>
      <c r="R1652" s="32"/>
      <c r="S1652" s="32"/>
      <c r="T1652" s="32"/>
      <c r="U1652" s="32"/>
      <c r="V1652" s="31"/>
      <c r="W1652" s="35" t="str">
        <f aca="true">IF(OR(V1652="",AG1652&gt;=8),"",IF(V1652&lt;TODAY(),"Vencida",IF(V1652=TODAY(),"Hoy","")))</f>
        <v/>
      </c>
      <c r="X1652" s="36" t="str">
        <f aca="false">IF(A1652="","",IF(COUNTIF(Seguimiento!$B$2:$B$5001,A1652)=0,"",_xlfn.MAXIFS(Seguimiento!$A$2:$A$5001,Seguimiento!$B$2:$B$5001,A1652)))</f>
        <v/>
      </c>
      <c r="Y1652" s="37" t="str">
        <f aca="true">IF(B1652="","",TODAY()-B1652)</f>
        <v/>
      </c>
      <c r="Z1652" s="38" t="str">
        <f aca="false">IF(OR(O1652="",G1652=""),"",O1652*IFERROR(INDEX(Listas!$B$2:$B$50,MATCH(G1652,Listas!$A$2:$A$50,0)),0))</f>
        <v/>
      </c>
      <c r="AA1652" s="32"/>
      <c r="AB1652" s="32"/>
      <c r="AC1652" s="32"/>
      <c r="AD1652" s="35" t="str">
        <f aca="false">IF(OR(LEFT(H1652,4)="Meta",LEFT(H1652,6)="Google"),IF(AG1652=3,"Lead calificado",IF(OR(AG1652=4,AG1652=5),"Tasación/visita",IF(OR(AG1652=6,AG1652=7),"Captación/oferta",IF(AG1652=8,"Cierre","")))),"")</f>
        <v/>
      </c>
      <c r="AE1652" s="32"/>
      <c r="AF1652" s="32"/>
      <c r="AG1652" s="37" t="n">
        <f aca="false">IF(R1652="",0,IFERROR(MATCH(R1652,Listas!$L$2:$L$50,0),0))</f>
        <v>0</v>
      </c>
    </row>
    <row r="1653" customFormat="false" ht="15" hidden="false" customHeight="false" outlineLevel="0" collapsed="false">
      <c r="A1653" s="30"/>
      <c r="B1653" s="31"/>
      <c r="C1653" s="32"/>
      <c r="D1653" s="32"/>
      <c r="E1653" s="33"/>
      <c r="F1653" s="32"/>
      <c r="G1653" s="32"/>
      <c r="H1653" s="32"/>
      <c r="I1653" s="32"/>
      <c r="J1653" s="32"/>
      <c r="K1653" s="32"/>
      <c r="L1653" s="32"/>
      <c r="M1653" s="30"/>
      <c r="N1653" s="32"/>
      <c r="O1653" s="34"/>
      <c r="P1653" s="32"/>
      <c r="Q1653" s="32"/>
      <c r="R1653" s="32"/>
      <c r="S1653" s="32"/>
      <c r="T1653" s="32"/>
      <c r="U1653" s="32"/>
      <c r="V1653" s="31"/>
      <c r="W1653" s="35" t="str">
        <f aca="true">IF(OR(V1653="",AG1653&gt;=8),"",IF(V1653&lt;TODAY(),"Vencida",IF(V1653=TODAY(),"Hoy","")))</f>
        <v/>
      </c>
      <c r="X1653" s="36" t="str">
        <f aca="false">IF(A1653="","",IF(COUNTIF(Seguimiento!$B$2:$B$5001,A1653)=0,"",_xlfn.MAXIFS(Seguimiento!$A$2:$A$5001,Seguimiento!$B$2:$B$5001,A1653)))</f>
        <v/>
      </c>
      <c r="Y1653" s="37" t="str">
        <f aca="true">IF(B1653="","",TODAY()-B1653)</f>
        <v/>
      </c>
      <c r="Z1653" s="38" t="str">
        <f aca="false">IF(OR(O1653="",G1653=""),"",O1653*IFERROR(INDEX(Listas!$B$2:$B$50,MATCH(G1653,Listas!$A$2:$A$50,0)),0))</f>
        <v/>
      </c>
      <c r="AA1653" s="32"/>
      <c r="AB1653" s="32"/>
      <c r="AC1653" s="32"/>
      <c r="AD1653" s="35" t="str">
        <f aca="false">IF(OR(LEFT(H1653,4)="Meta",LEFT(H1653,6)="Google"),IF(AG1653=3,"Lead calificado",IF(OR(AG1653=4,AG1653=5),"Tasación/visita",IF(OR(AG1653=6,AG1653=7),"Captación/oferta",IF(AG1653=8,"Cierre","")))),"")</f>
        <v/>
      </c>
      <c r="AE1653" s="32"/>
      <c r="AF1653" s="32"/>
      <c r="AG1653" s="37" t="n">
        <f aca="false">IF(R1653="",0,IFERROR(MATCH(R1653,Listas!$L$2:$L$50,0),0))</f>
        <v>0</v>
      </c>
    </row>
    <row r="1654" customFormat="false" ht="15" hidden="false" customHeight="false" outlineLevel="0" collapsed="false">
      <c r="A1654" s="30"/>
      <c r="B1654" s="31"/>
      <c r="C1654" s="32"/>
      <c r="D1654" s="32"/>
      <c r="E1654" s="33"/>
      <c r="F1654" s="32"/>
      <c r="G1654" s="32"/>
      <c r="H1654" s="32"/>
      <c r="I1654" s="32"/>
      <c r="J1654" s="32"/>
      <c r="K1654" s="32"/>
      <c r="L1654" s="32"/>
      <c r="M1654" s="30"/>
      <c r="N1654" s="32"/>
      <c r="O1654" s="34"/>
      <c r="P1654" s="32"/>
      <c r="Q1654" s="32"/>
      <c r="R1654" s="32"/>
      <c r="S1654" s="32"/>
      <c r="T1654" s="32"/>
      <c r="U1654" s="32"/>
      <c r="V1654" s="31"/>
      <c r="W1654" s="35" t="str">
        <f aca="true">IF(OR(V1654="",AG1654&gt;=8),"",IF(V1654&lt;TODAY(),"Vencida",IF(V1654=TODAY(),"Hoy","")))</f>
        <v/>
      </c>
      <c r="X1654" s="36" t="str">
        <f aca="false">IF(A1654="","",IF(COUNTIF(Seguimiento!$B$2:$B$5001,A1654)=0,"",_xlfn.MAXIFS(Seguimiento!$A$2:$A$5001,Seguimiento!$B$2:$B$5001,A1654)))</f>
        <v/>
      </c>
      <c r="Y1654" s="37" t="str">
        <f aca="true">IF(B1654="","",TODAY()-B1654)</f>
        <v/>
      </c>
      <c r="Z1654" s="38" t="str">
        <f aca="false">IF(OR(O1654="",G1654=""),"",O1654*IFERROR(INDEX(Listas!$B$2:$B$50,MATCH(G1654,Listas!$A$2:$A$50,0)),0))</f>
        <v/>
      </c>
      <c r="AA1654" s="32"/>
      <c r="AB1654" s="32"/>
      <c r="AC1654" s="32"/>
      <c r="AD1654" s="35" t="str">
        <f aca="false">IF(OR(LEFT(H1654,4)="Meta",LEFT(H1654,6)="Google"),IF(AG1654=3,"Lead calificado",IF(OR(AG1654=4,AG1654=5),"Tasación/visita",IF(OR(AG1654=6,AG1654=7),"Captación/oferta",IF(AG1654=8,"Cierre","")))),"")</f>
        <v/>
      </c>
      <c r="AE1654" s="32"/>
      <c r="AF1654" s="32"/>
      <c r="AG1654" s="37" t="n">
        <f aca="false">IF(R1654="",0,IFERROR(MATCH(R1654,Listas!$L$2:$L$50,0),0))</f>
        <v>0</v>
      </c>
    </row>
    <row r="1655" customFormat="false" ht="15" hidden="false" customHeight="false" outlineLevel="0" collapsed="false">
      <c r="A1655" s="30"/>
      <c r="B1655" s="31"/>
      <c r="C1655" s="32"/>
      <c r="D1655" s="32"/>
      <c r="E1655" s="33"/>
      <c r="F1655" s="32"/>
      <c r="G1655" s="32"/>
      <c r="H1655" s="32"/>
      <c r="I1655" s="32"/>
      <c r="J1655" s="32"/>
      <c r="K1655" s="32"/>
      <c r="L1655" s="32"/>
      <c r="M1655" s="30"/>
      <c r="N1655" s="32"/>
      <c r="O1655" s="34"/>
      <c r="P1655" s="32"/>
      <c r="Q1655" s="32"/>
      <c r="R1655" s="32"/>
      <c r="S1655" s="32"/>
      <c r="T1655" s="32"/>
      <c r="U1655" s="32"/>
      <c r="V1655" s="31"/>
      <c r="W1655" s="35" t="str">
        <f aca="true">IF(OR(V1655="",AG1655&gt;=8),"",IF(V1655&lt;TODAY(),"Vencida",IF(V1655=TODAY(),"Hoy","")))</f>
        <v/>
      </c>
      <c r="X1655" s="36" t="str">
        <f aca="false">IF(A1655="","",IF(COUNTIF(Seguimiento!$B$2:$B$5001,A1655)=0,"",_xlfn.MAXIFS(Seguimiento!$A$2:$A$5001,Seguimiento!$B$2:$B$5001,A1655)))</f>
        <v/>
      </c>
      <c r="Y1655" s="37" t="str">
        <f aca="true">IF(B1655="","",TODAY()-B1655)</f>
        <v/>
      </c>
      <c r="Z1655" s="38" t="str">
        <f aca="false">IF(OR(O1655="",G1655=""),"",O1655*IFERROR(INDEX(Listas!$B$2:$B$50,MATCH(G1655,Listas!$A$2:$A$50,0)),0))</f>
        <v/>
      </c>
      <c r="AA1655" s="32"/>
      <c r="AB1655" s="32"/>
      <c r="AC1655" s="32"/>
      <c r="AD1655" s="35" t="str">
        <f aca="false">IF(OR(LEFT(H1655,4)="Meta",LEFT(H1655,6)="Google"),IF(AG1655=3,"Lead calificado",IF(OR(AG1655=4,AG1655=5),"Tasación/visita",IF(OR(AG1655=6,AG1655=7),"Captación/oferta",IF(AG1655=8,"Cierre","")))),"")</f>
        <v/>
      </c>
      <c r="AE1655" s="32"/>
      <c r="AF1655" s="32"/>
      <c r="AG1655" s="37" t="n">
        <f aca="false">IF(R1655="",0,IFERROR(MATCH(R1655,Listas!$L$2:$L$50,0),0))</f>
        <v>0</v>
      </c>
    </row>
    <row r="1656" customFormat="false" ht="15" hidden="false" customHeight="false" outlineLevel="0" collapsed="false">
      <c r="A1656" s="30"/>
      <c r="B1656" s="31"/>
      <c r="C1656" s="32"/>
      <c r="D1656" s="32"/>
      <c r="E1656" s="33"/>
      <c r="F1656" s="32"/>
      <c r="G1656" s="32"/>
      <c r="H1656" s="32"/>
      <c r="I1656" s="32"/>
      <c r="J1656" s="32"/>
      <c r="K1656" s="32"/>
      <c r="L1656" s="32"/>
      <c r="M1656" s="30"/>
      <c r="N1656" s="32"/>
      <c r="O1656" s="34"/>
      <c r="P1656" s="32"/>
      <c r="Q1656" s="32"/>
      <c r="R1656" s="32"/>
      <c r="S1656" s="32"/>
      <c r="T1656" s="32"/>
      <c r="U1656" s="32"/>
      <c r="V1656" s="31"/>
      <c r="W1656" s="35" t="str">
        <f aca="true">IF(OR(V1656="",AG1656&gt;=8),"",IF(V1656&lt;TODAY(),"Vencida",IF(V1656=TODAY(),"Hoy","")))</f>
        <v/>
      </c>
      <c r="X1656" s="36" t="str">
        <f aca="false">IF(A1656="","",IF(COUNTIF(Seguimiento!$B$2:$B$5001,A1656)=0,"",_xlfn.MAXIFS(Seguimiento!$A$2:$A$5001,Seguimiento!$B$2:$B$5001,A1656)))</f>
        <v/>
      </c>
      <c r="Y1656" s="37" t="str">
        <f aca="true">IF(B1656="","",TODAY()-B1656)</f>
        <v/>
      </c>
      <c r="Z1656" s="38" t="str">
        <f aca="false">IF(OR(O1656="",G1656=""),"",O1656*IFERROR(INDEX(Listas!$B$2:$B$50,MATCH(G1656,Listas!$A$2:$A$50,0)),0))</f>
        <v/>
      </c>
      <c r="AA1656" s="32"/>
      <c r="AB1656" s="32"/>
      <c r="AC1656" s="32"/>
      <c r="AD1656" s="35" t="str">
        <f aca="false">IF(OR(LEFT(H1656,4)="Meta",LEFT(H1656,6)="Google"),IF(AG1656=3,"Lead calificado",IF(OR(AG1656=4,AG1656=5),"Tasación/visita",IF(OR(AG1656=6,AG1656=7),"Captación/oferta",IF(AG1656=8,"Cierre","")))),"")</f>
        <v/>
      </c>
      <c r="AE1656" s="32"/>
      <c r="AF1656" s="32"/>
      <c r="AG1656" s="37" t="n">
        <f aca="false">IF(R1656="",0,IFERROR(MATCH(R1656,Listas!$L$2:$L$50,0),0))</f>
        <v>0</v>
      </c>
    </row>
    <row r="1657" customFormat="false" ht="15" hidden="false" customHeight="false" outlineLevel="0" collapsed="false">
      <c r="A1657" s="30"/>
      <c r="B1657" s="31"/>
      <c r="C1657" s="32"/>
      <c r="D1657" s="32"/>
      <c r="E1657" s="33"/>
      <c r="F1657" s="32"/>
      <c r="G1657" s="32"/>
      <c r="H1657" s="32"/>
      <c r="I1657" s="32"/>
      <c r="J1657" s="32"/>
      <c r="K1657" s="32"/>
      <c r="L1657" s="32"/>
      <c r="M1657" s="30"/>
      <c r="N1657" s="32"/>
      <c r="O1657" s="34"/>
      <c r="P1657" s="32"/>
      <c r="Q1657" s="32"/>
      <c r="R1657" s="32"/>
      <c r="S1657" s="32"/>
      <c r="T1657" s="32"/>
      <c r="U1657" s="32"/>
      <c r="V1657" s="31"/>
      <c r="W1657" s="35" t="str">
        <f aca="true">IF(OR(V1657="",AG1657&gt;=8),"",IF(V1657&lt;TODAY(),"Vencida",IF(V1657=TODAY(),"Hoy","")))</f>
        <v/>
      </c>
      <c r="X1657" s="36" t="str">
        <f aca="false">IF(A1657="","",IF(COUNTIF(Seguimiento!$B$2:$B$5001,A1657)=0,"",_xlfn.MAXIFS(Seguimiento!$A$2:$A$5001,Seguimiento!$B$2:$B$5001,A1657)))</f>
        <v/>
      </c>
      <c r="Y1657" s="37" t="str">
        <f aca="true">IF(B1657="","",TODAY()-B1657)</f>
        <v/>
      </c>
      <c r="Z1657" s="38" t="str">
        <f aca="false">IF(OR(O1657="",G1657=""),"",O1657*IFERROR(INDEX(Listas!$B$2:$B$50,MATCH(G1657,Listas!$A$2:$A$50,0)),0))</f>
        <v/>
      </c>
      <c r="AA1657" s="32"/>
      <c r="AB1657" s="32"/>
      <c r="AC1657" s="32"/>
      <c r="AD1657" s="35" t="str">
        <f aca="false">IF(OR(LEFT(H1657,4)="Meta",LEFT(H1657,6)="Google"),IF(AG1657=3,"Lead calificado",IF(OR(AG1657=4,AG1657=5),"Tasación/visita",IF(OR(AG1657=6,AG1657=7),"Captación/oferta",IF(AG1657=8,"Cierre","")))),"")</f>
        <v/>
      </c>
      <c r="AE1657" s="32"/>
      <c r="AF1657" s="32"/>
      <c r="AG1657" s="37" t="n">
        <f aca="false">IF(R1657="",0,IFERROR(MATCH(R1657,Listas!$L$2:$L$50,0),0))</f>
        <v>0</v>
      </c>
    </row>
    <row r="1658" customFormat="false" ht="15" hidden="false" customHeight="false" outlineLevel="0" collapsed="false">
      <c r="A1658" s="30"/>
      <c r="B1658" s="31"/>
      <c r="C1658" s="32"/>
      <c r="D1658" s="32"/>
      <c r="E1658" s="33"/>
      <c r="F1658" s="32"/>
      <c r="G1658" s="32"/>
      <c r="H1658" s="32"/>
      <c r="I1658" s="32"/>
      <c r="J1658" s="32"/>
      <c r="K1658" s="32"/>
      <c r="L1658" s="32"/>
      <c r="M1658" s="30"/>
      <c r="N1658" s="32"/>
      <c r="O1658" s="34"/>
      <c r="P1658" s="32"/>
      <c r="Q1658" s="32"/>
      <c r="R1658" s="32"/>
      <c r="S1658" s="32"/>
      <c r="T1658" s="32"/>
      <c r="U1658" s="32"/>
      <c r="V1658" s="31"/>
      <c r="W1658" s="35" t="str">
        <f aca="true">IF(OR(V1658="",AG1658&gt;=8),"",IF(V1658&lt;TODAY(),"Vencida",IF(V1658=TODAY(),"Hoy","")))</f>
        <v/>
      </c>
      <c r="X1658" s="36" t="str">
        <f aca="false">IF(A1658="","",IF(COUNTIF(Seguimiento!$B$2:$B$5001,A1658)=0,"",_xlfn.MAXIFS(Seguimiento!$A$2:$A$5001,Seguimiento!$B$2:$B$5001,A1658)))</f>
        <v/>
      </c>
      <c r="Y1658" s="37" t="str">
        <f aca="true">IF(B1658="","",TODAY()-B1658)</f>
        <v/>
      </c>
      <c r="Z1658" s="38" t="str">
        <f aca="false">IF(OR(O1658="",G1658=""),"",O1658*IFERROR(INDEX(Listas!$B$2:$B$50,MATCH(G1658,Listas!$A$2:$A$50,0)),0))</f>
        <v/>
      </c>
      <c r="AA1658" s="32"/>
      <c r="AB1658" s="32"/>
      <c r="AC1658" s="32"/>
      <c r="AD1658" s="35" t="str">
        <f aca="false">IF(OR(LEFT(H1658,4)="Meta",LEFT(H1658,6)="Google"),IF(AG1658=3,"Lead calificado",IF(OR(AG1658=4,AG1658=5),"Tasación/visita",IF(OR(AG1658=6,AG1658=7),"Captación/oferta",IF(AG1658=8,"Cierre","")))),"")</f>
        <v/>
      </c>
      <c r="AE1658" s="32"/>
      <c r="AF1658" s="32"/>
      <c r="AG1658" s="37" t="n">
        <f aca="false">IF(R1658="",0,IFERROR(MATCH(R1658,Listas!$L$2:$L$50,0),0))</f>
        <v>0</v>
      </c>
    </row>
    <row r="1659" customFormat="false" ht="15" hidden="false" customHeight="false" outlineLevel="0" collapsed="false">
      <c r="A1659" s="30"/>
      <c r="B1659" s="31"/>
      <c r="C1659" s="32"/>
      <c r="D1659" s="32"/>
      <c r="E1659" s="33"/>
      <c r="F1659" s="32"/>
      <c r="G1659" s="32"/>
      <c r="H1659" s="32"/>
      <c r="I1659" s="32"/>
      <c r="J1659" s="32"/>
      <c r="K1659" s="32"/>
      <c r="L1659" s="32"/>
      <c r="M1659" s="30"/>
      <c r="N1659" s="32"/>
      <c r="O1659" s="34"/>
      <c r="P1659" s="32"/>
      <c r="Q1659" s="32"/>
      <c r="R1659" s="32"/>
      <c r="S1659" s="32"/>
      <c r="T1659" s="32"/>
      <c r="U1659" s="32"/>
      <c r="V1659" s="31"/>
      <c r="W1659" s="35" t="str">
        <f aca="true">IF(OR(V1659="",AG1659&gt;=8),"",IF(V1659&lt;TODAY(),"Vencida",IF(V1659=TODAY(),"Hoy","")))</f>
        <v/>
      </c>
      <c r="X1659" s="36" t="str">
        <f aca="false">IF(A1659="","",IF(COUNTIF(Seguimiento!$B$2:$B$5001,A1659)=0,"",_xlfn.MAXIFS(Seguimiento!$A$2:$A$5001,Seguimiento!$B$2:$B$5001,A1659)))</f>
        <v/>
      </c>
      <c r="Y1659" s="37" t="str">
        <f aca="true">IF(B1659="","",TODAY()-B1659)</f>
        <v/>
      </c>
      <c r="Z1659" s="38" t="str">
        <f aca="false">IF(OR(O1659="",G1659=""),"",O1659*IFERROR(INDEX(Listas!$B$2:$B$50,MATCH(G1659,Listas!$A$2:$A$50,0)),0))</f>
        <v/>
      </c>
      <c r="AA1659" s="32"/>
      <c r="AB1659" s="32"/>
      <c r="AC1659" s="32"/>
      <c r="AD1659" s="35" t="str">
        <f aca="false">IF(OR(LEFT(H1659,4)="Meta",LEFT(H1659,6)="Google"),IF(AG1659=3,"Lead calificado",IF(OR(AG1659=4,AG1659=5),"Tasación/visita",IF(OR(AG1659=6,AG1659=7),"Captación/oferta",IF(AG1659=8,"Cierre","")))),"")</f>
        <v/>
      </c>
      <c r="AE1659" s="32"/>
      <c r="AF1659" s="32"/>
      <c r="AG1659" s="37" t="n">
        <f aca="false">IF(R1659="",0,IFERROR(MATCH(R1659,Listas!$L$2:$L$50,0),0))</f>
        <v>0</v>
      </c>
    </row>
    <row r="1660" customFormat="false" ht="15" hidden="false" customHeight="false" outlineLevel="0" collapsed="false">
      <c r="A1660" s="30"/>
      <c r="B1660" s="31"/>
      <c r="C1660" s="32"/>
      <c r="D1660" s="32"/>
      <c r="E1660" s="33"/>
      <c r="F1660" s="32"/>
      <c r="G1660" s="32"/>
      <c r="H1660" s="32"/>
      <c r="I1660" s="32"/>
      <c r="J1660" s="32"/>
      <c r="K1660" s="32"/>
      <c r="L1660" s="32"/>
      <c r="M1660" s="30"/>
      <c r="N1660" s="32"/>
      <c r="O1660" s="34"/>
      <c r="P1660" s="32"/>
      <c r="Q1660" s="32"/>
      <c r="R1660" s="32"/>
      <c r="S1660" s="32"/>
      <c r="T1660" s="32"/>
      <c r="U1660" s="32"/>
      <c r="V1660" s="31"/>
      <c r="W1660" s="35" t="str">
        <f aca="true">IF(OR(V1660="",AG1660&gt;=8),"",IF(V1660&lt;TODAY(),"Vencida",IF(V1660=TODAY(),"Hoy","")))</f>
        <v/>
      </c>
      <c r="X1660" s="36" t="str">
        <f aca="false">IF(A1660="","",IF(COUNTIF(Seguimiento!$B$2:$B$5001,A1660)=0,"",_xlfn.MAXIFS(Seguimiento!$A$2:$A$5001,Seguimiento!$B$2:$B$5001,A1660)))</f>
        <v/>
      </c>
      <c r="Y1660" s="37" t="str">
        <f aca="true">IF(B1660="","",TODAY()-B1660)</f>
        <v/>
      </c>
      <c r="Z1660" s="38" t="str">
        <f aca="false">IF(OR(O1660="",G1660=""),"",O1660*IFERROR(INDEX(Listas!$B$2:$B$50,MATCH(G1660,Listas!$A$2:$A$50,0)),0))</f>
        <v/>
      </c>
      <c r="AA1660" s="32"/>
      <c r="AB1660" s="32"/>
      <c r="AC1660" s="32"/>
      <c r="AD1660" s="35" t="str">
        <f aca="false">IF(OR(LEFT(H1660,4)="Meta",LEFT(H1660,6)="Google"),IF(AG1660=3,"Lead calificado",IF(OR(AG1660=4,AG1660=5),"Tasación/visita",IF(OR(AG1660=6,AG1660=7),"Captación/oferta",IF(AG1660=8,"Cierre","")))),"")</f>
        <v/>
      </c>
      <c r="AE1660" s="32"/>
      <c r="AF1660" s="32"/>
      <c r="AG1660" s="37" t="n">
        <f aca="false">IF(R1660="",0,IFERROR(MATCH(R1660,Listas!$L$2:$L$50,0),0))</f>
        <v>0</v>
      </c>
    </row>
    <row r="1661" customFormat="false" ht="15" hidden="false" customHeight="false" outlineLevel="0" collapsed="false">
      <c r="A1661" s="30"/>
      <c r="B1661" s="31"/>
      <c r="C1661" s="32"/>
      <c r="D1661" s="32"/>
      <c r="E1661" s="33"/>
      <c r="F1661" s="32"/>
      <c r="G1661" s="32"/>
      <c r="H1661" s="32"/>
      <c r="I1661" s="32"/>
      <c r="J1661" s="32"/>
      <c r="K1661" s="32"/>
      <c r="L1661" s="32"/>
      <c r="M1661" s="30"/>
      <c r="N1661" s="32"/>
      <c r="O1661" s="34"/>
      <c r="P1661" s="32"/>
      <c r="Q1661" s="32"/>
      <c r="R1661" s="32"/>
      <c r="S1661" s="32"/>
      <c r="T1661" s="32"/>
      <c r="U1661" s="32"/>
      <c r="V1661" s="31"/>
      <c r="W1661" s="35" t="str">
        <f aca="true">IF(OR(V1661="",AG1661&gt;=8),"",IF(V1661&lt;TODAY(),"Vencida",IF(V1661=TODAY(),"Hoy","")))</f>
        <v/>
      </c>
      <c r="X1661" s="36" t="str">
        <f aca="false">IF(A1661="","",IF(COUNTIF(Seguimiento!$B$2:$B$5001,A1661)=0,"",_xlfn.MAXIFS(Seguimiento!$A$2:$A$5001,Seguimiento!$B$2:$B$5001,A1661)))</f>
        <v/>
      </c>
      <c r="Y1661" s="37" t="str">
        <f aca="true">IF(B1661="","",TODAY()-B1661)</f>
        <v/>
      </c>
      <c r="Z1661" s="38" t="str">
        <f aca="false">IF(OR(O1661="",G1661=""),"",O1661*IFERROR(INDEX(Listas!$B$2:$B$50,MATCH(G1661,Listas!$A$2:$A$50,0)),0))</f>
        <v/>
      </c>
      <c r="AA1661" s="32"/>
      <c r="AB1661" s="32"/>
      <c r="AC1661" s="32"/>
      <c r="AD1661" s="35" t="str">
        <f aca="false">IF(OR(LEFT(H1661,4)="Meta",LEFT(H1661,6)="Google"),IF(AG1661=3,"Lead calificado",IF(OR(AG1661=4,AG1661=5),"Tasación/visita",IF(OR(AG1661=6,AG1661=7),"Captación/oferta",IF(AG1661=8,"Cierre","")))),"")</f>
        <v/>
      </c>
      <c r="AE1661" s="32"/>
      <c r="AF1661" s="32"/>
      <c r="AG1661" s="37" t="n">
        <f aca="false">IF(R1661="",0,IFERROR(MATCH(R1661,Listas!$L$2:$L$50,0),0))</f>
        <v>0</v>
      </c>
    </row>
    <row r="1662" customFormat="false" ht="15" hidden="false" customHeight="false" outlineLevel="0" collapsed="false">
      <c r="A1662" s="30"/>
      <c r="B1662" s="31"/>
      <c r="C1662" s="32"/>
      <c r="D1662" s="32"/>
      <c r="E1662" s="33"/>
      <c r="F1662" s="32"/>
      <c r="G1662" s="32"/>
      <c r="H1662" s="32"/>
      <c r="I1662" s="32"/>
      <c r="J1662" s="32"/>
      <c r="K1662" s="32"/>
      <c r="L1662" s="32"/>
      <c r="M1662" s="30"/>
      <c r="N1662" s="32"/>
      <c r="O1662" s="34"/>
      <c r="P1662" s="32"/>
      <c r="Q1662" s="32"/>
      <c r="R1662" s="32"/>
      <c r="S1662" s="32"/>
      <c r="T1662" s="32"/>
      <c r="U1662" s="32"/>
      <c r="V1662" s="31"/>
      <c r="W1662" s="35" t="str">
        <f aca="true">IF(OR(V1662="",AG1662&gt;=8),"",IF(V1662&lt;TODAY(),"Vencida",IF(V1662=TODAY(),"Hoy","")))</f>
        <v/>
      </c>
      <c r="X1662" s="36" t="str">
        <f aca="false">IF(A1662="","",IF(COUNTIF(Seguimiento!$B$2:$B$5001,A1662)=0,"",_xlfn.MAXIFS(Seguimiento!$A$2:$A$5001,Seguimiento!$B$2:$B$5001,A1662)))</f>
        <v/>
      </c>
      <c r="Y1662" s="37" t="str">
        <f aca="true">IF(B1662="","",TODAY()-B1662)</f>
        <v/>
      </c>
      <c r="Z1662" s="38" t="str">
        <f aca="false">IF(OR(O1662="",G1662=""),"",O1662*IFERROR(INDEX(Listas!$B$2:$B$50,MATCH(G1662,Listas!$A$2:$A$50,0)),0))</f>
        <v/>
      </c>
      <c r="AA1662" s="32"/>
      <c r="AB1662" s="32"/>
      <c r="AC1662" s="32"/>
      <c r="AD1662" s="35" t="str">
        <f aca="false">IF(OR(LEFT(H1662,4)="Meta",LEFT(H1662,6)="Google"),IF(AG1662=3,"Lead calificado",IF(OR(AG1662=4,AG1662=5),"Tasación/visita",IF(OR(AG1662=6,AG1662=7),"Captación/oferta",IF(AG1662=8,"Cierre","")))),"")</f>
        <v/>
      </c>
      <c r="AE1662" s="32"/>
      <c r="AF1662" s="32"/>
      <c r="AG1662" s="37" t="n">
        <f aca="false">IF(R1662="",0,IFERROR(MATCH(R1662,Listas!$L$2:$L$50,0),0))</f>
        <v>0</v>
      </c>
    </row>
    <row r="1663" customFormat="false" ht="15" hidden="false" customHeight="false" outlineLevel="0" collapsed="false">
      <c r="A1663" s="30"/>
      <c r="B1663" s="31"/>
      <c r="C1663" s="32"/>
      <c r="D1663" s="32"/>
      <c r="E1663" s="33"/>
      <c r="F1663" s="32"/>
      <c r="G1663" s="32"/>
      <c r="H1663" s="32"/>
      <c r="I1663" s="32"/>
      <c r="J1663" s="32"/>
      <c r="K1663" s="32"/>
      <c r="L1663" s="32"/>
      <c r="M1663" s="30"/>
      <c r="N1663" s="32"/>
      <c r="O1663" s="34"/>
      <c r="P1663" s="32"/>
      <c r="Q1663" s="32"/>
      <c r="R1663" s="32"/>
      <c r="S1663" s="32"/>
      <c r="T1663" s="32"/>
      <c r="U1663" s="32"/>
      <c r="V1663" s="31"/>
      <c r="W1663" s="35" t="str">
        <f aca="true">IF(OR(V1663="",AG1663&gt;=8),"",IF(V1663&lt;TODAY(),"Vencida",IF(V1663=TODAY(),"Hoy","")))</f>
        <v/>
      </c>
      <c r="X1663" s="36" t="str">
        <f aca="false">IF(A1663="","",IF(COUNTIF(Seguimiento!$B$2:$B$5001,A1663)=0,"",_xlfn.MAXIFS(Seguimiento!$A$2:$A$5001,Seguimiento!$B$2:$B$5001,A1663)))</f>
        <v/>
      </c>
      <c r="Y1663" s="37" t="str">
        <f aca="true">IF(B1663="","",TODAY()-B1663)</f>
        <v/>
      </c>
      <c r="Z1663" s="38" t="str">
        <f aca="false">IF(OR(O1663="",G1663=""),"",O1663*IFERROR(INDEX(Listas!$B$2:$B$50,MATCH(G1663,Listas!$A$2:$A$50,0)),0))</f>
        <v/>
      </c>
      <c r="AA1663" s="32"/>
      <c r="AB1663" s="32"/>
      <c r="AC1663" s="32"/>
      <c r="AD1663" s="35" t="str">
        <f aca="false">IF(OR(LEFT(H1663,4)="Meta",LEFT(H1663,6)="Google"),IF(AG1663=3,"Lead calificado",IF(OR(AG1663=4,AG1663=5),"Tasación/visita",IF(OR(AG1663=6,AG1663=7),"Captación/oferta",IF(AG1663=8,"Cierre","")))),"")</f>
        <v/>
      </c>
      <c r="AE1663" s="32"/>
      <c r="AF1663" s="32"/>
      <c r="AG1663" s="37" t="n">
        <f aca="false">IF(R1663="",0,IFERROR(MATCH(R1663,Listas!$L$2:$L$50,0),0))</f>
        <v>0</v>
      </c>
    </row>
    <row r="1664" customFormat="false" ht="15" hidden="false" customHeight="false" outlineLevel="0" collapsed="false">
      <c r="A1664" s="30"/>
      <c r="B1664" s="31"/>
      <c r="C1664" s="32"/>
      <c r="D1664" s="32"/>
      <c r="E1664" s="33"/>
      <c r="F1664" s="32"/>
      <c r="G1664" s="32"/>
      <c r="H1664" s="32"/>
      <c r="I1664" s="32"/>
      <c r="J1664" s="32"/>
      <c r="K1664" s="32"/>
      <c r="L1664" s="32"/>
      <c r="M1664" s="30"/>
      <c r="N1664" s="32"/>
      <c r="O1664" s="34"/>
      <c r="P1664" s="32"/>
      <c r="Q1664" s="32"/>
      <c r="R1664" s="32"/>
      <c r="S1664" s="32"/>
      <c r="T1664" s="32"/>
      <c r="U1664" s="32"/>
      <c r="V1664" s="31"/>
      <c r="W1664" s="35" t="str">
        <f aca="true">IF(OR(V1664="",AG1664&gt;=8),"",IF(V1664&lt;TODAY(),"Vencida",IF(V1664=TODAY(),"Hoy","")))</f>
        <v/>
      </c>
      <c r="X1664" s="36" t="str">
        <f aca="false">IF(A1664="","",IF(COUNTIF(Seguimiento!$B$2:$B$5001,A1664)=0,"",_xlfn.MAXIFS(Seguimiento!$A$2:$A$5001,Seguimiento!$B$2:$B$5001,A1664)))</f>
        <v/>
      </c>
      <c r="Y1664" s="37" t="str">
        <f aca="true">IF(B1664="","",TODAY()-B1664)</f>
        <v/>
      </c>
      <c r="Z1664" s="38" t="str">
        <f aca="false">IF(OR(O1664="",G1664=""),"",O1664*IFERROR(INDEX(Listas!$B$2:$B$50,MATCH(G1664,Listas!$A$2:$A$50,0)),0))</f>
        <v/>
      </c>
      <c r="AA1664" s="32"/>
      <c r="AB1664" s="32"/>
      <c r="AC1664" s="32"/>
      <c r="AD1664" s="35" t="str">
        <f aca="false">IF(OR(LEFT(H1664,4)="Meta",LEFT(H1664,6)="Google"),IF(AG1664=3,"Lead calificado",IF(OR(AG1664=4,AG1664=5),"Tasación/visita",IF(OR(AG1664=6,AG1664=7),"Captación/oferta",IF(AG1664=8,"Cierre","")))),"")</f>
        <v/>
      </c>
      <c r="AE1664" s="32"/>
      <c r="AF1664" s="32"/>
      <c r="AG1664" s="37" t="n">
        <f aca="false">IF(R1664="",0,IFERROR(MATCH(R1664,Listas!$L$2:$L$50,0),0))</f>
        <v>0</v>
      </c>
    </row>
    <row r="1665" customFormat="false" ht="15" hidden="false" customHeight="false" outlineLevel="0" collapsed="false">
      <c r="A1665" s="30"/>
      <c r="B1665" s="31"/>
      <c r="C1665" s="32"/>
      <c r="D1665" s="32"/>
      <c r="E1665" s="33"/>
      <c r="F1665" s="32"/>
      <c r="G1665" s="32"/>
      <c r="H1665" s="32"/>
      <c r="I1665" s="32"/>
      <c r="J1665" s="32"/>
      <c r="K1665" s="32"/>
      <c r="L1665" s="32"/>
      <c r="M1665" s="30"/>
      <c r="N1665" s="32"/>
      <c r="O1665" s="34"/>
      <c r="P1665" s="32"/>
      <c r="Q1665" s="32"/>
      <c r="R1665" s="32"/>
      <c r="S1665" s="32"/>
      <c r="T1665" s="32"/>
      <c r="U1665" s="32"/>
      <c r="V1665" s="31"/>
      <c r="W1665" s="35" t="str">
        <f aca="true">IF(OR(V1665="",AG1665&gt;=8),"",IF(V1665&lt;TODAY(),"Vencida",IF(V1665=TODAY(),"Hoy","")))</f>
        <v/>
      </c>
      <c r="X1665" s="36" t="str">
        <f aca="false">IF(A1665="","",IF(COUNTIF(Seguimiento!$B$2:$B$5001,A1665)=0,"",_xlfn.MAXIFS(Seguimiento!$A$2:$A$5001,Seguimiento!$B$2:$B$5001,A1665)))</f>
        <v/>
      </c>
      <c r="Y1665" s="37" t="str">
        <f aca="true">IF(B1665="","",TODAY()-B1665)</f>
        <v/>
      </c>
      <c r="Z1665" s="38" t="str">
        <f aca="false">IF(OR(O1665="",G1665=""),"",O1665*IFERROR(INDEX(Listas!$B$2:$B$50,MATCH(G1665,Listas!$A$2:$A$50,0)),0))</f>
        <v/>
      </c>
      <c r="AA1665" s="32"/>
      <c r="AB1665" s="32"/>
      <c r="AC1665" s="32"/>
      <c r="AD1665" s="35" t="str">
        <f aca="false">IF(OR(LEFT(H1665,4)="Meta",LEFT(H1665,6)="Google"),IF(AG1665=3,"Lead calificado",IF(OR(AG1665=4,AG1665=5),"Tasación/visita",IF(OR(AG1665=6,AG1665=7),"Captación/oferta",IF(AG1665=8,"Cierre","")))),"")</f>
        <v/>
      </c>
      <c r="AE1665" s="32"/>
      <c r="AF1665" s="32"/>
      <c r="AG1665" s="37" t="n">
        <f aca="false">IF(R1665="",0,IFERROR(MATCH(R1665,Listas!$L$2:$L$50,0),0))</f>
        <v>0</v>
      </c>
    </row>
    <row r="1666" customFormat="false" ht="15" hidden="false" customHeight="false" outlineLevel="0" collapsed="false">
      <c r="A1666" s="30"/>
      <c r="B1666" s="31"/>
      <c r="C1666" s="32"/>
      <c r="D1666" s="32"/>
      <c r="E1666" s="33"/>
      <c r="F1666" s="32"/>
      <c r="G1666" s="32"/>
      <c r="H1666" s="32"/>
      <c r="I1666" s="32"/>
      <c r="J1666" s="32"/>
      <c r="K1666" s="32"/>
      <c r="L1666" s="32"/>
      <c r="M1666" s="30"/>
      <c r="N1666" s="32"/>
      <c r="O1666" s="34"/>
      <c r="P1666" s="32"/>
      <c r="Q1666" s="32"/>
      <c r="R1666" s="32"/>
      <c r="S1666" s="32"/>
      <c r="T1666" s="32"/>
      <c r="U1666" s="32"/>
      <c r="V1666" s="31"/>
      <c r="W1666" s="35" t="str">
        <f aca="true">IF(OR(V1666="",AG1666&gt;=8),"",IF(V1666&lt;TODAY(),"Vencida",IF(V1666=TODAY(),"Hoy","")))</f>
        <v/>
      </c>
      <c r="X1666" s="36" t="str">
        <f aca="false">IF(A1666="","",IF(COUNTIF(Seguimiento!$B$2:$B$5001,A1666)=0,"",_xlfn.MAXIFS(Seguimiento!$A$2:$A$5001,Seguimiento!$B$2:$B$5001,A1666)))</f>
        <v/>
      </c>
      <c r="Y1666" s="37" t="str">
        <f aca="true">IF(B1666="","",TODAY()-B1666)</f>
        <v/>
      </c>
      <c r="Z1666" s="38" t="str">
        <f aca="false">IF(OR(O1666="",G1666=""),"",O1666*IFERROR(INDEX(Listas!$B$2:$B$50,MATCH(G1666,Listas!$A$2:$A$50,0)),0))</f>
        <v/>
      </c>
      <c r="AA1666" s="32"/>
      <c r="AB1666" s="32"/>
      <c r="AC1666" s="32"/>
      <c r="AD1666" s="35" t="str">
        <f aca="false">IF(OR(LEFT(H1666,4)="Meta",LEFT(H1666,6)="Google"),IF(AG1666=3,"Lead calificado",IF(OR(AG1666=4,AG1666=5),"Tasación/visita",IF(OR(AG1666=6,AG1666=7),"Captación/oferta",IF(AG1666=8,"Cierre","")))),"")</f>
        <v/>
      </c>
      <c r="AE1666" s="32"/>
      <c r="AF1666" s="32"/>
      <c r="AG1666" s="37" t="n">
        <f aca="false">IF(R1666="",0,IFERROR(MATCH(R1666,Listas!$L$2:$L$50,0),0))</f>
        <v>0</v>
      </c>
    </row>
    <row r="1667" customFormat="false" ht="15" hidden="false" customHeight="false" outlineLevel="0" collapsed="false">
      <c r="A1667" s="30"/>
      <c r="B1667" s="31"/>
      <c r="C1667" s="32"/>
      <c r="D1667" s="32"/>
      <c r="E1667" s="33"/>
      <c r="F1667" s="32"/>
      <c r="G1667" s="32"/>
      <c r="H1667" s="32"/>
      <c r="I1667" s="32"/>
      <c r="J1667" s="32"/>
      <c r="K1667" s="32"/>
      <c r="L1667" s="32"/>
      <c r="M1667" s="30"/>
      <c r="N1667" s="32"/>
      <c r="O1667" s="34"/>
      <c r="P1667" s="32"/>
      <c r="Q1667" s="32"/>
      <c r="R1667" s="32"/>
      <c r="S1667" s="32"/>
      <c r="T1667" s="32"/>
      <c r="U1667" s="32"/>
      <c r="V1667" s="31"/>
      <c r="W1667" s="35" t="str">
        <f aca="true">IF(OR(V1667="",AG1667&gt;=8),"",IF(V1667&lt;TODAY(),"Vencida",IF(V1667=TODAY(),"Hoy","")))</f>
        <v/>
      </c>
      <c r="X1667" s="36" t="str">
        <f aca="false">IF(A1667="","",IF(COUNTIF(Seguimiento!$B$2:$B$5001,A1667)=0,"",_xlfn.MAXIFS(Seguimiento!$A$2:$A$5001,Seguimiento!$B$2:$B$5001,A1667)))</f>
        <v/>
      </c>
      <c r="Y1667" s="37" t="str">
        <f aca="true">IF(B1667="","",TODAY()-B1667)</f>
        <v/>
      </c>
      <c r="Z1667" s="38" t="str">
        <f aca="false">IF(OR(O1667="",G1667=""),"",O1667*IFERROR(INDEX(Listas!$B$2:$B$50,MATCH(G1667,Listas!$A$2:$A$50,0)),0))</f>
        <v/>
      </c>
      <c r="AA1667" s="32"/>
      <c r="AB1667" s="32"/>
      <c r="AC1667" s="32"/>
      <c r="AD1667" s="35" t="str">
        <f aca="false">IF(OR(LEFT(H1667,4)="Meta",LEFT(H1667,6)="Google"),IF(AG1667=3,"Lead calificado",IF(OR(AG1667=4,AG1667=5),"Tasación/visita",IF(OR(AG1667=6,AG1667=7),"Captación/oferta",IF(AG1667=8,"Cierre","")))),"")</f>
        <v/>
      </c>
      <c r="AE1667" s="32"/>
      <c r="AF1667" s="32"/>
      <c r="AG1667" s="37" t="n">
        <f aca="false">IF(R1667="",0,IFERROR(MATCH(R1667,Listas!$L$2:$L$50,0),0))</f>
        <v>0</v>
      </c>
    </row>
    <row r="1668" customFormat="false" ht="15" hidden="false" customHeight="false" outlineLevel="0" collapsed="false">
      <c r="A1668" s="30"/>
      <c r="B1668" s="31"/>
      <c r="C1668" s="32"/>
      <c r="D1668" s="32"/>
      <c r="E1668" s="33"/>
      <c r="F1668" s="32"/>
      <c r="G1668" s="32"/>
      <c r="H1668" s="32"/>
      <c r="I1668" s="32"/>
      <c r="J1668" s="32"/>
      <c r="K1668" s="32"/>
      <c r="L1668" s="32"/>
      <c r="M1668" s="30"/>
      <c r="N1668" s="32"/>
      <c r="O1668" s="34"/>
      <c r="P1668" s="32"/>
      <c r="Q1668" s="32"/>
      <c r="R1668" s="32"/>
      <c r="S1668" s="32"/>
      <c r="T1668" s="32"/>
      <c r="U1668" s="32"/>
      <c r="V1668" s="31"/>
      <c r="W1668" s="35" t="str">
        <f aca="true">IF(OR(V1668="",AG1668&gt;=8),"",IF(V1668&lt;TODAY(),"Vencida",IF(V1668=TODAY(),"Hoy","")))</f>
        <v/>
      </c>
      <c r="X1668" s="36" t="str">
        <f aca="false">IF(A1668="","",IF(COUNTIF(Seguimiento!$B$2:$B$5001,A1668)=0,"",_xlfn.MAXIFS(Seguimiento!$A$2:$A$5001,Seguimiento!$B$2:$B$5001,A1668)))</f>
        <v/>
      </c>
      <c r="Y1668" s="37" t="str">
        <f aca="true">IF(B1668="","",TODAY()-B1668)</f>
        <v/>
      </c>
      <c r="Z1668" s="38" t="str">
        <f aca="false">IF(OR(O1668="",G1668=""),"",O1668*IFERROR(INDEX(Listas!$B$2:$B$50,MATCH(G1668,Listas!$A$2:$A$50,0)),0))</f>
        <v/>
      </c>
      <c r="AA1668" s="32"/>
      <c r="AB1668" s="32"/>
      <c r="AC1668" s="32"/>
      <c r="AD1668" s="35" t="str">
        <f aca="false">IF(OR(LEFT(H1668,4)="Meta",LEFT(H1668,6)="Google"),IF(AG1668=3,"Lead calificado",IF(OR(AG1668=4,AG1668=5),"Tasación/visita",IF(OR(AG1668=6,AG1668=7),"Captación/oferta",IF(AG1668=8,"Cierre","")))),"")</f>
        <v/>
      </c>
      <c r="AE1668" s="32"/>
      <c r="AF1668" s="32"/>
      <c r="AG1668" s="37" t="n">
        <f aca="false">IF(R1668="",0,IFERROR(MATCH(R1668,Listas!$L$2:$L$50,0),0))</f>
        <v>0</v>
      </c>
    </row>
    <row r="1669" customFormat="false" ht="15" hidden="false" customHeight="false" outlineLevel="0" collapsed="false">
      <c r="A1669" s="30"/>
      <c r="B1669" s="31"/>
      <c r="C1669" s="32"/>
      <c r="D1669" s="32"/>
      <c r="E1669" s="33"/>
      <c r="F1669" s="32"/>
      <c r="G1669" s="32"/>
      <c r="H1669" s="32"/>
      <c r="I1669" s="32"/>
      <c r="J1669" s="32"/>
      <c r="K1669" s="32"/>
      <c r="L1669" s="32"/>
      <c r="M1669" s="30"/>
      <c r="N1669" s="32"/>
      <c r="O1669" s="34"/>
      <c r="P1669" s="32"/>
      <c r="Q1669" s="32"/>
      <c r="R1669" s="32"/>
      <c r="S1669" s="32"/>
      <c r="T1669" s="32"/>
      <c r="U1669" s="32"/>
      <c r="V1669" s="31"/>
      <c r="W1669" s="35" t="str">
        <f aca="true">IF(OR(V1669="",AG1669&gt;=8),"",IF(V1669&lt;TODAY(),"Vencida",IF(V1669=TODAY(),"Hoy","")))</f>
        <v/>
      </c>
      <c r="X1669" s="36" t="str">
        <f aca="false">IF(A1669="","",IF(COUNTIF(Seguimiento!$B$2:$B$5001,A1669)=0,"",_xlfn.MAXIFS(Seguimiento!$A$2:$A$5001,Seguimiento!$B$2:$B$5001,A1669)))</f>
        <v/>
      </c>
      <c r="Y1669" s="37" t="str">
        <f aca="true">IF(B1669="","",TODAY()-B1669)</f>
        <v/>
      </c>
      <c r="Z1669" s="38" t="str">
        <f aca="false">IF(OR(O1669="",G1669=""),"",O1669*IFERROR(INDEX(Listas!$B$2:$B$50,MATCH(G1669,Listas!$A$2:$A$50,0)),0))</f>
        <v/>
      </c>
      <c r="AA1669" s="32"/>
      <c r="AB1669" s="32"/>
      <c r="AC1669" s="32"/>
      <c r="AD1669" s="35" t="str">
        <f aca="false">IF(OR(LEFT(H1669,4)="Meta",LEFT(H1669,6)="Google"),IF(AG1669=3,"Lead calificado",IF(OR(AG1669=4,AG1669=5),"Tasación/visita",IF(OR(AG1669=6,AG1669=7),"Captación/oferta",IF(AG1669=8,"Cierre","")))),"")</f>
        <v/>
      </c>
      <c r="AE1669" s="32"/>
      <c r="AF1669" s="32"/>
      <c r="AG1669" s="37" t="n">
        <f aca="false">IF(R1669="",0,IFERROR(MATCH(R1669,Listas!$L$2:$L$50,0),0))</f>
        <v>0</v>
      </c>
    </row>
    <row r="1670" customFormat="false" ht="15" hidden="false" customHeight="false" outlineLevel="0" collapsed="false">
      <c r="A1670" s="30"/>
      <c r="B1670" s="31"/>
      <c r="C1670" s="32"/>
      <c r="D1670" s="32"/>
      <c r="E1670" s="33"/>
      <c r="F1670" s="32"/>
      <c r="G1670" s="32"/>
      <c r="H1670" s="32"/>
      <c r="I1670" s="32"/>
      <c r="J1670" s="32"/>
      <c r="K1670" s="32"/>
      <c r="L1670" s="32"/>
      <c r="M1670" s="30"/>
      <c r="N1670" s="32"/>
      <c r="O1670" s="34"/>
      <c r="P1670" s="32"/>
      <c r="Q1670" s="32"/>
      <c r="R1670" s="32"/>
      <c r="S1670" s="32"/>
      <c r="T1670" s="32"/>
      <c r="U1670" s="32"/>
      <c r="V1670" s="31"/>
      <c r="W1670" s="35" t="str">
        <f aca="true">IF(OR(V1670="",AG1670&gt;=8),"",IF(V1670&lt;TODAY(),"Vencida",IF(V1670=TODAY(),"Hoy","")))</f>
        <v/>
      </c>
      <c r="X1670" s="36" t="str">
        <f aca="false">IF(A1670="","",IF(COUNTIF(Seguimiento!$B$2:$B$5001,A1670)=0,"",_xlfn.MAXIFS(Seguimiento!$A$2:$A$5001,Seguimiento!$B$2:$B$5001,A1670)))</f>
        <v/>
      </c>
      <c r="Y1670" s="37" t="str">
        <f aca="true">IF(B1670="","",TODAY()-B1670)</f>
        <v/>
      </c>
      <c r="Z1670" s="38" t="str">
        <f aca="false">IF(OR(O1670="",G1670=""),"",O1670*IFERROR(INDEX(Listas!$B$2:$B$50,MATCH(G1670,Listas!$A$2:$A$50,0)),0))</f>
        <v/>
      </c>
      <c r="AA1670" s="32"/>
      <c r="AB1670" s="32"/>
      <c r="AC1670" s="32"/>
      <c r="AD1670" s="35" t="str">
        <f aca="false">IF(OR(LEFT(H1670,4)="Meta",LEFT(H1670,6)="Google"),IF(AG1670=3,"Lead calificado",IF(OR(AG1670=4,AG1670=5),"Tasación/visita",IF(OR(AG1670=6,AG1670=7),"Captación/oferta",IF(AG1670=8,"Cierre","")))),"")</f>
        <v/>
      </c>
      <c r="AE1670" s="32"/>
      <c r="AF1670" s="32"/>
      <c r="AG1670" s="37" t="n">
        <f aca="false">IF(R1670="",0,IFERROR(MATCH(R1670,Listas!$L$2:$L$50,0),0))</f>
        <v>0</v>
      </c>
    </row>
    <row r="1671" customFormat="false" ht="15" hidden="false" customHeight="false" outlineLevel="0" collapsed="false">
      <c r="A1671" s="30"/>
      <c r="B1671" s="31"/>
      <c r="C1671" s="32"/>
      <c r="D1671" s="32"/>
      <c r="E1671" s="33"/>
      <c r="F1671" s="32"/>
      <c r="G1671" s="32"/>
      <c r="H1671" s="32"/>
      <c r="I1671" s="32"/>
      <c r="J1671" s="32"/>
      <c r="K1671" s="32"/>
      <c r="L1671" s="32"/>
      <c r="M1671" s="30"/>
      <c r="N1671" s="32"/>
      <c r="O1671" s="34"/>
      <c r="P1671" s="32"/>
      <c r="Q1671" s="32"/>
      <c r="R1671" s="32"/>
      <c r="S1671" s="32"/>
      <c r="T1671" s="32"/>
      <c r="U1671" s="32"/>
      <c r="V1671" s="31"/>
      <c r="W1671" s="35" t="str">
        <f aca="true">IF(OR(V1671="",AG1671&gt;=8),"",IF(V1671&lt;TODAY(),"Vencida",IF(V1671=TODAY(),"Hoy","")))</f>
        <v/>
      </c>
      <c r="X1671" s="36" t="str">
        <f aca="false">IF(A1671="","",IF(COUNTIF(Seguimiento!$B$2:$B$5001,A1671)=0,"",_xlfn.MAXIFS(Seguimiento!$A$2:$A$5001,Seguimiento!$B$2:$B$5001,A1671)))</f>
        <v/>
      </c>
      <c r="Y1671" s="37" t="str">
        <f aca="true">IF(B1671="","",TODAY()-B1671)</f>
        <v/>
      </c>
      <c r="Z1671" s="38" t="str">
        <f aca="false">IF(OR(O1671="",G1671=""),"",O1671*IFERROR(INDEX(Listas!$B$2:$B$50,MATCH(G1671,Listas!$A$2:$A$50,0)),0))</f>
        <v/>
      </c>
      <c r="AA1671" s="32"/>
      <c r="AB1671" s="32"/>
      <c r="AC1671" s="32"/>
      <c r="AD1671" s="35" t="str">
        <f aca="false">IF(OR(LEFT(H1671,4)="Meta",LEFT(H1671,6)="Google"),IF(AG1671=3,"Lead calificado",IF(OR(AG1671=4,AG1671=5),"Tasación/visita",IF(OR(AG1671=6,AG1671=7),"Captación/oferta",IF(AG1671=8,"Cierre","")))),"")</f>
        <v/>
      </c>
      <c r="AE1671" s="32"/>
      <c r="AF1671" s="32"/>
      <c r="AG1671" s="37" t="n">
        <f aca="false">IF(R1671="",0,IFERROR(MATCH(R1671,Listas!$L$2:$L$50,0),0))</f>
        <v>0</v>
      </c>
    </row>
    <row r="1672" customFormat="false" ht="15" hidden="false" customHeight="false" outlineLevel="0" collapsed="false">
      <c r="A1672" s="30"/>
      <c r="B1672" s="31"/>
      <c r="C1672" s="32"/>
      <c r="D1672" s="32"/>
      <c r="E1672" s="33"/>
      <c r="F1672" s="32"/>
      <c r="G1672" s="32"/>
      <c r="H1672" s="32"/>
      <c r="I1672" s="32"/>
      <c r="J1672" s="32"/>
      <c r="K1672" s="32"/>
      <c r="L1672" s="32"/>
      <c r="M1672" s="30"/>
      <c r="N1672" s="32"/>
      <c r="O1672" s="34"/>
      <c r="P1672" s="32"/>
      <c r="Q1672" s="32"/>
      <c r="R1672" s="32"/>
      <c r="S1672" s="32"/>
      <c r="T1672" s="32"/>
      <c r="U1672" s="32"/>
      <c r="V1672" s="31"/>
      <c r="W1672" s="35" t="str">
        <f aca="true">IF(OR(V1672="",AG1672&gt;=8),"",IF(V1672&lt;TODAY(),"Vencida",IF(V1672=TODAY(),"Hoy","")))</f>
        <v/>
      </c>
      <c r="X1672" s="36" t="str">
        <f aca="false">IF(A1672="","",IF(COUNTIF(Seguimiento!$B$2:$B$5001,A1672)=0,"",_xlfn.MAXIFS(Seguimiento!$A$2:$A$5001,Seguimiento!$B$2:$B$5001,A1672)))</f>
        <v/>
      </c>
      <c r="Y1672" s="37" t="str">
        <f aca="true">IF(B1672="","",TODAY()-B1672)</f>
        <v/>
      </c>
      <c r="Z1672" s="38" t="str">
        <f aca="false">IF(OR(O1672="",G1672=""),"",O1672*IFERROR(INDEX(Listas!$B$2:$B$50,MATCH(G1672,Listas!$A$2:$A$50,0)),0))</f>
        <v/>
      </c>
      <c r="AA1672" s="32"/>
      <c r="AB1672" s="32"/>
      <c r="AC1672" s="32"/>
      <c r="AD1672" s="35" t="str">
        <f aca="false">IF(OR(LEFT(H1672,4)="Meta",LEFT(H1672,6)="Google"),IF(AG1672=3,"Lead calificado",IF(OR(AG1672=4,AG1672=5),"Tasación/visita",IF(OR(AG1672=6,AG1672=7),"Captación/oferta",IF(AG1672=8,"Cierre","")))),"")</f>
        <v/>
      </c>
      <c r="AE1672" s="32"/>
      <c r="AF1672" s="32"/>
      <c r="AG1672" s="37" t="n">
        <f aca="false">IF(R1672="",0,IFERROR(MATCH(R1672,Listas!$L$2:$L$50,0),0))</f>
        <v>0</v>
      </c>
    </row>
    <row r="1673" customFormat="false" ht="15" hidden="false" customHeight="false" outlineLevel="0" collapsed="false">
      <c r="A1673" s="30"/>
      <c r="B1673" s="31"/>
      <c r="C1673" s="32"/>
      <c r="D1673" s="32"/>
      <c r="E1673" s="33"/>
      <c r="F1673" s="32"/>
      <c r="G1673" s="32"/>
      <c r="H1673" s="32"/>
      <c r="I1673" s="32"/>
      <c r="J1673" s="32"/>
      <c r="K1673" s="32"/>
      <c r="L1673" s="32"/>
      <c r="M1673" s="30"/>
      <c r="N1673" s="32"/>
      <c r="O1673" s="34"/>
      <c r="P1673" s="32"/>
      <c r="Q1673" s="32"/>
      <c r="R1673" s="32"/>
      <c r="S1673" s="32"/>
      <c r="T1673" s="32"/>
      <c r="U1673" s="32"/>
      <c r="V1673" s="31"/>
      <c r="W1673" s="35" t="str">
        <f aca="true">IF(OR(V1673="",AG1673&gt;=8),"",IF(V1673&lt;TODAY(),"Vencida",IF(V1673=TODAY(),"Hoy","")))</f>
        <v/>
      </c>
      <c r="X1673" s="36" t="str">
        <f aca="false">IF(A1673="","",IF(COUNTIF(Seguimiento!$B$2:$B$5001,A1673)=0,"",_xlfn.MAXIFS(Seguimiento!$A$2:$A$5001,Seguimiento!$B$2:$B$5001,A1673)))</f>
        <v/>
      </c>
      <c r="Y1673" s="37" t="str">
        <f aca="true">IF(B1673="","",TODAY()-B1673)</f>
        <v/>
      </c>
      <c r="Z1673" s="38" t="str">
        <f aca="false">IF(OR(O1673="",G1673=""),"",O1673*IFERROR(INDEX(Listas!$B$2:$B$50,MATCH(G1673,Listas!$A$2:$A$50,0)),0))</f>
        <v/>
      </c>
      <c r="AA1673" s="32"/>
      <c r="AB1673" s="32"/>
      <c r="AC1673" s="32"/>
      <c r="AD1673" s="35" t="str">
        <f aca="false">IF(OR(LEFT(H1673,4)="Meta",LEFT(H1673,6)="Google"),IF(AG1673=3,"Lead calificado",IF(OR(AG1673=4,AG1673=5),"Tasación/visita",IF(OR(AG1673=6,AG1673=7),"Captación/oferta",IF(AG1673=8,"Cierre","")))),"")</f>
        <v/>
      </c>
      <c r="AE1673" s="32"/>
      <c r="AF1673" s="32"/>
      <c r="AG1673" s="37" t="n">
        <f aca="false">IF(R1673="",0,IFERROR(MATCH(R1673,Listas!$L$2:$L$50,0),0))</f>
        <v>0</v>
      </c>
    </row>
    <row r="1674" customFormat="false" ht="15" hidden="false" customHeight="false" outlineLevel="0" collapsed="false">
      <c r="A1674" s="30"/>
      <c r="B1674" s="31"/>
      <c r="C1674" s="32"/>
      <c r="D1674" s="32"/>
      <c r="E1674" s="33"/>
      <c r="F1674" s="32"/>
      <c r="G1674" s="32"/>
      <c r="H1674" s="32"/>
      <c r="I1674" s="32"/>
      <c r="J1674" s="32"/>
      <c r="K1674" s="32"/>
      <c r="L1674" s="32"/>
      <c r="M1674" s="30"/>
      <c r="N1674" s="32"/>
      <c r="O1674" s="34"/>
      <c r="P1674" s="32"/>
      <c r="Q1674" s="32"/>
      <c r="R1674" s="32"/>
      <c r="S1674" s="32"/>
      <c r="T1674" s="32"/>
      <c r="U1674" s="32"/>
      <c r="V1674" s="31"/>
      <c r="W1674" s="35" t="str">
        <f aca="true">IF(OR(V1674="",AG1674&gt;=8),"",IF(V1674&lt;TODAY(),"Vencida",IF(V1674=TODAY(),"Hoy","")))</f>
        <v/>
      </c>
      <c r="X1674" s="36" t="str">
        <f aca="false">IF(A1674="","",IF(COUNTIF(Seguimiento!$B$2:$B$5001,A1674)=0,"",_xlfn.MAXIFS(Seguimiento!$A$2:$A$5001,Seguimiento!$B$2:$B$5001,A1674)))</f>
        <v/>
      </c>
      <c r="Y1674" s="37" t="str">
        <f aca="true">IF(B1674="","",TODAY()-B1674)</f>
        <v/>
      </c>
      <c r="Z1674" s="38" t="str">
        <f aca="false">IF(OR(O1674="",G1674=""),"",O1674*IFERROR(INDEX(Listas!$B$2:$B$50,MATCH(G1674,Listas!$A$2:$A$50,0)),0))</f>
        <v/>
      </c>
      <c r="AA1674" s="32"/>
      <c r="AB1674" s="32"/>
      <c r="AC1674" s="32"/>
      <c r="AD1674" s="35" t="str">
        <f aca="false">IF(OR(LEFT(H1674,4)="Meta",LEFT(H1674,6)="Google"),IF(AG1674=3,"Lead calificado",IF(OR(AG1674=4,AG1674=5),"Tasación/visita",IF(OR(AG1674=6,AG1674=7),"Captación/oferta",IF(AG1674=8,"Cierre","")))),"")</f>
        <v/>
      </c>
      <c r="AE1674" s="32"/>
      <c r="AF1674" s="32"/>
      <c r="AG1674" s="37" t="n">
        <f aca="false">IF(R1674="",0,IFERROR(MATCH(R1674,Listas!$L$2:$L$50,0),0))</f>
        <v>0</v>
      </c>
    </row>
    <row r="1675" customFormat="false" ht="15" hidden="false" customHeight="false" outlineLevel="0" collapsed="false">
      <c r="A1675" s="30"/>
      <c r="B1675" s="31"/>
      <c r="C1675" s="32"/>
      <c r="D1675" s="32"/>
      <c r="E1675" s="33"/>
      <c r="F1675" s="32"/>
      <c r="G1675" s="32"/>
      <c r="H1675" s="32"/>
      <c r="I1675" s="32"/>
      <c r="J1675" s="32"/>
      <c r="K1675" s="32"/>
      <c r="L1675" s="32"/>
      <c r="M1675" s="30"/>
      <c r="N1675" s="32"/>
      <c r="O1675" s="34"/>
      <c r="P1675" s="32"/>
      <c r="Q1675" s="32"/>
      <c r="R1675" s="32"/>
      <c r="S1675" s="32"/>
      <c r="T1675" s="32"/>
      <c r="U1675" s="32"/>
      <c r="V1675" s="31"/>
      <c r="W1675" s="35" t="str">
        <f aca="true">IF(OR(V1675="",AG1675&gt;=8),"",IF(V1675&lt;TODAY(),"Vencida",IF(V1675=TODAY(),"Hoy","")))</f>
        <v/>
      </c>
      <c r="X1675" s="36" t="str">
        <f aca="false">IF(A1675="","",IF(COUNTIF(Seguimiento!$B$2:$B$5001,A1675)=0,"",_xlfn.MAXIFS(Seguimiento!$A$2:$A$5001,Seguimiento!$B$2:$B$5001,A1675)))</f>
        <v/>
      </c>
      <c r="Y1675" s="37" t="str">
        <f aca="true">IF(B1675="","",TODAY()-B1675)</f>
        <v/>
      </c>
      <c r="Z1675" s="38" t="str">
        <f aca="false">IF(OR(O1675="",G1675=""),"",O1675*IFERROR(INDEX(Listas!$B$2:$B$50,MATCH(G1675,Listas!$A$2:$A$50,0)),0))</f>
        <v/>
      </c>
      <c r="AA1675" s="32"/>
      <c r="AB1675" s="32"/>
      <c r="AC1675" s="32"/>
      <c r="AD1675" s="35" t="str">
        <f aca="false">IF(OR(LEFT(H1675,4)="Meta",LEFT(H1675,6)="Google"),IF(AG1675=3,"Lead calificado",IF(OR(AG1675=4,AG1675=5),"Tasación/visita",IF(OR(AG1675=6,AG1675=7),"Captación/oferta",IF(AG1675=8,"Cierre","")))),"")</f>
        <v/>
      </c>
      <c r="AE1675" s="32"/>
      <c r="AF1675" s="32"/>
      <c r="AG1675" s="37" t="n">
        <f aca="false">IF(R1675="",0,IFERROR(MATCH(R1675,Listas!$L$2:$L$50,0),0))</f>
        <v>0</v>
      </c>
    </row>
    <row r="1676" customFormat="false" ht="15" hidden="false" customHeight="false" outlineLevel="0" collapsed="false">
      <c r="A1676" s="30"/>
      <c r="B1676" s="31"/>
      <c r="C1676" s="32"/>
      <c r="D1676" s="32"/>
      <c r="E1676" s="33"/>
      <c r="F1676" s="32"/>
      <c r="G1676" s="32"/>
      <c r="H1676" s="32"/>
      <c r="I1676" s="32"/>
      <c r="J1676" s="32"/>
      <c r="K1676" s="32"/>
      <c r="L1676" s="32"/>
      <c r="M1676" s="30"/>
      <c r="N1676" s="32"/>
      <c r="O1676" s="34"/>
      <c r="P1676" s="32"/>
      <c r="Q1676" s="32"/>
      <c r="R1676" s="32"/>
      <c r="S1676" s="32"/>
      <c r="T1676" s="32"/>
      <c r="U1676" s="32"/>
      <c r="V1676" s="31"/>
      <c r="W1676" s="35" t="str">
        <f aca="true">IF(OR(V1676="",AG1676&gt;=8),"",IF(V1676&lt;TODAY(),"Vencida",IF(V1676=TODAY(),"Hoy","")))</f>
        <v/>
      </c>
      <c r="X1676" s="36" t="str">
        <f aca="false">IF(A1676="","",IF(COUNTIF(Seguimiento!$B$2:$B$5001,A1676)=0,"",_xlfn.MAXIFS(Seguimiento!$A$2:$A$5001,Seguimiento!$B$2:$B$5001,A1676)))</f>
        <v/>
      </c>
      <c r="Y1676" s="37" t="str">
        <f aca="true">IF(B1676="","",TODAY()-B1676)</f>
        <v/>
      </c>
      <c r="Z1676" s="38" t="str">
        <f aca="false">IF(OR(O1676="",G1676=""),"",O1676*IFERROR(INDEX(Listas!$B$2:$B$50,MATCH(G1676,Listas!$A$2:$A$50,0)),0))</f>
        <v/>
      </c>
      <c r="AA1676" s="32"/>
      <c r="AB1676" s="32"/>
      <c r="AC1676" s="32"/>
      <c r="AD1676" s="35" t="str">
        <f aca="false">IF(OR(LEFT(H1676,4)="Meta",LEFT(H1676,6)="Google"),IF(AG1676=3,"Lead calificado",IF(OR(AG1676=4,AG1676=5),"Tasación/visita",IF(OR(AG1676=6,AG1676=7),"Captación/oferta",IF(AG1676=8,"Cierre","")))),"")</f>
        <v/>
      </c>
      <c r="AE1676" s="32"/>
      <c r="AF1676" s="32"/>
      <c r="AG1676" s="37" t="n">
        <f aca="false">IF(R1676="",0,IFERROR(MATCH(R1676,Listas!$L$2:$L$50,0),0))</f>
        <v>0</v>
      </c>
    </row>
    <row r="1677" customFormat="false" ht="15" hidden="false" customHeight="false" outlineLevel="0" collapsed="false">
      <c r="A1677" s="30"/>
      <c r="B1677" s="31"/>
      <c r="C1677" s="32"/>
      <c r="D1677" s="32"/>
      <c r="E1677" s="33"/>
      <c r="F1677" s="32"/>
      <c r="G1677" s="32"/>
      <c r="H1677" s="32"/>
      <c r="I1677" s="32"/>
      <c r="J1677" s="32"/>
      <c r="K1677" s="32"/>
      <c r="L1677" s="32"/>
      <c r="M1677" s="30"/>
      <c r="N1677" s="32"/>
      <c r="O1677" s="34"/>
      <c r="P1677" s="32"/>
      <c r="Q1677" s="32"/>
      <c r="R1677" s="32"/>
      <c r="S1677" s="32"/>
      <c r="T1677" s="32"/>
      <c r="U1677" s="32"/>
      <c r="V1677" s="31"/>
      <c r="W1677" s="35" t="str">
        <f aca="true">IF(OR(V1677="",AG1677&gt;=8),"",IF(V1677&lt;TODAY(),"Vencida",IF(V1677=TODAY(),"Hoy","")))</f>
        <v/>
      </c>
      <c r="X1677" s="36" t="str">
        <f aca="false">IF(A1677="","",IF(COUNTIF(Seguimiento!$B$2:$B$5001,A1677)=0,"",_xlfn.MAXIFS(Seguimiento!$A$2:$A$5001,Seguimiento!$B$2:$B$5001,A1677)))</f>
        <v/>
      </c>
      <c r="Y1677" s="37" t="str">
        <f aca="true">IF(B1677="","",TODAY()-B1677)</f>
        <v/>
      </c>
      <c r="Z1677" s="38" t="str">
        <f aca="false">IF(OR(O1677="",G1677=""),"",O1677*IFERROR(INDEX(Listas!$B$2:$B$50,MATCH(G1677,Listas!$A$2:$A$50,0)),0))</f>
        <v/>
      </c>
      <c r="AA1677" s="32"/>
      <c r="AB1677" s="32"/>
      <c r="AC1677" s="32"/>
      <c r="AD1677" s="35" t="str">
        <f aca="false">IF(OR(LEFT(H1677,4)="Meta",LEFT(H1677,6)="Google"),IF(AG1677=3,"Lead calificado",IF(OR(AG1677=4,AG1677=5),"Tasación/visita",IF(OR(AG1677=6,AG1677=7),"Captación/oferta",IF(AG1677=8,"Cierre","")))),"")</f>
        <v/>
      </c>
      <c r="AE1677" s="32"/>
      <c r="AF1677" s="32"/>
      <c r="AG1677" s="37" t="n">
        <f aca="false">IF(R1677="",0,IFERROR(MATCH(R1677,Listas!$L$2:$L$50,0),0))</f>
        <v>0</v>
      </c>
    </row>
    <row r="1678" customFormat="false" ht="15" hidden="false" customHeight="false" outlineLevel="0" collapsed="false">
      <c r="A1678" s="30"/>
      <c r="B1678" s="31"/>
      <c r="C1678" s="32"/>
      <c r="D1678" s="32"/>
      <c r="E1678" s="33"/>
      <c r="F1678" s="32"/>
      <c r="G1678" s="32"/>
      <c r="H1678" s="32"/>
      <c r="I1678" s="32"/>
      <c r="J1678" s="32"/>
      <c r="K1678" s="32"/>
      <c r="L1678" s="32"/>
      <c r="M1678" s="30"/>
      <c r="N1678" s="32"/>
      <c r="O1678" s="34"/>
      <c r="P1678" s="32"/>
      <c r="Q1678" s="32"/>
      <c r="R1678" s="32"/>
      <c r="S1678" s="32"/>
      <c r="T1678" s="32"/>
      <c r="U1678" s="32"/>
      <c r="V1678" s="31"/>
      <c r="W1678" s="35" t="str">
        <f aca="true">IF(OR(V1678="",AG1678&gt;=8),"",IF(V1678&lt;TODAY(),"Vencida",IF(V1678=TODAY(),"Hoy","")))</f>
        <v/>
      </c>
      <c r="X1678" s="36" t="str">
        <f aca="false">IF(A1678="","",IF(COUNTIF(Seguimiento!$B$2:$B$5001,A1678)=0,"",_xlfn.MAXIFS(Seguimiento!$A$2:$A$5001,Seguimiento!$B$2:$B$5001,A1678)))</f>
        <v/>
      </c>
      <c r="Y1678" s="37" t="str">
        <f aca="true">IF(B1678="","",TODAY()-B1678)</f>
        <v/>
      </c>
      <c r="Z1678" s="38" t="str">
        <f aca="false">IF(OR(O1678="",G1678=""),"",O1678*IFERROR(INDEX(Listas!$B$2:$B$50,MATCH(G1678,Listas!$A$2:$A$50,0)),0))</f>
        <v/>
      </c>
      <c r="AA1678" s="32"/>
      <c r="AB1678" s="32"/>
      <c r="AC1678" s="32"/>
      <c r="AD1678" s="35" t="str">
        <f aca="false">IF(OR(LEFT(H1678,4)="Meta",LEFT(H1678,6)="Google"),IF(AG1678=3,"Lead calificado",IF(OR(AG1678=4,AG1678=5),"Tasación/visita",IF(OR(AG1678=6,AG1678=7),"Captación/oferta",IF(AG1678=8,"Cierre","")))),"")</f>
        <v/>
      </c>
      <c r="AE1678" s="32"/>
      <c r="AF1678" s="32"/>
      <c r="AG1678" s="37" t="n">
        <f aca="false">IF(R1678="",0,IFERROR(MATCH(R1678,Listas!$L$2:$L$50,0),0))</f>
        <v>0</v>
      </c>
    </row>
    <row r="1679" customFormat="false" ht="15" hidden="false" customHeight="false" outlineLevel="0" collapsed="false">
      <c r="A1679" s="30"/>
      <c r="B1679" s="31"/>
      <c r="C1679" s="32"/>
      <c r="D1679" s="32"/>
      <c r="E1679" s="33"/>
      <c r="F1679" s="32"/>
      <c r="G1679" s="32"/>
      <c r="H1679" s="32"/>
      <c r="I1679" s="32"/>
      <c r="J1679" s="32"/>
      <c r="K1679" s="32"/>
      <c r="L1679" s="32"/>
      <c r="M1679" s="30"/>
      <c r="N1679" s="32"/>
      <c r="O1679" s="34"/>
      <c r="P1679" s="32"/>
      <c r="Q1679" s="32"/>
      <c r="R1679" s="32"/>
      <c r="S1679" s="32"/>
      <c r="T1679" s="32"/>
      <c r="U1679" s="32"/>
      <c r="V1679" s="31"/>
      <c r="W1679" s="35" t="str">
        <f aca="true">IF(OR(V1679="",AG1679&gt;=8),"",IF(V1679&lt;TODAY(),"Vencida",IF(V1679=TODAY(),"Hoy","")))</f>
        <v/>
      </c>
      <c r="X1679" s="36" t="str">
        <f aca="false">IF(A1679="","",IF(COUNTIF(Seguimiento!$B$2:$B$5001,A1679)=0,"",_xlfn.MAXIFS(Seguimiento!$A$2:$A$5001,Seguimiento!$B$2:$B$5001,A1679)))</f>
        <v/>
      </c>
      <c r="Y1679" s="37" t="str">
        <f aca="true">IF(B1679="","",TODAY()-B1679)</f>
        <v/>
      </c>
      <c r="Z1679" s="38" t="str">
        <f aca="false">IF(OR(O1679="",G1679=""),"",O1679*IFERROR(INDEX(Listas!$B$2:$B$50,MATCH(G1679,Listas!$A$2:$A$50,0)),0))</f>
        <v/>
      </c>
      <c r="AA1679" s="32"/>
      <c r="AB1679" s="32"/>
      <c r="AC1679" s="32"/>
      <c r="AD1679" s="35" t="str">
        <f aca="false">IF(OR(LEFT(H1679,4)="Meta",LEFT(H1679,6)="Google"),IF(AG1679=3,"Lead calificado",IF(OR(AG1679=4,AG1679=5),"Tasación/visita",IF(OR(AG1679=6,AG1679=7),"Captación/oferta",IF(AG1679=8,"Cierre","")))),"")</f>
        <v/>
      </c>
      <c r="AE1679" s="32"/>
      <c r="AF1679" s="32"/>
      <c r="AG1679" s="37" t="n">
        <f aca="false">IF(R1679="",0,IFERROR(MATCH(R1679,Listas!$L$2:$L$50,0),0))</f>
        <v>0</v>
      </c>
    </row>
    <row r="1680" customFormat="false" ht="15" hidden="false" customHeight="false" outlineLevel="0" collapsed="false">
      <c r="A1680" s="30"/>
      <c r="B1680" s="31"/>
      <c r="C1680" s="32"/>
      <c r="D1680" s="32"/>
      <c r="E1680" s="33"/>
      <c r="F1680" s="32"/>
      <c r="G1680" s="32"/>
      <c r="H1680" s="32"/>
      <c r="I1680" s="32"/>
      <c r="J1680" s="32"/>
      <c r="K1680" s="32"/>
      <c r="L1680" s="32"/>
      <c r="M1680" s="30"/>
      <c r="N1680" s="32"/>
      <c r="O1680" s="34"/>
      <c r="P1680" s="32"/>
      <c r="Q1680" s="32"/>
      <c r="R1680" s="32"/>
      <c r="S1680" s="32"/>
      <c r="T1680" s="32"/>
      <c r="U1680" s="32"/>
      <c r="V1680" s="31"/>
      <c r="W1680" s="35" t="str">
        <f aca="true">IF(OR(V1680="",AG1680&gt;=8),"",IF(V1680&lt;TODAY(),"Vencida",IF(V1680=TODAY(),"Hoy","")))</f>
        <v/>
      </c>
      <c r="X1680" s="36" t="str">
        <f aca="false">IF(A1680="","",IF(COUNTIF(Seguimiento!$B$2:$B$5001,A1680)=0,"",_xlfn.MAXIFS(Seguimiento!$A$2:$A$5001,Seguimiento!$B$2:$B$5001,A1680)))</f>
        <v/>
      </c>
      <c r="Y1680" s="37" t="str">
        <f aca="true">IF(B1680="","",TODAY()-B1680)</f>
        <v/>
      </c>
      <c r="Z1680" s="38" t="str">
        <f aca="false">IF(OR(O1680="",G1680=""),"",O1680*IFERROR(INDEX(Listas!$B$2:$B$50,MATCH(G1680,Listas!$A$2:$A$50,0)),0))</f>
        <v/>
      </c>
      <c r="AA1680" s="32"/>
      <c r="AB1680" s="32"/>
      <c r="AC1680" s="32"/>
      <c r="AD1680" s="35" t="str">
        <f aca="false">IF(OR(LEFT(H1680,4)="Meta",LEFT(H1680,6)="Google"),IF(AG1680=3,"Lead calificado",IF(OR(AG1680=4,AG1680=5),"Tasación/visita",IF(OR(AG1680=6,AG1680=7),"Captación/oferta",IF(AG1680=8,"Cierre","")))),"")</f>
        <v/>
      </c>
      <c r="AE1680" s="32"/>
      <c r="AF1680" s="32"/>
      <c r="AG1680" s="37" t="n">
        <f aca="false">IF(R1680="",0,IFERROR(MATCH(R1680,Listas!$L$2:$L$50,0),0))</f>
        <v>0</v>
      </c>
    </row>
    <row r="1681" customFormat="false" ht="15" hidden="false" customHeight="false" outlineLevel="0" collapsed="false">
      <c r="A1681" s="30"/>
      <c r="B1681" s="31"/>
      <c r="C1681" s="32"/>
      <c r="D1681" s="32"/>
      <c r="E1681" s="33"/>
      <c r="F1681" s="32"/>
      <c r="G1681" s="32"/>
      <c r="H1681" s="32"/>
      <c r="I1681" s="32"/>
      <c r="J1681" s="32"/>
      <c r="K1681" s="32"/>
      <c r="L1681" s="32"/>
      <c r="M1681" s="30"/>
      <c r="N1681" s="32"/>
      <c r="O1681" s="34"/>
      <c r="P1681" s="32"/>
      <c r="Q1681" s="32"/>
      <c r="R1681" s="32"/>
      <c r="S1681" s="32"/>
      <c r="T1681" s="32"/>
      <c r="U1681" s="32"/>
      <c r="V1681" s="31"/>
      <c r="W1681" s="35" t="str">
        <f aca="true">IF(OR(V1681="",AG1681&gt;=8),"",IF(V1681&lt;TODAY(),"Vencida",IF(V1681=TODAY(),"Hoy","")))</f>
        <v/>
      </c>
      <c r="X1681" s="36" t="str">
        <f aca="false">IF(A1681="","",IF(COUNTIF(Seguimiento!$B$2:$B$5001,A1681)=0,"",_xlfn.MAXIFS(Seguimiento!$A$2:$A$5001,Seguimiento!$B$2:$B$5001,A1681)))</f>
        <v/>
      </c>
      <c r="Y1681" s="37" t="str">
        <f aca="true">IF(B1681="","",TODAY()-B1681)</f>
        <v/>
      </c>
      <c r="Z1681" s="38" t="str">
        <f aca="false">IF(OR(O1681="",G1681=""),"",O1681*IFERROR(INDEX(Listas!$B$2:$B$50,MATCH(G1681,Listas!$A$2:$A$50,0)),0))</f>
        <v/>
      </c>
      <c r="AA1681" s="32"/>
      <c r="AB1681" s="32"/>
      <c r="AC1681" s="32"/>
      <c r="AD1681" s="35" t="str">
        <f aca="false">IF(OR(LEFT(H1681,4)="Meta",LEFT(H1681,6)="Google"),IF(AG1681=3,"Lead calificado",IF(OR(AG1681=4,AG1681=5),"Tasación/visita",IF(OR(AG1681=6,AG1681=7),"Captación/oferta",IF(AG1681=8,"Cierre","")))),"")</f>
        <v/>
      </c>
      <c r="AE1681" s="32"/>
      <c r="AF1681" s="32"/>
      <c r="AG1681" s="37" t="n">
        <f aca="false">IF(R1681="",0,IFERROR(MATCH(R1681,Listas!$L$2:$L$50,0),0))</f>
        <v>0</v>
      </c>
    </row>
    <row r="1682" customFormat="false" ht="15" hidden="false" customHeight="false" outlineLevel="0" collapsed="false">
      <c r="A1682" s="30"/>
      <c r="B1682" s="31"/>
      <c r="C1682" s="32"/>
      <c r="D1682" s="32"/>
      <c r="E1682" s="33"/>
      <c r="F1682" s="32"/>
      <c r="G1682" s="32"/>
      <c r="H1682" s="32"/>
      <c r="I1682" s="32"/>
      <c r="J1682" s="32"/>
      <c r="K1682" s="32"/>
      <c r="L1682" s="32"/>
      <c r="M1682" s="30"/>
      <c r="N1682" s="32"/>
      <c r="O1682" s="34"/>
      <c r="P1682" s="32"/>
      <c r="Q1682" s="32"/>
      <c r="R1682" s="32"/>
      <c r="S1682" s="32"/>
      <c r="T1682" s="32"/>
      <c r="U1682" s="32"/>
      <c r="V1682" s="31"/>
      <c r="W1682" s="35" t="str">
        <f aca="true">IF(OR(V1682="",AG1682&gt;=8),"",IF(V1682&lt;TODAY(),"Vencida",IF(V1682=TODAY(),"Hoy","")))</f>
        <v/>
      </c>
      <c r="X1682" s="36" t="str">
        <f aca="false">IF(A1682="","",IF(COUNTIF(Seguimiento!$B$2:$B$5001,A1682)=0,"",_xlfn.MAXIFS(Seguimiento!$A$2:$A$5001,Seguimiento!$B$2:$B$5001,A1682)))</f>
        <v/>
      </c>
      <c r="Y1682" s="37" t="str">
        <f aca="true">IF(B1682="","",TODAY()-B1682)</f>
        <v/>
      </c>
      <c r="Z1682" s="38" t="str">
        <f aca="false">IF(OR(O1682="",G1682=""),"",O1682*IFERROR(INDEX(Listas!$B$2:$B$50,MATCH(G1682,Listas!$A$2:$A$50,0)),0))</f>
        <v/>
      </c>
      <c r="AA1682" s="32"/>
      <c r="AB1682" s="32"/>
      <c r="AC1682" s="32"/>
      <c r="AD1682" s="35" t="str">
        <f aca="false">IF(OR(LEFT(H1682,4)="Meta",LEFT(H1682,6)="Google"),IF(AG1682=3,"Lead calificado",IF(OR(AG1682=4,AG1682=5),"Tasación/visita",IF(OR(AG1682=6,AG1682=7),"Captación/oferta",IF(AG1682=8,"Cierre","")))),"")</f>
        <v/>
      </c>
      <c r="AE1682" s="32"/>
      <c r="AF1682" s="32"/>
      <c r="AG1682" s="37" t="n">
        <f aca="false">IF(R1682="",0,IFERROR(MATCH(R1682,Listas!$L$2:$L$50,0),0))</f>
        <v>0</v>
      </c>
    </row>
    <row r="1683" customFormat="false" ht="15" hidden="false" customHeight="false" outlineLevel="0" collapsed="false">
      <c r="A1683" s="30"/>
      <c r="B1683" s="31"/>
      <c r="C1683" s="32"/>
      <c r="D1683" s="32"/>
      <c r="E1683" s="33"/>
      <c r="F1683" s="32"/>
      <c r="G1683" s="32"/>
      <c r="H1683" s="32"/>
      <c r="I1683" s="32"/>
      <c r="J1683" s="32"/>
      <c r="K1683" s="32"/>
      <c r="L1683" s="32"/>
      <c r="M1683" s="30"/>
      <c r="N1683" s="32"/>
      <c r="O1683" s="34"/>
      <c r="P1683" s="32"/>
      <c r="Q1683" s="32"/>
      <c r="R1683" s="32"/>
      <c r="S1683" s="32"/>
      <c r="T1683" s="32"/>
      <c r="U1683" s="32"/>
      <c r="V1683" s="31"/>
      <c r="W1683" s="35" t="str">
        <f aca="true">IF(OR(V1683="",AG1683&gt;=8),"",IF(V1683&lt;TODAY(),"Vencida",IF(V1683=TODAY(),"Hoy","")))</f>
        <v/>
      </c>
      <c r="X1683" s="36" t="str">
        <f aca="false">IF(A1683="","",IF(COUNTIF(Seguimiento!$B$2:$B$5001,A1683)=0,"",_xlfn.MAXIFS(Seguimiento!$A$2:$A$5001,Seguimiento!$B$2:$B$5001,A1683)))</f>
        <v/>
      </c>
      <c r="Y1683" s="37" t="str">
        <f aca="true">IF(B1683="","",TODAY()-B1683)</f>
        <v/>
      </c>
      <c r="Z1683" s="38" t="str">
        <f aca="false">IF(OR(O1683="",G1683=""),"",O1683*IFERROR(INDEX(Listas!$B$2:$B$50,MATCH(G1683,Listas!$A$2:$A$50,0)),0))</f>
        <v/>
      </c>
      <c r="AA1683" s="32"/>
      <c r="AB1683" s="32"/>
      <c r="AC1683" s="32"/>
      <c r="AD1683" s="35" t="str">
        <f aca="false">IF(OR(LEFT(H1683,4)="Meta",LEFT(H1683,6)="Google"),IF(AG1683=3,"Lead calificado",IF(OR(AG1683=4,AG1683=5),"Tasación/visita",IF(OR(AG1683=6,AG1683=7),"Captación/oferta",IF(AG1683=8,"Cierre","")))),"")</f>
        <v/>
      </c>
      <c r="AE1683" s="32"/>
      <c r="AF1683" s="32"/>
      <c r="AG1683" s="37" t="n">
        <f aca="false">IF(R1683="",0,IFERROR(MATCH(R1683,Listas!$L$2:$L$50,0),0))</f>
        <v>0</v>
      </c>
    </row>
    <row r="1684" customFormat="false" ht="15" hidden="false" customHeight="false" outlineLevel="0" collapsed="false">
      <c r="A1684" s="30"/>
      <c r="B1684" s="31"/>
      <c r="C1684" s="32"/>
      <c r="D1684" s="32"/>
      <c r="E1684" s="33"/>
      <c r="F1684" s="32"/>
      <c r="G1684" s="32"/>
      <c r="H1684" s="32"/>
      <c r="I1684" s="32"/>
      <c r="J1684" s="32"/>
      <c r="K1684" s="32"/>
      <c r="L1684" s="32"/>
      <c r="M1684" s="30"/>
      <c r="N1684" s="32"/>
      <c r="O1684" s="34"/>
      <c r="P1684" s="32"/>
      <c r="Q1684" s="32"/>
      <c r="R1684" s="32"/>
      <c r="S1684" s="32"/>
      <c r="T1684" s="32"/>
      <c r="U1684" s="32"/>
      <c r="V1684" s="31"/>
      <c r="W1684" s="35" t="str">
        <f aca="true">IF(OR(V1684="",AG1684&gt;=8),"",IF(V1684&lt;TODAY(),"Vencida",IF(V1684=TODAY(),"Hoy","")))</f>
        <v/>
      </c>
      <c r="X1684" s="36" t="str">
        <f aca="false">IF(A1684="","",IF(COUNTIF(Seguimiento!$B$2:$B$5001,A1684)=0,"",_xlfn.MAXIFS(Seguimiento!$A$2:$A$5001,Seguimiento!$B$2:$B$5001,A1684)))</f>
        <v/>
      </c>
      <c r="Y1684" s="37" t="str">
        <f aca="true">IF(B1684="","",TODAY()-B1684)</f>
        <v/>
      </c>
      <c r="Z1684" s="38" t="str">
        <f aca="false">IF(OR(O1684="",G1684=""),"",O1684*IFERROR(INDEX(Listas!$B$2:$B$50,MATCH(G1684,Listas!$A$2:$A$50,0)),0))</f>
        <v/>
      </c>
      <c r="AA1684" s="32"/>
      <c r="AB1684" s="32"/>
      <c r="AC1684" s="32"/>
      <c r="AD1684" s="35" t="str">
        <f aca="false">IF(OR(LEFT(H1684,4)="Meta",LEFT(H1684,6)="Google"),IF(AG1684=3,"Lead calificado",IF(OR(AG1684=4,AG1684=5),"Tasación/visita",IF(OR(AG1684=6,AG1684=7),"Captación/oferta",IF(AG1684=8,"Cierre","")))),"")</f>
        <v/>
      </c>
      <c r="AE1684" s="32"/>
      <c r="AF1684" s="32"/>
      <c r="AG1684" s="37" t="n">
        <f aca="false">IF(R1684="",0,IFERROR(MATCH(R1684,Listas!$L$2:$L$50,0),0))</f>
        <v>0</v>
      </c>
    </row>
    <row r="1685" customFormat="false" ht="15" hidden="false" customHeight="false" outlineLevel="0" collapsed="false">
      <c r="A1685" s="30"/>
      <c r="B1685" s="31"/>
      <c r="C1685" s="32"/>
      <c r="D1685" s="32"/>
      <c r="E1685" s="33"/>
      <c r="F1685" s="32"/>
      <c r="G1685" s="32"/>
      <c r="H1685" s="32"/>
      <c r="I1685" s="32"/>
      <c r="J1685" s="32"/>
      <c r="K1685" s="32"/>
      <c r="L1685" s="32"/>
      <c r="M1685" s="30"/>
      <c r="N1685" s="32"/>
      <c r="O1685" s="34"/>
      <c r="P1685" s="32"/>
      <c r="Q1685" s="32"/>
      <c r="R1685" s="32"/>
      <c r="S1685" s="32"/>
      <c r="T1685" s="32"/>
      <c r="U1685" s="32"/>
      <c r="V1685" s="31"/>
      <c r="W1685" s="35" t="str">
        <f aca="true">IF(OR(V1685="",AG1685&gt;=8),"",IF(V1685&lt;TODAY(),"Vencida",IF(V1685=TODAY(),"Hoy","")))</f>
        <v/>
      </c>
      <c r="X1685" s="36" t="str">
        <f aca="false">IF(A1685="","",IF(COUNTIF(Seguimiento!$B$2:$B$5001,A1685)=0,"",_xlfn.MAXIFS(Seguimiento!$A$2:$A$5001,Seguimiento!$B$2:$B$5001,A1685)))</f>
        <v/>
      </c>
      <c r="Y1685" s="37" t="str">
        <f aca="true">IF(B1685="","",TODAY()-B1685)</f>
        <v/>
      </c>
      <c r="Z1685" s="38" t="str">
        <f aca="false">IF(OR(O1685="",G1685=""),"",O1685*IFERROR(INDEX(Listas!$B$2:$B$50,MATCH(G1685,Listas!$A$2:$A$50,0)),0))</f>
        <v/>
      </c>
      <c r="AA1685" s="32"/>
      <c r="AB1685" s="32"/>
      <c r="AC1685" s="32"/>
      <c r="AD1685" s="35" t="str">
        <f aca="false">IF(OR(LEFT(H1685,4)="Meta",LEFT(H1685,6)="Google"),IF(AG1685=3,"Lead calificado",IF(OR(AG1685=4,AG1685=5),"Tasación/visita",IF(OR(AG1685=6,AG1685=7),"Captación/oferta",IF(AG1685=8,"Cierre","")))),"")</f>
        <v/>
      </c>
      <c r="AE1685" s="32"/>
      <c r="AF1685" s="32"/>
      <c r="AG1685" s="37" t="n">
        <f aca="false">IF(R1685="",0,IFERROR(MATCH(R1685,Listas!$L$2:$L$50,0),0))</f>
        <v>0</v>
      </c>
    </row>
    <row r="1686" customFormat="false" ht="15" hidden="false" customHeight="false" outlineLevel="0" collapsed="false">
      <c r="A1686" s="30"/>
      <c r="B1686" s="31"/>
      <c r="C1686" s="32"/>
      <c r="D1686" s="32"/>
      <c r="E1686" s="33"/>
      <c r="F1686" s="32"/>
      <c r="G1686" s="32"/>
      <c r="H1686" s="32"/>
      <c r="I1686" s="32"/>
      <c r="J1686" s="32"/>
      <c r="K1686" s="32"/>
      <c r="L1686" s="32"/>
      <c r="M1686" s="30"/>
      <c r="N1686" s="32"/>
      <c r="O1686" s="34"/>
      <c r="P1686" s="32"/>
      <c r="Q1686" s="32"/>
      <c r="R1686" s="32"/>
      <c r="S1686" s="32"/>
      <c r="T1686" s="32"/>
      <c r="U1686" s="32"/>
      <c r="V1686" s="31"/>
      <c r="W1686" s="35" t="str">
        <f aca="true">IF(OR(V1686="",AG1686&gt;=8),"",IF(V1686&lt;TODAY(),"Vencida",IF(V1686=TODAY(),"Hoy","")))</f>
        <v/>
      </c>
      <c r="X1686" s="36" t="str">
        <f aca="false">IF(A1686="","",IF(COUNTIF(Seguimiento!$B$2:$B$5001,A1686)=0,"",_xlfn.MAXIFS(Seguimiento!$A$2:$A$5001,Seguimiento!$B$2:$B$5001,A1686)))</f>
        <v/>
      </c>
      <c r="Y1686" s="37" t="str">
        <f aca="true">IF(B1686="","",TODAY()-B1686)</f>
        <v/>
      </c>
      <c r="Z1686" s="38" t="str">
        <f aca="false">IF(OR(O1686="",G1686=""),"",O1686*IFERROR(INDEX(Listas!$B$2:$B$50,MATCH(G1686,Listas!$A$2:$A$50,0)),0))</f>
        <v/>
      </c>
      <c r="AA1686" s="32"/>
      <c r="AB1686" s="32"/>
      <c r="AC1686" s="32"/>
      <c r="AD1686" s="35" t="str">
        <f aca="false">IF(OR(LEFT(H1686,4)="Meta",LEFT(H1686,6)="Google"),IF(AG1686=3,"Lead calificado",IF(OR(AG1686=4,AG1686=5),"Tasación/visita",IF(OR(AG1686=6,AG1686=7),"Captación/oferta",IF(AG1686=8,"Cierre","")))),"")</f>
        <v/>
      </c>
      <c r="AE1686" s="32"/>
      <c r="AF1686" s="32"/>
      <c r="AG1686" s="37" t="n">
        <f aca="false">IF(R1686="",0,IFERROR(MATCH(R1686,Listas!$L$2:$L$50,0),0))</f>
        <v>0</v>
      </c>
    </row>
    <row r="1687" customFormat="false" ht="15" hidden="false" customHeight="false" outlineLevel="0" collapsed="false">
      <c r="A1687" s="30"/>
      <c r="B1687" s="31"/>
      <c r="C1687" s="32"/>
      <c r="D1687" s="32"/>
      <c r="E1687" s="33"/>
      <c r="F1687" s="32"/>
      <c r="G1687" s="32"/>
      <c r="H1687" s="32"/>
      <c r="I1687" s="32"/>
      <c r="J1687" s="32"/>
      <c r="K1687" s="32"/>
      <c r="L1687" s="32"/>
      <c r="M1687" s="30"/>
      <c r="N1687" s="32"/>
      <c r="O1687" s="34"/>
      <c r="P1687" s="32"/>
      <c r="Q1687" s="32"/>
      <c r="R1687" s="32"/>
      <c r="S1687" s="32"/>
      <c r="T1687" s="32"/>
      <c r="U1687" s="32"/>
      <c r="V1687" s="31"/>
      <c r="W1687" s="35" t="str">
        <f aca="true">IF(OR(V1687="",AG1687&gt;=8),"",IF(V1687&lt;TODAY(),"Vencida",IF(V1687=TODAY(),"Hoy","")))</f>
        <v/>
      </c>
      <c r="X1687" s="36" t="str">
        <f aca="false">IF(A1687="","",IF(COUNTIF(Seguimiento!$B$2:$B$5001,A1687)=0,"",_xlfn.MAXIFS(Seguimiento!$A$2:$A$5001,Seguimiento!$B$2:$B$5001,A1687)))</f>
        <v/>
      </c>
      <c r="Y1687" s="37" t="str">
        <f aca="true">IF(B1687="","",TODAY()-B1687)</f>
        <v/>
      </c>
      <c r="Z1687" s="38" t="str">
        <f aca="false">IF(OR(O1687="",G1687=""),"",O1687*IFERROR(INDEX(Listas!$B$2:$B$50,MATCH(G1687,Listas!$A$2:$A$50,0)),0))</f>
        <v/>
      </c>
      <c r="AA1687" s="32"/>
      <c r="AB1687" s="32"/>
      <c r="AC1687" s="32"/>
      <c r="AD1687" s="35" t="str">
        <f aca="false">IF(OR(LEFT(H1687,4)="Meta",LEFT(H1687,6)="Google"),IF(AG1687=3,"Lead calificado",IF(OR(AG1687=4,AG1687=5),"Tasación/visita",IF(OR(AG1687=6,AG1687=7),"Captación/oferta",IF(AG1687=8,"Cierre","")))),"")</f>
        <v/>
      </c>
      <c r="AE1687" s="32"/>
      <c r="AF1687" s="32"/>
      <c r="AG1687" s="37" t="n">
        <f aca="false">IF(R1687="",0,IFERROR(MATCH(R1687,Listas!$L$2:$L$50,0),0))</f>
        <v>0</v>
      </c>
    </row>
    <row r="1688" customFormat="false" ht="15" hidden="false" customHeight="false" outlineLevel="0" collapsed="false">
      <c r="A1688" s="30"/>
      <c r="B1688" s="31"/>
      <c r="C1688" s="32"/>
      <c r="D1688" s="32"/>
      <c r="E1688" s="33"/>
      <c r="F1688" s="32"/>
      <c r="G1688" s="32"/>
      <c r="H1688" s="32"/>
      <c r="I1688" s="32"/>
      <c r="J1688" s="32"/>
      <c r="K1688" s="32"/>
      <c r="L1688" s="32"/>
      <c r="M1688" s="30"/>
      <c r="N1688" s="32"/>
      <c r="O1688" s="34"/>
      <c r="P1688" s="32"/>
      <c r="Q1688" s="32"/>
      <c r="R1688" s="32"/>
      <c r="S1688" s="32"/>
      <c r="T1688" s="32"/>
      <c r="U1688" s="32"/>
      <c r="V1688" s="31"/>
      <c r="W1688" s="35" t="str">
        <f aca="true">IF(OR(V1688="",AG1688&gt;=8),"",IF(V1688&lt;TODAY(),"Vencida",IF(V1688=TODAY(),"Hoy","")))</f>
        <v/>
      </c>
      <c r="X1688" s="36" t="str">
        <f aca="false">IF(A1688="","",IF(COUNTIF(Seguimiento!$B$2:$B$5001,A1688)=0,"",_xlfn.MAXIFS(Seguimiento!$A$2:$A$5001,Seguimiento!$B$2:$B$5001,A1688)))</f>
        <v/>
      </c>
      <c r="Y1688" s="37" t="str">
        <f aca="true">IF(B1688="","",TODAY()-B1688)</f>
        <v/>
      </c>
      <c r="Z1688" s="38" t="str">
        <f aca="false">IF(OR(O1688="",G1688=""),"",O1688*IFERROR(INDEX(Listas!$B$2:$B$50,MATCH(G1688,Listas!$A$2:$A$50,0)),0))</f>
        <v/>
      </c>
      <c r="AA1688" s="32"/>
      <c r="AB1688" s="32"/>
      <c r="AC1688" s="32"/>
      <c r="AD1688" s="35" t="str">
        <f aca="false">IF(OR(LEFT(H1688,4)="Meta",LEFT(H1688,6)="Google"),IF(AG1688=3,"Lead calificado",IF(OR(AG1688=4,AG1688=5),"Tasación/visita",IF(OR(AG1688=6,AG1688=7),"Captación/oferta",IF(AG1688=8,"Cierre","")))),"")</f>
        <v/>
      </c>
      <c r="AE1688" s="32"/>
      <c r="AF1688" s="32"/>
      <c r="AG1688" s="37" t="n">
        <f aca="false">IF(R1688="",0,IFERROR(MATCH(R1688,Listas!$L$2:$L$50,0),0))</f>
        <v>0</v>
      </c>
    </row>
    <row r="1689" customFormat="false" ht="15" hidden="false" customHeight="false" outlineLevel="0" collapsed="false">
      <c r="A1689" s="30"/>
      <c r="B1689" s="31"/>
      <c r="C1689" s="32"/>
      <c r="D1689" s="32"/>
      <c r="E1689" s="33"/>
      <c r="F1689" s="32"/>
      <c r="G1689" s="32"/>
      <c r="H1689" s="32"/>
      <c r="I1689" s="32"/>
      <c r="J1689" s="32"/>
      <c r="K1689" s="32"/>
      <c r="L1689" s="32"/>
      <c r="M1689" s="30"/>
      <c r="N1689" s="32"/>
      <c r="O1689" s="34"/>
      <c r="P1689" s="32"/>
      <c r="Q1689" s="32"/>
      <c r="R1689" s="32"/>
      <c r="S1689" s="32"/>
      <c r="T1689" s="32"/>
      <c r="U1689" s="32"/>
      <c r="V1689" s="31"/>
      <c r="W1689" s="35" t="str">
        <f aca="true">IF(OR(V1689="",AG1689&gt;=8),"",IF(V1689&lt;TODAY(),"Vencida",IF(V1689=TODAY(),"Hoy","")))</f>
        <v/>
      </c>
      <c r="X1689" s="36" t="str">
        <f aca="false">IF(A1689="","",IF(COUNTIF(Seguimiento!$B$2:$B$5001,A1689)=0,"",_xlfn.MAXIFS(Seguimiento!$A$2:$A$5001,Seguimiento!$B$2:$B$5001,A1689)))</f>
        <v/>
      </c>
      <c r="Y1689" s="37" t="str">
        <f aca="true">IF(B1689="","",TODAY()-B1689)</f>
        <v/>
      </c>
      <c r="Z1689" s="38" t="str">
        <f aca="false">IF(OR(O1689="",G1689=""),"",O1689*IFERROR(INDEX(Listas!$B$2:$B$50,MATCH(G1689,Listas!$A$2:$A$50,0)),0))</f>
        <v/>
      </c>
      <c r="AA1689" s="32"/>
      <c r="AB1689" s="32"/>
      <c r="AC1689" s="32"/>
      <c r="AD1689" s="35" t="str">
        <f aca="false">IF(OR(LEFT(H1689,4)="Meta",LEFT(H1689,6)="Google"),IF(AG1689=3,"Lead calificado",IF(OR(AG1689=4,AG1689=5),"Tasación/visita",IF(OR(AG1689=6,AG1689=7),"Captación/oferta",IF(AG1689=8,"Cierre","")))),"")</f>
        <v/>
      </c>
      <c r="AE1689" s="32"/>
      <c r="AF1689" s="32"/>
      <c r="AG1689" s="37" t="n">
        <f aca="false">IF(R1689="",0,IFERROR(MATCH(R1689,Listas!$L$2:$L$50,0),0))</f>
        <v>0</v>
      </c>
    </row>
    <row r="1690" customFormat="false" ht="15" hidden="false" customHeight="false" outlineLevel="0" collapsed="false">
      <c r="A1690" s="30"/>
      <c r="B1690" s="31"/>
      <c r="C1690" s="32"/>
      <c r="D1690" s="32"/>
      <c r="E1690" s="33"/>
      <c r="F1690" s="32"/>
      <c r="G1690" s="32"/>
      <c r="H1690" s="32"/>
      <c r="I1690" s="32"/>
      <c r="J1690" s="32"/>
      <c r="K1690" s="32"/>
      <c r="L1690" s="32"/>
      <c r="M1690" s="30"/>
      <c r="N1690" s="32"/>
      <c r="O1690" s="34"/>
      <c r="P1690" s="32"/>
      <c r="Q1690" s="32"/>
      <c r="R1690" s="32"/>
      <c r="S1690" s="32"/>
      <c r="T1690" s="32"/>
      <c r="U1690" s="32"/>
      <c r="V1690" s="31"/>
      <c r="W1690" s="35" t="str">
        <f aca="true">IF(OR(V1690="",AG1690&gt;=8),"",IF(V1690&lt;TODAY(),"Vencida",IF(V1690=TODAY(),"Hoy","")))</f>
        <v/>
      </c>
      <c r="X1690" s="36" t="str">
        <f aca="false">IF(A1690="","",IF(COUNTIF(Seguimiento!$B$2:$B$5001,A1690)=0,"",_xlfn.MAXIFS(Seguimiento!$A$2:$A$5001,Seguimiento!$B$2:$B$5001,A1690)))</f>
        <v/>
      </c>
      <c r="Y1690" s="37" t="str">
        <f aca="true">IF(B1690="","",TODAY()-B1690)</f>
        <v/>
      </c>
      <c r="Z1690" s="38" t="str">
        <f aca="false">IF(OR(O1690="",G1690=""),"",O1690*IFERROR(INDEX(Listas!$B$2:$B$50,MATCH(G1690,Listas!$A$2:$A$50,0)),0))</f>
        <v/>
      </c>
      <c r="AA1690" s="32"/>
      <c r="AB1690" s="32"/>
      <c r="AC1690" s="32"/>
      <c r="AD1690" s="35" t="str">
        <f aca="false">IF(OR(LEFT(H1690,4)="Meta",LEFT(H1690,6)="Google"),IF(AG1690=3,"Lead calificado",IF(OR(AG1690=4,AG1690=5),"Tasación/visita",IF(OR(AG1690=6,AG1690=7),"Captación/oferta",IF(AG1690=8,"Cierre","")))),"")</f>
        <v/>
      </c>
      <c r="AE1690" s="32"/>
      <c r="AF1690" s="32"/>
      <c r="AG1690" s="37" t="n">
        <f aca="false">IF(R1690="",0,IFERROR(MATCH(R1690,Listas!$L$2:$L$50,0),0))</f>
        <v>0</v>
      </c>
    </row>
    <row r="1691" customFormat="false" ht="15" hidden="false" customHeight="false" outlineLevel="0" collapsed="false">
      <c r="A1691" s="30"/>
      <c r="B1691" s="31"/>
      <c r="C1691" s="32"/>
      <c r="D1691" s="32"/>
      <c r="E1691" s="33"/>
      <c r="F1691" s="32"/>
      <c r="G1691" s="32"/>
      <c r="H1691" s="32"/>
      <c r="I1691" s="32"/>
      <c r="J1691" s="32"/>
      <c r="K1691" s="32"/>
      <c r="L1691" s="32"/>
      <c r="M1691" s="30"/>
      <c r="N1691" s="32"/>
      <c r="O1691" s="34"/>
      <c r="P1691" s="32"/>
      <c r="Q1691" s="32"/>
      <c r="R1691" s="32"/>
      <c r="S1691" s="32"/>
      <c r="T1691" s="32"/>
      <c r="U1691" s="32"/>
      <c r="V1691" s="31"/>
      <c r="W1691" s="35" t="str">
        <f aca="true">IF(OR(V1691="",AG1691&gt;=8),"",IF(V1691&lt;TODAY(),"Vencida",IF(V1691=TODAY(),"Hoy","")))</f>
        <v/>
      </c>
      <c r="X1691" s="36" t="str">
        <f aca="false">IF(A1691="","",IF(COUNTIF(Seguimiento!$B$2:$B$5001,A1691)=0,"",_xlfn.MAXIFS(Seguimiento!$A$2:$A$5001,Seguimiento!$B$2:$B$5001,A1691)))</f>
        <v/>
      </c>
      <c r="Y1691" s="37" t="str">
        <f aca="true">IF(B1691="","",TODAY()-B1691)</f>
        <v/>
      </c>
      <c r="Z1691" s="38" t="str">
        <f aca="false">IF(OR(O1691="",G1691=""),"",O1691*IFERROR(INDEX(Listas!$B$2:$B$50,MATCH(G1691,Listas!$A$2:$A$50,0)),0))</f>
        <v/>
      </c>
      <c r="AA1691" s="32"/>
      <c r="AB1691" s="32"/>
      <c r="AC1691" s="32"/>
      <c r="AD1691" s="35" t="str">
        <f aca="false">IF(OR(LEFT(H1691,4)="Meta",LEFT(H1691,6)="Google"),IF(AG1691=3,"Lead calificado",IF(OR(AG1691=4,AG1691=5),"Tasación/visita",IF(OR(AG1691=6,AG1691=7),"Captación/oferta",IF(AG1691=8,"Cierre","")))),"")</f>
        <v/>
      </c>
      <c r="AE1691" s="32"/>
      <c r="AF1691" s="32"/>
      <c r="AG1691" s="37" t="n">
        <f aca="false">IF(R1691="",0,IFERROR(MATCH(R1691,Listas!$L$2:$L$50,0),0))</f>
        <v>0</v>
      </c>
    </row>
    <row r="1692" customFormat="false" ht="15" hidden="false" customHeight="false" outlineLevel="0" collapsed="false">
      <c r="A1692" s="30"/>
      <c r="B1692" s="31"/>
      <c r="C1692" s="32"/>
      <c r="D1692" s="32"/>
      <c r="E1692" s="33"/>
      <c r="F1692" s="32"/>
      <c r="G1692" s="32"/>
      <c r="H1692" s="32"/>
      <c r="I1692" s="32"/>
      <c r="J1692" s="32"/>
      <c r="K1692" s="32"/>
      <c r="L1692" s="32"/>
      <c r="M1692" s="30"/>
      <c r="N1692" s="32"/>
      <c r="O1692" s="34"/>
      <c r="P1692" s="32"/>
      <c r="Q1692" s="32"/>
      <c r="R1692" s="32"/>
      <c r="S1692" s="32"/>
      <c r="T1692" s="32"/>
      <c r="U1692" s="32"/>
      <c r="V1692" s="31"/>
      <c r="W1692" s="35" t="str">
        <f aca="true">IF(OR(V1692="",AG1692&gt;=8),"",IF(V1692&lt;TODAY(),"Vencida",IF(V1692=TODAY(),"Hoy","")))</f>
        <v/>
      </c>
      <c r="X1692" s="36" t="str">
        <f aca="false">IF(A1692="","",IF(COUNTIF(Seguimiento!$B$2:$B$5001,A1692)=0,"",_xlfn.MAXIFS(Seguimiento!$A$2:$A$5001,Seguimiento!$B$2:$B$5001,A1692)))</f>
        <v/>
      </c>
      <c r="Y1692" s="37" t="str">
        <f aca="true">IF(B1692="","",TODAY()-B1692)</f>
        <v/>
      </c>
      <c r="Z1692" s="38" t="str">
        <f aca="false">IF(OR(O1692="",G1692=""),"",O1692*IFERROR(INDEX(Listas!$B$2:$B$50,MATCH(G1692,Listas!$A$2:$A$50,0)),0))</f>
        <v/>
      </c>
      <c r="AA1692" s="32"/>
      <c r="AB1692" s="32"/>
      <c r="AC1692" s="32"/>
      <c r="AD1692" s="35" t="str">
        <f aca="false">IF(OR(LEFT(H1692,4)="Meta",LEFT(H1692,6)="Google"),IF(AG1692=3,"Lead calificado",IF(OR(AG1692=4,AG1692=5),"Tasación/visita",IF(OR(AG1692=6,AG1692=7),"Captación/oferta",IF(AG1692=8,"Cierre","")))),"")</f>
        <v/>
      </c>
      <c r="AE1692" s="32"/>
      <c r="AF1692" s="32"/>
      <c r="AG1692" s="37" t="n">
        <f aca="false">IF(R1692="",0,IFERROR(MATCH(R1692,Listas!$L$2:$L$50,0),0))</f>
        <v>0</v>
      </c>
    </row>
    <row r="1693" customFormat="false" ht="15" hidden="false" customHeight="false" outlineLevel="0" collapsed="false">
      <c r="A1693" s="30"/>
      <c r="B1693" s="31"/>
      <c r="C1693" s="32"/>
      <c r="D1693" s="32"/>
      <c r="E1693" s="33"/>
      <c r="F1693" s="32"/>
      <c r="G1693" s="32"/>
      <c r="H1693" s="32"/>
      <c r="I1693" s="32"/>
      <c r="J1693" s="32"/>
      <c r="K1693" s="32"/>
      <c r="L1693" s="32"/>
      <c r="M1693" s="30"/>
      <c r="N1693" s="32"/>
      <c r="O1693" s="34"/>
      <c r="P1693" s="32"/>
      <c r="Q1693" s="32"/>
      <c r="R1693" s="32"/>
      <c r="S1693" s="32"/>
      <c r="T1693" s="32"/>
      <c r="U1693" s="32"/>
      <c r="V1693" s="31"/>
      <c r="W1693" s="35" t="str">
        <f aca="true">IF(OR(V1693="",AG1693&gt;=8),"",IF(V1693&lt;TODAY(),"Vencida",IF(V1693=TODAY(),"Hoy","")))</f>
        <v/>
      </c>
      <c r="X1693" s="36" t="str">
        <f aca="false">IF(A1693="","",IF(COUNTIF(Seguimiento!$B$2:$B$5001,A1693)=0,"",_xlfn.MAXIFS(Seguimiento!$A$2:$A$5001,Seguimiento!$B$2:$B$5001,A1693)))</f>
        <v/>
      </c>
      <c r="Y1693" s="37" t="str">
        <f aca="true">IF(B1693="","",TODAY()-B1693)</f>
        <v/>
      </c>
      <c r="Z1693" s="38" t="str">
        <f aca="false">IF(OR(O1693="",G1693=""),"",O1693*IFERROR(INDEX(Listas!$B$2:$B$50,MATCH(G1693,Listas!$A$2:$A$50,0)),0))</f>
        <v/>
      </c>
      <c r="AA1693" s="32"/>
      <c r="AB1693" s="32"/>
      <c r="AC1693" s="32"/>
      <c r="AD1693" s="35" t="str">
        <f aca="false">IF(OR(LEFT(H1693,4)="Meta",LEFT(H1693,6)="Google"),IF(AG1693=3,"Lead calificado",IF(OR(AG1693=4,AG1693=5),"Tasación/visita",IF(OR(AG1693=6,AG1693=7),"Captación/oferta",IF(AG1693=8,"Cierre","")))),"")</f>
        <v/>
      </c>
      <c r="AE1693" s="32"/>
      <c r="AF1693" s="32"/>
      <c r="AG1693" s="37" t="n">
        <f aca="false">IF(R1693="",0,IFERROR(MATCH(R1693,Listas!$L$2:$L$50,0),0))</f>
        <v>0</v>
      </c>
    </row>
    <row r="1694" customFormat="false" ht="15" hidden="false" customHeight="false" outlineLevel="0" collapsed="false">
      <c r="A1694" s="30"/>
      <c r="B1694" s="31"/>
      <c r="C1694" s="32"/>
      <c r="D1694" s="32"/>
      <c r="E1694" s="33"/>
      <c r="F1694" s="32"/>
      <c r="G1694" s="32"/>
      <c r="H1694" s="32"/>
      <c r="I1694" s="32"/>
      <c r="J1694" s="32"/>
      <c r="K1694" s="32"/>
      <c r="L1694" s="32"/>
      <c r="M1694" s="30"/>
      <c r="N1694" s="32"/>
      <c r="O1694" s="34"/>
      <c r="P1694" s="32"/>
      <c r="Q1694" s="32"/>
      <c r="R1694" s="32"/>
      <c r="S1694" s="32"/>
      <c r="T1694" s="32"/>
      <c r="U1694" s="32"/>
      <c r="V1694" s="31"/>
      <c r="W1694" s="35" t="str">
        <f aca="true">IF(OR(V1694="",AG1694&gt;=8),"",IF(V1694&lt;TODAY(),"Vencida",IF(V1694=TODAY(),"Hoy","")))</f>
        <v/>
      </c>
      <c r="X1694" s="36" t="str">
        <f aca="false">IF(A1694="","",IF(COUNTIF(Seguimiento!$B$2:$B$5001,A1694)=0,"",_xlfn.MAXIFS(Seguimiento!$A$2:$A$5001,Seguimiento!$B$2:$B$5001,A1694)))</f>
        <v/>
      </c>
      <c r="Y1694" s="37" t="str">
        <f aca="true">IF(B1694="","",TODAY()-B1694)</f>
        <v/>
      </c>
      <c r="Z1694" s="38" t="str">
        <f aca="false">IF(OR(O1694="",G1694=""),"",O1694*IFERROR(INDEX(Listas!$B$2:$B$50,MATCH(G1694,Listas!$A$2:$A$50,0)),0))</f>
        <v/>
      </c>
      <c r="AA1694" s="32"/>
      <c r="AB1694" s="32"/>
      <c r="AC1694" s="32"/>
      <c r="AD1694" s="35" t="str">
        <f aca="false">IF(OR(LEFT(H1694,4)="Meta",LEFT(H1694,6)="Google"),IF(AG1694=3,"Lead calificado",IF(OR(AG1694=4,AG1694=5),"Tasación/visita",IF(OR(AG1694=6,AG1694=7),"Captación/oferta",IF(AG1694=8,"Cierre","")))),"")</f>
        <v/>
      </c>
      <c r="AE1694" s="32"/>
      <c r="AF1694" s="32"/>
      <c r="AG1694" s="37" t="n">
        <f aca="false">IF(R1694="",0,IFERROR(MATCH(R1694,Listas!$L$2:$L$50,0),0))</f>
        <v>0</v>
      </c>
    </row>
    <row r="1695" customFormat="false" ht="15" hidden="false" customHeight="false" outlineLevel="0" collapsed="false">
      <c r="A1695" s="30"/>
      <c r="B1695" s="31"/>
      <c r="C1695" s="32"/>
      <c r="D1695" s="32"/>
      <c r="E1695" s="33"/>
      <c r="F1695" s="32"/>
      <c r="G1695" s="32"/>
      <c r="H1695" s="32"/>
      <c r="I1695" s="32"/>
      <c r="J1695" s="32"/>
      <c r="K1695" s="32"/>
      <c r="L1695" s="32"/>
      <c r="M1695" s="30"/>
      <c r="N1695" s="32"/>
      <c r="O1695" s="34"/>
      <c r="P1695" s="32"/>
      <c r="Q1695" s="32"/>
      <c r="R1695" s="32"/>
      <c r="S1695" s="32"/>
      <c r="T1695" s="32"/>
      <c r="U1695" s="32"/>
      <c r="V1695" s="31"/>
      <c r="W1695" s="35" t="str">
        <f aca="true">IF(OR(V1695="",AG1695&gt;=8),"",IF(V1695&lt;TODAY(),"Vencida",IF(V1695=TODAY(),"Hoy","")))</f>
        <v/>
      </c>
      <c r="X1695" s="36" t="str">
        <f aca="false">IF(A1695="","",IF(COUNTIF(Seguimiento!$B$2:$B$5001,A1695)=0,"",_xlfn.MAXIFS(Seguimiento!$A$2:$A$5001,Seguimiento!$B$2:$B$5001,A1695)))</f>
        <v/>
      </c>
      <c r="Y1695" s="37" t="str">
        <f aca="true">IF(B1695="","",TODAY()-B1695)</f>
        <v/>
      </c>
      <c r="Z1695" s="38" t="str">
        <f aca="false">IF(OR(O1695="",G1695=""),"",O1695*IFERROR(INDEX(Listas!$B$2:$B$50,MATCH(G1695,Listas!$A$2:$A$50,0)),0))</f>
        <v/>
      </c>
      <c r="AA1695" s="32"/>
      <c r="AB1695" s="32"/>
      <c r="AC1695" s="32"/>
      <c r="AD1695" s="35" t="str">
        <f aca="false">IF(OR(LEFT(H1695,4)="Meta",LEFT(H1695,6)="Google"),IF(AG1695=3,"Lead calificado",IF(OR(AG1695=4,AG1695=5),"Tasación/visita",IF(OR(AG1695=6,AG1695=7),"Captación/oferta",IF(AG1695=8,"Cierre","")))),"")</f>
        <v/>
      </c>
      <c r="AE1695" s="32"/>
      <c r="AF1695" s="32"/>
      <c r="AG1695" s="37" t="n">
        <f aca="false">IF(R1695="",0,IFERROR(MATCH(R1695,Listas!$L$2:$L$50,0),0))</f>
        <v>0</v>
      </c>
    </row>
    <row r="1696" customFormat="false" ht="15" hidden="false" customHeight="false" outlineLevel="0" collapsed="false">
      <c r="A1696" s="30"/>
      <c r="B1696" s="31"/>
      <c r="C1696" s="32"/>
      <c r="D1696" s="32"/>
      <c r="E1696" s="33"/>
      <c r="F1696" s="32"/>
      <c r="G1696" s="32"/>
      <c r="H1696" s="32"/>
      <c r="I1696" s="32"/>
      <c r="J1696" s="32"/>
      <c r="K1696" s="32"/>
      <c r="L1696" s="32"/>
      <c r="M1696" s="30"/>
      <c r="N1696" s="32"/>
      <c r="O1696" s="34"/>
      <c r="P1696" s="32"/>
      <c r="Q1696" s="32"/>
      <c r="R1696" s="32"/>
      <c r="S1696" s="32"/>
      <c r="T1696" s="32"/>
      <c r="U1696" s="32"/>
      <c r="V1696" s="31"/>
      <c r="W1696" s="35" t="str">
        <f aca="true">IF(OR(V1696="",AG1696&gt;=8),"",IF(V1696&lt;TODAY(),"Vencida",IF(V1696=TODAY(),"Hoy","")))</f>
        <v/>
      </c>
      <c r="X1696" s="36" t="str">
        <f aca="false">IF(A1696="","",IF(COUNTIF(Seguimiento!$B$2:$B$5001,A1696)=0,"",_xlfn.MAXIFS(Seguimiento!$A$2:$A$5001,Seguimiento!$B$2:$B$5001,A1696)))</f>
        <v/>
      </c>
      <c r="Y1696" s="37" t="str">
        <f aca="true">IF(B1696="","",TODAY()-B1696)</f>
        <v/>
      </c>
      <c r="Z1696" s="38" t="str">
        <f aca="false">IF(OR(O1696="",G1696=""),"",O1696*IFERROR(INDEX(Listas!$B$2:$B$50,MATCH(G1696,Listas!$A$2:$A$50,0)),0))</f>
        <v/>
      </c>
      <c r="AA1696" s="32"/>
      <c r="AB1696" s="32"/>
      <c r="AC1696" s="32"/>
      <c r="AD1696" s="35" t="str">
        <f aca="false">IF(OR(LEFT(H1696,4)="Meta",LEFT(H1696,6)="Google"),IF(AG1696=3,"Lead calificado",IF(OR(AG1696=4,AG1696=5),"Tasación/visita",IF(OR(AG1696=6,AG1696=7),"Captación/oferta",IF(AG1696=8,"Cierre","")))),"")</f>
        <v/>
      </c>
      <c r="AE1696" s="32"/>
      <c r="AF1696" s="32"/>
      <c r="AG1696" s="37" t="n">
        <f aca="false">IF(R1696="",0,IFERROR(MATCH(R1696,Listas!$L$2:$L$50,0),0))</f>
        <v>0</v>
      </c>
    </row>
    <row r="1697" customFormat="false" ht="15" hidden="false" customHeight="false" outlineLevel="0" collapsed="false">
      <c r="A1697" s="30"/>
      <c r="B1697" s="31"/>
      <c r="C1697" s="32"/>
      <c r="D1697" s="32"/>
      <c r="E1697" s="33"/>
      <c r="F1697" s="32"/>
      <c r="G1697" s="32"/>
      <c r="H1697" s="32"/>
      <c r="I1697" s="32"/>
      <c r="J1697" s="32"/>
      <c r="K1697" s="32"/>
      <c r="L1697" s="32"/>
      <c r="M1697" s="30"/>
      <c r="N1697" s="32"/>
      <c r="O1697" s="34"/>
      <c r="P1697" s="32"/>
      <c r="Q1697" s="32"/>
      <c r="R1697" s="32"/>
      <c r="S1697" s="32"/>
      <c r="T1697" s="32"/>
      <c r="U1697" s="32"/>
      <c r="V1697" s="31"/>
      <c r="W1697" s="35" t="str">
        <f aca="true">IF(OR(V1697="",AG1697&gt;=8),"",IF(V1697&lt;TODAY(),"Vencida",IF(V1697=TODAY(),"Hoy","")))</f>
        <v/>
      </c>
      <c r="X1697" s="36" t="str">
        <f aca="false">IF(A1697="","",IF(COUNTIF(Seguimiento!$B$2:$B$5001,A1697)=0,"",_xlfn.MAXIFS(Seguimiento!$A$2:$A$5001,Seguimiento!$B$2:$B$5001,A1697)))</f>
        <v/>
      </c>
      <c r="Y1697" s="37" t="str">
        <f aca="true">IF(B1697="","",TODAY()-B1697)</f>
        <v/>
      </c>
      <c r="Z1697" s="38" t="str">
        <f aca="false">IF(OR(O1697="",G1697=""),"",O1697*IFERROR(INDEX(Listas!$B$2:$B$50,MATCH(G1697,Listas!$A$2:$A$50,0)),0))</f>
        <v/>
      </c>
      <c r="AA1697" s="32"/>
      <c r="AB1697" s="32"/>
      <c r="AC1697" s="32"/>
      <c r="AD1697" s="35" t="str">
        <f aca="false">IF(OR(LEFT(H1697,4)="Meta",LEFT(H1697,6)="Google"),IF(AG1697=3,"Lead calificado",IF(OR(AG1697=4,AG1697=5),"Tasación/visita",IF(OR(AG1697=6,AG1697=7),"Captación/oferta",IF(AG1697=8,"Cierre","")))),"")</f>
        <v/>
      </c>
      <c r="AE1697" s="32"/>
      <c r="AF1697" s="32"/>
      <c r="AG1697" s="37" t="n">
        <f aca="false">IF(R1697="",0,IFERROR(MATCH(R1697,Listas!$L$2:$L$50,0),0))</f>
        <v>0</v>
      </c>
    </row>
    <row r="1698" customFormat="false" ht="15" hidden="false" customHeight="false" outlineLevel="0" collapsed="false">
      <c r="A1698" s="30"/>
      <c r="B1698" s="31"/>
      <c r="C1698" s="32"/>
      <c r="D1698" s="32"/>
      <c r="E1698" s="33"/>
      <c r="F1698" s="32"/>
      <c r="G1698" s="32"/>
      <c r="H1698" s="32"/>
      <c r="I1698" s="32"/>
      <c r="J1698" s="32"/>
      <c r="K1698" s="32"/>
      <c r="L1698" s="32"/>
      <c r="M1698" s="30"/>
      <c r="N1698" s="32"/>
      <c r="O1698" s="34"/>
      <c r="P1698" s="32"/>
      <c r="Q1698" s="32"/>
      <c r="R1698" s="32"/>
      <c r="S1698" s="32"/>
      <c r="T1698" s="32"/>
      <c r="U1698" s="32"/>
      <c r="V1698" s="31"/>
      <c r="W1698" s="35" t="str">
        <f aca="true">IF(OR(V1698="",AG1698&gt;=8),"",IF(V1698&lt;TODAY(),"Vencida",IF(V1698=TODAY(),"Hoy","")))</f>
        <v/>
      </c>
      <c r="X1698" s="36" t="str">
        <f aca="false">IF(A1698="","",IF(COUNTIF(Seguimiento!$B$2:$B$5001,A1698)=0,"",_xlfn.MAXIFS(Seguimiento!$A$2:$A$5001,Seguimiento!$B$2:$B$5001,A1698)))</f>
        <v/>
      </c>
      <c r="Y1698" s="37" t="str">
        <f aca="true">IF(B1698="","",TODAY()-B1698)</f>
        <v/>
      </c>
      <c r="Z1698" s="38" t="str">
        <f aca="false">IF(OR(O1698="",G1698=""),"",O1698*IFERROR(INDEX(Listas!$B$2:$B$50,MATCH(G1698,Listas!$A$2:$A$50,0)),0))</f>
        <v/>
      </c>
      <c r="AA1698" s="32"/>
      <c r="AB1698" s="32"/>
      <c r="AC1698" s="32"/>
      <c r="AD1698" s="35" t="str">
        <f aca="false">IF(OR(LEFT(H1698,4)="Meta",LEFT(H1698,6)="Google"),IF(AG1698=3,"Lead calificado",IF(OR(AG1698=4,AG1698=5),"Tasación/visita",IF(OR(AG1698=6,AG1698=7),"Captación/oferta",IF(AG1698=8,"Cierre","")))),"")</f>
        <v/>
      </c>
      <c r="AE1698" s="32"/>
      <c r="AF1698" s="32"/>
      <c r="AG1698" s="37" t="n">
        <f aca="false">IF(R1698="",0,IFERROR(MATCH(R1698,Listas!$L$2:$L$50,0),0))</f>
        <v>0</v>
      </c>
    </row>
    <row r="1699" customFormat="false" ht="15" hidden="false" customHeight="false" outlineLevel="0" collapsed="false">
      <c r="A1699" s="30"/>
      <c r="B1699" s="31"/>
      <c r="C1699" s="32"/>
      <c r="D1699" s="32"/>
      <c r="E1699" s="33"/>
      <c r="F1699" s="32"/>
      <c r="G1699" s="32"/>
      <c r="H1699" s="32"/>
      <c r="I1699" s="32"/>
      <c r="J1699" s="32"/>
      <c r="K1699" s="32"/>
      <c r="L1699" s="32"/>
      <c r="M1699" s="30"/>
      <c r="N1699" s="32"/>
      <c r="O1699" s="34"/>
      <c r="P1699" s="32"/>
      <c r="Q1699" s="32"/>
      <c r="R1699" s="32"/>
      <c r="S1699" s="32"/>
      <c r="T1699" s="32"/>
      <c r="U1699" s="32"/>
      <c r="V1699" s="31"/>
      <c r="W1699" s="35" t="str">
        <f aca="true">IF(OR(V1699="",AG1699&gt;=8),"",IF(V1699&lt;TODAY(),"Vencida",IF(V1699=TODAY(),"Hoy","")))</f>
        <v/>
      </c>
      <c r="X1699" s="36" t="str">
        <f aca="false">IF(A1699="","",IF(COUNTIF(Seguimiento!$B$2:$B$5001,A1699)=0,"",_xlfn.MAXIFS(Seguimiento!$A$2:$A$5001,Seguimiento!$B$2:$B$5001,A1699)))</f>
        <v/>
      </c>
      <c r="Y1699" s="37" t="str">
        <f aca="true">IF(B1699="","",TODAY()-B1699)</f>
        <v/>
      </c>
      <c r="Z1699" s="38" t="str">
        <f aca="false">IF(OR(O1699="",G1699=""),"",O1699*IFERROR(INDEX(Listas!$B$2:$B$50,MATCH(G1699,Listas!$A$2:$A$50,0)),0))</f>
        <v/>
      </c>
      <c r="AA1699" s="32"/>
      <c r="AB1699" s="32"/>
      <c r="AC1699" s="32"/>
      <c r="AD1699" s="35" t="str">
        <f aca="false">IF(OR(LEFT(H1699,4)="Meta",LEFT(H1699,6)="Google"),IF(AG1699=3,"Lead calificado",IF(OR(AG1699=4,AG1699=5),"Tasación/visita",IF(OR(AG1699=6,AG1699=7),"Captación/oferta",IF(AG1699=8,"Cierre","")))),"")</f>
        <v/>
      </c>
      <c r="AE1699" s="32"/>
      <c r="AF1699" s="32"/>
      <c r="AG1699" s="37" t="n">
        <f aca="false">IF(R1699="",0,IFERROR(MATCH(R1699,Listas!$L$2:$L$50,0),0))</f>
        <v>0</v>
      </c>
    </row>
    <row r="1700" customFormat="false" ht="15" hidden="false" customHeight="false" outlineLevel="0" collapsed="false">
      <c r="A1700" s="30"/>
      <c r="B1700" s="31"/>
      <c r="C1700" s="32"/>
      <c r="D1700" s="32"/>
      <c r="E1700" s="33"/>
      <c r="F1700" s="32"/>
      <c r="G1700" s="32"/>
      <c r="H1700" s="32"/>
      <c r="I1700" s="32"/>
      <c r="J1700" s="32"/>
      <c r="K1700" s="32"/>
      <c r="L1700" s="32"/>
      <c r="M1700" s="30"/>
      <c r="N1700" s="32"/>
      <c r="O1700" s="34"/>
      <c r="P1700" s="32"/>
      <c r="Q1700" s="32"/>
      <c r="R1700" s="32"/>
      <c r="S1700" s="32"/>
      <c r="T1700" s="32"/>
      <c r="U1700" s="32"/>
      <c r="V1700" s="31"/>
      <c r="W1700" s="35" t="str">
        <f aca="true">IF(OR(V1700="",AG1700&gt;=8),"",IF(V1700&lt;TODAY(),"Vencida",IF(V1700=TODAY(),"Hoy","")))</f>
        <v/>
      </c>
      <c r="X1700" s="36" t="str">
        <f aca="false">IF(A1700="","",IF(COUNTIF(Seguimiento!$B$2:$B$5001,A1700)=0,"",_xlfn.MAXIFS(Seguimiento!$A$2:$A$5001,Seguimiento!$B$2:$B$5001,A1700)))</f>
        <v/>
      </c>
      <c r="Y1700" s="37" t="str">
        <f aca="true">IF(B1700="","",TODAY()-B1700)</f>
        <v/>
      </c>
      <c r="Z1700" s="38" t="str">
        <f aca="false">IF(OR(O1700="",G1700=""),"",O1700*IFERROR(INDEX(Listas!$B$2:$B$50,MATCH(G1700,Listas!$A$2:$A$50,0)),0))</f>
        <v/>
      </c>
      <c r="AA1700" s="32"/>
      <c r="AB1700" s="32"/>
      <c r="AC1700" s="32"/>
      <c r="AD1700" s="35" t="str">
        <f aca="false">IF(OR(LEFT(H1700,4)="Meta",LEFT(H1700,6)="Google"),IF(AG1700=3,"Lead calificado",IF(OR(AG1700=4,AG1700=5),"Tasación/visita",IF(OR(AG1700=6,AG1700=7),"Captación/oferta",IF(AG1700=8,"Cierre","")))),"")</f>
        <v/>
      </c>
      <c r="AE1700" s="32"/>
      <c r="AF1700" s="32"/>
      <c r="AG1700" s="37" t="n">
        <f aca="false">IF(R1700="",0,IFERROR(MATCH(R1700,Listas!$L$2:$L$50,0),0))</f>
        <v>0</v>
      </c>
    </row>
    <row r="1701" customFormat="false" ht="15" hidden="false" customHeight="false" outlineLevel="0" collapsed="false">
      <c r="A1701" s="30"/>
      <c r="B1701" s="31"/>
      <c r="C1701" s="32"/>
      <c r="D1701" s="32"/>
      <c r="E1701" s="33"/>
      <c r="F1701" s="32"/>
      <c r="G1701" s="32"/>
      <c r="H1701" s="32"/>
      <c r="I1701" s="32"/>
      <c r="J1701" s="32"/>
      <c r="K1701" s="32"/>
      <c r="L1701" s="32"/>
      <c r="M1701" s="30"/>
      <c r="N1701" s="32"/>
      <c r="O1701" s="34"/>
      <c r="P1701" s="32"/>
      <c r="Q1701" s="32"/>
      <c r="R1701" s="32"/>
      <c r="S1701" s="32"/>
      <c r="T1701" s="32"/>
      <c r="U1701" s="32"/>
      <c r="V1701" s="31"/>
      <c r="W1701" s="35" t="str">
        <f aca="true">IF(OR(V1701="",AG1701&gt;=8),"",IF(V1701&lt;TODAY(),"Vencida",IF(V1701=TODAY(),"Hoy","")))</f>
        <v/>
      </c>
      <c r="X1701" s="36" t="str">
        <f aca="false">IF(A1701="","",IF(COUNTIF(Seguimiento!$B$2:$B$5001,A1701)=0,"",_xlfn.MAXIFS(Seguimiento!$A$2:$A$5001,Seguimiento!$B$2:$B$5001,A1701)))</f>
        <v/>
      </c>
      <c r="Y1701" s="37" t="str">
        <f aca="true">IF(B1701="","",TODAY()-B1701)</f>
        <v/>
      </c>
      <c r="Z1701" s="38" t="str">
        <f aca="false">IF(OR(O1701="",G1701=""),"",O1701*IFERROR(INDEX(Listas!$B$2:$B$50,MATCH(G1701,Listas!$A$2:$A$50,0)),0))</f>
        <v/>
      </c>
      <c r="AA1701" s="32"/>
      <c r="AB1701" s="32"/>
      <c r="AC1701" s="32"/>
      <c r="AD1701" s="35" t="str">
        <f aca="false">IF(OR(LEFT(H1701,4)="Meta",LEFT(H1701,6)="Google"),IF(AG1701=3,"Lead calificado",IF(OR(AG1701=4,AG1701=5),"Tasación/visita",IF(OR(AG1701=6,AG1701=7),"Captación/oferta",IF(AG1701=8,"Cierre","")))),"")</f>
        <v/>
      </c>
      <c r="AE1701" s="32"/>
      <c r="AF1701" s="32"/>
      <c r="AG1701" s="37" t="n">
        <f aca="false">IF(R1701="",0,IFERROR(MATCH(R1701,Listas!$L$2:$L$50,0),0))</f>
        <v>0</v>
      </c>
    </row>
    <row r="1702" customFormat="false" ht="15" hidden="false" customHeight="false" outlineLevel="0" collapsed="false">
      <c r="A1702" s="30"/>
      <c r="B1702" s="31"/>
      <c r="C1702" s="32"/>
      <c r="D1702" s="32"/>
      <c r="E1702" s="33"/>
      <c r="F1702" s="32"/>
      <c r="G1702" s="32"/>
      <c r="H1702" s="32"/>
      <c r="I1702" s="32"/>
      <c r="J1702" s="32"/>
      <c r="K1702" s="32"/>
      <c r="L1702" s="32"/>
      <c r="M1702" s="30"/>
      <c r="N1702" s="32"/>
      <c r="O1702" s="34"/>
      <c r="P1702" s="32"/>
      <c r="Q1702" s="32"/>
      <c r="R1702" s="32"/>
      <c r="S1702" s="32"/>
      <c r="T1702" s="32"/>
      <c r="U1702" s="32"/>
      <c r="V1702" s="31"/>
      <c r="W1702" s="35" t="str">
        <f aca="true">IF(OR(V1702="",AG1702&gt;=8),"",IF(V1702&lt;TODAY(),"Vencida",IF(V1702=TODAY(),"Hoy","")))</f>
        <v/>
      </c>
      <c r="X1702" s="36" t="str">
        <f aca="false">IF(A1702="","",IF(COUNTIF(Seguimiento!$B$2:$B$5001,A1702)=0,"",_xlfn.MAXIFS(Seguimiento!$A$2:$A$5001,Seguimiento!$B$2:$B$5001,A1702)))</f>
        <v/>
      </c>
      <c r="Y1702" s="37" t="str">
        <f aca="true">IF(B1702="","",TODAY()-B1702)</f>
        <v/>
      </c>
      <c r="Z1702" s="38" t="str">
        <f aca="false">IF(OR(O1702="",G1702=""),"",O1702*IFERROR(INDEX(Listas!$B$2:$B$50,MATCH(G1702,Listas!$A$2:$A$50,0)),0))</f>
        <v/>
      </c>
      <c r="AA1702" s="32"/>
      <c r="AB1702" s="32"/>
      <c r="AC1702" s="32"/>
      <c r="AD1702" s="35" t="str">
        <f aca="false">IF(OR(LEFT(H1702,4)="Meta",LEFT(H1702,6)="Google"),IF(AG1702=3,"Lead calificado",IF(OR(AG1702=4,AG1702=5),"Tasación/visita",IF(OR(AG1702=6,AG1702=7),"Captación/oferta",IF(AG1702=8,"Cierre","")))),"")</f>
        <v/>
      </c>
      <c r="AE1702" s="32"/>
      <c r="AF1702" s="32"/>
      <c r="AG1702" s="37" t="n">
        <f aca="false">IF(R1702="",0,IFERROR(MATCH(R1702,Listas!$L$2:$L$50,0),0))</f>
        <v>0</v>
      </c>
    </row>
    <row r="1703" customFormat="false" ht="15" hidden="false" customHeight="false" outlineLevel="0" collapsed="false">
      <c r="A1703" s="30"/>
      <c r="B1703" s="31"/>
      <c r="C1703" s="32"/>
      <c r="D1703" s="32"/>
      <c r="E1703" s="33"/>
      <c r="F1703" s="32"/>
      <c r="G1703" s="32"/>
      <c r="H1703" s="32"/>
      <c r="I1703" s="32"/>
      <c r="J1703" s="32"/>
      <c r="K1703" s="32"/>
      <c r="L1703" s="32"/>
      <c r="M1703" s="30"/>
      <c r="N1703" s="32"/>
      <c r="O1703" s="34"/>
      <c r="P1703" s="32"/>
      <c r="Q1703" s="32"/>
      <c r="R1703" s="32"/>
      <c r="S1703" s="32"/>
      <c r="T1703" s="32"/>
      <c r="U1703" s="32"/>
      <c r="V1703" s="31"/>
      <c r="W1703" s="35" t="str">
        <f aca="true">IF(OR(V1703="",AG1703&gt;=8),"",IF(V1703&lt;TODAY(),"Vencida",IF(V1703=TODAY(),"Hoy","")))</f>
        <v/>
      </c>
      <c r="X1703" s="36" t="str">
        <f aca="false">IF(A1703="","",IF(COUNTIF(Seguimiento!$B$2:$B$5001,A1703)=0,"",_xlfn.MAXIFS(Seguimiento!$A$2:$A$5001,Seguimiento!$B$2:$B$5001,A1703)))</f>
        <v/>
      </c>
      <c r="Y1703" s="37" t="str">
        <f aca="true">IF(B1703="","",TODAY()-B1703)</f>
        <v/>
      </c>
      <c r="Z1703" s="38" t="str">
        <f aca="false">IF(OR(O1703="",G1703=""),"",O1703*IFERROR(INDEX(Listas!$B$2:$B$50,MATCH(G1703,Listas!$A$2:$A$50,0)),0))</f>
        <v/>
      </c>
      <c r="AA1703" s="32"/>
      <c r="AB1703" s="32"/>
      <c r="AC1703" s="32"/>
      <c r="AD1703" s="35" t="str">
        <f aca="false">IF(OR(LEFT(H1703,4)="Meta",LEFT(H1703,6)="Google"),IF(AG1703=3,"Lead calificado",IF(OR(AG1703=4,AG1703=5),"Tasación/visita",IF(OR(AG1703=6,AG1703=7),"Captación/oferta",IF(AG1703=8,"Cierre","")))),"")</f>
        <v/>
      </c>
      <c r="AE1703" s="32"/>
      <c r="AF1703" s="32"/>
      <c r="AG1703" s="37" t="n">
        <f aca="false">IF(R1703="",0,IFERROR(MATCH(R1703,Listas!$L$2:$L$50,0),0))</f>
        <v>0</v>
      </c>
    </row>
    <row r="1704" customFormat="false" ht="15" hidden="false" customHeight="false" outlineLevel="0" collapsed="false">
      <c r="A1704" s="30"/>
      <c r="B1704" s="31"/>
      <c r="C1704" s="32"/>
      <c r="D1704" s="32"/>
      <c r="E1704" s="33"/>
      <c r="F1704" s="32"/>
      <c r="G1704" s="32"/>
      <c r="H1704" s="32"/>
      <c r="I1704" s="32"/>
      <c r="J1704" s="32"/>
      <c r="K1704" s="32"/>
      <c r="L1704" s="32"/>
      <c r="M1704" s="30"/>
      <c r="N1704" s="32"/>
      <c r="O1704" s="34"/>
      <c r="P1704" s="32"/>
      <c r="Q1704" s="32"/>
      <c r="R1704" s="32"/>
      <c r="S1704" s="32"/>
      <c r="T1704" s="32"/>
      <c r="U1704" s="32"/>
      <c r="V1704" s="31"/>
      <c r="W1704" s="35" t="str">
        <f aca="true">IF(OR(V1704="",AG1704&gt;=8),"",IF(V1704&lt;TODAY(),"Vencida",IF(V1704=TODAY(),"Hoy","")))</f>
        <v/>
      </c>
      <c r="X1704" s="36" t="str">
        <f aca="false">IF(A1704="","",IF(COUNTIF(Seguimiento!$B$2:$B$5001,A1704)=0,"",_xlfn.MAXIFS(Seguimiento!$A$2:$A$5001,Seguimiento!$B$2:$B$5001,A1704)))</f>
        <v/>
      </c>
      <c r="Y1704" s="37" t="str">
        <f aca="true">IF(B1704="","",TODAY()-B1704)</f>
        <v/>
      </c>
      <c r="Z1704" s="38" t="str">
        <f aca="false">IF(OR(O1704="",G1704=""),"",O1704*IFERROR(INDEX(Listas!$B$2:$B$50,MATCH(G1704,Listas!$A$2:$A$50,0)),0))</f>
        <v/>
      </c>
      <c r="AA1704" s="32"/>
      <c r="AB1704" s="32"/>
      <c r="AC1704" s="32"/>
      <c r="AD1704" s="35" t="str">
        <f aca="false">IF(OR(LEFT(H1704,4)="Meta",LEFT(H1704,6)="Google"),IF(AG1704=3,"Lead calificado",IF(OR(AG1704=4,AG1704=5),"Tasación/visita",IF(OR(AG1704=6,AG1704=7),"Captación/oferta",IF(AG1704=8,"Cierre","")))),"")</f>
        <v/>
      </c>
      <c r="AE1704" s="32"/>
      <c r="AF1704" s="32"/>
      <c r="AG1704" s="37" t="n">
        <f aca="false">IF(R1704="",0,IFERROR(MATCH(R1704,Listas!$L$2:$L$50,0),0))</f>
        <v>0</v>
      </c>
    </row>
    <row r="1705" customFormat="false" ht="15" hidden="false" customHeight="false" outlineLevel="0" collapsed="false">
      <c r="A1705" s="30"/>
      <c r="B1705" s="31"/>
      <c r="C1705" s="32"/>
      <c r="D1705" s="32"/>
      <c r="E1705" s="33"/>
      <c r="F1705" s="32"/>
      <c r="G1705" s="32"/>
      <c r="H1705" s="32"/>
      <c r="I1705" s="32"/>
      <c r="J1705" s="32"/>
      <c r="K1705" s="32"/>
      <c r="L1705" s="32"/>
      <c r="M1705" s="30"/>
      <c r="N1705" s="32"/>
      <c r="O1705" s="34"/>
      <c r="P1705" s="32"/>
      <c r="Q1705" s="32"/>
      <c r="R1705" s="32"/>
      <c r="S1705" s="32"/>
      <c r="T1705" s="32"/>
      <c r="U1705" s="32"/>
      <c r="V1705" s="31"/>
      <c r="W1705" s="35" t="str">
        <f aca="true">IF(OR(V1705="",AG1705&gt;=8),"",IF(V1705&lt;TODAY(),"Vencida",IF(V1705=TODAY(),"Hoy","")))</f>
        <v/>
      </c>
      <c r="X1705" s="36" t="str">
        <f aca="false">IF(A1705="","",IF(COUNTIF(Seguimiento!$B$2:$B$5001,A1705)=0,"",_xlfn.MAXIFS(Seguimiento!$A$2:$A$5001,Seguimiento!$B$2:$B$5001,A1705)))</f>
        <v/>
      </c>
      <c r="Y1705" s="37" t="str">
        <f aca="true">IF(B1705="","",TODAY()-B1705)</f>
        <v/>
      </c>
      <c r="Z1705" s="38" t="str">
        <f aca="false">IF(OR(O1705="",G1705=""),"",O1705*IFERROR(INDEX(Listas!$B$2:$B$50,MATCH(G1705,Listas!$A$2:$A$50,0)),0))</f>
        <v/>
      </c>
      <c r="AA1705" s="32"/>
      <c r="AB1705" s="32"/>
      <c r="AC1705" s="32"/>
      <c r="AD1705" s="35" t="str">
        <f aca="false">IF(OR(LEFT(H1705,4)="Meta",LEFT(H1705,6)="Google"),IF(AG1705=3,"Lead calificado",IF(OR(AG1705=4,AG1705=5),"Tasación/visita",IF(OR(AG1705=6,AG1705=7),"Captación/oferta",IF(AG1705=8,"Cierre","")))),"")</f>
        <v/>
      </c>
      <c r="AE1705" s="32"/>
      <c r="AF1705" s="32"/>
      <c r="AG1705" s="37" t="n">
        <f aca="false">IF(R1705="",0,IFERROR(MATCH(R1705,Listas!$L$2:$L$50,0),0))</f>
        <v>0</v>
      </c>
    </row>
    <row r="1706" customFormat="false" ht="15" hidden="false" customHeight="false" outlineLevel="0" collapsed="false">
      <c r="A1706" s="30"/>
      <c r="B1706" s="31"/>
      <c r="C1706" s="32"/>
      <c r="D1706" s="32"/>
      <c r="E1706" s="33"/>
      <c r="F1706" s="32"/>
      <c r="G1706" s="32"/>
      <c r="H1706" s="32"/>
      <c r="I1706" s="32"/>
      <c r="J1706" s="32"/>
      <c r="K1706" s="32"/>
      <c r="L1706" s="32"/>
      <c r="M1706" s="30"/>
      <c r="N1706" s="32"/>
      <c r="O1706" s="34"/>
      <c r="P1706" s="32"/>
      <c r="Q1706" s="32"/>
      <c r="R1706" s="32"/>
      <c r="S1706" s="32"/>
      <c r="T1706" s="32"/>
      <c r="U1706" s="32"/>
      <c r="V1706" s="31"/>
      <c r="W1706" s="35" t="str">
        <f aca="true">IF(OR(V1706="",AG1706&gt;=8),"",IF(V1706&lt;TODAY(),"Vencida",IF(V1706=TODAY(),"Hoy","")))</f>
        <v/>
      </c>
      <c r="X1706" s="36" t="str">
        <f aca="false">IF(A1706="","",IF(COUNTIF(Seguimiento!$B$2:$B$5001,A1706)=0,"",_xlfn.MAXIFS(Seguimiento!$A$2:$A$5001,Seguimiento!$B$2:$B$5001,A1706)))</f>
        <v/>
      </c>
      <c r="Y1706" s="37" t="str">
        <f aca="true">IF(B1706="","",TODAY()-B1706)</f>
        <v/>
      </c>
      <c r="Z1706" s="38" t="str">
        <f aca="false">IF(OR(O1706="",G1706=""),"",O1706*IFERROR(INDEX(Listas!$B$2:$B$50,MATCH(G1706,Listas!$A$2:$A$50,0)),0))</f>
        <v/>
      </c>
      <c r="AA1706" s="32"/>
      <c r="AB1706" s="32"/>
      <c r="AC1706" s="32"/>
      <c r="AD1706" s="35" t="str">
        <f aca="false">IF(OR(LEFT(H1706,4)="Meta",LEFT(H1706,6)="Google"),IF(AG1706=3,"Lead calificado",IF(OR(AG1706=4,AG1706=5),"Tasación/visita",IF(OR(AG1706=6,AG1706=7),"Captación/oferta",IF(AG1706=8,"Cierre","")))),"")</f>
        <v/>
      </c>
      <c r="AE1706" s="32"/>
      <c r="AF1706" s="32"/>
      <c r="AG1706" s="37" t="n">
        <f aca="false">IF(R1706="",0,IFERROR(MATCH(R1706,Listas!$L$2:$L$50,0),0))</f>
        <v>0</v>
      </c>
    </row>
    <row r="1707" customFormat="false" ht="15" hidden="false" customHeight="false" outlineLevel="0" collapsed="false">
      <c r="A1707" s="30"/>
      <c r="B1707" s="31"/>
      <c r="C1707" s="32"/>
      <c r="D1707" s="32"/>
      <c r="E1707" s="33"/>
      <c r="F1707" s="32"/>
      <c r="G1707" s="32"/>
      <c r="H1707" s="32"/>
      <c r="I1707" s="32"/>
      <c r="J1707" s="32"/>
      <c r="K1707" s="32"/>
      <c r="L1707" s="32"/>
      <c r="M1707" s="30"/>
      <c r="N1707" s="32"/>
      <c r="O1707" s="34"/>
      <c r="P1707" s="32"/>
      <c r="Q1707" s="32"/>
      <c r="R1707" s="32"/>
      <c r="S1707" s="32"/>
      <c r="T1707" s="32"/>
      <c r="U1707" s="32"/>
      <c r="V1707" s="31"/>
      <c r="W1707" s="35" t="str">
        <f aca="true">IF(OR(V1707="",AG1707&gt;=8),"",IF(V1707&lt;TODAY(),"Vencida",IF(V1707=TODAY(),"Hoy","")))</f>
        <v/>
      </c>
      <c r="X1707" s="36" t="str">
        <f aca="false">IF(A1707="","",IF(COUNTIF(Seguimiento!$B$2:$B$5001,A1707)=0,"",_xlfn.MAXIFS(Seguimiento!$A$2:$A$5001,Seguimiento!$B$2:$B$5001,A1707)))</f>
        <v/>
      </c>
      <c r="Y1707" s="37" t="str">
        <f aca="true">IF(B1707="","",TODAY()-B1707)</f>
        <v/>
      </c>
      <c r="Z1707" s="38" t="str">
        <f aca="false">IF(OR(O1707="",G1707=""),"",O1707*IFERROR(INDEX(Listas!$B$2:$B$50,MATCH(G1707,Listas!$A$2:$A$50,0)),0))</f>
        <v/>
      </c>
      <c r="AA1707" s="32"/>
      <c r="AB1707" s="32"/>
      <c r="AC1707" s="32"/>
      <c r="AD1707" s="35" t="str">
        <f aca="false">IF(OR(LEFT(H1707,4)="Meta",LEFT(H1707,6)="Google"),IF(AG1707=3,"Lead calificado",IF(OR(AG1707=4,AG1707=5),"Tasación/visita",IF(OR(AG1707=6,AG1707=7),"Captación/oferta",IF(AG1707=8,"Cierre","")))),"")</f>
        <v/>
      </c>
      <c r="AE1707" s="32"/>
      <c r="AF1707" s="32"/>
      <c r="AG1707" s="37" t="n">
        <f aca="false">IF(R1707="",0,IFERROR(MATCH(R1707,Listas!$L$2:$L$50,0),0))</f>
        <v>0</v>
      </c>
    </row>
    <row r="1708" customFormat="false" ht="15" hidden="false" customHeight="false" outlineLevel="0" collapsed="false">
      <c r="A1708" s="30"/>
      <c r="B1708" s="31"/>
      <c r="C1708" s="32"/>
      <c r="D1708" s="32"/>
      <c r="E1708" s="33"/>
      <c r="F1708" s="32"/>
      <c r="G1708" s="32"/>
      <c r="H1708" s="32"/>
      <c r="I1708" s="32"/>
      <c r="J1708" s="32"/>
      <c r="K1708" s="32"/>
      <c r="L1708" s="32"/>
      <c r="M1708" s="30"/>
      <c r="N1708" s="32"/>
      <c r="O1708" s="34"/>
      <c r="P1708" s="32"/>
      <c r="Q1708" s="32"/>
      <c r="R1708" s="32"/>
      <c r="S1708" s="32"/>
      <c r="T1708" s="32"/>
      <c r="U1708" s="32"/>
      <c r="V1708" s="31"/>
      <c r="W1708" s="35" t="str">
        <f aca="true">IF(OR(V1708="",AG1708&gt;=8),"",IF(V1708&lt;TODAY(),"Vencida",IF(V1708=TODAY(),"Hoy","")))</f>
        <v/>
      </c>
      <c r="X1708" s="36" t="str">
        <f aca="false">IF(A1708="","",IF(COUNTIF(Seguimiento!$B$2:$B$5001,A1708)=0,"",_xlfn.MAXIFS(Seguimiento!$A$2:$A$5001,Seguimiento!$B$2:$B$5001,A1708)))</f>
        <v/>
      </c>
      <c r="Y1708" s="37" t="str">
        <f aca="true">IF(B1708="","",TODAY()-B1708)</f>
        <v/>
      </c>
      <c r="Z1708" s="38" t="str">
        <f aca="false">IF(OR(O1708="",G1708=""),"",O1708*IFERROR(INDEX(Listas!$B$2:$B$50,MATCH(G1708,Listas!$A$2:$A$50,0)),0))</f>
        <v/>
      </c>
      <c r="AA1708" s="32"/>
      <c r="AB1708" s="32"/>
      <c r="AC1708" s="32"/>
      <c r="AD1708" s="35" t="str">
        <f aca="false">IF(OR(LEFT(H1708,4)="Meta",LEFT(H1708,6)="Google"),IF(AG1708=3,"Lead calificado",IF(OR(AG1708=4,AG1708=5),"Tasación/visita",IF(OR(AG1708=6,AG1708=7),"Captación/oferta",IF(AG1708=8,"Cierre","")))),"")</f>
        <v/>
      </c>
      <c r="AE1708" s="32"/>
      <c r="AF1708" s="32"/>
      <c r="AG1708" s="37" t="n">
        <f aca="false">IF(R1708="",0,IFERROR(MATCH(R1708,Listas!$L$2:$L$50,0),0))</f>
        <v>0</v>
      </c>
    </row>
    <row r="1709" customFormat="false" ht="15" hidden="false" customHeight="false" outlineLevel="0" collapsed="false">
      <c r="A1709" s="30"/>
      <c r="B1709" s="31"/>
      <c r="C1709" s="32"/>
      <c r="D1709" s="32"/>
      <c r="E1709" s="33"/>
      <c r="F1709" s="32"/>
      <c r="G1709" s="32"/>
      <c r="H1709" s="32"/>
      <c r="I1709" s="32"/>
      <c r="J1709" s="32"/>
      <c r="K1709" s="32"/>
      <c r="L1709" s="32"/>
      <c r="M1709" s="30"/>
      <c r="N1709" s="32"/>
      <c r="O1709" s="34"/>
      <c r="P1709" s="32"/>
      <c r="Q1709" s="32"/>
      <c r="R1709" s="32"/>
      <c r="S1709" s="32"/>
      <c r="T1709" s="32"/>
      <c r="U1709" s="32"/>
      <c r="V1709" s="31"/>
      <c r="W1709" s="35" t="str">
        <f aca="true">IF(OR(V1709="",AG1709&gt;=8),"",IF(V1709&lt;TODAY(),"Vencida",IF(V1709=TODAY(),"Hoy","")))</f>
        <v/>
      </c>
      <c r="X1709" s="36" t="str">
        <f aca="false">IF(A1709="","",IF(COUNTIF(Seguimiento!$B$2:$B$5001,A1709)=0,"",_xlfn.MAXIFS(Seguimiento!$A$2:$A$5001,Seguimiento!$B$2:$B$5001,A1709)))</f>
        <v/>
      </c>
      <c r="Y1709" s="37" t="str">
        <f aca="true">IF(B1709="","",TODAY()-B1709)</f>
        <v/>
      </c>
      <c r="Z1709" s="38" t="str">
        <f aca="false">IF(OR(O1709="",G1709=""),"",O1709*IFERROR(INDEX(Listas!$B$2:$B$50,MATCH(G1709,Listas!$A$2:$A$50,0)),0))</f>
        <v/>
      </c>
      <c r="AA1709" s="32"/>
      <c r="AB1709" s="32"/>
      <c r="AC1709" s="32"/>
      <c r="AD1709" s="35" t="str">
        <f aca="false">IF(OR(LEFT(H1709,4)="Meta",LEFT(H1709,6)="Google"),IF(AG1709=3,"Lead calificado",IF(OR(AG1709=4,AG1709=5),"Tasación/visita",IF(OR(AG1709=6,AG1709=7),"Captación/oferta",IF(AG1709=8,"Cierre","")))),"")</f>
        <v/>
      </c>
      <c r="AE1709" s="32"/>
      <c r="AF1709" s="32"/>
      <c r="AG1709" s="37" t="n">
        <f aca="false">IF(R1709="",0,IFERROR(MATCH(R1709,Listas!$L$2:$L$50,0),0))</f>
        <v>0</v>
      </c>
    </row>
    <row r="1710" customFormat="false" ht="15" hidden="false" customHeight="false" outlineLevel="0" collapsed="false">
      <c r="A1710" s="30"/>
      <c r="B1710" s="31"/>
      <c r="C1710" s="32"/>
      <c r="D1710" s="32"/>
      <c r="E1710" s="33"/>
      <c r="F1710" s="32"/>
      <c r="G1710" s="32"/>
      <c r="H1710" s="32"/>
      <c r="I1710" s="32"/>
      <c r="J1710" s="32"/>
      <c r="K1710" s="32"/>
      <c r="L1710" s="32"/>
      <c r="M1710" s="30"/>
      <c r="N1710" s="32"/>
      <c r="O1710" s="34"/>
      <c r="P1710" s="32"/>
      <c r="Q1710" s="32"/>
      <c r="R1710" s="32"/>
      <c r="S1710" s="32"/>
      <c r="T1710" s="32"/>
      <c r="U1710" s="32"/>
      <c r="V1710" s="31"/>
      <c r="W1710" s="35" t="str">
        <f aca="true">IF(OR(V1710="",AG1710&gt;=8),"",IF(V1710&lt;TODAY(),"Vencida",IF(V1710=TODAY(),"Hoy","")))</f>
        <v/>
      </c>
      <c r="X1710" s="36" t="str">
        <f aca="false">IF(A1710="","",IF(COUNTIF(Seguimiento!$B$2:$B$5001,A1710)=0,"",_xlfn.MAXIFS(Seguimiento!$A$2:$A$5001,Seguimiento!$B$2:$B$5001,A1710)))</f>
        <v/>
      </c>
      <c r="Y1710" s="37" t="str">
        <f aca="true">IF(B1710="","",TODAY()-B1710)</f>
        <v/>
      </c>
      <c r="Z1710" s="38" t="str">
        <f aca="false">IF(OR(O1710="",G1710=""),"",O1710*IFERROR(INDEX(Listas!$B$2:$B$50,MATCH(G1710,Listas!$A$2:$A$50,0)),0))</f>
        <v/>
      </c>
      <c r="AA1710" s="32"/>
      <c r="AB1710" s="32"/>
      <c r="AC1710" s="32"/>
      <c r="AD1710" s="35" t="str">
        <f aca="false">IF(OR(LEFT(H1710,4)="Meta",LEFT(H1710,6)="Google"),IF(AG1710=3,"Lead calificado",IF(OR(AG1710=4,AG1710=5),"Tasación/visita",IF(OR(AG1710=6,AG1710=7),"Captación/oferta",IF(AG1710=8,"Cierre","")))),"")</f>
        <v/>
      </c>
      <c r="AE1710" s="32"/>
      <c r="AF1710" s="32"/>
      <c r="AG1710" s="37" t="n">
        <f aca="false">IF(R1710="",0,IFERROR(MATCH(R1710,Listas!$L$2:$L$50,0),0))</f>
        <v>0</v>
      </c>
    </row>
    <row r="1711" customFormat="false" ht="15" hidden="false" customHeight="false" outlineLevel="0" collapsed="false">
      <c r="A1711" s="30"/>
      <c r="B1711" s="31"/>
      <c r="C1711" s="32"/>
      <c r="D1711" s="32"/>
      <c r="E1711" s="33"/>
      <c r="F1711" s="32"/>
      <c r="G1711" s="32"/>
      <c r="H1711" s="32"/>
      <c r="I1711" s="32"/>
      <c r="J1711" s="32"/>
      <c r="K1711" s="32"/>
      <c r="L1711" s="32"/>
      <c r="M1711" s="30"/>
      <c r="N1711" s="32"/>
      <c r="O1711" s="34"/>
      <c r="P1711" s="32"/>
      <c r="Q1711" s="32"/>
      <c r="R1711" s="32"/>
      <c r="S1711" s="32"/>
      <c r="T1711" s="32"/>
      <c r="U1711" s="32"/>
      <c r="V1711" s="31"/>
      <c r="W1711" s="35" t="str">
        <f aca="true">IF(OR(V1711="",AG1711&gt;=8),"",IF(V1711&lt;TODAY(),"Vencida",IF(V1711=TODAY(),"Hoy","")))</f>
        <v/>
      </c>
      <c r="X1711" s="36" t="str">
        <f aca="false">IF(A1711="","",IF(COUNTIF(Seguimiento!$B$2:$B$5001,A1711)=0,"",_xlfn.MAXIFS(Seguimiento!$A$2:$A$5001,Seguimiento!$B$2:$B$5001,A1711)))</f>
        <v/>
      </c>
      <c r="Y1711" s="37" t="str">
        <f aca="true">IF(B1711="","",TODAY()-B1711)</f>
        <v/>
      </c>
      <c r="Z1711" s="38" t="str">
        <f aca="false">IF(OR(O1711="",G1711=""),"",O1711*IFERROR(INDEX(Listas!$B$2:$B$50,MATCH(G1711,Listas!$A$2:$A$50,0)),0))</f>
        <v/>
      </c>
      <c r="AA1711" s="32"/>
      <c r="AB1711" s="32"/>
      <c r="AC1711" s="32"/>
      <c r="AD1711" s="35" t="str">
        <f aca="false">IF(OR(LEFT(H1711,4)="Meta",LEFT(H1711,6)="Google"),IF(AG1711=3,"Lead calificado",IF(OR(AG1711=4,AG1711=5),"Tasación/visita",IF(OR(AG1711=6,AG1711=7),"Captación/oferta",IF(AG1711=8,"Cierre","")))),"")</f>
        <v/>
      </c>
      <c r="AE1711" s="32"/>
      <c r="AF1711" s="32"/>
      <c r="AG1711" s="37" t="n">
        <f aca="false">IF(R1711="",0,IFERROR(MATCH(R1711,Listas!$L$2:$L$50,0),0))</f>
        <v>0</v>
      </c>
    </row>
    <row r="1712" customFormat="false" ht="15" hidden="false" customHeight="false" outlineLevel="0" collapsed="false">
      <c r="A1712" s="30"/>
      <c r="B1712" s="31"/>
      <c r="C1712" s="32"/>
      <c r="D1712" s="32"/>
      <c r="E1712" s="33"/>
      <c r="F1712" s="32"/>
      <c r="G1712" s="32"/>
      <c r="H1712" s="32"/>
      <c r="I1712" s="32"/>
      <c r="J1712" s="32"/>
      <c r="K1712" s="32"/>
      <c r="L1712" s="32"/>
      <c r="M1712" s="30"/>
      <c r="N1712" s="32"/>
      <c r="O1712" s="34"/>
      <c r="P1712" s="32"/>
      <c r="Q1712" s="32"/>
      <c r="R1712" s="32"/>
      <c r="S1712" s="32"/>
      <c r="T1712" s="32"/>
      <c r="U1712" s="32"/>
      <c r="V1712" s="31"/>
      <c r="W1712" s="35" t="str">
        <f aca="true">IF(OR(V1712="",AG1712&gt;=8),"",IF(V1712&lt;TODAY(),"Vencida",IF(V1712=TODAY(),"Hoy","")))</f>
        <v/>
      </c>
      <c r="X1712" s="36" t="str">
        <f aca="false">IF(A1712="","",IF(COUNTIF(Seguimiento!$B$2:$B$5001,A1712)=0,"",_xlfn.MAXIFS(Seguimiento!$A$2:$A$5001,Seguimiento!$B$2:$B$5001,A1712)))</f>
        <v/>
      </c>
      <c r="Y1712" s="37" t="str">
        <f aca="true">IF(B1712="","",TODAY()-B1712)</f>
        <v/>
      </c>
      <c r="Z1712" s="38" t="str">
        <f aca="false">IF(OR(O1712="",G1712=""),"",O1712*IFERROR(INDEX(Listas!$B$2:$B$50,MATCH(G1712,Listas!$A$2:$A$50,0)),0))</f>
        <v/>
      </c>
      <c r="AA1712" s="32"/>
      <c r="AB1712" s="32"/>
      <c r="AC1712" s="32"/>
      <c r="AD1712" s="35" t="str">
        <f aca="false">IF(OR(LEFT(H1712,4)="Meta",LEFT(H1712,6)="Google"),IF(AG1712=3,"Lead calificado",IF(OR(AG1712=4,AG1712=5),"Tasación/visita",IF(OR(AG1712=6,AG1712=7),"Captación/oferta",IF(AG1712=8,"Cierre","")))),"")</f>
        <v/>
      </c>
      <c r="AE1712" s="32"/>
      <c r="AF1712" s="32"/>
      <c r="AG1712" s="37" t="n">
        <f aca="false">IF(R1712="",0,IFERROR(MATCH(R1712,Listas!$L$2:$L$50,0),0))</f>
        <v>0</v>
      </c>
    </row>
    <row r="1713" customFormat="false" ht="15" hidden="false" customHeight="false" outlineLevel="0" collapsed="false">
      <c r="A1713" s="30"/>
      <c r="B1713" s="31"/>
      <c r="C1713" s="32"/>
      <c r="D1713" s="32"/>
      <c r="E1713" s="33"/>
      <c r="F1713" s="32"/>
      <c r="G1713" s="32"/>
      <c r="H1713" s="32"/>
      <c r="I1713" s="32"/>
      <c r="J1713" s="32"/>
      <c r="K1713" s="32"/>
      <c r="L1713" s="32"/>
      <c r="M1713" s="30"/>
      <c r="N1713" s="32"/>
      <c r="O1713" s="34"/>
      <c r="P1713" s="32"/>
      <c r="Q1713" s="32"/>
      <c r="R1713" s="32"/>
      <c r="S1713" s="32"/>
      <c r="T1713" s="32"/>
      <c r="U1713" s="32"/>
      <c r="V1713" s="31"/>
      <c r="W1713" s="35" t="str">
        <f aca="true">IF(OR(V1713="",AG1713&gt;=8),"",IF(V1713&lt;TODAY(),"Vencida",IF(V1713=TODAY(),"Hoy","")))</f>
        <v/>
      </c>
      <c r="X1713" s="36" t="str">
        <f aca="false">IF(A1713="","",IF(COUNTIF(Seguimiento!$B$2:$B$5001,A1713)=0,"",_xlfn.MAXIFS(Seguimiento!$A$2:$A$5001,Seguimiento!$B$2:$B$5001,A1713)))</f>
        <v/>
      </c>
      <c r="Y1713" s="37" t="str">
        <f aca="true">IF(B1713="","",TODAY()-B1713)</f>
        <v/>
      </c>
      <c r="Z1713" s="38" t="str">
        <f aca="false">IF(OR(O1713="",G1713=""),"",O1713*IFERROR(INDEX(Listas!$B$2:$B$50,MATCH(G1713,Listas!$A$2:$A$50,0)),0))</f>
        <v/>
      </c>
      <c r="AA1713" s="32"/>
      <c r="AB1713" s="32"/>
      <c r="AC1713" s="32"/>
      <c r="AD1713" s="35" t="str">
        <f aca="false">IF(OR(LEFT(H1713,4)="Meta",LEFT(H1713,6)="Google"),IF(AG1713=3,"Lead calificado",IF(OR(AG1713=4,AG1713=5),"Tasación/visita",IF(OR(AG1713=6,AG1713=7),"Captación/oferta",IF(AG1713=8,"Cierre","")))),"")</f>
        <v/>
      </c>
      <c r="AE1713" s="32"/>
      <c r="AF1713" s="32"/>
      <c r="AG1713" s="37" t="n">
        <f aca="false">IF(R1713="",0,IFERROR(MATCH(R1713,Listas!$L$2:$L$50,0),0))</f>
        <v>0</v>
      </c>
    </row>
    <row r="1714" customFormat="false" ht="15" hidden="false" customHeight="false" outlineLevel="0" collapsed="false">
      <c r="A1714" s="30"/>
      <c r="B1714" s="31"/>
      <c r="C1714" s="32"/>
      <c r="D1714" s="32"/>
      <c r="E1714" s="33"/>
      <c r="F1714" s="32"/>
      <c r="G1714" s="32"/>
      <c r="H1714" s="32"/>
      <c r="I1714" s="32"/>
      <c r="J1714" s="32"/>
      <c r="K1714" s="32"/>
      <c r="L1714" s="32"/>
      <c r="M1714" s="30"/>
      <c r="N1714" s="32"/>
      <c r="O1714" s="34"/>
      <c r="P1714" s="32"/>
      <c r="Q1714" s="32"/>
      <c r="R1714" s="32"/>
      <c r="S1714" s="32"/>
      <c r="T1714" s="32"/>
      <c r="U1714" s="32"/>
      <c r="V1714" s="31"/>
      <c r="W1714" s="35" t="str">
        <f aca="true">IF(OR(V1714="",AG1714&gt;=8),"",IF(V1714&lt;TODAY(),"Vencida",IF(V1714=TODAY(),"Hoy","")))</f>
        <v/>
      </c>
      <c r="X1714" s="36" t="str">
        <f aca="false">IF(A1714="","",IF(COUNTIF(Seguimiento!$B$2:$B$5001,A1714)=0,"",_xlfn.MAXIFS(Seguimiento!$A$2:$A$5001,Seguimiento!$B$2:$B$5001,A1714)))</f>
        <v/>
      </c>
      <c r="Y1714" s="37" t="str">
        <f aca="true">IF(B1714="","",TODAY()-B1714)</f>
        <v/>
      </c>
      <c r="Z1714" s="38" t="str">
        <f aca="false">IF(OR(O1714="",G1714=""),"",O1714*IFERROR(INDEX(Listas!$B$2:$B$50,MATCH(G1714,Listas!$A$2:$A$50,0)),0))</f>
        <v/>
      </c>
      <c r="AA1714" s="32"/>
      <c r="AB1714" s="32"/>
      <c r="AC1714" s="32"/>
      <c r="AD1714" s="35" t="str">
        <f aca="false">IF(OR(LEFT(H1714,4)="Meta",LEFT(H1714,6)="Google"),IF(AG1714=3,"Lead calificado",IF(OR(AG1714=4,AG1714=5),"Tasación/visita",IF(OR(AG1714=6,AG1714=7),"Captación/oferta",IF(AG1714=8,"Cierre","")))),"")</f>
        <v/>
      </c>
      <c r="AE1714" s="32"/>
      <c r="AF1714" s="32"/>
      <c r="AG1714" s="37" t="n">
        <f aca="false">IF(R1714="",0,IFERROR(MATCH(R1714,Listas!$L$2:$L$50,0),0))</f>
        <v>0</v>
      </c>
    </row>
    <row r="1715" customFormat="false" ht="15" hidden="false" customHeight="false" outlineLevel="0" collapsed="false">
      <c r="A1715" s="30"/>
      <c r="B1715" s="31"/>
      <c r="C1715" s="32"/>
      <c r="D1715" s="32"/>
      <c r="E1715" s="33"/>
      <c r="F1715" s="32"/>
      <c r="G1715" s="32"/>
      <c r="H1715" s="32"/>
      <c r="I1715" s="32"/>
      <c r="J1715" s="32"/>
      <c r="K1715" s="32"/>
      <c r="L1715" s="32"/>
      <c r="M1715" s="30"/>
      <c r="N1715" s="32"/>
      <c r="O1715" s="34"/>
      <c r="P1715" s="32"/>
      <c r="Q1715" s="32"/>
      <c r="R1715" s="32"/>
      <c r="S1715" s="32"/>
      <c r="T1715" s="32"/>
      <c r="U1715" s="32"/>
      <c r="V1715" s="31"/>
      <c r="W1715" s="35" t="str">
        <f aca="true">IF(OR(V1715="",AG1715&gt;=8),"",IF(V1715&lt;TODAY(),"Vencida",IF(V1715=TODAY(),"Hoy","")))</f>
        <v/>
      </c>
      <c r="X1715" s="36" t="str">
        <f aca="false">IF(A1715="","",IF(COUNTIF(Seguimiento!$B$2:$B$5001,A1715)=0,"",_xlfn.MAXIFS(Seguimiento!$A$2:$A$5001,Seguimiento!$B$2:$B$5001,A1715)))</f>
        <v/>
      </c>
      <c r="Y1715" s="37" t="str">
        <f aca="true">IF(B1715="","",TODAY()-B1715)</f>
        <v/>
      </c>
      <c r="Z1715" s="38" t="str">
        <f aca="false">IF(OR(O1715="",G1715=""),"",O1715*IFERROR(INDEX(Listas!$B$2:$B$50,MATCH(G1715,Listas!$A$2:$A$50,0)),0))</f>
        <v/>
      </c>
      <c r="AA1715" s="32"/>
      <c r="AB1715" s="32"/>
      <c r="AC1715" s="32"/>
      <c r="AD1715" s="35" t="str">
        <f aca="false">IF(OR(LEFT(H1715,4)="Meta",LEFT(H1715,6)="Google"),IF(AG1715=3,"Lead calificado",IF(OR(AG1715=4,AG1715=5),"Tasación/visita",IF(OR(AG1715=6,AG1715=7),"Captación/oferta",IF(AG1715=8,"Cierre","")))),"")</f>
        <v/>
      </c>
      <c r="AE1715" s="32"/>
      <c r="AF1715" s="32"/>
      <c r="AG1715" s="37" t="n">
        <f aca="false">IF(R1715="",0,IFERROR(MATCH(R1715,Listas!$L$2:$L$50,0),0))</f>
        <v>0</v>
      </c>
    </row>
    <row r="1716" customFormat="false" ht="15" hidden="false" customHeight="false" outlineLevel="0" collapsed="false">
      <c r="A1716" s="30"/>
      <c r="B1716" s="31"/>
      <c r="C1716" s="32"/>
      <c r="D1716" s="32"/>
      <c r="E1716" s="33"/>
      <c r="F1716" s="32"/>
      <c r="G1716" s="32"/>
      <c r="H1716" s="32"/>
      <c r="I1716" s="32"/>
      <c r="J1716" s="32"/>
      <c r="K1716" s="32"/>
      <c r="L1716" s="32"/>
      <c r="M1716" s="30"/>
      <c r="N1716" s="32"/>
      <c r="O1716" s="34"/>
      <c r="P1716" s="32"/>
      <c r="Q1716" s="32"/>
      <c r="R1716" s="32"/>
      <c r="S1716" s="32"/>
      <c r="T1716" s="32"/>
      <c r="U1716" s="32"/>
      <c r="V1716" s="31"/>
      <c r="W1716" s="35" t="str">
        <f aca="true">IF(OR(V1716="",AG1716&gt;=8),"",IF(V1716&lt;TODAY(),"Vencida",IF(V1716=TODAY(),"Hoy","")))</f>
        <v/>
      </c>
      <c r="X1716" s="36" t="str">
        <f aca="false">IF(A1716="","",IF(COUNTIF(Seguimiento!$B$2:$B$5001,A1716)=0,"",_xlfn.MAXIFS(Seguimiento!$A$2:$A$5001,Seguimiento!$B$2:$B$5001,A1716)))</f>
        <v/>
      </c>
      <c r="Y1716" s="37" t="str">
        <f aca="true">IF(B1716="","",TODAY()-B1716)</f>
        <v/>
      </c>
      <c r="Z1716" s="38" t="str">
        <f aca="false">IF(OR(O1716="",G1716=""),"",O1716*IFERROR(INDEX(Listas!$B$2:$B$50,MATCH(G1716,Listas!$A$2:$A$50,0)),0))</f>
        <v/>
      </c>
      <c r="AA1716" s="32"/>
      <c r="AB1716" s="32"/>
      <c r="AC1716" s="32"/>
      <c r="AD1716" s="35" t="str">
        <f aca="false">IF(OR(LEFT(H1716,4)="Meta",LEFT(H1716,6)="Google"),IF(AG1716=3,"Lead calificado",IF(OR(AG1716=4,AG1716=5),"Tasación/visita",IF(OR(AG1716=6,AG1716=7),"Captación/oferta",IF(AG1716=8,"Cierre","")))),"")</f>
        <v/>
      </c>
      <c r="AE1716" s="32"/>
      <c r="AF1716" s="32"/>
      <c r="AG1716" s="37" t="n">
        <f aca="false">IF(R1716="",0,IFERROR(MATCH(R1716,Listas!$L$2:$L$50,0),0))</f>
        <v>0</v>
      </c>
    </row>
    <row r="1717" customFormat="false" ht="15" hidden="false" customHeight="false" outlineLevel="0" collapsed="false">
      <c r="A1717" s="30"/>
      <c r="B1717" s="31"/>
      <c r="C1717" s="32"/>
      <c r="D1717" s="32"/>
      <c r="E1717" s="33"/>
      <c r="F1717" s="32"/>
      <c r="G1717" s="32"/>
      <c r="H1717" s="32"/>
      <c r="I1717" s="32"/>
      <c r="J1717" s="32"/>
      <c r="K1717" s="32"/>
      <c r="L1717" s="32"/>
      <c r="M1717" s="30"/>
      <c r="N1717" s="32"/>
      <c r="O1717" s="34"/>
      <c r="P1717" s="32"/>
      <c r="Q1717" s="32"/>
      <c r="R1717" s="32"/>
      <c r="S1717" s="32"/>
      <c r="T1717" s="32"/>
      <c r="U1717" s="32"/>
      <c r="V1717" s="31"/>
      <c r="W1717" s="35" t="str">
        <f aca="true">IF(OR(V1717="",AG1717&gt;=8),"",IF(V1717&lt;TODAY(),"Vencida",IF(V1717=TODAY(),"Hoy","")))</f>
        <v/>
      </c>
      <c r="X1717" s="36" t="str">
        <f aca="false">IF(A1717="","",IF(COUNTIF(Seguimiento!$B$2:$B$5001,A1717)=0,"",_xlfn.MAXIFS(Seguimiento!$A$2:$A$5001,Seguimiento!$B$2:$B$5001,A1717)))</f>
        <v/>
      </c>
      <c r="Y1717" s="37" t="str">
        <f aca="true">IF(B1717="","",TODAY()-B1717)</f>
        <v/>
      </c>
      <c r="Z1717" s="38" t="str">
        <f aca="false">IF(OR(O1717="",G1717=""),"",O1717*IFERROR(INDEX(Listas!$B$2:$B$50,MATCH(G1717,Listas!$A$2:$A$50,0)),0))</f>
        <v/>
      </c>
      <c r="AA1717" s="32"/>
      <c r="AB1717" s="32"/>
      <c r="AC1717" s="32"/>
      <c r="AD1717" s="35" t="str">
        <f aca="false">IF(OR(LEFT(H1717,4)="Meta",LEFT(H1717,6)="Google"),IF(AG1717=3,"Lead calificado",IF(OR(AG1717=4,AG1717=5),"Tasación/visita",IF(OR(AG1717=6,AG1717=7),"Captación/oferta",IF(AG1717=8,"Cierre","")))),"")</f>
        <v/>
      </c>
      <c r="AE1717" s="32"/>
      <c r="AF1717" s="32"/>
      <c r="AG1717" s="37" t="n">
        <f aca="false">IF(R1717="",0,IFERROR(MATCH(R1717,Listas!$L$2:$L$50,0),0))</f>
        <v>0</v>
      </c>
    </row>
    <row r="1718" customFormat="false" ht="15" hidden="false" customHeight="false" outlineLevel="0" collapsed="false">
      <c r="A1718" s="30"/>
      <c r="B1718" s="31"/>
      <c r="C1718" s="32"/>
      <c r="D1718" s="32"/>
      <c r="E1718" s="33"/>
      <c r="F1718" s="32"/>
      <c r="G1718" s="32"/>
      <c r="H1718" s="32"/>
      <c r="I1718" s="32"/>
      <c r="J1718" s="32"/>
      <c r="K1718" s="32"/>
      <c r="L1718" s="32"/>
      <c r="M1718" s="30"/>
      <c r="N1718" s="32"/>
      <c r="O1718" s="34"/>
      <c r="P1718" s="32"/>
      <c r="Q1718" s="32"/>
      <c r="R1718" s="32"/>
      <c r="S1718" s="32"/>
      <c r="T1718" s="32"/>
      <c r="U1718" s="32"/>
      <c r="V1718" s="31"/>
      <c r="W1718" s="35" t="str">
        <f aca="true">IF(OR(V1718="",AG1718&gt;=8),"",IF(V1718&lt;TODAY(),"Vencida",IF(V1718=TODAY(),"Hoy","")))</f>
        <v/>
      </c>
      <c r="X1718" s="36" t="str">
        <f aca="false">IF(A1718="","",IF(COUNTIF(Seguimiento!$B$2:$B$5001,A1718)=0,"",_xlfn.MAXIFS(Seguimiento!$A$2:$A$5001,Seguimiento!$B$2:$B$5001,A1718)))</f>
        <v/>
      </c>
      <c r="Y1718" s="37" t="str">
        <f aca="true">IF(B1718="","",TODAY()-B1718)</f>
        <v/>
      </c>
      <c r="Z1718" s="38" t="str">
        <f aca="false">IF(OR(O1718="",G1718=""),"",O1718*IFERROR(INDEX(Listas!$B$2:$B$50,MATCH(G1718,Listas!$A$2:$A$50,0)),0))</f>
        <v/>
      </c>
      <c r="AA1718" s="32"/>
      <c r="AB1718" s="32"/>
      <c r="AC1718" s="32"/>
      <c r="AD1718" s="35" t="str">
        <f aca="false">IF(OR(LEFT(H1718,4)="Meta",LEFT(H1718,6)="Google"),IF(AG1718=3,"Lead calificado",IF(OR(AG1718=4,AG1718=5),"Tasación/visita",IF(OR(AG1718=6,AG1718=7),"Captación/oferta",IF(AG1718=8,"Cierre","")))),"")</f>
        <v/>
      </c>
      <c r="AE1718" s="32"/>
      <c r="AF1718" s="32"/>
      <c r="AG1718" s="37" t="n">
        <f aca="false">IF(R1718="",0,IFERROR(MATCH(R1718,Listas!$L$2:$L$50,0),0))</f>
        <v>0</v>
      </c>
    </row>
    <row r="1719" customFormat="false" ht="15" hidden="false" customHeight="false" outlineLevel="0" collapsed="false">
      <c r="A1719" s="30"/>
      <c r="B1719" s="31"/>
      <c r="C1719" s="32"/>
      <c r="D1719" s="32"/>
      <c r="E1719" s="33"/>
      <c r="F1719" s="32"/>
      <c r="G1719" s="32"/>
      <c r="H1719" s="32"/>
      <c r="I1719" s="32"/>
      <c r="J1719" s="32"/>
      <c r="K1719" s="32"/>
      <c r="L1719" s="32"/>
      <c r="M1719" s="30"/>
      <c r="N1719" s="32"/>
      <c r="O1719" s="34"/>
      <c r="P1719" s="32"/>
      <c r="Q1719" s="32"/>
      <c r="R1719" s="32"/>
      <c r="S1719" s="32"/>
      <c r="T1719" s="32"/>
      <c r="U1719" s="32"/>
      <c r="V1719" s="31"/>
      <c r="W1719" s="35" t="str">
        <f aca="true">IF(OR(V1719="",AG1719&gt;=8),"",IF(V1719&lt;TODAY(),"Vencida",IF(V1719=TODAY(),"Hoy","")))</f>
        <v/>
      </c>
      <c r="X1719" s="36" t="str">
        <f aca="false">IF(A1719="","",IF(COUNTIF(Seguimiento!$B$2:$B$5001,A1719)=0,"",_xlfn.MAXIFS(Seguimiento!$A$2:$A$5001,Seguimiento!$B$2:$B$5001,A1719)))</f>
        <v/>
      </c>
      <c r="Y1719" s="37" t="str">
        <f aca="true">IF(B1719="","",TODAY()-B1719)</f>
        <v/>
      </c>
      <c r="Z1719" s="38" t="str">
        <f aca="false">IF(OR(O1719="",G1719=""),"",O1719*IFERROR(INDEX(Listas!$B$2:$B$50,MATCH(G1719,Listas!$A$2:$A$50,0)),0))</f>
        <v/>
      </c>
      <c r="AA1719" s="32"/>
      <c r="AB1719" s="32"/>
      <c r="AC1719" s="32"/>
      <c r="AD1719" s="35" t="str">
        <f aca="false">IF(OR(LEFT(H1719,4)="Meta",LEFT(H1719,6)="Google"),IF(AG1719=3,"Lead calificado",IF(OR(AG1719=4,AG1719=5),"Tasación/visita",IF(OR(AG1719=6,AG1719=7),"Captación/oferta",IF(AG1719=8,"Cierre","")))),"")</f>
        <v/>
      </c>
      <c r="AE1719" s="32"/>
      <c r="AF1719" s="32"/>
      <c r="AG1719" s="37" t="n">
        <f aca="false">IF(R1719="",0,IFERROR(MATCH(R1719,Listas!$L$2:$L$50,0),0))</f>
        <v>0</v>
      </c>
    </row>
    <row r="1720" customFormat="false" ht="15" hidden="false" customHeight="false" outlineLevel="0" collapsed="false">
      <c r="A1720" s="30"/>
      <c r="B1720" s="31"/>
      <c r="C1720" s="32"/>
      <c r="D1720" s="32"/>
      <c r="E1720" s="33"/>
      <c r="F1720" s="32"/>
      <c r="G1720" s="32"/>
      <c r="H1720" s="32"/>
      <c r="I1720" s="32"/>
      <c r="J1720" s="32"/>
      <c r="K1720" s="32"/>
      <c r="L1720" s="32"/>
      <c r="M1720" s="30"/>
      <c r="N1720" s="32"/>
      <c r="O1720" s="34"/>
      <c r="P1720" s="32"/>
      <c r="Q1720" s="32"/>
      <c r="R1720" s="32"/>
      <c r="S1720" s="32"/>
      <c r="T1720" s="32"/>
      <c r="U1720" s="32"/>
      <c r="V1720" s="31"/>
      <c r="W1720" s="35" t="str">
        <f aca="true">IF(OR(V1720="",AG1720&gt;=8),"",IF(V1720&lt;TODAY(),"Vencida",IF(V1720=TODAY(),"Hoy","")))</f>
        <v/>
      </c>
      <c r="X1720" s="36" t="str">
        <f aca="false">IF(A1720="","",IF(COUNTIF(Seguimiento!$B$2:$B$5001,A1720)=0,"",_xlfn.MAXIFS(Seguimiento!$A$2:$A$5001,Seguimiento!$B$2:$B$5001,A1720)))</f>
        <v/>
      </c>
      <c r="Y1720" s="37" t="str">
        <f aca="true">IF(B1720="","",TODAY()-B1720)</f>
        <v/>
      </c>
      <c r="Z1720" s="38" t="str">
        <f aca="false">IF(OR(O1720="",G1720=""),"",O1720*IFERROR(INDEX(Listas!$B$2:$B$50,MATCH(G1720,Listas!$A$2:$A$50,0)),0))</f>
        <v/>
      </c>
      <c r="AA1720" s="32"/>
      <c r="AB1720" s="32"/>
      <c r="AC1720" s="32"/>
      <c r="AD1720" s="35" t="str">
        <f aca="false">IF(OR(LEFT(H1720,4)="Meta",LEFT(H1720,6)="Google"),IF(AG1720=3,"Lead calificado",IF(OR(AG1720=4,AG1720=5),"Tasación/visita",IF(OR(AG1720=6,AG1720=7),"Captación/oferta",IF(AG1720=8,"Cierre","")))),"")</f>
        <v/>
      </c>
      <c r="AE1720" s="32"/>
      <c r="AF1720" s="32"/>
      <c r="AG1720" s="37" t="n">
        <f aca="false">IF(R1720="",0,IFERROR(MATCH(R1720,Listas!$L$2:$L$50,0),0))</f>
        <v>0</v>
      </c>
    </row>
    <row r="1721" customFormat="false" ht="15" hidden="false" customHeight="false" outlineLevel="0" collapsed="false">
      <c r="A1721" s="30"/>
      <c r="B1721" s="31"/>
      <c r="C1721" s="32"/>
      <c r="D1721" s="32"/>
      <c r="E1721" s="33"/>
      <c r="F1721" s="32"/>
      <c r="G1721" s="32"/>
      <c r="H1721" s="32"/>
      <c r="I1721" s="32"/>
      <c r="J1721" s="32"/>
      <c r="K1721" s="32"/>
      <c r="L1721" s="32"/>
      <c r="M1721" s="30"/>
      <c r="N1721" s="32"/>
      <c r="O1721" s="34"/>
      <c r="P1721" s="32"/>
      <c r="Q1721" s="32"/>
      <c r="R1721" s="32"/>
      <c r="S1721" s="32"/>
      <c r="T1721" s="32"/>
      <c r="U1721" s="32"/>
      <c r="V1721" s="31"/>
      <c r="W1721" s="35" t="str">
        <f aca="true">IF(OR(V1721="",AG1721&gt;=8),"",IF(V1721&lt;TODAY(),"Vencida",IF(V1721=TODAY(),"Hoy","")))</f>
        <v/>
      </c>
      <c r="X1721" s="36" t="str">
        <f aca="false">IF(A1721="","",IF(COUNTIF(Seguimiento!$B$2:$B$5001,A1721)=0,"",_xlfn.MAXIFS(Seguimiento!$A$2:$A$5001,Seguimiento!$B$2:$B$5001,A1721)))</f>
        <v/>
      </c>
      <c r="Y1721" s="37" t="str">
        <f aca="true">IF(B1721="","",TODAY()-B1721)</f>
        <v/>
      </c>
      <c r="Z1721" s="38" t="str">
        <f aca="false">IF(OR(O1721="",G1721=""),"",O1721*IFERROR(INDEX(Listas!$B$2:$B$50,MATCH(G1721,Listas!$A$2:$A$50,0)),0))</f>
        <v/>
      </c>
      <c r="AA1721" s="32"/>
      <c r="AB1721" s="32"/>
      <c r="AC1721" s="32"/>
      <c r="AD1721" s="35" t="str">
        <f aca="false">IF(OR(LEFT(H1721,4)="Meta",LEFT(H1721,6)="Google"),IF(AG1721=3,"Lead calificado",IF(OR(AG1721=4,AG1721=5),"Tasación/visita",IF(OR(AG1721=6,AG1721=7),"Captación/oferta",IF(AG1721=8,"Cierre","")))),"")</f>
        <v/>
      </c>
      <c r="AE1721" s="32"/>
      <c r="AF1721" s="32"/>
      <c r="AG1721" s="37" t="n">
        <f aca="false">IF(R1721="",0,IFERROR(MATCH(R1721,Listas!$L$2:$L$50,0),0))</f>
        <v>0</v>
      </c>
    </row>
    <row r="1722" customFormat="false" ht="15" hidden="false" customHeight="false" outlineLevel="0" collapsed="false">
      <c r="A1722" s="30"/>
      <c r="B1722" s="31"/>
      <c r="C1722" s="32"/>
      <c r="D1722" s="32"/>
      <c r="E1722" s="33"/>
      <c r="F1722" s="32"/>
      <c r="G1722" s="32"/>
      <c r="H1722" s="32"/>
      <c r="I1722" s="32"/>
      <c r="J1722" s="32"/>
      <c r="K1722" s="32"/>
      <c r="L1722" s="32"/>
      <c r="M1722" s="30"/>
      <c r="N1722" s="32"/>
      <c r="O1722" s="34"/>
      <c r="P1722" s="32"/>
      <c r="Q1722" s="32"/>
      <c r="R1722" s="32"/>
      <c r="S1722" s="32"/>
      <c r="T1722" s="32"/>
      <c r="U1722" s="32"/>
      <c r="V1722" s="31"/>
      <c r="W1722" s="35" t="str">
        <f aca="true">IF(OR(V1722="",AG1722&gt;=8),"",IF(V1722&lt;TODAY(),"Vencida",IF(V1722=TODAY(),"Hoy","")))</f>
        <v/>
      </c>
      <c r="X1722" s="36" t="str">
        <f aca="false">IF(A1722="","",IF(COUNTIF(Seguimiento!$B$2:$B$5001,A1722)=0,"",_xlfn.MAXIFS(Seguimiento!$A$2:$A$5001,Seguimiento!$B$2:$B$5001,A1722)))</f>
        <v/>
      </c>
      <c r="Y1722" s="37" t="str">
        <f aca="true">IF(B1722="","",TODAY()-B1722)</f>
        <v/>
      </c>
      <c r="Z1722" s="38" t="str">
        <f aca="false">IF(OR(O1722="",G1722=""),"",O1722*IFERROR(INDEX(Listas!$B$2:$B$50,MATCH(G1722,Listas!$A$2:$A$50,0)),0))</f>
        <v/>
      </c>
      <c r="AA1722" s="32"/>
      <c r="AB1722" s="32"/>
      <c r="AC1722" s="32"/>
      <c r="AD1722" s="35" t="str">
        <f aca="false">IF(OR(LEFT(H1722,4)="Meta",LEFT(H1722,6)="Google"),IF(AG1722=3,"Lead calificado",IF(OR(AG1722=4,AG1722=5),"Tasación/visita",IF(OR(AG1722=6,AG1722=7),"Captación/oferta",IF(AG1722=8,"Cierre","")))),"")</f>
        <v/>
      </c>
      <c r="AE1722" s="32"/>
      <c r="AF1722" s="32"/>
      <c r="AG1722" s="37" t="n">
        <f aca="false">IF(R1722="",0,IFERROR(MATCH(R1722,Listas!$L$2:$L$50,0),0))</f>
        <v>0</v>
      </c>
    </row>
    <row r="1723" customFormat="false" ht="15" hidden="false" customHeight="false" outlineLevel="0" collapsed="false">
      <c r="A1723" s="30"/>
      <c r="B1723" s="31"/>
      <c r="C1723" s="32"/>
      <c r="D1723" s="32"/>
      <c r="E1723" s="33"/>
      <c r="F1723" s="32"/>
      <c r="G1723" s="32"/>
      <c r="H1723" s="32"/>
      <c r="I1723" s="32"/>
      <c r="J1723" s="32"/>
      <c r="K1723" s="32"/>
      <c r="L1723" s="32"/>
      <c r="M1723" s="30"/>
      <c r="N1723" s="32"/>
      <c r="O1723" s="34"/>
      <c r="P1723" s="32"/>
      <c r="Q1723" s="32"/>
      <c r="R1723" s="32"/>
      <c r="S1723" s="32"/>
      <c r="T1723" s="32"/>
      <c r="U1723" s="32"/>
      <c r="V1723" s="31"/>
      <c r="W1723" s="35" t="str">
        <f aca="true">IF(OR(V1723="",AG1723&gt;=8),"",IF(V1723&lt;TODAY(),"Vencida",IF(V1723=TODAY(),"Hoy","")))</f>
        <v/>
      </c>
      <c r="X1723" s="36" t="str">
        <f aca="false">IF(A1723="","",IF(COUNTIF(Seguimiento!$B$2:$B$5001,A1723)=0,"",_xlfn.MAXIFS(Seguimiento!$A$2:$A$5001,Seguimiento!$B$2:$B$5001,A1723)))</f>
        <v/>
      </c>
      <c r="Y1723" s="37" t="str">
        <f aca="true">IF(B1723="","",TODAY()-B1723)</f>
        <v/>
      </c>
      <c r="Z1723" s="38" t="str">
        <f aca="false">IF(OR(O1723="",G1723=""),"",O1723*IFERROR(INDEX(Listas!$B$2:$B$50,MATCH(G1723,Listas!$A$2:$A$50,0)),0))</f>
        <v/>
      </c>
      <c r="AA1723" s="32"/>
      <c r="AB1723" s="32"/>
      <c r="AC1723" s="32"/>
      <c r="AD1723" s="35" t="str">
        <f aca="false">IF(OR(LEFT(H1723,4)="Meta",LEFT(H1723,6)="Google"),IF(AG1723=3,"Lead calificado",IF(OR(AG1723=4,AG1723=5),"Tasación/visita",IF(OR(AG1723=6,AG1723=7),"Captación/oferta",IF(AG1723=8,"Cierre","")))),"")</f>
        <v/>
      </c>
      <c r="AE1723" s="32"/>
      <c r="AF1723" s="32"/>
      <c r="AG1723" s="37" t="n">
        <f aca="false">IF(R1723="",0,IFERROR(MATCH(R1723,Listas!$L$2:$L$50,0),0))</f>
        <v>0</v>
      </c>
    </row>
    <row r="1724" customFormat="false" ht="15" hidden="false" customHeight="false" outlineLevel="0" collapsed="false">
      <c r="A1724" s="30"/>
      <c r="B1724" s="31"/>
      <c r="C1724" s="32"/>
      <c r="D1724" s="32"/>
      <c r="E1724" s="33"/>
      <c r="F1724" s="32"/>
      <c r="G1724" s="32"/>
      <c r="H1724" s="32"/>
      <c r="I1724" s="32"/>
      <c r="J1724" s="32"/>
      <c r="K1724" s="32"/>
      <c r="L1724" s="32"/>
      <c r="M1724" s="30"/>
      <c r="N1724" s="32"/>
      <c r="O1724" s="34"/>
      <c r="P1724" s="32"/>
      <c r="Q1724" s="32"/>
      <c r="R1724" s="32"/>
      <c r="S1724" s="32"/>
      <c r="T1724" s="32"/>
      <c r="U1724" s="32"/>
      <c r="V1724" s="31"/>
      <c r="W1724" s="35" t="str">
        <f aca="true">IF(OR(V1724="",AG1724&gt;=8),"",IF(V1724&lt;TODAY(),"Vencida",IF(V1724=TODAY(),"Hoy","")))</f>
        <v/>
      </c>
      <c r="X1724" s="36" t="str">
        <f aca="false">IF(A1724="","",IF(COUNTIF(Seguimiento!$B$2:$B$5001,A1724)=0,"",_xlfn.MAXIFS(Seguimiento!$A$2:$A$5001,Seguimiento!$B$2:$B$5001,A1724)))</f>
        <v/>
      </c>
      <c r="Y1724" s="37" t="str">
        <f aca="true">IF(B1724="","",TODAY()-B1724)</f>
        <v/>
      </c>
      <c r="Z1724" s="38" t="str">
        <f aca="false">IF(OR(O1724="",G1724=""),"",O1724*IFERROR(INDEX(Listas!$B$2:$B$50,MATCH(G1724,Listas!$A$2:$A$50,0)),0))</f>
        <v/>
      </c>
      <c r="AA1724" s="32"/>
      <c r="AB1724" s="32"/>
      <c r="AC1724" s="32"/>
      <c r="AD1724" s="35" t="str">
        <f aca="false">IF(OR(LEFT(H1724,4)="Meta",LEFT(H1724,6)="Google"),IF(AG1724=3,"Lead calificado",IF(OR(AG1724=4,AG1724=5),"Tasación/visita",IF(OR(AG1724=6,AG1724=7),"Captación/oferta",IF(AG1724=8,"Cierre","")))),"")</f>
        <v/>
      </c>
      <c r="AE1724" s="32"/>
      <c r="AF1724" s="32"/>
      <c r="AG1724" s="37" t="n">
        <f aca="false">IF(R1724="",0,IFERROR(MATCH(R1724,Listas!$L$2:$L$50,0),0))</f>
        <v>0</v>
      </c>
    </row>
    <row r="1725" customFormat="false" ht="15" hidden="false" customHeight="false" outlineLevel="0" collapsed="false">
      <c r="A1725" s="30"/>
      <c r="B1725" s="31"/>
      <c r="C1725" s="32"/>
      <c r="D1725" s="32"/>
      <c r="E1725" s="33"/>
      <c r="F1725" s="32"/>
      <c r="G1725" s="32"/>
      <c r="H1725" s="32"/>
      <c r="I1725" s="32"/>
      <c r="J1725" s="32"/>
      <c r="K1725" s="32"/>
      <c r="L1725" s="32"/>
      <c r="M1725" s="30"/>
      <c r="N1725" s="32"/>
      <c r="O1725" s="34"/>
      <c r="P1725" s="32"/>
      <c r="Q1725" s="32"/>
      <c r="R1725" s="32"/>
      <c r="S1725" s="32"/>
      <c r="T1725" s="32"/>
      <c r="U1725" s="32"/>
      <c r="V1725" s="31"/>
      <c r="W1725" s="35" t="str">
        <f aca="true">IF(OR(V1725="",AG1725&gt;=8),"",IF(V1725&lt;TODAY(),"Vencida",IF(V1725=TODAY(),"Hoy","")))</f>
        <v/>
      </c>
      <c r="X1725" s="36" t="str">
        <f aca="false">IF(A1725="","",IF(COUNTIF(Seguimiento!$B$2:$B$5001,A1725)=0,"",_xlfn.MAXIFS(Seguimiento!$A$2:$A$5001,Seguimiento!$B$2:$B$5001,A1725)))</f>
        <v/>
      </c>
      <c r="Y1725" s="37" t="str">
        <f aca="true">IF(B1725="","",TODAY()-B1725)</f>
        <v/>
      </c>
      <c r="Z1725" s="38" t="str">
        <f aca="false">IF(OR(O1725="",G1725=""),"",O1725*IFERROR(INDEX(Listas!$B$2:$B$50,MATCH(G1725,Listas!$A$2:$A$50,0)),0))</f>
        <v/>
      </c>
      <c r="AA1725" s="32"/>
      <c r="AB1725" s="32"/>
      <c r="AC1725" s="32"/>
      <c r="AD1725" s="35" t="str">
        <f aca="false">IF(OR(LEFT(H1725,4)="Meta",LEFT(H1725,6)="Google"),IF(AG1725=3,"Lead calificado",IF(OR(AG1725=4,AG1725=5),"Tasación/visita",IF(OR(AG1725=6,AG1725=7),"Captación/oferta",IF(AG1725=8,"Cierre","")))),"")</f>
        <v/>
      </c>
      <c r="AE1725" s="32"/>
      <c r="AF1725" s="32"/>
      <c r="AG1725" s="37" t="n">
        <f aca="false">IF(R1725="",0,IFERROR(MATCH(R1725,Listas!$L$2:$L$50,0),0))</f>
        <v>0</v>
      </c>
    </row>
    <row r="1726" customFormat="false" ht="15" hidden="false" customHeight="false" outlineLevel="0" collapsed="false">
      <c r="A1726" s="30"/>
      <c r="B1726" s="31"/>
      <c r="C1726" s="32"/>
      <c r="D1726" s="32"/>
      <c r="E1726" s="33"/>
      <c r="F1726" s="32"/>
      <c r="G1726" s="32"/>
      <c r="H1726" s="32"/>
      <c r="I1726" s="32"/>
      <c r="J1726" s="32"/>
      <c r="K1726" s="32"/>
      <c r="L1726" s="32"/>
      <c r="M1726" s="30"/>
      <c r="N1726" s="32"/>
      <c r="O1726" s="34"/>
      <c r="P1726" s="32"/>
      <c r="Q1726" s="32"/>
      <c r="R1726" s="32"/>
      <c r="S1726" s="32"/>
      <c r="T1726" s="32"/>
      <c r="U1726" s="32"/>
      <c r="V1726" s="31"/>
      <c r="W1726" s="35" t="str">
        <f aca="true">IF(OR(V1726="",AG1726&gt;=8),"",IF(V1726&lt;TODAY(),"Vencida",IF(V1726=TODAY(),"Hoy","")))</f>
        <v/>
      </c>
      <c r="X1726" s="36" t="str">
        <f aca="false">IF(A1726="","",IF(COUNTIF(Seguimiento!$B$2:$B$5001,A1726)=0,"",_xlfn.MAXIFS(Seguimiento!$A$2:$A$5001,Seguimiento!$B$2:$B$5001,A1726)))</f>
        <v/>
      </c>
      <c r="Y1726" s="37" t="str">
        <f aca="true">IF(B1726="","",TODAY()-B1726)</f>
        <v/>
      </c>
      <c r="Z1726" s="38" t="str">
        <f aca="false">IF(OR(O1726="",G1726=""),"",O1726*IFERROR(INDEX(Listas!$B$2:$B$50,MATCH(G1726,Listas!$A$2:$A$50,0)),0))</f>
        <v/>
      </c>
      <c r="AA1726" s="32"/>
      <c r="AB1726" s="32"/>
      <c r="AC1726" s="32"/>
      <c r="AD1726" s="35" t="str">
        <f aca="false">IF(OR(LEFT(H1726,4)="Meta",LEFT(H1726,6)="Google"),IF(AG1726=3,"Lead calificado",IF(OR(AG1726=4,AG1726=5),"Tasación/visita",IF(OR(AG1726=6,AG1726=7),"Captación/oferta",IF(AG1726=8,"Cierre","")))),"")</f>
        <v/>
      </c>
      <c r="AE1726" s="32"/>
      <c r="AF1726" s="32"/>
      <c r="AG1726" s="37" t="n">
        <f aca="false">IF(R1726="",0,IFERROR(MATCH(R1726,Listas!$L$2:$L$50,0),0))</f>
        <v>0</v>
      </c>
    </row>
    <row r="1727" customFormat="false" ht="15" hidden="false" customHeight="false" outlineLevel="0" collapsed="false">
      <c r="A1727" s="30"/>
      <c r="B1727" s="31"/>
      <c r="C1727" s="32"/>
      <c r="D1727" s="32"/>
      <c r="E1727" s="33"/>
      <c r="F1727" s="32"/>
      <c r="G1727" s="32"/>
      <c r="H1727" s="32"/>
      <c r="I1727" s="32"/>
      <c r="J1727" s="32"/>
      <c r="K1727" s="32"/>
      <c r="L1727" s="32"/>
      <c r="M1727" s="30"/>
      <c r="N1727" s="32"/>
      <c r="O1727" s="34"/>
      <c r="P1727" s="32"/>
      <c r="Q1727" s="32"/>
      <c r="R1727" s="32"/>
      <c r="S1727" s="32"/>
      <c r="T1727" s="32"/>
      <c r="U1727" s="32"/>
      <c r="V1727" s="31"/>
      <c r="W1727" s="35" t="str">
        <f aca="true">IF(OR(V1727="",AG1727&gt;=8),"",IF(V1727&lt;TODAY(),"Vencida",IF(V1727=TODAY(),"Hoy","")))</f>
        <v/>
      </c>
      <c r="X1727" s="36" t="str">
        <f aca="false">IF(A1727="","",IF(COUNTIF(Seguimiento!$B$2:$B$5001,A1727)=0,"",_xlfn.MAXIFS(Seguimiento!$A$2:$A$5001,Seguimiento!$B$2:$B$5001,A1727)))</f>
        <v/>
      </c>
      <c r="Y1727" s="37" t="str">
        <f aca="true">IF(B1727="","",TODAY()-B1727)</f>
        <v/>
      </c>
      <c r="Z1727" s="38" t="str">
        <f aca="false">IF(OR(O1727="",G1727=""),"",O1727*IFERROR(INDEX(Listas!$B$2:$B$50,MATCH(G1727,Listas!$A$2:$A$50,0)),0))</f>
        <v/>
      </c>
      <c r="AA1727" s="32"/>
      <c r="AB1727" s="32"/>
      <c r="AC1727" s="32"/>
      <c r="AD1727" s="35" t="str">
        <f aca="false">IF(OR(LEFT(H1727,4)="Meta",LEFT(H1727,6)="Google"),IF(AG1727=3,"Lead calificado",IF(OR(AG1727=4,AG1727=5),"Tasación/visita",IF(OR(AG1727=6,AG1727=7),"Captación/oferta",IF(AG1727=8,"Cierre","")))),"")</f>
        <v/>
      </c>
      <c r="AE1727" s="32"/>
      <c r="AF1727" s="32"/>
      <c r="AG1727" s="37" t="n">
        <f aca="false">IF(R1727="",0,IFERROR(MATCH(R1727,Listas!$L$2:$L$50,0),0))</f>
        <v>0</v>
      </c>
    </row>
    <row r="1728" customFormat="false" ht="15" hidden="false" customHeight="false" outlineLevel="0" collapsed="false">
      <c r="A1728" s="30"/>
      <c r="B1728" s="31"/>
      <c r="C1728" s="32"/>
      <c r="D1728" s="32"/>
      <c r="E1728" s="33"/>
      <c r="F1728" s="32"/>
      <c r="G1728" s="32"/>
      <c r="H1728" s="32"/>
      <c r="I1728" s="32"/>
      <c r="J1728" s="32"/>
      <c r="K1728" s="32"/>
      <c r="L1728" s="32"/>
      <c r="M1728" s="30"/>
      <c r="N1728" s="32"/>
      <c r="O1728" s="34"/>
      <c r="P1728" s="32"/>
      <c r="Q1728" s="32"/>
      <c r="R1728" s="32"/>
      <c r="S1728" s="32"/>
      <c r="T1728" s="32"/>
      <c r="U1728" s="32"/>
      <c r="V1728" s="31"/>
      <c r="W1728" s="35" t="str">
        <f aca="true">IF(OR(V1728="",AG1728&gt;=8),"",IF(V1728&lt;TODAY(),"Vencida",IF(V1728=TODAY(),"Hoy","")))</f>
        <v/>
      </c>
      <c r="X1728" s="36" t="str">
        <f aca="false">IF(A1728="","",IF(COUNTIF(Seguimiento!$B$2:$B$5001,A1728)=0,"",_xlfn.MAXIFS(Seguimiento!$A$2:$A$5001,Seguimiento!$B$2:$B$5001,A1728)))</f>
        <v/>
      </c>
      <c r="Y1728" s="37" t="str">
        <f aca="true">IF(B1728="","",TODAY()-B1728)</f>
        <v/>
      </c>
      <c r="Z1728" s="38" t="str">
        <f aca="false">IF(OR(O1728="",G1728=""),"",O1728*IFERROR(INDEX(Listas!$B$2:$B$50,MATCH(G1728,Listas!$A$2:$A$50,0)),0))</f>
        <v/>
      </c>
      <c r="AA1728" s="32"/>
      <c r="AB1728" s="32"/>
      <c r="AC1728" s="32"/>
      <c r="AD1728" s="35" t="str">
        <f aca="false">IF(OR(LEFT(H1728,4)="Meta",LEFT(H1728,6)="Google"),IF(AG1728=3,"Lead calificado",IF(OR(AG1728=4,AG1728=5),"Tasación/visita",IF(OR(AG1728=6,AG1728=7),"Captación/oferta",IF(AG1728=8,"Cierre","")))),"")</f>
        <v/>
      </c>
      <c r="AE1728" s="32"/>
      <c r="AF1728" s="32"/>
      <c r="AG1728" s="37" t="n">
        <f aca="false">IF(R1728="",0,IFERROR(MATCH(R1728,Listas!$L$2:$L$50,0),0))</f>
        <v>0</v>
      </c>
    </row>
    <row r="1729" customFormat="false" ht="15" hidden="false" customHeight="false" outlineLevel="0" collapsed="false">
      <c r="A1729" s="30"/>
      <c r="B1729" s="31"/>
      <c r="C1729" s="32"/>
      <c r="D1729" s="32"/>
      <c r="E1729" s="33"/>
      <c r="F1729" s="32"/>
      <c r="G1729" s="32"/>
      <c r="H1729" s="32"/>
      <c r="I1729" s="32"/>
      <c r="J1729" s="32"/>
      <c r="K1729" s="32"/>
      <c r="L1729" s="32"/>
      <c r="M1729" s="30"/>
      <c r="N1729" s="32"/>
      <c r="O1729" s="34"/>
      <c r="P1729" s="32"/>
      <c r="Q1729" s="32"/>
      <c r="R1729" s="32"/>
      <c r="S1729" s="32"/>
      <c r="T1729" s="32"/>
      <c r="U1729" s="32"/>
      <c r="V1729" s="31"/>
      <c r="W1729" s="35" t="str">
        <f aca="true">IF(OR(V1729="",AG1729&gt;=8),"",IF(V1729&lt;TODAY(),"Vencida",IF(V1729=TODAY(),"Hoy","")))</f>
        <v/>
      </c>
      <c r="X1729" s="36" t="str">
        <f aca="false">IF(A1729="","",IF(COUNTIF(Seguimiento!$B$2:$B$5001,A1729)=0,"",_xlfn.MAXIFS(Seguimiento!$A$2:$A$5001,Seguimiento!$B$2:$B$5001,A1729)))</f>
        <v/>
      </c>
      <c r="Y1729" s="37" t="str">
        <f aca="true">IF(B1729="","",TODAY()-B1729)</f>
        <v/>
      </c>
      <c r="Z1729" s="38" t="str">
        <f aca="false">IF(OR(O1729="",G1729=""),"",O1729*IFERROR(INDEX(Listas!$B$2:$B$50,MATCH(G1729,Listas!$A$2:$A$50,0)),0))</f>
        <v/>
      </c>
      <c r="AA1729" s="32"/>
      <c r="AB1729" s="32"/>
      <c r="AC1729" s="32"/>
      <c r="AD1729" s="35" t="str">
        <f aca="false">IF(OR(LEFT(H1729,4)="Meta",LEFT(H1729,6)="Google"),IF(AG1729=3,"Lead calificado",IF(OR(AG1729=4,AG1729=5),"Tasación/visita",IF(OR(AG1729=6,AG1729=7),"Captación/oferta",IF(AG1729=8,"Cierre","")))),"")</f>
        <v/>
      </c>
      <c r="AE1729" s="32"/>
      <c r="AF1729" s="32"/>
      <c r="AG1729" s="37" t="n">
        <f aca="false">IF(R1729="",0,IFERROR(MATCH(R1729,Listas!$L$2:$L$50,0),0))</f>
        <v>0</v>
      </c>
    </row>
    <row r="1730" customFormat="false" ht="15" hidden="false" customHeight="false" outlineLevel="0" collapsed="false">
      <c r="A1730" s="30"/>
      <c r="B1730" s="31"/>
      <c r="C1730" s="32"/>
      <c r="D1730" s="32"/>
      <c r="E1730" s="33"/>
      <c r="F1730" s="32"/>
      <c r="G1730" s="32"/>
      <c r="H1730" s="32"/>
      <c r="I1730" s="32"/>
      <c r="J1730" s="32"/>
      <c r="K1730" s="32"/>
      <c r="L1730" s="32"/>
      <c r="M1730" s="30"/>
      <c r="N1730" s="32"/>
      <c r="O1730" s="34"/>
      <c r="P1730" s="32"/>
      <c r="Q1730" s="32"/>
      <c r="R1730" s="32"/>
      <c r="S1730" s="32"/>
      <c r="T1730" s="32"/>
      <c r="U1730" s="32"/>
      <c r="V1730" s="31"/>
      <c r="W1730" s="35" t="str">
        <f aca="true">IF(OR(V1730="",AG1730&gt;=8),"",IF(V1730&lt;TODAY(),"Vencida",IF(V1730=TODAY(),"Hoy","")))</f>
        <v/>
      </c>
      <c r="X1730" s="36" t="str">
        <f aca="false">IF(A1730="","",IF(COUNTIF(Seguimiento!$B$2:$B$5001,A1730)=0,"",_xlfn.MAXIFS(Seguimiento!$A$2:$A$5001,Seguimiento!$B$2:$B$5001,A1730)))</f>
        <v/>
      </c>
      <c r="Y1730" s="37" t="str">
        <f aca="true">IF(B1730="","",TODAY()-B1730)</f>
        <v/>
      </c>
      <c r="Z1730" s="38" t="str">
        <f aca="false">IF(OR(O1730="",G1730=""),"",O1730*IFERROR(INDEX(Listas!$B$2:$B$50,MATCH(G1730,Listas!$A$2:$A$50,0)),0))</f>
        <v/>
      </c>
      <c r="AA1730" s="32"/>
      <c r="AB1730" s="32"/>
      <c r="AC1730" s="32"/>
      <c r="AD1730" s="35" t="str">
        <f aca="false">IF(OR(LEFT(H1730,4)="Meta",LEFT(H1730,6)="Google"),IF(AG1730=3,"Lead calificado",IF(OR(AG1730=4,AG1730=5),"Tasación/visita",IF(OR(AG1730=6,AG1730=7),"Captación/oferta",IF(AG1730=8,"Cierre","")))),"")</f>
        <v/>
      </c>
      <c r="AE1730" s="32"/>
      <c r="AF1730" s="32"/>
      <c r="AG1730" s="37" t="n">
        <f aca="false">IF(R1730="",0,IFERROR(MATCH(R1730,Listas!$L$2:$L$50,0),0))</f>
        <v>0</v>
      </c>
    </row>
    <row r="1731" customFormat="false" ht="15" hidden="false" customHeight="false" outlineLevel="0" collapsed="false">
      <c r="A1731" s="30"/>
      <c r="B1731" s="31"/>
      <c r="C1731" s="32"/>
      <c r="D1731" s="32"/>
      <c r="E1731" s="33"/>
      <c r="F1731" s="32"/>
      <c r="G1731" s="32"/>
      <c r="H1731" s="32"/>
      <c r="I1731" s="32"/>
      <c r="J1731" s="32"/>
      <c r="K1731" s="32"/>
      <c r="L1731" s="32"/>
      <c r="M1731" s="30"/>
      <c r="N1731" s="32"/>
      <c r="O1731" s="34"/>
      <c r="P1731" s="32"/>
      <c r="Q1731" s="32"/>
      <c r="R1731" s="32"/>
      <c r="S1731" s="32"/>
      <c r="T1731" s="32"/>
      <c r="U1731" s="32"/>
      <c r="V1731" s="31"/>
      <c r="W1731" s="35" t="str">
        <f aca="true">IF(OR(V1731="",AG1731&gt;=8),"",IF(V1731&lt;TODAY(),"Vencida",IF(V1731=TODAY(),"Hoy","")))</f>
        <v/>
      </c>
      <c r="X1731" s="36" t="str">
        <f aca="false">IF(A1731="","",IF(COUNTIF(Seguimiento!$B$2:$B$5001,A1731)=0,"",_xlfn.MAXIFS(Seguimiento!$A$2:$A$5001,Seguimiento!$B$2:$B$5001,A1731)))</f>
        <v/>
      </c>
      <c r="Y1731" s="37" t="str">
        <f aca="true">IF(B1731="","",TODAY()-B1731)</f>
        <v/>
      </c>
      <c r="Z1731" s="38" t="str">
        <f aca="false">IF(OR(O1731="",G1731=""),"",O1731*IFERROR(INDEX(Listas!$B$2:$B$50,MATCH(G1731,Listas!$A$2:$A$50,0)),0))</f>
        <v/>
      </c>
      <c r="AA1731" s="32"/>
      <c r="AB1731" s="32"/>
      <c r="AC1731" s="32"/>
      <c r="AD1731" s="35" t="str">
        <f aca="false">IF(OR(LEFT(H1731,4)="Meta",LEFT(H1731,6)="Google"),IF(AG1731=3,"Lead calificado",IF(OR(AG1731=4,AG1731=5),"Tasación/visita",IF(OR(AG1731=6,AG1731=7),"Captación/oferta",IF(AG1731=8,"Cierre","")))),"")</f>
        <v/>
      </c>
      <c r="AE1731" s="32"/>
      <c r="AF1731" s="32"/>
      <c r="AG1731" s="37" t="n">
        <f aca="false">IF(R1731="",0,IFERROR(MATCH(R1731,Listas!$L$2:$L$50,0),0))</f>
        <v>0</v>
      </c>
    </row>
    <row r="1732" customFormat="false" ht="15" hidden="false" customHeight="false" outlineLevel="0" collapsed="false">
      <c r="A1732" s="30"/>
      <c r="B1732" s="31"/>
      <c r="C1732" s="32"/>
      <c r="D1732" s="32"/>
      <c r="E1732" s="33"/>
      <c r="F1732" s="32"/>
      <c r="G1732" s="32"/>
      <c r="H1732" s="32"/>
      <c r="I1732" s="32"/>
      <c r="J1732" s="32"/>
      <c r="K1732" s="32"/>
      <c r="L1732" s="32"/>
      <c r="M1732" s="30"/>
      <c r="N1732" s="32"/>
      <c r="O1732" s="34"/>
      <c r="P1732" s="32"/>
      <c r="Q1732" s="32"/>
      <c r="R1732" s="32"/>
      <c r="S1732" s="32"/>
      <c r="T1732" s="32"/>
      <c r="U1732" s="32"/>
      <c r="V1732" s="31"/>
      <c r="W1732" s="35" t="str">
        <f aca="true">IF(OR(V1732="",AG1732&gt;=8),"",IF(V1732&lt;TODAY(),"Vencida",IF(V1732=TODAY(),"Hoy","")))</f>
        <v/>
      </c>
      <c r="X1732" s="36" t="str">
        <f aca="false">IF(A1732="","",IF(COUNTIF(Seguimiento!$B$2:$B$5001,A1732)=0,"",_xlfn.MAXIFS(Seguimiento!$A$2:$A$5001,Seguimiento!$B$2:$B$5001,A1732)))</f>
        <v/>
      </c>
      <c r="Y1732" s="37" t="str">
        <f aca="true">IF(B1732="","",TODAY()-B1732)</f>
        <v/>
      </c>
      <c r="Z1732" s="38" t="str">
        <f aca="false">IF(OR(O1732="",G1732=""),"",O1732*IFERROR(INDEX(Listas!$B$2:$B$50,MATCH(G1732,Listas!$A$2:$A$50,0)),0))</f>
        <v/>
      </c>
      <c r="AA1732" s="32"/>
      <c r="AB1732" s="32"/>
      <c r="AC1732" s="32"/>
      <c r="AD1732" s="35" t="str">
        <f aca="false">IF(OR(LEFT(H1732,4)="Meta",LEFT(H1732,6)="Google"),IF(AG1732=3,"Lead calificado",IF(OR(AG1732=4,AG1732=5),"Tasación/visita",IF(OR(AG1732=6,AG1732=7),"Captación/oferta",IF(AG1732=8,"Cierre","")))),"")</f>
        <v/>
      </c>
      <c r="AE1732" s="32"/>
      <c r="AF1732" s="32"/>
      <c r="AG1732" s="37" t="n">
        <f aca="false">IF(R1732="",0,IFERROR(MATCH(R1732,Listas!$L$2:$L$50,0),0))</f>
        <v>0</v>
      </c>
    </row>
    <row r="1733" customFormat="false" ht="15" hidden="false" customHeight="false" outlineLevel="0" collapsed="false">
      <c r="A1733" s="30"/>
      <c r="B1733" s="31"/>
      <c r="C1733" s="32"/>
      <c r="D1733" s="32"/>
      <c r="E1733" s="33"/>
      <c r="F1733" s="32"/>
      <c r="G1733" s="32"/>
      <c r="H1733" s="32"/>
      <c r="I1733" s="32"/>
      <c r="J1733" s="32"/>
      <c r="K1733" s="32"/>
      <c r="L1733" s="32"/>
      <c r="M1733" s="30"/>
      <c r="N1733" s="32"/>
      <c r="O1733" s="34"/>
      <c r="P1733" s="32"/>
      <c r="Q1733" s="32"/>
      <c r="R1733" s="32"/>
      <c r="S1733" s="32"/>
      <c r="T1733" s="32"/>
      <c r="U1733" s="32"/>
      <c r="V1733" s="31"/>
      <c r="W1733" s="35" t="str">
        <f aca="true">IF(OR(V1733="",AG1733&gt;=8),"",IF(V1733&lt;TODAY(),"Vencida",IF(V1733=TODAY(),"Hoy","")))</f>
        <v/>
      </c>
      <c r="X1733" s="36" t="str">
        <f aca="false">IF(A1733="","",IF(COUNTIF(Seguimiento!$B$2:$B$5001,A1733)=0,"",_xlfn.MAXIFS(Seguimiento!$A$2:$A$5001,Seguimiento!$B$2:$B$5001,A1733)))</f>
        <v/>
      </c>
      <c r="Y1733" s="37" t="str">
        <f aca="true">IF(B1733="","",TODAY()-B1733)</f>
        <v/>
      </c>
      <c r="Z1733" s="38" t="str">
        <f aca="false">IF(OR(O1733="",G1733=""),"",O1733*IFERROR(INDEX(Listas!$B$2:$B$50,MATCH(G1733,Listas!$A$2:$A$50,0)),0))</f>
        <v/>
      </c>
      <c r="AA1733" s="32"/>
      <c r="AB1733" s="32"/>
      <c r="AC1733" s="32"/>
      <c r="AD1733" s="35" t="str">
        <f aca="false">IF(OR(LEFT(H1733,4)="Meta",LEFT(H1733,6)="Google"),IF(AG1733=3,"Lead calificado",IF(OR(AG1733=4,AG1733=5),"Tasación/visita",IF(OR(AG1733=6,AG1733=7),"Captación/oferta",IF(AG1733=8,"Cierre","")))),"")</f>
        <v/>
      </c>
      <c r="AE1733" s="32"/>
      <c r="AF1733" s="32"/>
      <c r="AG1733" s="37" t="n">
        <f aca="false">IF(R1733="",0,IFERROR(MATCH(R1733,Listas!$L$2:$L$50,0),0))</f>
        <v>0</v>
      </c>
    </row>
    <row r="1734" customFormat="false" ht="15" hidden="false" customHeight="false" outlineLevel="0" collapsed="false">
      <c r="A1734" s="30"/>
      <c r="B1734" s="31"/>
      <c r="C1734" s="32"/>
      <c r="D1734" s="32"/>
      <c r="E1734" s="33"/>
      <c r="F1734" s="32"/>
      <c r="G1734" s="32"/>
      <c r="H1734" s="32"/>
      <c r="I1734" s="32"/>
      <c r="J1734" s="32"/>
      <c r="K1734" s="32"/>
      <c r="L1734" s="32"/>
      <c r="M1734" s="30"/>
      <c r="N1734" s="32"/>
      <c r="O1734" s="34"/>
      <c r="P1734" s="32"/>
      <c r="Q1734" s="32"/>
      <c r="R1734" s="32"/>
      <c r="S1734" s="32"/>
      <c r="T1734" s="32"/>
      <c r="U1734" s="32"/>
      <c r="V1734" s="31"/>
      <c r="W1734" s="35" t="str">
        <f aca="true">IF(OR(V1734="",AG1734&gt;=8),"",IF(V1734&lt;TODAY(),"Vencida",IF(V1734=TODAY(),"Hoy","")))</f>
        <v/>
      </c>
      <c r="X1734" s="36" t="str">
        <f aca="false">IF(A1734="","",IF(COUNTIF(Seguimiento!$B$2:$B$5001,A1734)=0,"",_xlfn.MAXIFS(Seguimiento!$A$2:$A$5001,Seguimiento!$B$2:$B$5001,A1734)))</f>
        <v/>
      </c>
      <c r="Y1734" s="37" t="str">
        <f aca="true">IF(B1734="","",TODAY()-B1734)</f>
        <v/>
      </c>
      <c r="Z1734" s="38" t="str">
        <f aca="false">IF(OR(O1734="",G1734=""),"",O1734*IFERROR(INDEX(Listas!$B$2:$B$50,MATCH(G1734,Listas!$A$2:$A$50,0)),0))</f>
        <v/>
      </c>
      <c r="AA1734" s="32"/>
      <c r="AB1734" s="32"/>
      <c r="AC1734" s="32"/>
      <c r="AD1734" s="35" t="str">
        <f aca="false">IF(OR(LEFT(H1734,4)="Meta",LEFT(H1734,6)="Google"),IF(AG1734=3,"Lead calificado",IF(OR(AG1734=4,AG1734=5),"Tasación/visita",IF(OR(AG1734=6,AG1734=7),"Captación/oferta",IF(AG1734=8,"Cierre","")))),"")</f>
        <v/>
      </c>
      <c r="AE1734" s="32"/>
      <c r="AF1734" s="32"/>
      <c r="AG1734" s="37" t="n">
        <f aca="false">IF(R1734="",0,IFERROR(MATCH(R1734,Listas!$L$2:$L$50,0),0))</f>
        <v>0</v>
      </c>
    </row>
    <row r="1735" customFormat="false" ht="15" hidden="false" customHeight="false" outlineLevel="0" collapsed="false">
      <c r="A1735" s="30"/>
      <c r="B1735" s="31"/>
      <c r="C1735" s="32"/>
      <c r="D1735" s="32"/>
      <c r="E1735" s="33"/>
      <c r="F1735" s="32"/>
      <c r="G1735" s="32"/>
      <c r="H1735" s="32"/>
      <c r="I1735" s="32"/>
      <c r="J1735" s="32"/>
      <c r="K1735" s="32"/>
      <c r="L1735" s="32"/>
      <c r="M1735" s="30"/>
      <c r="N1735" s="32"/>
      <c r="O1735" s="34"/>
      <c r="P1735" s="32"/>
      <c r="Q1735" s="32"/>
      <c r="R1735" s="32"/>
      <c r="S1735" s="32"/>
      <c r="T1735" s="32"/>
      <c r="U1735" s="32"/>
      <c r="V1735" s="31"/>
      <c r="W1735" s="35" t="str">
        <f aca="true">IF(OR(V1735="",AG1735&gt;=8),"",IF(V1735&lt;TODAY(),"Vencida",IF(V1735=TODAY(),"Hoy","")))</f>
        <v/>
      </c>
      <c r="X1735" s="36" t="str">
        <f aca="false">IF(A1735="","",IF(COUNTIF(Seguimiento!$B$2:$B$5001,A1735)=0,"",_xlfn.MAXIFS(Seguimiento!$A$2:$A$5001,Seguimiento!$B$2:$B$5001,A1735)))</f>
        <v/>
      </c>
      <c r="Y1735" s="37" t="str">
        <f aca="true">IF(B1735="","",TODAY()-B1735)</f>
        <v/>
      </c>
      <c r="Z1735" s="38" t="str">
        <f aca="false">IF(OR(O1735="",G1735=""),"",O1735*IFERROR(INDEX(Listas!$B$2:$B$50,MATCH(G1735,Listas!$A$2:$A$50,0)),0))</f>
        <v/>
      </c>
      <c r="AA1735" s="32"/>
      <c r="AB1735" s="32"/>
      <c r="AC1735" s="32"/>
      <c r="AD1735" s="35" t="str">
        <f aca="false">IF(OR(LEFT(H1735,4)="Meta",LEFT(H1735,6)="Google"),IF(AG1735=3,"Lead calificado",IF(OR(AG1735=4,AG1735=5),"Tasación/visita",IF(OR(AG1735=6,AG1735=7),"Captación/oferta",IF(AG1735=8,"Cierre","")))),"")</f>
        <v/>
      </c>
      <c r="AE1735" s="32"/>
      <c r="AF1735" s="32"/>
      <c r="AG1735" s="37" t="n">
        <f aca="false">IF(R1735="",0,IFERROR(MATCH(R1735,Listas!$L$2:$L$50,0),0))</f>
        <v>0</v>
      </c>
    </row>
    <row r="1736" customFormat="false" ht="15" hidden="false" customHeight="false" outlineLevel="0" collapsed="false">
      <c r="A1736" s="30"/>
      <c r="B1736" s="31"/>
      <c r="C1736" s="32"/>
      <c r="D1736" s="32"/>
      <c r="E1736" s="33"/>
      <c r="F1736" s="32"/>
      <c r="G1736" s="32"/>
      <c r="H1736" s="32"/>
      <c r="I1736" s="32"/>
      <c r="J1736" s="32"/>
      <c r="K1736" s="32"/>
      <c r="L1736" s="32"/>
      <c r="M1736" s="30"/>
      <c r="N1736" s="32"/>
      <c r="O1736" s="34"/>
      <c r="P1736" s="32"/>
      <c r="Q1736" s="32"/>
      <c r="R1736" s="32"/>
      <c r="S1736" s="32"/>
      <c r="T1736" s="32"/>
      <c r="U1736" s="32"/>
      <c r="V1736" s="31"/>
      <c r="W1736" s="35" t="str">
        <f aca="true">IF(OR(V1736="",AG1736&gt;=8),"",IF(V1736&lt;TODAY(),"Vencida",IF(V1736=TODAY(),"Hoy","")))</f>
        <v/>
      </c>
      <c r="X1736" s="36" t="str">
        <f aca="false">IF(A1736="","",IF(COUNTIF(Seguimiento!$B$2:$B$5001,A1736)=0,"",_xlfn.MAXIFS(Seguimiento!$A$2:$A$5001,Seguimiento!$B$2:$B$5001,A1736)))</f>
        <v/>
      </c>
      <c r="Y1736" s="37" t="str">
        <f aca="true">IF(B1736="","",TODAY()-B1736)</f>
        <v/>
      </c>
      <c r="Z1736" s="38" t="str">
        <f aca="false">IF(OR(O1736="",G1736=""),"",O1736*IFERROR(INDEX(Listas!$B$2:$B$50,MATCH(G1736,Listas!$A$2:$A$50,0)),0))</f>
        <v/>
      </c>
      <c r="AA1736" s="32"/>
      <c r="AB1736" s="32"/>
      <c r="AC1736" s="32"/>
      <c r="AD1736" s="35" t="str">
        <f aca="false">IF(OR(LEFT(H1736,4)="Meta",LEFT(H1736,6)="Google"),IF(AG1736=3,"Lead calificado",IF(OR(AG1736=4,AG1736=5),"Tasación/visita",IF(OR(AG1736=6,AG1736=7),"Captación/oferta",IF(AG1736=8,"Cierre","")))),"")</f>
        <v/>
      </c>
      <c r="AE1736" s="32"/>
      <c r="AF1736" s="32"/>
      <c r="AG1736" s="37" t="n">
        <f aca="false">IF(R1736="",0,IFERROR(MATCH(R1736,Listas!$L$2:$L$50,0),0))</f>
        <v>0</v>
      </c>
    </row>
    <row r="1737" customFormat="false" ht="15" hidden="false" customHeight="false" outlineLevel="0" collapsed="false">
      <c r="A1737" s="30"/>
      <c r="B1737" s="31"/>
      <c r="C1737" s="32"/>
      <c r="D1737" s="32"/>
      <c r="E1737" s="33"/>
      <c r="F1737" s="32"/>
      <c r="G1737" s="32"/>
      <c r="H1737" s="32"/>
      <c r="I1737" s="32"/>
      <c r="J1737" s="32"/>
      <c r="K1737" s="32"/>
      <c r="L1737" s="32"/>
      <c r="M1737" s="30"/>
      <c r="N1737" s="32"/>
      <c r="O1737" s="34"/>
      <c r="P1737" s="32"/>
      <c r="Q1737" s="32"/>
      <c r="R1737" s="32"/>
      <c r="S1737" s="32"/>
      <c r="T1737" s="32"/>
      <c r="U1737" s="32"/>
      <c r="V1737" s="31"/>
      <c r="W1737" s="35" t="str">
        <f aca="true">IF(OR(V1737="",AG1737&gt;=8),"",IF(V1737&lt;TODAY(),"Vencida",IF(V1737=TODAY(),"Hoy","")))</f>
        <v/>
      </c>
      <c r="X1737" s="36" t="str">
        <f aca="false">IF(A1737="","",IF(COUNTIF(Seguimiento!$B$2:$B$5001,A1737)=0,"",_xlfn.MAXIFS(Seguimiento!$A$2:$A$5001,Seguimiento!$B$2:$B$5001,A1737)))</f>
        <v/>
      </c>
      <c r="Y1737" s="37" t="str">
        <f aca="true">IF(B1737="","",TODAY()-B1737)</f>
        <v/>
      </c>
      <c r="Z1737" s="38" t="str">
        <f aca="false">IF(OR(O1737="",G1737=""),"",O1737*IFERROR(INDEX(Listas!$B$2:$B$50,MATCH(G1737,Listas!$A$2:$A$50,0)),0))</f>
        <v/>
      </c>
      <c r="AA1737" s="32"/>
      <c r="AB1737" s="32"/>
      <c r="AC1737" s="32"/>
      <c r="AD1737" s="35" t="str">
        <f aca="false">IF(OR(LEFT(H1737,4)="Meta",LEFT(H1737,6)="Google"),IF(AG1737=3,"Lead calificado",IF(OR(AG1737=4,AG1737=5),"Tasación/visita",IF(OR(AG1737=6,AG1737=7),"Captación/oferta",IF(AG1737=8,"Cierre","")))),"")</f>
        <v/>
      </c>
      <c r="AE1737" s="32"/>
      <c r="AF1737" s="32"/>
      <c r="AG1737" s="37" t="n">
        <f aca="false">IF(R1737="",0,IFERROR(MATCH(R1737,Listas!$L$2:$L$50,0),0))</f>
        <v>0</v>
      </c>
    </row>
    <row r="1738" customFormat="false" ht="15" hidden="false" customHeight="false" outlineLevel="0" collapsed="false">
      <c r="A1738" s="30"/>
      <c r="B1738" s="31"/>
      <c r="C1738" s="32"/>
      <c r="D1738" s="32"/>
      <c r="E1738" s="33"/>
      <c r="F1738" s="32"/>
      <c r="G1738" s="32"/>
      <c r="H1738" s="32"/>
      <c r="I1738" s="32"/>
      <c r="J1738" s="32"/>
      <c r="K1738" s="32"/>
      <c r="L1738" s="32"/>
      <c r="M1738" s="30"/>
      <c r="N1738" s="32"/>
      <c r="O1738" s="34"/>
      <c r="P1738" s="32"/>
      <c r="Q1738" s="32"/>
      <c r="R1738" s="32"/>
      <c r="S1738" s="32"/>
      <c r="T1738" s="32"/>
      <c r="U1738" s="32"/>
      <c r="V1738" s="31"/>
      <c r="W1738" s="35" t="str">
        <f aca="true">IF(OR(V1738="",AG1738&gt;=8),"",IF(V1738&lt;TODAY(),"Vencida",IF(V1738=TODAY(),"Hoy","")))</f>
        <v/>
      </c>
      <c r="X1738" s="36" t="str">
        <f aca="false">IF(A1738="","",IF(COUNTIF(Seguimiento!$B$2:$B$5001,A1738)=0,"",_xlfn.MAXIFS(Seguimiento!$A$2:$A$5001,Seguimiento!$B$2:$B$5001,A1738)))</f>
        <v/>
      </c>
      <c r="Y1738" s="37" t="str">
        <f aca="true">IF(B1738="","",TODAY()-B1738)</f>
        <v/>
      </c>
      <c r="Z1738" s="38" t="str">
        <f aca="false">IF(OR(O1738="",G1738=""),"",O1738*IFERROR(INDEX(Listas!$B$2:$B$50,MATCH(G1738,Listas!$A$2:$A$50,0)),0))</f>
        <v/>
      </c>
      <c r="AA1738" s="32"/>
      <c r="AB1738" s="32"/>
      <c r="AC1738" s="32"/>
      <c r="AD1738" s="35" t="str">
        <f aca="false">IF(OR(LEFT(H1738,4)="Meta",LEFT(H1738,6)="Google"),IF(AG1738=3,"Lead calificado",IF(OR(AG1738=4,AG1738=5),"Tasación/visita",IF(OR(AG1738=6,AG1738=7),"Captación/oferta",IF(AG1738=8,"Cierre","")))),"")</f>
        <v/>
      </c>
      <c r="AE1738" s="32"/>
      <c r="AF1738" s="32"/>
      <c r="AG1738" s="37" t="n">
        <f aca="false">IF(R1738="",0,IFERROR(MATCH(R1738,Listas!$L$2:$L$50,0),0))</f>
        <v>0</v>
      </c>
    </row>
    <row r="1739" customFormat="false" ht="15" hidden="false" customHeight="false" outlineLevel="0" collapsed="false">
      <c r="A1739" s="30"/>
      <c r="B1739" s="31"/>
      <c r="C1739" s="32"/>
      <c r="D1739" s="32"/>
      <c r="E1739" s="33"/>
      <c r="F1739" s="32"/>
      <c r="G1739" s="32"/>
      <c r="H1739" s="32"/>
      <c r="I1739" s="32"/>
      <c r="J1739" s="32"/>
      <c r="K1739" s="32"/>
      <c r="L1739" s="32"/>
      <c r="M1739" s="30"/>
      <c r="N1739" s="32"/>
      <c r="O1739" s="34"/>
      <c r="P1739" s="32"/>
      <c r="Q1739" s="32"/>
      <c r="R1739" s="32"/>
      <c r="S1739" s="32"/>
      <c r="T1739" s="32"/>
      <c r="U1739" s="32"/>
      <c r="V1739" s="31"/>
      <c r="W1739" s="35" t="str">
        <f aca="true">IF(OR(V1739="",AG1739&gt;=8),"",IF(V1739&lt;TODAY(),"Vencida",IF(V1739=TODAY(),"Hoy","")))</f>
        <v/>
      </c>
      <c r="X1739" s="36" t="str">
        <f aca="false">IF(A1739="","",IF(COUNTIF(Seguimiento!$B$2:$B$5001,A1739)=0,"",_xlfn.MAXIFS(Seguimiento!$A$2:$A$5001,Seguimiento!$B$2:$B$5001,A1739)))</f>
        <v/>
      </c>
      <c r="Y1739" s="37" t="str">
        <f aca="true">IF(B1739="","",TODAY()-B1739)</f>
        <v/>
      </c>
      <c r="Z1739" s="38" t="str">
        <f aca="false">IF(OR(O1739="",G1739=""),"",O1739*IFERROR(INDEX(Listas!$B$2:$B$50,MATCH(G1739,Listas!$A$2:$A$50,0)),0))</f>
        <v/>
      </c>
      <c r="AA1739" s="32"/>
      <c r="AB1739" s="32"/>
      <c r="AC1739" s="32"/>
      <c r="AD1739" s="35" t="str">
        <f aca="false">IF(OR(LEFT(H1739,4)="Meta",LEFT(H1739,6)="Google"),IF(AG1739=3,"Lead calificado",IF(OR(AG1739=4,AG1739=5),"Tasación/visita",IF(OR(AG1739=6,AG1739=7),"Captación/oferta",IF(AG1739=8,"Cierre","")))),"")</f>
        <v/>
      </c>
      <c r="AE1739" s="32"/>
      <c r="AF1739" s="32"/>
      <c r="AG1739" s="37" t="n">
        <f aca="false">IF(R1739="",0,IFERROR(MATCH(R1739,Listas!$L$2:$L$50,0),0))</f>
        <v>0</v>
      </c>
    </row>
    <row r="1740" customFormat="false" ht="15" hidden="false" customHeight="false" outlineLevel="0" collapsed="false">
      <c r="A1740" s="30"/>
      <c r="B1740" s="31"/>
      <c r="C1740" s="32"/>
      <c r="D1740" s="32"/>
      <c r="E1740" s="33"/>
      <c r="F1740" s="32"/>
      <c r="G1740" s="32"/>
      <c r="H1740" s="32"/>
      <c r="I1740" s="32"/>
      <c r="J1740" s="32"/>
      <c r="K1740" s="32"/>
      <c r="L1740" s="32"/>
      <c r="M1740" s="30"/>
      <c r="N1740" s="32"/>
      <c r="O1740" s="34"/>
      <c r="P1740" s="32"/>
      <c r="Q1740" s="32"/>
      <c r="R1740" s="32"/>
      <c r="S1740" s="32"/>
      <c r="T1740" s="32"/>
      <c r="U1740" s="32"/>
      <c r="V1740" s="31"/>
      <c r="W1740" s="35" t="str">
        <f aca="true">IF(OR(V1740="",AG1740&gt;=8),"",IF(V1740&lt;TODAY(),"Vencida",IF(V1740=TODAY(),"Hoy","")))</f>
        <v/>
      </c>
      <c r="X1740" s="36" t="str">
        <f aca="false">IF(A1740="","",IF(COUNTIF(Seguimiento!$B$2:$B$5001,A1740)=0,"",_xlfn.MAXIFS(Seguimiento!$A$2:$A$5001,Seguimiento!$B$2:$B$5001,A1740)))</f>
        <v/>
      </c>
      <c r="Y1740" s="37" t="str">
        <f aca="true">IF(B1740="","",TODAY()-B1740)</f>
        <v/>
      </c>
      <c r="Z1740" s="38" t="str">
        <f aca="false">IF(OR(O1740="",G1740=""),"",O1740*IFERROR(INDEX(Listas!$B$2:$B$50,MATCH(G1740,Listas!$A$2:$A$50,0)),0))</f>
        <v/>
      </c>
      <c r="AA1740" s="32"/>
      <c r="AB1740" s="32"/>
      <c r="AC1740" s="32"/>
      <c r="AD1740" s="35" t="str">
        <f aca="false">IF(OR(LEFT(H1740,4)="Meta",LEFT(H1740,6)="Google"),IF(AG1740=3,"Lead calificado",IF(OR(AG1740=4,AG1740=5),"Tasación/visita",IF(OR(AG1740=6,AG1740=7),"Captación/oferta",IF(AG1740=8,"Cierre","")))),"")</f>
        <v/>
      </c>
      <c r="AE1740" s="32"/>
      <c r="AF1740" s="32"/>
      <c r="AG1740" s="37" t="n">
        <f aca="false">IF(R1740="",0,IFERROR(MATCH(R1740,Listas!$L$2:$L$50,0),0))</f>
        <v>0</v>
      </c>
    </row>
    <row r="1741" customFormat="false" ht="15" hidden="false" customHeight="false" outlineLevel="0" collapsed="false">
      <c r="A1741" s="30"/>
      <c r="B1741" s="31"/>
      <c r="C1741" s="32"/>
      <c r="D1741" s="32"/>
      <c r="E1741" s="33"/>
      <c r="F1741" s="32"/>
      <c r="G1741" s="32"/>
      <c r="H1741" s="32"/>
      <c r="I1741" s="32"/>
      <c r="J1741" s="32"/>
      <c r="K1741" s="32"/>
      <c r="L1741" s="32"/>
      <c r="M1741" s="30"/>
      <c r="N1741" s="32"/>
      <c r="O1741" s="34"/>
      <c r="P1741" s="32"/>
      <c r="Q1741" s="32"/>
      <c r="R1741" s="32"/>
      <c r="S1741" s="32"/>
      <c r="T1741" s="32"/>
      <c r="U1741" s="32"/>
      <c r="V1741" s="31"/>
      <c r="W1741" s="35" t="str">
        <f aca="true">IF(OR(V1741="",AG1741&gt;=8),"",IF(V1741&lt;TODAY(),"Vencida",IF(V1741=TODAY(),"Hoy","")))</f>
        <v/>
      </c>
      <c r="X1741" s="36" t="str">
        <f aca="false">IF(A1741="","",IF(COUNTIF(Seguimiento!$B$2:$B$5001,A1741)=0,"",_xlfn.MAXIFS(Seguimiento!$A$2:$A$5001,Seguimiento!$B$2:$B$5001,A1741)))</f>
        <v/>
      </c>
      <c r="Y1741" s="37" t="str">
        <f aca="true">IF(B1741="","",TODAY()-B1741)</f>
        <v/>
      </c>
      <c r="Z1741" s="38" t="str">
        <f aca="false">IF(OR(O1741="",G1741=""),"",O1741*IFERROR(INDEX(Listas!$B$2:$B$50,MATCH(G1741,Listas!$A$2:$A$50,0)),0))</f>
        <v/>
      </c>
      <c r="AA1741" s="32"/>
      <c r="AB1741" s="32"/>
      <c r="AC1741" s="32"/>
      <c r="AD1741" s="35" t="str">
        <f aca="false">IF(OR(LEFT(H1741,4)="Meta",LEFT(H1741,6)="Google"),IF(AG1741=3,"Lead calificado",IF(OR(AG1741=4,AG1741=5),"Tasación/visita",IF(OR(AG1741=6,AG1741=7),"Captación/oferta",IF(AG1741=8,"Cierre","")))),"")</f>
        <v/>
      </c>
      <c r="AE1741" s="32"/>
      <c r="AF1741" s="32"/>
      <c r="AG1741" s="37" t="n">
        <f aca="false">IF(R1741="",0,IFERROR(MATCH(R1741,Listas!$L$2:$L$50,0),0))</f>
        <v>0</v>
      </c>
    </row>
    <row r="1742" customFormat="false" ht="15" hidden="false" customHeight="false" outlineLevel="0" collapsed="false">
      <c r="A1742" s="30"/>
      <c r="B1742" s="31"/>
      <c r="C1742" s="32"/>
      <c r="D1742" s="32"/>
      <c r="E1742" s="33"/>
      <c r="F1742" s="32"/>
      <c r="G1742" s="32"/>
      <c r="H1742" s="32"/>
      <c r="I1742" s="32"/>
      <c r="J1742" s="32"/>
      <c r="K1742" s="32"/>
      <c r="L1742" s="32"/>
      <c r="M1742" s="30"/>
      <c r="N1742" s="32"/>
      <c r="O1742" s="34"/>
      <c r="P1742" s="32"/>
      <c r="Q1742" s="32"/>
      <c r="R1742" s="32"/>
      <c r="S1742" s="32"/>
      <c r="T1742" s="32"/>
      <c r="U1742" s="32"/>
      <c r="V1742" s="31"/>
      <c r="W1742" s="35" t="str">
        <f aca="true">IF(OR(V1742="",AG1742&gt;=8),"",IF(V1742&lt;TODAY(),"Vencida",IF(V1742=TODAY(),"Hoy","")))</f>
        <v/>
      </c>
      <c r="X1742" s="36" t="str">
        <f aca="false">IF(A1742="","",IF(COUNTIF(Seguimiento!$B$2:$B$5001,A1742)=0,"",_xlfn.MAXIFS(Seguimiento!$A$2:$A$5001,Seguimiento!$B$2:$B$5001,A1742)))</f>
        <v/>
      </c>
      <c r="Y1742" s="37" t="str">
        <f aca="true">IF(B1742="","",TODAY()-B1742)</f>
        <v/>
      </c>
      <c r="Z1742" s="38" t="str">
        <f aca="false">IF(OR(O1742="",G1742=""),"",O1742*IFERROR(INDEX(Listas!$B$2:$B$50,MATCH(G1742,Listas!$A$2:$A$50,0)),0))</f>
        <v/>
      </c>
      <c r="AA1742" s="32"/>
      <c r="AB1742" s="32"/>
      <c r="AC1742" s="32"/>
      <c r="AD1742" s="35" t="str">
        <f aca="false">IF(OR(LEFT(H1742,4)="Meta",LEFT(H1742,6)="Google"),IF(AG1742=3,"Lead calificado",IF(OR(AG1742=4,AG1742=5),"Tasación/visita",IF(OR(AG1742=6,AG1742=7),"Captación/oferta",IF(AG1742=8,"Cierre","")))),"")</f>
        <v/>
      </c>
      <c r="AE1742" s="32"/>
      <c r="AF1742" s="32"/>
      <c r="AG1742" s="37" t="n">
        <f aca="false">IF(R1742="",0,IFERROR(MATCH(R1742,Listas!$L$2:$L$50,0),0))</f>
        <v>0</v>
      </c>
    </row>
    <row r="1743" customFormat="false" ht="15" hidden="false" customHeight="false" outlineLevel="0" collapsed="false">
      <c r="A1743" s="30"/>
      <c r="B1743" s="31"/>
      <c r="C1743" s="32"/>
      <c r="D1743" s="32"/>
      <c r="E1743" s="33"/>
      <c r="F1743" s="32"/>
      <c r="G1743" s="32"/>
      <c r="H1743" s="32"/>
      <c r="I1743" s="32"/>
      <c r="J1743" s="32"/>
      <c r="K1743" s="32"/>
      <c r="L1743" s="32"/>
      <c r="M1743" s="30"/>
      <c r="N1743" s="32"/>
      <c r="O1743" s="34"/>
      <c r="P1743" s="32"/>
      <c r="Q1743" s="32"/>
      <c r="R1743" s="32"/>
      <c r="S1743" s="32"/>
      <c r="T1743" s="32"/>
      <c r="U1743" s="32"/>
      <c r="V1743" s="31"/>
      <c r="W1743" s="35" t="str">
        <f aca="true">IF(OR(V1743="",AG1743&gt;=8),"",IF(V1743&lt;TODAY(),"Vencida",IF(V1743=TODAY(),"Hoy","")))</f>
        <v/>
      </c>
      <c r="X1743" s="36" t="str">
        <f aca="false">IF(A1743="","",IF(COUNTIF(Seguimiento!$B$2:$B$5001,A1743)=0,"",_xlfn.MAXIFS(Seguimiento!$A$2:$A$5001,Seguimiento!$B$2:$B$5001,A1743)))</f>
        <v/>
      </c>
      <c r="Y1743" s="37" t="str">
        <f aca="true">IF(B1743="","",TODAY()-B1743)</f>
        <v/>
      </c>
      <c r="Z1743" s="38" t="str">
        <f aca="false">IF(OR(O1743="",G1743=""),"",O1743*IFERROR(INDEX(Listas!$B$2:$B$50,MATCH(G1743,Listas!$A$2:$A$50,0)),0))</f>
        <v/>
      </c>
      <c r="AA1743" s="32"/>
      <c r="AB1743" s="32"/>
      <c r="AC1743" s="32"/>
      <c r="AD1743" s="35" t="str">
        <f aca="false">IF(OR(LEFT(H1743,4)="Meta",LEFT(H1743,6)="Google"),IF(AG1743=3,"Lead calificado",IF(OR(AG1743=4,AG1743=5),"Tasación/visita",IF(OR(AG1743=6,AG1743=7),"Captación/oferta",IF(AG1743=8,"Cierre","")))),"")</f>
        <v/>
      </c>
      <c r="AE1743" s="32"/>
      <c r="AF1743" s="32"/>
      <c r="AG1743" s="37" t="n">
        <f aca="false">IF(R1743="",0,IFERROR(MATCH(R1743,Listas!$L$2:$L$50,0),0))</f>
        <v>0</v>
      </c>
    </row>
    <row r="1744" customFormat="false" ht="15" hidden="false" customHeight="false" outlineLevel="0" collapsed="false">
      <c r="A1744" s="30"/>
      <c r="B1744" s="31"/>
      <c r="C1744" s="32"/>
      <c r="D1744" s="32"/>
      <c r="E1744" s="33"/>
      <c r="F1744" s="32"/>
      <c r="G1744" s="32"/>
      <c r="H1744" s="32"/>
      <c r="I1744" s="32"/>
      <c r="J1744" s="32"/>
      <c r="K1744" s="32"/>
      <c r="L1744" s="32"/>
      <c r="M1744" s="30"/>
      <c r="N1744" s="32"/>
      <c r="O1744" s="34"/>
      <c r="P1744" s="32"/>
      <c r="Q1744" s="32"/>
      <c r="R1744" s="32"/>
      <c r="S1744" s="32"/>
      <c r="T1744" s="32"/>
      <c r="U1744" s="32"/>
      <c r="V1744" s="31"/>
      <c r="W1744" s="35" t="str">
        <f aca="true">IF(OR(V1744="",AG1744&gt;=8),"",IF(V1744&lt;TODAY(),"Vencida",IF(V1744=TODAY(),"Hoy","")))</f>
        <v/>
      </c>
      <c r="X1744" s="36" t="str">
        <f aca="false">IF(A1744="","",IF(COUNTIF(Seguimiento!$B$2:$B$5001,A1744)=0,"",_xlfn.MAXIFS(Seguimiento!$A$2:$A$5001,Seguimiento!$B$2:$B$5001,A1744)))</f>
        <v/>
      </c>
      <c r="Y1744" s="37" t="str">
        <f aca="true">IF(B1744="","",TODAY()-B1744)</f>
        <v/>
      </c>
      <c r="Z1744" s="38" t="str">
        <f aca="false">IF(OR(O1744="",G1744=""),"",O1744*IFERROR(INDEX(Listas!$B$2:$B$50,MATCH(G1744,Listas!$A$2:$A$50,0)),0))</f>
        <v/>
      </c>
      <c r="AA1744" s="32"/>
      <c r="AB1744" s="32"/>
      <c r="AC1744" s="32"/>
      <c r="AD1744" s="35" t="str">
        <f aca="false">IF(OR(LEFT(H1744,4)="Meta",LEFT(H1744,6)="Google"),IF(AG1744=3,"Lead calificado",IF(OR(AG1744=4,AG1744=5),"Tasación/visita",IF(OR(AG1744=6,AG1744=7),"Captación/oferta",IF(AG1744=8,"Cierre","")))),"")</f>
        <v/>
      </c>
      <c r="AE1744" s="32"/>
      <c r="AF1744" s="32"/>
      <c r="AG1744" s="37" t="n">
        <f aca="false">IF(R1744="",0,IFERROR(MATCH(R1744,Listas!$L$2:$L$50,0),0))</f>
        <v>0</v>
      </c>
    </row>
    <row r="1745" customFormat="false" ht="15" hidden="false" customHeight="false" outlineLevel="0" collapsed="false">
      <c r="A1745" s="30"/>
      <c r="B1745" s="31"/>
      <c r="C1745" s="32"/>
      <c r="D1745" s="32"/>
      <c r="E1745" s="33"/>
      <c r="F1745" s="32"/>
      <c r="G1745" s="32"/>
      <c r="H1745" s="32"/>
      <c r="I1745" s="32"/>
      <c r="J1745" s="32"/>
      <c r="K1745" s="32"/>
      <c r="L1745" s="32"/>
      <c r="M1745" s="30"/>
      <c r="N1745" s="32"/>
      <c r="O1745" s="34"/>
      <c r="P1745" s="32"/>
      <c r="Q1745" s="32"/>
      <c r="R1745" s="32"/>
      <c r="S1745" s="32"/>
      <c r="T1745" s="32"/>
      <c r="U1745" s="32"/>
      <c r="V1745" s="31"/>
      <c r="W1745" s="35" t="str">
        <f aca="true">IF(OR(V1745="",AG1745&gt;=8),"",IF(V1745&lt;TODAY(),"Vencida",IF(V1745=TODAY(),"Hoy","")))</f>
        <v/>
      </c>
      <c r="X1745" s="36" t="str">
        <f aca="false">IF(A1745="","",IF(COUNTIF(Seguimiento!$B$2:$B$5001,A1745)=0,"",_xlfn.MAXIFS(Seguimiento!$A$2:$A$5001,Seguimiento!$B$2:$B$5001,A1745)))</f>
        <v/>
      </c>
      <c r="Y1745" s="37" t="str">
        <f aca="true">IF(B1745="","",TODAY()-B1745)</f>
        <v/>
      </c>
      <c r="Z1745" s="38" t="str">
        <f aca="false">IF(OR(O1745="",G1745=""),"",O1745*IFERROR(INDEX(Listas!$B$2:$B$50,MATCH(G1745,Listas!$A$2:$A$50,0)),0))</f>
        <v/>
      </c>
      <c r="AA1745" s="32"/>
      <c r="AB1745" s="32"/>
      <c r="AC1745" s="32"/>
      <c r="AD1745" s="35" t="str">
        <f aca="false">IF(OR(LEFT(H1745,4)="Meta",LEFT(H1745,6)="Google"),IF(AG1745=3,"Lead calificado",IF(OR(AG1745=4,AG1745=5),"Tasación/visita",IF(OR(AG1745=6,AG1745=7),"Captación/oferta",IF(AG1745=8,"Cierre","")))),"")</f>
        <v/>
      </c>
      <c r="AE1745" s="32"/>
      <c r="AF1745" s="32"/>
      <c r="AG1745" s="37" t="n">
        <f aca="false">IF(R1745="",0,IFERROR(MATCH(R1745,Listas!$L$2:$L$50,0),0))</f>
        <v>0</v>
      </c>
    </row>
    <row r="1746" customFormat="false" ht="15" hidden="false" customHeight="false" outlineLevel="0" collapsed="false">
      <c r="A1746" s="30"/>
      <c r="B1746" s="31"/>
      <c r="C1746" s="32"/>
      <c r="D1746" s="32"/>
      <c r="E1746" s="33"/>
      <c r="F1746" s="32"/>
      <c r="G1746" s="32"/>
      <c r="H1746" s="32"/>
      <c r="I1746" s="32"/>
      <c r="J1746" s="32"/>
      <c r="K1746" s="32"/>
      <c r="L1746" s="32"/>
      <c r="M1746" s="30"/>
      <c r="N1746" s="32"/>
      <c r="O1746" s="34"/>
      <c r="P1746" s="32"/>
      <c r="Q1746" s="32"/>
      <c r="R1746" s="32"/>
      <c r="S1746" s="32"/>
      <c r="T1746" s="32"/>
      <c r="U1746" s="32"/>
      <c r="V1746" s="31"/>
      <c r="W1746" s="35" t="str">
        <f aca="true">IF(OR(V1746="",AG1746&gt;=8),"",IF(V1746&lt;TODAY(),"Vencida",IF(V1746=TODAY(),"Hoy","")))</f>
        <v/>
      </c>
      <c r="X1746" s="36" t="str">
        <f aca="false">IF(A1746="","",IF(COUNTIF(Seguimiento!$B$2:$B$5001,A1746)=0,"",_xlfn.MAXIFS(Seguimiento!$A$2:$A$5001,Seguimiento!$B$2:$B$5001,A1746)))</f>
        <v/>
      </c>
      <c r="Y1746" s="37" t="str">
        <f aca="true">IF(B1746="","",TODAY()-B1746)</f>
        <v/>
      </c>
      <c r="Z1746" s="38" t="str">
        <f aca="false">IF(OR(O1746="",G1746=""),"",O1746*IFERROR(INDEX(Listas!$B$2:$B$50,MATCH(G1746,Listas!$A$2:$A$50,0)),0))</f>
        <v/>
      </c>
      <c r="AA1746" s="32"/>
      <c r="AB1746" s="32"/>
      <c r="AC1746" s="32"/>
      <c r="AD1746" s="35" t="str">
        <f aca="false">IF(OR(LEFT(H1746,4)="Meta",LEFT(H1746,6)="Google"),IF(AG1746=3,"Lead calificado",IF(OR(AG1746=4,AG1746=5),"Tasación/visita",IF(OR(AG1746=6,AG1746=7),"Captación/oferta",IF(AG1746=8,"Cierre","")))),"")</f>
        <v/>
      </c>
      <c r="AE1746" s="32"/>
      <c r="AF1746" s="32"/>
      <c r="AG1746" s="37" t="n">
        <f aca="false">IF(R1746="",0,IFERROR(MATCH(R1746,Listas!$L$2:$L$50,0),0))</f>
        <v>0</v>
      </c>
    </row>
    <row r="1747" customFormat="false" ht="15" hidden="false" customHeight="false" outlineLevel="0" collapsed="false">
      <c r="A1747" s="30"/>
      <c r="B1747" s="31"/>
      <c r="C1747" s="32"/>
      <c r="D1747" s="32"/>
      <c r="E1747" s="33"/>
      <c r="F1747" s="32"/>
      <c r="G1747" s="32"/>
      <c r="H1747" s="32"/>
      <c r="I1747" s="32"/>
      <c r="J1747" s="32"/>
      <c r="K1747" s="32"/>
      <c r="L1747" s="32"/>
      <c r="M1747" s="30"/>
      <c r="N1747" s="32"/>
      <c r="O1747" s="34"/>
      <c r="P1747" s="32"/>
      <c r="Q1747" s="32"/>
      <c r="R1747" s="32"/>
      <c r="S1747" s="32"/>
      <c r="T1747" s="32"/>
      <c r="U1747" s="32"/>
      <c r="V1747" s="31"/>
      <c r="W1747" s="35" t="str">
        <f aca="true">IF(OR(V1747="",AG1747&gt;=8),"",IF(V1747&lt;TODAY(),"Vencida",IF(V1747=TODAY(),"Hoy","")))</f>
        <v/>
      </c>
      <c r="X1747" s="36" t="str">
        <f aca="false">IF(A1747="","",IF(COUNTIF(Seguimiento!$B$2:$B$5001,A1747)=0,"",_xlfn.MAXIFS(Seguimiento!$A$2:$A$5001,Seguimiento!$B$2:$B$5001,A1747)))</f>
        <v/>
      </c>
      <c r="Y1747" s="37" t="str">
        <f aca="true">IF(B1747="","",TODAY()-B1747)</f>
        <v/>
      </c>
      <c r="Z1747" s="38" t="str">
        <f aca="false">IF(OR(O1747="",G1747=""),"",O1747*IFERROR(INDEX(Listas!$B$2:$B$50,MATCH(G1747,Listas!$A$2:$A$50,0)),0))</f>
        <v/>
      </c>
      <c r="AA1747" s="32"/>
      <c r="AB1747" s="32"/>
      <c r="AC1747" s="32"/>
      <c r="AD1747" s="35" t="str">
        <f aca="false">IF(OR(LEFT(H1747,4)="Meta",LEFT(H1747,6)="Google"),IF(AG1747=3,"Lead calificado",IF(OR(AG1747=4,AG1747=5),"Tasación/visita",IF(OR(AG1747=6,AG1747=7),"Captación/oferta",IF(AG1747=8,"Cierre","")))),"")</f>
        <v/>
      </c>
      <c r="AE1747" s="32"/>
      <c r="AF1747" s="32"/>
      <c r="AG1747" s="37" t="n">
        <f aca="false">IF(R1747="",0,IFERROR(MATCH(R1747,Listas!$L$2:$L$50,0),0))</f>
        <v>0</v>
      </c>
    </row>
    <row r="1748" customFormat="false" ht="15" hidden="false" customHeight="false" outlineLevel="0" collapsed="false">
      <c r="A1748" s="30"/>
      <c r="B1748" s="31"/>
      <c r="C1748" s="32"/>
      <c r="D1748" s="32"/>
      <c r="E1748" s="33"/>
      <c r="F1748" s="32"/>
      <c r="G1748" s="32"/>
      <c r="H1748" s="32"/>
      <c r="I1748" s="32"/>
      <c r="J1748" s="32"/>
      <c r="K1748" s="32"/>
      <c r="L1748" s="32"/>
      <c r="M1748" s="30"/>
      <c r="N1748" s="32"/>
      <c r="O1748" s="34"/>
      <c r="P1748" s="32"/>
      <c r="Q1748" s="32"/>
      <c r="R1748" s="32"/>
      <c r="S1748" s="32"/>
      <c r="T1748" s="32"/>
      <c r="U1748" s="32"/>
      <c r="V1748" s="31"/>
      <c r="W1748" s="35" t="str">
        <f aca="true">IF(OR(V1748="",AG1748&gt;=8),"",IF(V1748&lt;TODAY(),"Vencida",IF(V1748=TODAY(),"Hoy","")))</f>
        <v/>
      </c>
      <c r="X1748" s="36" t="str">
        <f aca="false">IF(A1748="","",IF(COUNTIF(Seguimiento!$B$2:$B$5001,A1748)=0,"",_xlfn.MAXIFS(Seguimiento!$A$2:$A$5001,Seguimiento!$B$2:$B$5001,A1748)))</f>
        <v/>
      </c>
      <c r="Y1748" s="37" t="str">
        <f aca="true">IF(B1748="","",TODAY()-B1748)</f>
        <v/>
      </c>
      <c r="Z1748" s="38" t="str">
        <f aca="false">IF(OR(O1748="",G1748=""),"",O1748*IFERROR(INDEX(Listas!$B$2:$B$50,MATCH(G1748,Listas!$A$2:$A$50,0)),0))</f>
        <v/>
      </c>
      <c r="AA1748" s="32"/>
      <c r="AB1748" s="32"/>
      <c r="AC1748" s="32"/>
      <c r="AD1748" s="35" t="str">
        <f aca="false">IF(OR(LEFT(H1748,4)="Meta",LEFT(H1748,6)="Google"),IF(AG1748=3,"Lead calificado",IF(OR(AG1748=4,AG1748=5),"Tasación/visita",IF(OR(AG1748=6,AG1748=7),"Captación/oferta",IF(AG1748=8,"Cierre","")))),"")</f>
        <v/>
      </c>
      <c r="AE1748" s="32"/>
      <c r="AF1748" s="32"/>
      <c r="AG1748" s="37" t="n">
        <f aca="false">IF(R1748="",0,IFERROR(MATCH(R1748,Listas!$L$2:$L$50,0),0))</f>
        <v>0</v>
      </c>
    </row>
    <row r="1749" customFormat="false" ht="15" hidden="false" customHeight="false" outlineLevel="0" collapsed="false">
      <c r="A1749" s="30"/>
      <c r="B1749" s="31"/>
      <c r="C1749" s="32"/>
      <c r="D1749" s="32"/>
      <c r="E1749" s="33"/>
      <c r="F1749" s="32"/>
      <c r="G1749" s="32"/>
      <c r="H1749" s="32"/>
      <c r="I1749" s="32"/>
      <c r="J1749" s="32"/>
      <c r="K1749" s="32"/>
      <c r="L1749" s="32"/>
      <c r="M1749" s="30"/>
      <c r="N1749" s="32"/>
      <c r="O1749" s="34"/>
      <c r="P1749" s="32"/>
      <c r="Q1749" s="32"/>
      <c r="R1749" s="32"/>
      <c r="S1749" s="32"/>
      <c r="T1749" s="32"/>
      <c r="U1749" s="32"/>
      <c r="V1749" s="31"/>
      <c r="W1749" s="35" t="str">
        <f aca="true">IF(OR(V1749="",AG1749&gt;=8),"",IF(V1749&lt;TODAY(),"Vencida",IF(V1749=TODAY(),"Hoy","")))</f>
        <v/>
      </c>
      <c r="X1749" s="36" t="str">
        <f aca="false">IF(A1749="","",IF(COUNTIF(Seguimiento!$B$2:$B$5001,A1749)=0,"",_xlfn.MAXIFS(Seguimiento!$A$2:$A$5001,Seguimiento!$B$2:$B$5001,A1749)))</f>
        <v/>
      </c>
      <c r="Y1749" s="37" t="str">
        <f aca="true">IF(B1749="","",TODAY()-B1749)</f>
        <v/>
      </c>
      <c r="Z1749" s="38" t="str">
        <f aca="false">IF(OR(O1749="",G1749=""),"",O1749*IFERROR(INDEX(Listas!$B$2:$B$50,MATCH(G1749,Listas!$A$2:$A$50,0)),0))</f>
        <v/>
      </c>
      <c r="AA1749" s="32"/>
      <c r="AB1749" s="32"/>
      <c r="AC1749" s="32"/>
      <c r="AD1749" s="35" t="str">
        <f aca="false">IF(OR(LEFT(H1749,4)="Meta",LEFT(H1749,6)="Google"),IF(AG1749=3,"Lead calificado",IF(OR(AG1749=4,AG1749=5),"Tasación/visita",IF(OR(AG1749=6,AG1749=7),"Captación/oferta",IF(AG1749=8,"Cierre","")))),"")</f>
        <v/>
      </c>
      <c r="AE1749" s="32"/>
      <c r="AF1749" s="32"/>
      <c r="AG1749" s="37" t="n">
        <f aca="false">IF(R1749="",0,IFERROR(MATCH(R1749,Listas!$L$2:$L$50,0),0))</f>
        <v>0</v>
      </c>
    </row>
    <row r="1750" customFormat="false" ht="15" hidden="false" customHeight="false" outlineLevel="0" collapsed="false">
      <c r="A1750" s="30"/>
      <c r="B1750" s="31"/>
      <c r="C1750" s="32"/>
      <c r="D1750" s="32"/>
      <c r="E1750" s="33"/>
      <c r="F1750" s="32"/>
      <c r="G1750" s="32"/>
      <c r="H1750" s="32"/>
      <c r="I1750" s="32"/>
      <c r="J1750" s="32"/>
      <c r="K1750" s="32"/>
      <c r="L1750" s="32"/>
      <c r="M1750" s="30"/>
      <c r="N1750" s="32"/>
      <c r="O1750" s="34"/>
      <c r="P1750" s="32"/>
      <c r="Q1750" s="32"/>
      <c r="R1750" s="32"/>
      <c r="S1750" s="32"/>
      <c r="T1750" s="32"/>
      <c r="U1750" s="32"/>
      <c r="V1750" s="31"/>
      <c r="W1750" s="35" t="str">
        <f aca="true">IF(OR(V1750="",AG1750&gt;=8),"",IF(V1750&lt;TODAY(),"Vencida",IF(V1750=TODAY(),"Hoy","")))</f>
        <v/>
      </c>
      <c r="X1750" s="36" t="str">
        <f aca="false">IF(A1750="","",IF(COUNTIF(Seguimiento!$B$2:$B$5001,A1750)=0,"",_xlfn.MAXIFS(Seguimiento!$A$2:$A$5001,Seguimiento!$B$2:$B$5001,A1750)))</f>
        <v/>
      </c>
      <c r="Y1750" s="37" t="str">
        <f aca="true">IF(B1750="","",TODAY()-B1750)</f>
        <v/>
      </c>
      <c r="Z1750" s="38" t="str">
        <f aca="false">IF(OR(O1750="",G1750=""),"",O1750*IFERROR(INDEX(Listas!$B$2:$B$50,MATCH(G1750,Listas!$A$2:$A$50,0)),0))</f>
        <v/>
      </c>
      <c r="AA1750" s="32"/>
      <c r="AB1750" s="32"/>
      <c r="AC1750" s="32"/>
      <c r="AD1750" s="35" t="str">
        <f aca="false">IF(OR(LEFT(H1750,4)="Meta",LEFT(H1750,6)="Google"),IF(AG1750=3,"Lead calificado",IF(OR(AG1750=4,AG1750=5),"Tasación/visita",IF(OR(AG1750=6,AG1750=7),"Captación/oferta",IF(AG1750=8,"Cierre","")))),"")</f>
        <v/>
      </c>
      <c r="AE1750" s="32"/>
      <c r="AF1750" s="32"/>
      <c r="AG1750" s="37" t="n">
        <f aca="false">IF(R1750="",0,IFERROR(MATCH(R1750,Listas!$L$2:$L$50,0),0))</f>
        <v>0</v>
      </c>
    </row>
    <row r="1751" customFormat="false" ht="15" hidden="false" customHeight="false" outlineLevel="0" collapsed="false">
      <c r="A1751" s="30"/>
      <c r="B1751" s="31"/>
      <c r="C1751" s="32"/>
      <c r="D1751" s="32"/>
      <c r="E1751" s="33"/>
      <c r="F1751" s="32"/>
      <c r="G1751" s="32"/>
      <c r="H1751" s="32"/>
      <c r="I1751" s="32"/>
      <c r="J1751" s="32"/>
      <c r="K1751" s="32"/>
      <c r="L1751" s="32"/>
      <c r="M1751" s="30"/>
      <c r="N1751" s="32"/>
      <c r="O1751" s="34"/>
      <c r="P1751" s="32"/>
      <c r="Q1751" s="32"/>
      <c r="R1751" s="32"/>
      <c r="S1751" s="32"/>
      <c r="T1751" s="32"/>
      <c r="U1751" s="32"/>
      <c r="V1751" s="31"/>
      <c r="W1751" s="35" t="str">
        <f aca="true">IF(OR(V1751="",AG1751&gt;=8),"",IF(V1751&lt;TODAY(),"Vencida",IF(V1751=TODAY(),"Hoy","")))</f>
        <v/>
      </c>
      <c r="X1751" s="36" t="str">
        <f aca="false">IF(A1751="","",IF(COUNTIF(Seguimiento!$B$2:$B$5001,A1751)=0,"",_xlfn.MAXIFS(Seguimiento!$A$2:$A$5001,Seguimiento!$B$2:$B$5001,A1751)))</f>
        <v/>
      </c>
      <c r="Y1751" s="37" t="str">
        <f aca="true">IF(B1751="","",TODAY()-B1751)</f>
        <v/>
      </c>
      <c r="Z1751" s="38" t="str">
        <f aca="false">IF(OR(O1751="",G1751=""),"",O1751*IFERROR(INDEX(Listas!$B$2:$B$50,MATCH(G1751,Listas!$A$2:$A$50,0)),0))</f>
        <v/>
      </c>
      <c r="AA1751" s="32"/>
      <c r="AB1751" s="32"/>
      <c r="AC1751" s="32"/>
      <c r="AD1751" s="35" t="str">
        <f aca="false">IF(OR(LEFT(H1751,4)="Meta",LEFT(H1751,6)="Google"),IF(AG1751=3,"Lead calificado",IF(OR(AG1751=4,AG1751=5),"Tasación/visita",IF(OR(AG1751=6,AG1751=7),"Captación/oferta",IF(AG1751=8,"Cierre","")))),"")</f>
        <v/>
      </c>
      <c r="AE1751" s="32"/>
      <c r="AF1751" s="32"/>
      <c r="AG1751" s="37" t="n">
        <f aca="false">IF(R1751="",0,IFERROR(MATCH(R1751,Listas!$L$2:$L$50,0),0))</f>
        <v>0</v>
      </c>
    </row>
    <row r="1752" customFormat="false" ht="15" hidden="false" customHeight="false" outlineLevel="0" collapsed="false">
      <c r="A1752" s="30"/>
      <c r="B1752" s="31"/>
      <c r="C1752" s="32"/>
      <c r="D1752" s="32"/>
      <c r="E1752" s="33"/>
      <c r="F1752" s="32"/>
      <c r="G1752" s="32"/>
      <c r="H1752" s="32"/>
      <c r="I1752" s="32"/>
      <c r="J1752" s="32"/>
      <c r="K1752" s="32"/>
      <c r="L1752" s="32"/>
      <c r="M1752" s="30"/>
      <c r="N1752" s="32"/>
      <c r="O1752" s="34"/>
      <c r="P1752" s="32"/>
      <c r="Q1752" s="32"/>
      <c r="R1752" s="32"/>
      <c r="S1752" s="32"/>
      <c r="T1752" s="32"/>
      <c r="U1752" s="32"/>
      <c r="V1752" s="31"/>
      <c r="W1752" s="35" t="str">
        <f aca="true">IF(OR(V1752="",AG1752&gt;=8),"",IF(V1752&lt;TODAY(),"Vencida",IF(V1752=TODAY(),"Hoy","")))</f>
        <v/>
      </c>
      <c r="X1752" s="36" t="str">
        <f aca="false">IF(A1752="","",IF(COUNTIF(Seguimiento!$B$2:$B$5001,A1752)=0,"",_xlfn.MAXIFS(Seguimiento!$A$2:$A$5001,Seguimiento!$B$2:$B$5001,A1752)))</f>
        <v/>
      </c>
      <c r="Y1752" s="37" t="str">
        <f aca="true">IF(B1752="","",TODAY()-B1752)</f>
        <v/>
      </c>
      <c r="Z1752" s="38" t="str">
        <f aca="false">IF(OR(O1752="",G1752=""),"",O1752*IFERROR(INDEX(Listas!$B$2:$B$50,MATCH(G1752,Listas!$A$2:$A$50,0)),0))</f>
        <v/>
      </c>
      <c r="AA1752" s="32"/>
      <c r="AB1752" s="32"/>
      <c r="AC1752" s="32"/>
      <c r="AD1752" s="35" t="str">
        <f aca="false">IF(OR(LEFT(H1752,4)="Meta",LEFT(H1752,6)="Google"),IF(AG1752=3,"Lead calificado",IF(OR(AG1752=4,AG1752=5),"Tasación/visita",IF(OR(AG1752=6,AG1752=7),"Captación/oferta",IF(AG1752=8,"Cierre","")))),"")</f>
        <v/>
      </c>
      <c r="AE1752" s="32"/>
      <c r="AF1752" s="32"/>
      <c r="AG1752" s="37" t="n">
        <f aca="false">IF(R1752="",0,IFERROR(MATCH(R1752,Listas!$L$2:$L$50,0),0))</f>
        <v>0</v>
      </c>
    </row>
    <row r="1753" customFormat="false" ht="15" hidden="false" customHeight="false" outlineLevel="0" collapsed="false">
      <c r="A1753" s="30"/>
      <c r="B1753" s="31"/>
      <c r="C1753" s="32"/>
      <c r="D1753" s="32"/>
      <c r="E1753" s="33"/>
      <c r="F1753" s="32"/>
      <c r="G1753" s="32"/>
      <c r="H1753" s="32"/>
      <c r="I1753" s="32"/>
      <c r="J1753" s="32"/>
      <c r="K1753" s="32"/>
      <c r="L1753" s="32"/>
      <c r="M1753" s="30"/>
      <c r="N1753" s="32"/>
      <c r="O1753" s="34"/>
      <c r="P1753" s="32"/>
      <c r="Q1753" s="32"/>
      <c r="R1753" s="32"/>
      <c r="S1753" s="32"/>
      <c r="T1753" s="32"/>
      <c r="U1753" s="32"/>
      <c r="V1753" s="31"/>
      <c r="W1753" s="35" t="str">
        <f aca="true">IF(OR(V1753="",AG1753&gt;=8),"",IF(V1753&lt;TODAY(),"Vencida",IF(V1753=TODAY(),"Hoy","")))</f>
        <v/>
      </c>
      <c r="X1753" s="36" t="str">
        <f aca="false">IF(A1753="","",IF(COUNTIF(Seguimiento!$B$2:$B$5001,A1753)=0,"",_xlfn.MAXIFS(Seguimiento!$A$2:$A$5001,Seguimiento!$B$2:$B$5001,A1753)))</f>
        <v/>
      </c>
      <c r="Y1753" s="37" t="str">
        <f aca="true">IF(B1753="","",TODAY()-B1753)</f>
        <v/>
      </c>
      <c r="Z1753" s="38" t="str">
        <f aca="false">IF(OR(O1753="",G1753=""),"",O1753*IFERROR(INDEX(Listas!$B$2:$B$50,MATCH(G1753,Listas!$A$2:$A$50,0)),0))</f>
        <v/>
      </c>
      <c r="AA1753" s="32"/>
      <c r="AB1753" s="32"/>
      <c r="AC1753" s="32"/>
      <c r="AD1753" s="35" t="str">
        <f aca="false">IF(OR(LEFT(H1753,4)="Meta",LEFT(H1753,6)="Google"),IF(AG1753=3,"Lead calificado",IF(OR(AG1753=4,AG1753=5),"Tasación/visita",IF(OR(AG1753=6,AG1753=7),"Captación/oferta",IF(AG1753=8,"Cierre","")))),"")</f>
        <v/>
      </c>
      <c r="AE1753" s="32"/>
      <c r="AF1753" s="32"/>
      <c r="AG1753" s="37" t="n">
        <f aca="false">IF(R1753="",0,IFERROR(MATCH(R1753,Listas!$L$2:$L$50,0),0))</f>
        <v>0</v>
      </c>
    </row>
    <row r="1754" customFormat="false" ht="15" hidden="false" customHeight="false" outlineLevel="0" collapsed="false">
      <c r="A1754" s="30"/>
      <c r="B1754" s="31"/>
      <c r="C1754" s="32"/>
      <c r="D1754" s="32"/>
      <c r="E1754" s="33"/>
      <c r="F1754" s="32"/>
      <c r="G1754" s="32"/>
      <c r="H1754" s="32"/>
      <c r="I1754" s="32"/>
      <c r="J1754" s="32"/>
      <c r="K1754" s="32"/>
      <c r="L1754" s="32"/>
      <c r="M1754" s="30"/>
      <c r="N1754" s="32"/>
      <c r="O1754" s="34"/>
      <c r="P1754" s="32"/>
      <c r="Q1754" s="32"/>
      <c r="R1754" s="32"/>
      <c r="S1754" s="32"/>
      <c r="T1754" s="32"/>
      <c r="U1754" s="32"/>
      <c r="V1754" s="31"/>
      <c r="W1754" s="35" t="str">
        <f aca="true">IF(OR(V1754="",AG1754&gt;=8),"",IF(V1754&lt;TODAY(),"Vencida",IF(V1754=TODAY(),"Hoy","")))</f>
        <v/>
      </c>
      <c r="X1754" s="36" t="str">
        <f aca="false">IF(A1754="","",IF(COUNTIF(Seguimiento!$B$2:$B$5001,A1754)=0,"",_xlfn.MAXIFS(Seguimiento!$A$2:$A$5001,Seguimiento!$B$2:$B$5001,A1754)))</f>
        <v/>
      </c>
      <c r="Y1754" s="37" t="str">
        <f aca="true">IF(B1754="","",TODAY()-B1754)</f>
        <v/>
      </c>
      <c r="Z1754" s="38" t="str">
        <f aca="false">IF(OR(O1754="",G1754=""),"",O1754*IFERROR(INDEX(Listas!$B$2:$B$50,MATCH(G1754,Listas!$A$2:$A$50,0)),0))</f>
        <v/>
      </c>
      <c r="AA1754" s="32"/>
      <c r="AB1754" s="32"/>
      <c r="AC1754" s="32"/>
      <c r="AD1754" s="35" t="str">
        <f aca="false">IF(OR(LEFT(H1754,4)="Meta",LEFT(H1754,6)="Google"),IF(AG1754=3,"Lead calificado",IF(OR(AG1754=4,AG1754=5),"Tasación/visita",IF(OR(AG1754=6,AG1754=7),"Captación/oferta",IF(AG1754=8,"Cierre","")))),"")</f>
        <v/>
      </c>
      <c r="AE1754" s="32"/>
      <c r="AF1754" s="32"/>
      <c r="AG1754" s="37" t="n">
        <f aca="false">IF(R1754="",0,IFERROR(MATCH(R1754,Listas!$L$2:$L$50,0),0))</f>
        <v>0</v>
      </c>
    </row>
    <row r="1755" customFormat="false" ht="15" hidden="false" customHeight="false" outlineLevel="0" collapsed="false">
      <c r="A1755" s="30"/>
      <c r="B1755" s="31"/>
      <c r="C1755" s="32"/>
      <c r="D1755" s="32"/>
      <c r="E1755" s="33"/>
      <c r="F1755" s="32"/>
      <c r="G1755" s="32"/>
      <c r="H1755" s="32"/>
      <c r="I1755" s="32"/>
      <c r="J1755" s="32"/>
      <c r="K1755" s="32"/>
      <c r="L1755" s="32"/>
      <c r="M1755" s="30"/>
      <c r="N1755" s="32"/>
      <c r="O1755" s="34"/>
      <c r="P1755" s="32"/>
      <c r="Q1755" s="32"/>
      <c r="R1755" s="32"/>
      <c r="S1755" s="32"/>
      <c r="T1755" s="32"/>
      <c r="U1755" s="32"/>
      <c r="V1755" s="31"/>
      <c r="W1755" s="35" t="str">
        <f aca="true">IF(OR(V1755="",AG1755&gt;=8),"",IF(V1755&lt;TODAY(),"Vencida",IF(V1755=TODAY(),"Hoy","")))</f>
        <v/>
      </c>
      <c r="X1755" s="36" t="str">
        <f aca="false">IF(A1755="","",IF(COUNTIF(Seguimiento!$B$2:$B$5001,A1755)=0,"",_xlfn.MAXIFS(Seguimiento!$A$2:$A$5001,Seguimiento!$B$2:$B$5001,A1755)))</f>
        <v/>
      </c>
      <c r="Y1755" s="37" t="str">
        <f aca="true">IF(B1755="","",TODAY()-B1755)</f>
        <v/>
      </c>
      <c r="Z1755" s="38" t="str">
        <f aca="false">IF(OR(O1755="",G1755=""),"",O1755*IFERROR(INDEX(Listas!$B$2:$B$50,MATCH(G1755,Listas!$A$2:$A$50,0)),0))</f>
        <v/>
      </c>
      <c r="AA1755" s="32"/>
      <c r="AB1755" s="32"/>
      <c r="AC1755" s="32"/>
      <c r="AD1755" s="35" t="str">
        <f aca="false">IF(OR(LEFT(H1755,4)="Meta",LEFT(H1755,6)="Google"),IF(AG1755=3,"Lead calificado",IF(OR(AG1755=4,AG1755=5),"Tasación/visita",IF(OR(AG1755=6,AG1755=7),"Captación/oferta",IF(AG1755=8,"Cierre","")))),"")</f>
        <v/>
      </c>
      <c r="AE1755" s="32"/>
      <c r="AF1755" s="32"/>
      <c r="AG1755" s="37" t="n">
        <f aca="false">IF(R1755="",0,IFERROR(MATCH(R1755,Listas!$L$2:$L$50,0),0))</f>
        <v>0</v>
      </c>
    </row>
    <row r="1756" customFormat="false" ht="15" hidden="false" customHeight="false" outlineLevel="0" collapsed="false">
      <c r="A1756" s="30"/>
      <c r="B1756" s="31"/>
      <c r="C1756" s="32"/>
      <c r="D1756" s="32"/>
      <c r="E1756" s="33"/>
      <c r="F1756" s="32"/>
      <c r="G1756" s="32"/>
      <c r="H1756" s="32"/>
      <c r="I1756" s="32"/>
      <c r="J1756" s="32"/>
      <c r="K1756" s="32"/>
      <c r="L1756" s="32"/>
      <c r="M1756" s="30"/>
      <c r="N1756" s="32"/>
      <c r="O1756" s="34"/>
      <c r="P1756" s="32"/>
      <c r="Q1756" s="32"/>
      <c r="R1756" s="32"/>
      <c r="S1756" s="32"/>
      <c r="T1756" s="32"/>
      <c r="U1756" s="32"/>
      <c r="V1756" s="31"/>
      <c r="W1756" s="35" t="str">
        <f aca="true">IF(OR(V1756="",AG1756&gt;=8),"",IF(V1756&lt;TODAY(),"Vencida",IF(V1756=TODAY(),"Hoy","")))</f>
        <v/>
      </c>
      <c r="X1756" s="36" t="str">
        <f aca="false">IF(A1756="","",IF(COUNTIF(Seguimiento!$B$2:$B$5001,A1756)=0,"",_xlfn.MAXIFS(Seguimiento!$A$2:$A$5001,Seguimiento!$B$2:$B$5001,A1756)))</f>
        <v/>
      </c>
      <c r="Y1756" s="37" t="str">
        <f aca="true">IF(B1756="","",TODAY()-B1756)</f>
        <v/>
      </c>
      <c r="Z1756" s="38" t="str">
        <f aca="false">IF(OR(O1756="",G1756=""),"",O1756*IFERROR(INDEX(Listas!$B$2:$B$50,MATCH(G1756,Listas!$A$2:$A$50,0)),0))</f>
        <v/>
      </c>
      <c r="AA1756" s="32"/>
      <c r="AB1756" s="32"/>
      <c r="AC1756" s="32"/>
      <c r="AD1756" s="35" t="str">
        <f aca="false">IF(OR(LEFT(H1756,4)="Meta",LEFT(H1756,6)="Google"),IF(AG1756=3,"Lead calificado",IF(OR(AG1756=4,AG1756=5),"Tasación/visita",IF(OR(AG1756=6,AG1756=7),"Captación/oferta",IF(AG1756=8,"Cierre","")))),"")</f>
        <v/>
      </c>
      <c r="AE1756" s="32"/>
      <c r="AF1756" s="32"/>
      <c r="AG1756" s="37" t="n">
        <f aca="false">IF(R1756="",0,IFERROR(MATCH(R1756,Listas!$L$2:$L$50,0),0))</f>
        <v>0</v>
      </c>
    </row>
    <row r="1757" customFormat="false" ht="15" hidden="false" customHeight="false" outlineLevel="0" collapsed="false">
      <c r="A1757" s="30"/>
      <c r="B1757" s="31"/>
      <c r="C1757" s="32"/>
      <c r="D1757" s="32"/>
      <c r="E1757" s="33"/>
      <c r="F1757" s="32"/>
      <c r="G1757" s="32"/>
      <c r="H1757" s="32"/>
      <c r="I1757" s="32"/>
      <c r="J1757" s="32"/>
      <c r="K1757" s="32"/>
      <c r="L1757" s="32"/>
      <c r="M1757" s="30"/>
      <c r="N1757" s="32"/>
      <c r="O1757" s="34"/>
      <c r="P1757" s="32"/>
      <c r="Q1757" s="32"/>
      <c r="R1757" s="32"/>
      <c r="S1757" s="32"/>
      <c r="T1757" s="32"/>
      <c r="U1757" s="32"/>
      <c r="V1757" s="31"/>
      <c r="W1757" s="35" t="str">
        <f aca="true">IF(OR(V1757="",AG1757&gt;=8),"",IF(V1757&lt;TODAY(),"Vencida",IF(V1757=TODAY(),"Hoy","")))</f>
        <v/>
      </c>
      <c r="X1757" s="36" t="str">
        <f aca="false">IF(A1757="","",IF(COUNTIF(Seguimiento!$B$2:$B$5001,A1757)=0,"",_xlfn.MAXIFS(Seguimiento!$A$2:$A$5001,Seguimiento!$B$2:$B$5001,A1757)))</f>
        <v/>
      </c>
      <c r="Y1757" s="37" t="str">
        <f aca="true">IF(B1757="","",TODAY()-B1757)</f>
        <v/>
      </c>
      <c r="Z1757" s="38" t="str">
        <f aca="false">IF(OR(O1757="",G1757=""),"",O1757*IFERROR(INDEX(Listas!$B$2:$B$50,MATCH(G1757,Listas!$A$2:$A$50,0)),0))</f>
        <v/>
      </c>
      <c r="AA1757" s="32"/>
      <c r="AB1757" s="32"/>
      <c r="AC1757" s="32"/>
      <c r="AD1757" s="35" t="str">
        <f aca="false">IF(OR(LEFT(H1757,4)="Meta",LEFT(H1757,6)="Google"),IF(AG1757=3,"Lead calificado",IF(OR(AG1757=4,AG1757=5),"Tasación/visita",IF(OR(AG1757=6,AG1757=7),"Captación/oferta",IF(AG1757=8,"Cierre","")))),"")</f>
        <v/>
      </c>
      <c r="AE1757" s="32"/>
      <c r="AF1757" s="32"/>
      <c r="AG1757" s="37" t="n">
        <f aca="false">IF(R1757="",0,IFERROR(MATCH(R1757,Listas!$L$2:$L$50,0),0))</f>
        <v>0</v>
      </c>
    </row>
    <row r="1758" customFormat="false" ht="15" hidden="false" customHeight="false" outlineLevel="0" collapsed="false">
      <c r="A1758" s="30"/>
      <c r="B1758" s="31"/>
      <c r="C1758" s="32"/>
      <c r="D1758" s="32"/>
      <c r="E1758" s="33"/>
      <c r="F1758" s="32"/>
      <c r="G1758" s="32"/>
      <c r="H1758" s="32"/>
      <c r="I1758" s="32"/>
      <c r="J1758" s="32"/>
      <c r="K1758" s="32"/>
      <c r="L1758" s="32"/>
      <c r="M1758" s="30"/>
      <c r="N1758" s="32"/>
      <c r="O1758" s="34"/>
      <c r="P1758" s="32"/>
      <c r="Q1758" s="32"/>
      <c r="R1758" s="32"/>
      <c r="S1758" s="32"/>
      <c r="T1758" s="32"/>
      <c r="U1758" s="32"/>
      <c r="V1758" s="31"/>
      <c r="W1758" s="35" t="str">
        <f aca="true">IF(OR(V1758="",AG1758&gt;=8),"",IF(V1758&lt;TODAY(),"Vencida",IF(V1758=TODAY(),"Hoy","")))</f>
        <v/>
      </c>
      <c r="X1758" s="36" t="str">
        <f aca="false">IF(A1758="","",IF(COUNTIF(Seguimiento!$B$2:$B$5001,A1758)=0,"",_xlfn.MAXIFS(Seguimiento!$A$2:$A$5001,Seguimiento!$B$2:$B$5001,A1758)))</f>
        <v/>
      </c>
      <c r="Y1758" s="37" t="str">
        <f aca="true">IF(B1758="","",TODAY()-B1758)</f>
        <v/>
      </c>
      <c r="Z1758" s="38" t="str">
        <f aca="false">IF(OR(O1758="",G1758=""),"",O1758*IFERROR(INDEX(Listas!$B$2:$B$50,MATCH(G1758,Listas!$A$2:$A$50,0)),0))</f>
        <v/>
      </c>
      <c r="AA1758" s="32"/>
      <c r="AB1758" s="32"/>
      <c r="AC1758" s="32"/>
      <c r="AD1758" s="35" t="str">
        <f aca="false">IF(OR(LEFT(H1758,4)="Meta",LEFT(H1758,6)="Google"),IF(AG1758=3,"Lead calificado",IF(OR(AG1758=4,AG1758=5),"Tasación/visita",IF(OR(AG1758=6,AG1758=7),"Captación/oferta",IF(AG1758=8,"Cierre","")))),"")</f>
        <v/>
      </c>
      <c r="AE1758" s="32"/>
      <c r="AF1758" s="32"/>
      <c r="AG1758" s="37" t="n">
        <f aca="false">IF(R1758="",0,IFERROR(MATCH(R1758,Listas!$L$2:$L$50,0),0))</f>
        <v>0</v>
      </c>
    </row>
    <row r="1759" customFormat="false" ht="15" hidden="false" customHeight="false" outlineLevel="0" collapsed="false">
      <c r="A1759" s="30"/>
      <c r="B1759" s="31"/>
      <c r="C1759" s="32"/>
      <c r="D1759" s="32"/>
      <c r="E1759" s="33"/>
      <c r="F1759" s="32"/>
      <c r="G1759" s="32"/>
      <c r="H1759" s="32"/>
      <c r="I1759" s="32"/>
      <c r="J1759" s="32"/>
      <c r="K1759" s="32"/>
      <c r="L1759" s="32"/>
      <c r="M1759" s="30"/>
      <c r="N1759" s="32"/>
      <c r="O1759" s="34"/>
      <c r="P1759" s="32"/>
      <c r="Q1759" s="32"/>
      <c r="R1759" s="32"/>
      <c r="S1759" s="32"/>
      <c r="T1759" s="32"/>
      <c r="U1759" s="32"/>
      <c r="V1759" s="31"/>
      <c r="W1759" s="35" t="str">
        <f aca="true">IF(OR(V1759="",AG1759&gt;=8),"",IF(V1759&lt;TODAY(),"Vencida",IF(V1759=TODAY(),"Hoy","")))</f>
        <v/>
      </c>
      <c r="X1759" s="36" t="str">
        <f aca="false">IF(A1759="","",IF(COUNTIF(Seguimiento!$B$2:$B$5001,A1759)=0,"",_xlfn.MAXIFS(Seguimiento!$A$2:$A$5001,Seguimiento!$B$2:$B$5001,A1759)))</f>
        <v/>
      </c>
      <c r="Y1759" s="37" t="str">
        <f aca="true">IF(B1759="","",TODAY()-B1759)</f>
        <v/>
      </c>
      <c r="Z1759" s="38" t="str">
        <f aca="false">IF(OR(O1759="",G1759=""),"",O1759*IFERROR(INDEX(Listas!$B$2:$B$50,MATCH(G1759,Listas!$A$2:$A$50,0)),0))</f>
        <v/>
      </c>
      <c r="AA1759" s="32"/>
      <c r="AB1759" s="32"/>
      <c r="AC1759" s="32"/>
      <c r="AD1759" s="35" t="str">
        <f aca="false">IF(OR(LEFT(H1759,4)="Meta",LEFT(H1759,6)="Google"),IF(AG1759=3,"Lead calificado",IF(OR(AG1759=4,AG1759=5),"Tasación/visita",IF(OR(AG1759=6,AG1759=7),"Captación/oferta",IF(AG1759=8,"Cierre","")))),"")</f>
        <v/>
      </c>
      <c r="AE1759" s="32"/>
      <c r="AF1759" s="32"/>
      <c r="AG1759" s="37" t="n">
        <f aca="false">IF(R1759="",0,IFERROR(MATCH(R1759,Listas!$L$2:$L$50,0),0))</f>
        <v>0</v>
      </c>
    </row>
    <row r="1760" customFormat="false" ht="15" hidden="false" customHeight="false" outlineLevel="0" collapsed="false">
      <c r="A1760" s="30"/>
      <c r="B1760" s="31"/>
      <c r="C1760" s="32"/>
      <c r="D1760" s="32"/>
      <c r="E1760" s="33"/>
      <c r="F1760" s="32"/>
      <c r="G1760" s="32"/>
      <c r="H1760" s="32"/>
      <c r="I1760" s="32"/>
      <c r="J1760" s="32"/>
      <c r="K1760" s="32"/>
      <c r="L1760" s="32"/>
      <c r="M1760" s="30"/>
      <c r="N1760" s="32"/>
      <c r="O1760" s="34"/>
      <c r="P1760" s="32"/>
      <c r="Q1760" s="32"/>
      <c r="R1760" s="32"/>
      <c r="S1760" s="32"/>
      <c r="T1760" s="32"/>
      <c r="U1760" s="32"/>
      <c r="V1760" s="31"/>
      <c r="W1760" s="35" t="str">
        <f aca="true">IF(OR(V1760="",AG1760&gt;=8),"",IF(V1760&lt;TODAY(),"Vencida",IF(V1760=TODAY(),"Hoy","")))</f>
        <v/>
      </c>
      <c r="X1760" s="36" t="str">
        <f aca="false">IF(A1760="","",IF(COUNTIF(Seguimiento!$B$2:$B$5001,A1760)=0,"",_xlfn.MAXIFS(Seguimiento!$A$2:$A$5001,Seguimiento!$B$2:$B$5001,A1760)))</f>
        <v/>
      </c>
      <c r="Y1760" s="37" t="str">
        <f aca="true">IF(B1760="","",TODAY()-B1760)</f>
        <v/>
      </c>
      <c r="Z1760" s="38" t="str">
        <f aca="false">IF(OR(O1760="",G1760=""),"",O1760*IFERROR(INDEX(Listas!$B$2:$B$50,MATCH(G1760,Listas!$A$2:$A$50,0)),0))</f>
        <v/>
      </c>
      <c r="AA1760" s="32"/>
      <c r="AB1760" s="32"/>
      <c r="AC1760" s="32"/>
      <c r="AD1760" s="35" t="str">
        <f aca="false">IF(OR(LEFT(H1760,4)="Meta",LEFT(H1760,6)="Google"),IF(AG1760=3,"Lead calificado",IF(OR(AG1760=4,AG1760=5),"Tasación/visita",IF(OR(AG1760=6,AG1760=7),"Captación/oferta",IF(AG1760=8,"Cierre","")))),"")</f>
        <v/>
      </c>
      <c r="AE1760" s="32"/>
      <c r="AF1760" s="32"/>
      <c r="AG1760" s="37" t="n">
        <f aca="false">IF(R1760="",0,IFERROR(MATCH(R1760,Listas!$L$2:$L$50,0),0))</f>
        <v>0</v>
      </c>
    </row>
    <row r="1761" customFormat="false" ht="15" hidden="false" customHeight="false" outlineLevel="0" collapsed="false">
      <c r="A1761" s="30"/>
      <c r="B1761" s="31"/>
      <c r="C1761" s="32"/>
      <c r="D1761" s="32"/>
      <c r="E1761" s="33"/>
      <c r="F1761" s="32"/>
      <c r="G1761" s="32"/>
      <c r="H1761" s="32"/>
      <c r="I1761" s="32"/>
      <c r="J1761" s="32"/>
      <c r="K1761" s="32"/>
      <c r="L1761" s="32"/>
      <c r="M1761" s="30"/>
      <c r="N1761" s="32"/>
      <c r="O1761" s="34"/>
      <c r="P1761" s="32"/>
      <c r="Q1761" s="32"/>
      <c r="R1761" s="32"/>
      <c r="S1761" s="32"/>
      <c r="T1761" s="32"/>
      <c r="U1761" s="32"/>
      <c r="V1761" s="31"/>
      <c r="W1761" s="35" t="str">
        <f aca="true">IF(OR(V1761="",AG1761&gt;=8),"",IF(V1761&lt;TODAY(),"Vencida",IF(V1761=TODAY(),"Hoy","")))</f>
        <v/>
      </c>
      <c r="X1761" s="36" t="str">
        <f aca="false">IF(A1761="","",IF(COUNTIF(Seguimiento!$B$2:$B$5001,A1761)=0,"",_xlfn.MAXIFS(Seguimiento!$A$2:$A$5001,Seguimiento!$B$2:$B$5001,A1761)))</f>
        <v/>
      </c>
      <c r="Y1761" s="37" t="str">
        <f aca="true">IF(B1761="","",TODAY()-B1761)</f>
        <v/>
      </c>
      <c r="Z1761" s="38" t="str">
        <f aca="false">IF(OR(O1761="",G1761=""),"",O1761*IFERROR(INDEX(Listas!$B$2:$B$50,MATCH(G1761,Listas!$A$2:$A$50,0)),0))</f>
        <v/>
      </c>
      <c r="AA1761" s="32"/>
      <c r="AB1761" s="32"/>
      <c r="AC1761" s="32"/>
      <c r="AD1761" s="35" t="str">
        <f aca="false">IF(OR(LEFT(H1761,4)="Meta",LEFT(H1761,6)="Google"),IF(AG1761=3,"Lead calificado",IF(OR(AG1761=4,AG1761=5),"Tasación/visita",IF(OR(AG1761=6,AG1761=7),"Captación/oferta",IF(AG1761=8,"Cierre","")))),"")</f>
        <v/>
      </c>
      <c r="AE1761" s="32"/>
      <c r="AF1761" s="32"/>
      <c r="AG1761" s="37" t="n">
        <f aca="false">IF(R1761="",0,IFERROR(MATCH(R1761,Listas!$L$2:$L$50,0),0))</f>
        <v>0</v>
      </c>
    </row>
    <row r="1762" customFormat="false" ht="15" hidden="false" customHeight="false" outlineLevel="0" collapsed="false">
      <c r="A1762" s="30"/>
      <c r="B1762" s="31"/>
      <c r="C1762" s="32"/>
      <c r="D1762" s="32"/>
      <c r="E1762" s="33"/>
      <c r="F1762" s="32"/>
      <c r="G1762" s="32"/>
      <c r="H1762" s="32"/>
      <c r="I1762" s="32"/>
      <c r="J1762" s="32"/>
      <c r="K1762" s="32"/>
      <c r="L1762" s="32"/>
      <c r="M1762" s="30"/>
      <c r="N1762" s="32"/>
      <c r="O1762" s="34"/>
      <c r="P1762" s="32"/>
      <c r="Q1762" s="32"/>
      <c r="R1762" s="32"/>
      <c r="S1762" s="32"/>
      <c r="T1762" s="32"/>
      <c r="U1762" s="32"/>
      <c r="V1762" s="31"/>
      <c r="W1762" s="35" t="str">
        <f aca="true">IF(OR(V1762="",AG1762&gt;=8),"",IF(V1762&lt;TODAY(),"Vencida",IF(V1762=TODAY(),"Hoy","")))</f>
        <v/>
      </c>
      <c r="X1762" s="36" t="str">
        <f aca="false">IF(A1762="","",IF(COUNTIF(Seguimiento!$B$2:$B$5001,A1762)=0,"",_xlfn.MAXIFS(Seguimiento!$A$2:$A$5001,Seguimiento!$B$2:$B$5001,A1762)))</f>
        <v/>
      </c>
      <c r="Y1762" s="37" t="str">
        <f aca="true">IF(B1762="","",TODAY()-B1762)</f>
        <v/>
      </c>
      <c r="Z1762" s="38" t="str">
        <f aca="false">IF(OR(O1762="",G1762=""),"",O1762*IFERROR(INDEX(Listas!$B$2:$B$50,MATCH(G1762,Listas!$A$2:$A$50,0)),0))</f>
        <v/>
      </c>
      <c r="AA1762" s="32"/>
      <c r="AB1762" s="32"/>
      <c r="AC1762" s="32"/>
      <c r="AD1762" s="35" t="str">
        <f aca="false">IF(OR(LEFT(H1762,4)="Meta",LEFT(H1762,6)="Google"),IF(AG1762=3,"Lead calificado",IF(OR(AG1762=4,AG1762=5),"Tasación/visita",IF(OR(AG1762=6,AG1762=7),"Captación/oferta",IF(AG1762=8,"Cierre","")))),"")</f>
        <v/>
      </c>
      <c r="AE1762" s="32"/>
      <c r="AF1762" s="32"/>
      <c r="AG1762" s="37" t="n">
        <f aca="false">IF(R1762="",0,IFERROR(MATCH(R1762,Listas!$L$2:$L$50,0),0))</f>
        <v>0</v>
      </c>
    </row>
    <row r="1763" customFormat="false" ht="15" hidden="false" customHeight="false" outlineLevel="0" collapsed="false">
      <c r="A1763" s="30"/>
      <c r="B1763" s="31"/>
      <c r="C1763" s="32"/>
      <c r="D1763" s="32"/>
      <c r="E1763" s="33"/>
      <c r="F1763" s="32"/>
      <c r="G1763" s="32"/>
      <c r="H1763" s="32"/>
      <c r="I1763" s="32"/>
      <c r="J1763" s="32"/>
      <c r="K1763" s="32"/>
      <c r="L1763" s="32"/>
      <c r="M1763" s="30"/>
      <c r="N1763" s="32"/>
      <c r="O1763" s="34"/>
      <c r="P1763" s="32"/>
      <c r="Q1763" s="32"/>
      <c r="R1763" s="32"/>
      <c r="S1763" s="32"/>
      <c r="T1763" s="32"/>
      <c r="U1763" s="32"/>
      <c r="V1763" s="31"/>
      <c r="W1763" s="35" t="str">
        <f aca="true">IF(OR(V1763="",AG1763&gt;=8),"",IF(V1763&lt;TODAY(),"Vencida",IF(V1763=TODAY(),"Hoy","")))</f>
        <v/>
      </c>
      <c r="X1763" s="36" t="str">
        <f aca="false">IF(A1763="","",IF(COUNTIF(Seguimiento!$B$2:$B$5001,A1763)=0,"",_xlfn.MAXIFS(Seguimiento!$A$2:$A$5001,Seguimiento!$B$2:$B$5001,A1763)))</f>
        <v/>
      </c>
      <c r="Y1763" s="37" t="str">
        <f aca="true">IF(B1763="","",TODAY()-B1763)</f>
        <v/>
      </c>
      <c r="Z1763" s="38" t="str">
        <f aca="false">IF(OR(O1763="",G1763=""),"",O1763*IFERROR(INDEX(Listas!$B$2:$B$50,MATCH(G1763,Listas!$A$2:$A$50,0)),0))</f>
        <v/>
      </c>
      <c r="AA1763" s="32"/>
      <c r="AB1763" s="32"/>
      <c r="AC1763" s="32"/>
      <c r="AD1763" s="35" t="str">
        <f aca="false">IF(OR(LEFT(H1763,4)="Meta",LEFT(H1763,6)="Google"),IF(AG1763=3,"Lead calificado",IF(OR(AG1763=4,AG1763=5),"Tasación/visita",IF(OR(AG1763=6,AG1763=7),"Captación/oferta",IF(AG1763=8,"Cierre","")))),"")</f>
        <v/>
      </c>
      <c r="AE1763" s="32"/>
      <c r="AF1763" s="32"/>
      <c r="AG1763" s="37" t="n">
        <f aca="false">IF(R1763="",0,IFERROR(MATCH(R1763,Listas!$L$2:$L$50,0),0))</f>
        <v>0</v>
      </c>
    </row>
    <row r="1764" customFormat="false" ht="15" hidden="false" customHeight="false" outlineLevel="0" collapsed="false">
      <c r="A1764" s="30"/>
      <c r="B1764" s="31"/>
      <c r="C1764" s="32"/>
      <c r="D1764" s="32"/>
      <c r="E1764" s="33"/>
      <c r="F1764" s="32"/>
      <c r="G1764" s="32"/>
      <c r="H1764" s="32"/>
      <c r="I1764" s="32"/>
      <c r="J1764" s="32"/>
      <c r="K1764" s="32"/>
      <c r="L1764" s="32"/>
      <c r="M1764" s="30"/>
      <c r="N1764" s="32"/>
      <c r="O1764" s="34"/>
      <c r="P1764" s="32"/>
      <c r="Q1764" s="32"/>
      <c r="R1764" s="32"/>
      <c r="S1764" s="32"/>
      <c r="T1764" s="32"/>
      <c r="U1764" s="32"/>
      <c r="V1764" s="31"/>
      <c r="W1764" s="35" t="str">
        <f aca="true">IF(OR(V1764="",AG1764&gt;=8),"",IF(V1764&lt;TODAY(),"Vencida",IF(V1764=TODAY(),"Hoy","")))</f>
        <v/>
      </c>
      <c r="X1764" s="36" t="str">
        <f aca="false">IF(A1764="","",IF(COUNTIF(Seguimiento!$B$2:$B$5001,A1764)=0,"",_xlfn.MAXIFS(Seguimiento!$A$2:$A$5001,Seguimiento!$B$2:$B$5001,A1764)))</f>
        <v/>
      </c>
      <c r="Y1764" s="37" t="str">
        <f aca="true">IF(B1764="","",TODAY()-B1764)</f>
        <v/>
      </c>
      <c r="Z1764" s="38" t="str">
        <f aca="false">IF(OR(O1764="",G1764=""),"",O1764*IFERROR(INDEX(Listas!$B$2:$B$50,MATCH(G1764,Listas!$A$2:$A$50,0)),0))</f>
        <v/>
      </c>
      <c r="AA1764" s="32"/>
      <c r="AB1764" s="32"/>
      <c r="AC1764" s="32"/>
      <c r="AD1764" s="35" t="str">
        <f aca="false">IF(OR(LEFT(H1764,4)="Meta",LEFT(H1764,6)="Google"),IF(AG1764=3,"Lead calificado",IF(OR(AG1764=4,AG1764=5),"Tasación/visita",IF(OR(AG1764=6,AG1764=7),"Captación/oferta",IF(AG1764=8,"Cierre","")))),"")</f>
        <v/>
      </c>
      <c r="AE1764" s="32"/>
      <c r="AF1764" s="32"/>
      <c r="AG1764" s="37" t="n">
        <f aca="false">IF(R1764="",0,IFERROR(MATCH(R1764,Listas!$L$2:$L$50,0),0))</f>
        <v>0</v>
      </c>
    </row>
    <row r="1765" customFormat="false" ht="15" hidden="false" customHeight="false" outlineLevel="0" collapsed="false">
      <c r="A1765" s="30"/>
      <c r="B1765" s="31"/>
      <c r="C1765" s="32"/>
      <c r="D1765" s="32"/>
      <c r="E1765" s="33"/>
      <c r="F1765" s="32"/>
      <c r="G1765" s="32"/>
      <c r="H1765" s="32"/>
      <c r="I1765" s="32"/>
      <c r="J1765" s="32"/>
      <c r="K1765" s="32"/>
      <c r="L1765" s="32"/>
      <c r="M1765" s="30"/>
      <c r="N1765" s="32"/>
      <c r="O1765" s="34"/>
      <c r="P1765" s="32"/>
      <c r="Q1765" s="32"/>
      <c r="R1765" s="32"/>
      <c r="S1765" s="32"/>
      <c r="T1765" s="32"/>
      <c r="U1765" s="32"/>
      <c r="V1765" s="31"/>
      <c r="W1765" s="35" t="str">
        <f aca="true">IF(OR(V1765="",AG1765&gt;=8),"",IF(V1765&lt;TODAY(),"Vencida",IF(V1765=TODAY(),"Hoy","")))</f>
        <v/>
      </c>
      <c r="X1765" s="36" t="str">
        <f aca="false">IF(A1765="","",IF(COUNTIF(Seguimiento!$B$2:$B$5001,A1765)=0,"",_xlfn.MAXIFS(Seguimiento!$A$2:$A$5001,Seguimiento!$B$2:$B$5001,A1765)))</f>
        <v/>
      </c>
      <c r="Y1765" s="37" t="str">
        <f aca="true">IF(B1765="","",TODAY()-B1765)</f>
        <v/>
      </c>
      <c r="Z1765" s="38" t="str">
        <f aca="false">IF(OR(O1765="",G1765=""),"",O1765*IFERROR(INDEX(Listas!$B$2:$B$50,MATCH(G1765,Listas!$A$2:$A$50,0)),0))</f>
        <v/>
      </c>
      <c r="AA1765" s="32"/>
      <c r="AB1765" s="32"/>
      <c r="AC1765" s="32"/>
      <c r="AD1765" s="35" t="str">
        <f aca="false">IF(OR(LEFT(H1765,4)="Meta",LEFT(H1765,6)="Google"),IF(AG1765=3,"Lead calificado",IF(OR(AG1765=4,AG1765=5),"Tasación/visita",IF(OR(AG1765=6,AG1765=7),"Captación/oferta",IF(AG1765=8,"Cierre","")))),"")</f>
        <v/>
      </c>
      <c r="AE1765" s="32"/>
      <c r="AF1765" s="32"/>
      <c r="AG1765" s="37" t="n">
        <f aca="false">IF(R1765="",0,IFERROR(MATCH(R1765,Listas!$L$2:$L$50,0),0))</f>
        <v>0</v>
      </c>
    </row>
    <row r="1766" customFormat="false" ht="15" hidden="false" customHeight="false" outlineLevel="0" collapsed="false">
      <c r="A1766" s="30"/>
      <c r="B1766" s="31"/>
      <c r="C1766" s="32"/>
      <c r="D1766" s="32"/>
      <c r="E1766" s="33"/>
      <c r="F1766" s="32"/>
      <c r="G1766" s="32"/>
      <c r="H1766" s="32"/>
      <c r="I1766" s="32"/>
      <c r="J1766" s="32"/>
      <c r="K1766" s="32"/>
      <c r="L1766" s="32"/>
      <c r="M1766" s="30"/>
      <c r="N1766" s="32"/>
      <c r="O1766" s="34"/>
      <c r="P1766" s="32"/>
      <c r="Q1766" s="32"/>
      <c r="R1766" s="32"/>
      <c r="S1766" s="32"/>
      <c r="T1766" s="32"/>
      <c r="U1766" s="32"/>
      <c r="V1766" s="31"/>
      <c r="W1766" s="35" t="str">
        <f aca="true">IF(OR(V1766="",AG1766&gt;=8),"",IF(V1766&lt;TODAY(),"Vencida",IF(V1766=TODAY(),"Hoy","")))</f>
        <v/>
      </c>
      <c r="X1766" s="36" t="str">
        <f aca="false">IF(A1766="","",IF(COUNTIF(Seguimiento!$B$2:$B$5001,A1766)=0,"",_xlfn.MAXIFS(Seguimiento!$A$2:$A$5001,Seguimiento!$B$2:$B$5001,A1766)))</f>
        <v/>
      </c>
      <c r="Y1766" s="37" t="str">
        <f aca="true">IF(B1766="","",TODAY()-B1766)</f>
        <v/>
      </c>
      <c r="Z1766" s="38" t="str">
        <f aca="false">IF(OR(O1766="",G1766=""),"",O1766*IFERROR(INDEX(Listas!$B$2:$B$50,MATCH(G1766,Listas!$A$2:$A$50,0)),0))</f>
        <v/>
      </c>
      <c r="AA1766" s="32"/>
      <c r="AB1766" s="32"/>
      <c r="AC1766" s="32"/>
      <c r="AD1766" s="35" t="str">
        <f aca="false">IF(OR(LEFT(H1766,4)="Meta",LEFT(H1766,6)="Google"),IF(AG1766=3,"Lead calificado",IF(OR(AG1766=4,AG1766=5),"Tasación/visita",IF(OR(AG1766=6,AG1766=7),"Captación/oferta",IF(AG1766=8,"Cierre","")))),"")</f>
        <v/>
      </c>
      <c r="AE1766" s="32"/>
      <c r="AF1766" s="32"/>
      <c r="AG1766" s="37" t="n">
        <f aca="false">IF(R1766="",0,IFERROR(MATCH(R1766,Listas!$L$2:$L$50,0),0))</f>
        <v>0</v>
      </c>
    </row>
    <row r="1767" customFormat="false" ht="15" hidden="false" customHeight="false" outlineLevel="0" collapsed="false">
      <c r="A1767" s="30"/>
      <c r="B1767" s="31"/>
      <c r="C1767" s="32"/>
      <c r="D1767" s="32"/>
      <c r="E1767" s="33"/>
      <c r="F1767" s="32"/>
      <c r="G1767" s="32"/>
      <c r="H1767" s="32"/>
      <c r="I1767" s="32"/>
      <c r="J1767" s="32"/>
      <c r="K1767" s="32"/>
      <c r="L1767" s="32"/>
      <c r="M1767" s="30"/>
      <c r="N1767" s="32"/>
      <c r="O1767" s="34"/>
      <c r="P1767" s="32"/>
      <c r="Q1767" s="32"/>
      <c r="R1767" s="32"/>
      <c r="S1767" s="32"/>
      <c r="T1767" s="32"/>
      <c r="U1767" s="32"/>
      <c r="V1767" s="31"/>
      <c r="W1767" s="35" t="str">
        <f aca="true">IF(OR(V1767="",AG1767&gt;=8),"",IF(V1767&lt;TODAY(),"Vencida",IF(V1767=TODAY(),"Hoy","")))</f>
        <v/>
      </c>
      <c r="X1767" s="36" t="str">
        <f aca="false">IF(A1767="","",IF(COUNTIF(Seguimiento!$B$2:$B$5001,A1767)=0,"",_xlfn.MAXIFS(Seguimiento!$A$2:$A$5001,Seguimiento!$B$2:$B$5001,A1767)))</f>
        <v/>
      </c>
      <c r="Y1767" s="37" t="str">
        <f aca="true">IF(B1767="","",TODAY()-B1767)</f>
        <v/>
      </c>
      <c r="Z1767" s="38" t="str">
        <f aca="false">IF(OR(O1767="",G1767=""),"",O1767*IFERROR(INDEX(Listas!$B$2:$B$50,MATCH(G1767,Listas!$A$2:$A$50,0)),0))</f>
        <v/>
      </c>
      <c r="AA1767" s="32"/>
      <c r="AB1767" s="32"/>
      <c r="AC1767" s="32"/>
      <c r="AD1767" s="35" t="str">
        <f aca="false">IF(OR(LEFT(H1767,4)="Meta",LEFT(H1767,6)="Google"),IF(AG1767=3,"Lead calificado",IF(OR(AG1767=4,AG1767=5),"Tasación/visita",IF(OR(AG1767=6,AG1767=7),"Captación/oferta",IF(AG1767=8,"Cierre","")))),"")</f>
        <v/>
      </c>
      <c r="AE1767" s="32"/>
      <c r="AF1767" s="32"/>
      <c r="AG1767" s="37" t="n">
        <f aca="false">IF(R1767="",0,IFERROR(MATCH(R1767,Listas!$L$2:$L$50,0),0))</f>
        <v>0</v>
      </c>
    </row>
    <row r="1768" customFormat="false" ht="15" hidden="false" customHeight="false" outlineLevel="0" collapsed="false">
      <c r="A1768" s="30"/>
      <c r="B1768" s="31"/>
      <c r="C1768" s="32"/>
      <c r="D1768" s="32"/>
      <c r="E1768" s="33"/>
      <c r="F1768" s="32"/>
      <c r="G1768" s="32"/>
      <c r="H1768" s="32"/>
      <c r="I1768" s="32"/>
      <c r="J1768" s="32"/>
      <c r="K1768" s="32"/>
      <c r="L1768" s="32"/>
      <c r="M1768" s="30"/>
      <c r="N1768" s="32"/>
      <c r="O1768" s="34"/>
      <c r="P1768" s="32"/>
      <c r="Q1768" s="32"/>
      <c r="R1768" s="32"/>
      <c r="S1768" s="32"/>
      <c r="T1768" s="32"/>
      <c r="U1768" s="32"/>
      <c r="V1768" s="31"/>
      <c r="W1768" s="35" t="str">
        <f aca="true">IF(OR(V1768="",AG1768&gt;=8),"",IF(V1768&lt;TODAY(),"Vencida",IF(V1768=TODAY(),"Hoy","")))</f>
        <v/>
      </c>
      <c r="X1768" s="36" t="str">
        <f aca="false">IF(A1768="","",IF(COUNTIF(Seguimiento!$B$2:$B$5001,A1768)=0,"",_xlfn.MAXIFS(Seguimiento!$A$2:$A$5001,Seguimiento!$B$2:$B$5001,A1768)))</f>
        <v/>
      </c>
      <c r="Y1768" s="37" t="str">
        <f aca="true">IF(B1768="","",TODAY()-B1768)</f>
        <v/>
      </c>
      <c r="Z1768" s="38" t="str">
        <f aca="false">IF(OR(O1768="",G1768=""),"",O1768*IFERROR(INDEX(Listas!$B$2:$B$50,MATCH(G1768,Listas!$A$2:$A$50,0)),0))</f>
        <v/>
      </c>
      <c r="AA1768" s="32"/>
      <c r="AB1768" s="32"/>
      <c r="AC1768" s="32"/>
      <c r="AD1768" s="35" t="str">
        <f aca="false">IF(OR(LEFT(H1768,4)="Meta",LEFT(H1768,6)="Google"),IF(AG1768=3,"Lead calificado",IF(OR(AG1768=4,AG1768=5),"Tasación/visita",IF(OR(AG1768=6,AG1768=7),"Captación/oferta",IF(AG1768=8,"Cierre","")))),"")</f>
        <v/>
      </c>
      <c r="AE1768" s="32"/>
      <c r="AF1768" s="32"/>
      <c r="AG1768" s="37" t="n">
        <f aca="false">IF(R1768="",0,IFERROR(MATCH(R1768,Listas!$L$2:$L$50,0),0))</f>
        <v>0</v>
      </c>
    </row>
    <row r="1769" customFormat="false" ht="15" hidden="false" customHeight="false" outlineLevel="0" collapsed="false">
      <c r="A1769" s="30"/>
      <c r="B1769" s="31"/>
      <c r="C1769" s="32"/>
      <c r="D1769" s="32"/>
      <c r="E1769" s="33"/>
      <c r="F1769" s="32"/>
      <c r="G1769" s="32"/>
      <c r="H1769" s="32"/>
      <c r="I1769" s="32"/>
      <c r="J1769" s="32"/>
      <c r="K1769" s="32"/>
      <c r="L1769" s="32"/>
      <c r="M1769" s="30"/>
      <c r="N1769" s="32"/>
      <c r="O1769" s="34"/>
      <c r="P1769" s="32"/>
      <c r="Q1769" s="32"/>
      <c r="R1769" s="32"/>
      <c r="S1769" s="32"/>
      <c r="T1769" s="32"/>
      <c r="U1769" s="32"/>
      <c r="V1769" s="31"/>
      <c r="W1769" s="35" t="str">
        <f aca="true">IF(OR(V1769="",AG1769&gt;=8),"",IF(V1769&lt;TODAY(),"Vencida",IF(V1769=TODAY(),"Hoy","")))</f>
        <v/>
      </c>
      <c r="X1769" s="36" t="str">
        <f aca="false">IF(A1769="","",IF(COUNTIF(Seguimiento!$B$2:$B$5001,A1769)=0,"",_xlfn.MAXIFS(Seguimiento!$A$2:$A$5001,Seguimiento!$B$2:$B$5001,A1769)))</f>
        <v/>
      </c>
      <c r="Y1769" s="37" t="str">
        <f aca="true">IF(B1769="","",TODAY()-B1769)</f>
        <v/>
      </c>
      <c r="Z1769" s="38" t="str">
        <f aca="false">IF(OR(O1769="",G1769=""),"",O1769*IFERROR(INDEX(Listas!$B$2:$B$50,MATCH(G1769,Listas!$A$2:$A$50,0)),0))</f>
        <v/>
      </c>
      <c r="AA1769" s="32"/>
      <c r="AB1769" s="32"/>
      <c r="AC1769" s="32"/>
      <c r="AD1769" s="35" t="str">
        <f aca="false">IF(OR(LEFT(H1769,4)="Meta",LEFT(H1769,6)="Google"),IF(AG1769=3,"Lead calificado",IF(OR(AG1769=4,AG1769=5),"Tasación/visita",IF(OR(AG1769=6,AG1769=7),"Captación/oferta",IF(AG1769=8,"Cierre","")))),"")</f>
        <v/>
      </c>
      <c r="AE1769" s="32"/>
      <c r="AF1769" s="32"/>
      <c r="AG1769" s="37" t="n">
        <f aca="false">IF(R1769="",0,IFERROR(MATCH(R1769,Listas!$L$2:$L$50,0),0))</f>
        <v>0</v>
      </c>
    </row>
    <row r="1770" customFormat="false" ht="15" hidden="false" customHeight="false" outlineLevel="0" collapsed="false">
      <c r="A1770" s="30"/>
      <c r="B1770" s="31"/>
      <c r="C1770" s="32"/>
      <c r="D1770" s="32"/>
      <c r="E1770" s="33"/>
      <c r="F1770" s="32"/>
      <c r="G1770" s="32"/>
      <c r="H1770" s="32"/>
      <c r="I1770" s="32"/>
      <c r="J1770" s="32"/>
      <c r="K1770" s="32"/>
      <c r="L1770" s="32"/>
      <c r="M1770" s="30"/>
      <c r="N1770" s="32"/>
      <c r="O1770" s="34"/>
      <c r="P1770" s="32"/>
      <c r="Q1770" s="32"/>
      <c r="R1770" s="32"/>
      <c r="S1770" s="32"/>
      <c r="T1770" s="32"/>
      <c r="U1770" s="32"/>
      <c r="V1770" s="31"/>
      <c r="W1770" s="35" t="str">
        <f aca="true">IF(OR(V1770="",AG1770&gt;=8),"",IF(V1770&lt;TODAY(),"Vencida",IF(V1770=TODAY(),"Hoy","")))</f>
        <v/>
      </c>
      <c r="X1770" s="36" t="str">
        <f aca="false">IF(A1770="","",IF(COUNTIF(Seguimiento!$B$2:$B$5001,A1770)=0,"",_xlfn.MAXIFS(Seguimiento!$A$2:$A$5001,Seguimiento!$B$2:$B$5001,A1770)))</f>
        <v/>
      </c>
      <c r="Y1770" s="37" t="str">
        <f aca="true">IF(B1770="","",TODAY()-B1770)</f>
        <v/>
      </c>
      <c r="Z1770" s="38" t="str">
        <f aca="false">IF(OR(O1770="",G1770=""),"",O1770*IFERROR(INDEX(Listas!$B$2:$B$50,MATCH(G1770,Listas!$A$2:$A$50,0)),0))</f>
        <v/>
      </c>
      <c r="AA1770" s="32"/>
      <c r="AB1770" s="32"/>
      <c r="AC1770" s="32"/>
      <c r="AD1770" s="35" t="str">
        <f aca="false">IF(OR(LEFT(H1770,4)="Meta",LEFT(H1770,6)="Google"),IF(AG1770=3,"Lead calificado",IF(OR(AG1770=4,AG1770=5),"Tasación/visita",IF(OR(AG1770=6,AG1770=7),"Captación/oferta",IF(AG1770=8,"Cierre","")))),"")</f>
        <v/>
      </c>
      <c r="AE1770" s="32"/>
      <c r="AF1770" s="32"/>
      <c r="AG1770" s="37" t="n">
        <f aca="false">IF(R1770="",0,IFERROR(MATCH(R1770,Listas!$L$2:$L$50,0),0))</f>
        <v>0</v>
      </c>
    </row>
    <row r="1771" customFormat="false" ht="15" hidden="false" customHeight="false" outlineLevel="0" collapsed="false">
      <c r="A1771" s="30"/>
      <c r="B1771" s="31"/>
      <c r="C1771" s="32"/>
      <c r="D1771" s="32"/>
      <c r="E1771" s="33"/>
      <c r="F1771" s="32"/>
      <c r="G1771" s="32"/>
      <c r="H1771" s="32"/>
      <c r="I1771" s="32"/>
      <c r="J1771" s="32"/>
      <c r="K1771" s="32"/>
      <c r="L1771" s="32"/>
      <c r="M1771" s="30"/>
      <c r="N1771" s="32"/>
      <c r="O1771" s="34"/>
      <c r="P1771" s="32"/>
      <c r="Q1771" s="32"/>
      <c r="R1771" s="32"/>
      <c r="S1771" s="32"/>
      <c r="T1771" s="32"/>
      <c r="U1771" s="32"/>
      <c r="V1771" s="31"/>
      <c r="W1771" s="35" t="str">
        <f aca="true">IF(OR(V1771="",AG1771&gt;=8),"",IF(V1771&lt;TODAY(),"Vencida",IF(V1771=TODAY(),"Hoy","")))</f>
        <v/>
      </c>
      <c r="X1771" s="36" t="str">
        <f aca="false">IF(A1771="","",IF(COUNTIF(Seguimiento!$B$2:$B$5001,A1771)=0,"",_xlfn.MAXIFS(Seguimiento!$A$2:$A$5001,Seguimiento!$B$2:$B$5001,A1771)))</f>
        <v/>
      </c>
      <c r="Y1771" s="37" t="str">
        <f aca="true">IF(B1771="","",TODAY()-B1771)</f>
        <v/>
      </c>
      <c r="Z1771" s="38" t="str">
        <f aca="false">IF(OR(O1771="",G1771=""),"",O1771*IFERROR(INDEX(Listas!$B$2:$B$50,MATCH(G1771,Listas!$A$2:$A$50,0)),0))</f>
        <v/>
      </c>
      <c r="AA1771" s="32"/>
      <c r="AB1771" s="32"/>
      <c r="AC1771" s="32"/>
      <c r="AD1771" s="35" t="str">
        <f aca="false">IF(OR(LEFT(H1771,4)="Meta",LEFT(H1771,6)="Google"),IF(AG1771=3,"Lead calificado",IF(OR(AG1771=4,AG1771=5),"Tasación/visita",IF(OR(AG1771=6,AG1771=7),"Captación/oferta",IF(AG1771=8,"Cierre","")))),"")</f>
        <v/>
      </c>
      <c r="AE1771" s="32"/>
      <c r="AF1771" s="32"/>
      <c r="AG1771" s="37" t="n">
        <f aca="false">IF(R1771="",0,IFERROR(MATCH(R1771,Listas!$L$2:$L$50,0),0))</f>
        <v>0</v>
      </c>
    </row>
    <row r="1772" customFormat="false" ht="15" hidden="false" customHeight="false" outlineLevel="0" collapsed="false">
      <c r="A1772" s="30"/>
      <c r="B1772" s="31"/>
      <c r="C1772" s="32"/>
      <c r="D1772" s="32"/>
      <c r="E1772" s="33"/>
      <c r="F1772" s="32"/>
      <c r="G1772" s="32"/>
      <c r="H1772" s="32"/>
      <c r="I1772" s="32"/>
      <c r="J1772" s="32"/>
      <c r="K1772" s="32"/>
      <c r="L1772" s="32"/>
      <c r="M1772" s="30"/>
      <c r="N1772" s="32"/>
      <c r="O1772" s="34"/>
      <c r="P1772" s="32"/>
      <c r="Q1772" s="32"/>
      <c r="R1772" s="32"/>
      <c r="S1772" s="32"/>
      <c r="T1772" s="32"/>
      <c r="U1772" s="32"/>
      <c r="V1772" s="31"/>
      <c r="W1772" s="35" t="str">
        <f aca="true">IF(OR(V1772="",AG1772&gt;=8),"",IF(V1772&lt;TODAY(),"Vencida",IF(V1772=TODAY(),"Hoy","")))</f>
        <v/>
      </c>
      <c r="X1772" s="36" t="str">
        <f aca="false">IF(A1772="","",IF(COUNTIF(Seguimiento!$B$2:$B$5001,A1772)=0,"",_xlfn.MAXIFS(Seguimiento!$A$2:$A$5001,Seguimiento!$B$2:$B$5001,A1772)))</f>
        <v/>
      </c>
      <c r="Y1772" s="37" t="str">
        <f aca="true">IF(B1772="","",TODAY()-B1772)</f>
        <v/>
      </c>
      <c r="Z1772" s="38" t="str">
        <f aca="false">IF(OR(O1772="",G1772=""),"",O1772*IFERROR(INDEX(Listas!$B$2:$B$50,MATCH(G1772,Listas!$A$2:$A$50,0)),0))</f>
        <v/>
      </c>
      <c r="AA1772" s="32"/>
      <c r="AB1772" s="32"/>
      <c r="AC1772" s="32"/>
      <c r="AD1772" s="35" t="str">
        <f aca="false">IF(OR(LEFT(H1772,4)="Meta",LEFT(H1772,6)="Google"),IF(AG1772=3,"Lead calificado",IF(OR(AG1772=4,AG1772=5),"Tasación/visita",IF(OR(AG1772=6,AG1772=7),"Captación/oferta",IF(AG1772=8,"Cierre","")))),"")</f>
        <v/>
      </c>
      <c r="AE1772" s="32"/>
      <c r="AF1772" s="32"/>
      <c r="AG1772" s="37" t="n">
        <f aca="false">IF(R1772="",0,IFERROR(MATCH(R1772,Listas!$L$2:$L$50,0),0))</f>
        <v>0</v>
      </c>
    </row>
    <row r="1773" customFormat="false" ht="15" hidden="false" customHeight="false" outlineLevel="0" collapsed="false">
      <c r="A1773" s="30"/>
      <c r="B1773" s="31"/>
      <c r="C1773" s="32"/>
      <c r="D1773" s="32"/>
      <c r="E1773" s="33"/>
      <c r="F1773" s="32"/>
      <c r="G1773" s="32"/>
      <c r="H1773" s="32"/>
      <c r="I1773" s="32"/>
      <c r="J1773" s="32"/>
      <c r="K1773" s="32"/>
      <c r="L1773" s="32"/>
      <c r="M1773" s="30"/>
      <c r="N1773" s="32"/>
      <c r="O1773" s="34"/>
      <c r="P1773" s="32"/>
      <c r="Q1773" s="32"/>
      <c r="R1773" s="32"/>
      <c r="S1773" s="32"/>
      <c r="T1773" s="32"/>
      <c r="U1773" s="32"/>
      <c r="V1773" s="31"/>
      <c r="W1773" s="35" t="str">
        <f aca="true">IF(OR(V1773="",AG1773&gt;=8),"",IF(V1773&lt;TODAY(),"Vencida",IF(V1773=TODAY(),"Hoy","")))</f>
        <v/>
      </c>
      <c r="X1773" s="36" t="str">
        <f aca="false">IF(A1773="","",IF(COUNTIF(Seguimiento!$B$2:$B$5001,A1773)=0,"",_xlfn.MAXIFS(Seguimiento!$A$2:$A$5001,Seguimiento!$B$2:$B$5001,A1773)))</f>
        <v/>
      </c>
      <c r="Y1773" s="37" t="str">
        <f aca="true">IF(B1773="","",TODAY()-B1773)</f>
        <v/>
      </c>
      <c r="Z1773" s="38" t="str">
        <f aca="false">IF(OR(O1773="",G1773=""),"",O1773*IFERROR(INDEX(Listas!$B$2:$B$50,MATCH(G1773,Listas!$A$2:$A$50,0)),0))</f>
        <v/>
      </c>
      <c r="AA1773" s="32"/>
      <c r="AB1773" s="32"/>
      <c r="AC1773" s="32"/>
      <c r="AD1773" s="35" t="str">
        <f aca="false">IF(OR(LEFT(H1773,4)="Meta",LEFT(H1773,6)="Google"),IF(AG1773=3,"Lead calificado",IF(OR(AG1773=4,AG1773=5),"Tasación/visita",IF(OR(AG1773=6,AG1773=7),"Captación/oferta",IF(AG1773=8,"Cierre","")))),"")</f>
        <v/>
      </c>
      <c r="AE1773" s="32"/>
      <c r="AF1773" s="32"/>
      <c r="AG1773" s="37" t="n">
        <f aca="false">IF(R1773="",0,IFERROR(MATCH(R1773,Listas!$L$2:$L$50,0),0))</f>
        <v>0</v>
      </c>
    </row>
    <row r="1774" customFormat="false" ht="15" hidden="false" customHeight="false" outlineLevel="0" collapsed="false">
      <c r="A1774" s="30"/>
      <c r="B1774" s="31"/>
      <c r="C1774" s="32"/>
      <c r="D1774" s="32"/>
      <c r="E1774" s="33"/>
      <c r="F1774" s="32"/>
      <c r="G1774" s="32"/>
      <c r="H1774" s="32"/>
      <c r="I1774" s="32"/>
      <c r="J1774" s="32"/>
      <c r="K1774" s="32"/>
      <c r="L1774" s="32"/>
      <c r="M1774" s="30"/>
      <c r="N1774" s="32"/>
      <c r="O1774" s="34"/>
      <c r="P1774" s="32"/>
      <c r="Q1774" s="32"/>
      <c r="R1774" s="32"/>
      <c r="S1774" s="32"/>
      <c r="T1774" s="32"/>
      <c r="U1774" s="32"/>
      <c r="V1774" s="31"/>
      <c r="W1774" s="35" t="str">
        <f aca="true">IF(OR(V1774="",AG1774&gt;=8),"",IF(V1774&lt;TODAY(),"Vencida",IF(V1774=TODAY(),"Hoy","")))</f>
        <v/>
      </c>
      <c r="X1774" s="36" t="str">
        <f aca="false">IF(A1774="","",IF(COUNTIF(Seguimiento!$B$2:$B$5001,A1774)=0,"",_xlfn.MAXIFS(Seguimiento!$A$2:$A$5001,Seguimiento!$B$2:$B$5001,A1774)))</f>
        <v/>
      </c>
      <c r="Y1774" s="37" t="str">
        <f aca="true">IF(B1774="","",TODAY()-B1774)</f>
        <v/>
      </c>
      <c r="Z1774" s="38" t="str">
        <f aca="false">IF(OR(O1774="",G1774=""),"",O1774*IFERROR(INDEX(Listas!$B$2:$B$50,MATCH(G1774,Listas!$A$2:$A$50,0)),0))</f>
        <v/>
      </c>
      <c r="AA1774" s="32"/>
      <c r="AB1774" s="32"/>
      <c r="AC1774" s="32"/>
      <c r="AD1774" s="35" t="str">
        <f aca="false">IF(OR(LEFT(H1774,4)="Meta",LEFT(H1774,6)="Google"),IF(AG1774=3,"Lead calificado",IF(OR(AG1774=4,AG1774=5),"Tasación/visita",IF(OR(AG1774=6,AG1774=7),"Captación/oferta",IF(AG1774=8,"Cierre","")))),"")</f>
        <v/>
      </c>
      <c r="AE1774" s="32"/>
      <c r="AF1774" s="32"/>
      <c r="AG1774" s="37" t="n">
        <f aca="false">IF(R1774="",0,IFERROR(MATCH(R1774,Listas!$L$2:$L$50,0),0))</f>
        <v>0</v>
      </c>
    </row>
    <row r="1775" customFormat="false" ht="15" hidden="false" customHeight="false" outlineLevel="0" collapsed="false">
      <c r="A1775" s="30"/>
      <c r="B1775" s="31"/>
      <c r="C1775" s="32"/>
      <c r="D1775" s="32"/>
      <c r="E1775" s="33"/>
      <c r="F1775" s="32"/>
      <c r="G1775" s="32"/>
      <c r="H1775" s="32"/>
      <c r="I1775" s="32"/>
      <c r="J1775" s="32"/>
      <c r="K1775" s="32"/>
      <c r="L1775" s="32"/>
      <c r="M1775" s="30"/>
      <c r="N1775" s="32"/>
      <c r="O1775" s="34"/>
      <c r="P1775" s="32"/>
      <c r="Q1775" s="32"/>
      <c r="R1775" s="32"/>
      <c r="S1775" s="32"/>
      <c r="T1775" s="32"/>
      <c r="U1775" s="32"/>
      <c r="V1775" s="31"/>
      <c r="W1775" s="35" t="str">
        <f aca="true">IF(OR(V1775="",AG1775&gt;=8),"",IF(V1775&lt;TODAY(),"Vencida",IF(V1775=TODAY(),"Hoy","")))</f>
        <v/>
      </c>
      <c r="X1775" s="36" t="str">
        <f aca="false">IF(A1775="","",IF(COUNTIF(Seguimiento!$B$2:$B$5001,A1775)=0,"",_xlfn.MAXIFS(Seguimiento!$A$2:$A$5001,Seguimiento!$B$2:$B$5001,A1775)))</f>
        <v/>
      </c>
      <c r="Y1775" s="37" t="str">
        <f aca="true">IF(B1775="","",TODAY()-B1775)</f>
        <v/>
      </c>
      <c r="Z1775" s="38" t="str">
        <f aca="false">IF(OR(O1775="",G1775=""),"",O1775*IFERROR(INDEX(Listas!$B$2:$B$50,MATCH(G1775,Listas!$A$2:$A$50,0)),0))</f>
        <v/>
      </c>
      <c r="AA1775" s="32"/>
      <c r="AB1775" s="32"/>
      <c r="AC1775" s="32"/>
      <c r="AD1775" s="35" t="str">
        <f aca="false">IF(OR(LEFT(H1775,4)="Meta",LEFT(H1775,6)="Google"),IF(AG1775=3,"Lead calificado",IF(OR(AG1775=4,AG1775=5),"Tasación/visita",IF(OR(AG1775=6,AG1775=7),"Captación/oferta",IF(AG1775=8,"Cierre","")))),"")</f>
        <v/>
      </c>
      <c r="AE1775" s="32"/>
      <c r="AF1775" s="32"/>
      <c r="AG1775" s="37" t="n">
        <f aca="false">IF(R1775="",0,IFERROR(MATCH(R1775,Listas!$L$2:$L$50,0),0))</f>
        <v>0</v>
      </c>
    </row>
    <row r="1776" customFormat="false" ht="15" hidden="false" customHeight="false" outlineLevel="0" collapsed="false">
      <c r="A1776" s="30"/>
      <c r="B1776" s="31"/>
      <c r="C1776" s="32"/>
      <c r="D1776" s="32"/>
      <c r="E1776" s="33"/>
      <c r="F1776" s="32"/>
      <c r="G1776" s="32"/>
      <c r="H1776" s="32"/>
      <c r="I1776" s="32"/>
      <c r="J1776" s="32"/>
      <c r="K1776" s="32"/>
      <c r="L1776" s="32"/>
      <c r="M1776" s="30"/>
      <c r="N1776" s="32"/>
      <c r="O1776" s="34"/>
      <c r="P1776" s="32"/>
      <c r="Q1776" s="32"/>
      <c r="R1776" s="32"/>
      <c r="S1776" s="32"/>
      <c r="T1776" s="32"/>
      <c r="U1776" s="32"/>
      <c r="V1776" s="31"/>
      <c r="W1776" s="35" t="str">
        <f aca="true">IF(OR(V1776="",AG1776&gt;=8),"",IF(V1776&lt;TODAY(),"Vencida",IF(V1776=TODAY(),"Hoy","")))</f>
        <v/>
      </c>
      <c r="X1776" s="36" t="str">
        <f aca="false">IF(A1776="","",IF(COUNTIF(Seguimiento!$B$2:$B$5001,A1776)=0,"",_xlfn.MAXIFS(Seguimiento!$A$2:$A$5001,Seguimiento!$B$2:$B$5001,A1776)))</f>
        <v/>
      </c>
      <c r="Y1776" s="37" t="str">
        <f aca="true">IF(B1776="","",TODAY()-B1776)</f>
        <v/>
      </c>
      <c r="Z1776" s="38" t="str">
        <f aca="false">IF(OR(O1776="",G1776=""),"",O1776*IFERROR(INDEX(Listas!$B$2:$B$50,MATCH(G1776,Listas!$A$2:$A$50,0)),0))</f>
        <v/>
      </c>
      <c r="AA1776" s="32"/>
      <c r="AB1776" s="32"/>
      <c r="AC1776" s="32"/>
      <c r="AD1776" s="35" t="str">
        <f aca="false">IF(OR(LEFT(H1776,4)="Meta",LEFT(H1776,6)="Google"),IF(AG1776=3,"Lead calificado",IF(OR(AG1776=4,AG1776=5),"Tasación/visita",IF(OR(AG1776=6,AG1776=7),"Captación/oferta",IF(AG1776=8,"Cierre","")))),"")</f>
        <v/>
      </c>
      <c r="AE1776" s="32"/>
      <c r="AF1776" s="32"/>
      <c r="AG1776" s="37" t="n">
        <f aca="false">IF(R1776="",0,IFERROR(MATCH(R1776,Listas!$L$2:$L$50,0),0))</f>
        <v>0</v>
      </c>
    </row>
    <row r="1777" customFormat="false" ht="15" hidden="false" customHeight="false" outlineLevel="0" collapsed="false">
      <c r="A1777" s="30"/>
      <c r="B1777" s="31"/>
      <c r="C1777" s="32"/>
      <c r="D1777" s="32"/>
      <c r="E1777" s="33"/>
      <c r="F1777" s="32"/>
      <c r="G1777" s="32"/>
      <c r="H1777" s="32"/>
      <c r="I1777" s="32"/>
      <c r="J1777" s="32"/>
      <c r="K1777" s="32"/>
      <c r="L1777" s="32"/>
      <c r="M1777" s="30"/>
      <c r="N1777" s="32"/>
      <c r="O1777" s="34"/>
      <c r="P1777" s="32"/>
      <c r="Q1777" s="32"/>
      <c r="R1777" s="32"/>
      <c r="S1777" s="32"/>
      <c r="T1777" s="32"/>
      <c r="U1777" s="32"/>
      <c r="V1777" s="31"/>
      <c r="W1777" s="35" t="str">
        <f aca="true">IF(OR(V1777="",AG1777&gt;=8),"",IF(V1777&lt;TODAY(),"Vencida",IF(V1777=TODAY(),"Hoy","")))</f>
        <v/>
      </c>
      <c r="X1777" s="36" t="str">
        <f aca="false">IF(A1777="","",IF(COUNTIF(Seguimiento!$B$2:$B$5001,A1777)=0,"",_xlfn.MAXIFS(Seguimiento!$A$2:$A$5001,Seguimiento!$B$2:$B$5001,A1777)))</f>
        <v/>
      </c>
      <c r="Y1777" s="37" t="str">
        <f aca="true">IF(B1777="","",TODAY()-B1777)</f>
        <v/>
      </c>
      <c r="Z1777" s="38" t="str">
        <f aca="false">IF(OR(O1777="",G1777=""),"",O1777*IFERROR(INDEX(Listas!$B$2:$B$50,MATCH(G1777,Listas!$A$2:$A$50,0)),0))</f>
        <v/>
      </c>
      <c r="AA1777" s="32"/>
      <c r="AB1777" s="32"/>
      <c r="AC1777" s="32"/>
      <c r="AD1777" s="35" t="str">
        <f aca="false">IF(OR(LEFT(H1777,4)="Meta",LEFT(H1777,6)="Google"),IF(AG1777=3,"Lead calificado",IF(OR(AG1777=4,AG1777=5),"Tasación/visita",IF(OR(AG1777=6,AG1777=7),"Captación/oferta",IF(AG1777=8,"Cierre","")))),"")</f>
        <v/>
      </c>
      <c r="AE1777" s="32"/>
      <c r="AF1777" s="32"/>
      <c r="AG1777" s="37" t="n">
        <f aca="false">IF(R1777="",0,IFERROR(MATCH(R1777,Listas!$L$2:$L$50,0),0))</f>
        <v>0</v>
      </c>
    </row>
    <row r="1778" customFormat="false" ht="15" hidden="false" customHeight="false" outlineLevel="0" collapsed="false">
      <c r="A1778" s="30"/>
      <c r="B1778" s="31"/>
      <c r="C1778" s="32"/>
      <c r="D1778" s="32"/>
      <c r="E1778" s="33"/>
      <c r="F1778" s="32"/>
      <c r="G1778" s="32"/>
      <c r="H1778" s="32"/>
      <c r="I1778" s="32"/>
      <c r="J1778" s="32"/>
      <c r="K1778" s="32"/>
      <c r="L1778" s="32"/>
      <c r="M1778" s="30"/>
      <c r="N1778" s="32"/>
      <c r="O1778" s="34"/>
      <c r="P1778" s="32"/>
      <c r="Q1778" s="32"/>
      <c r="R1778" s="32"/>
      <c r="S1778" s="32"/>
      <c r="T1778" s="32"/>
      <c r="U1778" s="32"/>
      <c r="V1778" s="31"/>
      <c r="W1778" s="35" t="str">
        <f aca="true">IF(OR(V1778="",AG1778&gt;=8),"",IF(V1778&lt;TODAY(),"Vencida",IF(V1778=TODAY(),"Hoy","")))</f>
        <v/>
      </c>
      <c r="X1778" s="36" t="str">
        <f aca="false">IF(A1778="","",IF(COUNTIF(Seguimiento!$B$2:$B$5001,A1778)=0,"",_xlfn.MAXIFS(Seguimiento!$A$2:$A$5001,Seguimiento!$B$2:$B$5001,A1778)))</f>
        <v/>
      </c>
      <c r="Y1778" s="37" t="str">
        <f aca="true">IF(B1778="","",TODAY()-B1778)</f>
        <v/>
      </c>
      <c r="Z1778" s="38" t="str">
        <f aca="false">IF(OR(O1778="",G1778=""),"",O1778*IFERROR(INDEX(Listas!$B$2:$B$50,MATCH(G1778,Listas!$A$2:$A$50,0)),0))</f>
        <v/>
      </c>
      <c r="AA1778" s="32"/>
      <c r="AB1778" s="32"/>
      <c r="AC1778" s="32"/>
      <c r="AD1778" s="35" t="str">
        <f aca="false">IF(OR(LEFT(H1778,4)="Meta",LEFT(H1778,6)="Google"),IF(AG1778=3,"Lead calificado",IF(OR(AG1778=4,AG1778=5),"Tasación/visita",IF(OR(AG1778=6,AG1778=7),"Captación/oferta",IF(AG1778=8,"Cierre","")))),"")</f>
        <v/>
      </c>
      <c r="AE1778" s="32"/>
      <c r="AF1778" s="32"/>
      <c r="AG1778" s="37" t="n">
        <f aca="false">IF(R1778="",0,IFERROR(MATCH(R1778,Listas!$L$2:$L$50,0),0))</f>
        <v>0</v>
      </c>
    </row>
    <row r="1779" customFormat="false" ht="15" hidden="false" customHeight="false" outlineLevel="0" collapsed="false">
      <c r="A1779" s="30"/>
      <c r="B1779" s="31"/>
      <c r="C1779" s="32"/>
      <c r="D1779" s="32"/>
      <c r="E1779" s="33"/>
      <c r="F1779" s="32"/>
      <c r="G1779" s="32"/>
      <c r="H1779" s="32"/>
      <c r="I1779" s="32"/>
      <c r="J1779" s="32"/>
      <c r="K1779" s="32"/>
      <c r="L1779" s="32"/>
      <c r="M1779" s="30"/>
      <c r="N1779" s="32"/>
      <c r="O1779" s="34"/>
      <c r="P1779" s="32"/>
      <c r="Q1779" s="32"/>
      <c r="R1779" s="32"/>
      <c r="S1779" s="32"/>
      <c r="T1779" s="32"/>
      <c r="U1779" s="32"/>
      <c r="V1779" s="31"/>
      <c r="W1779" s="35" t="str">
        <f aca="true">IF(OR(V1779="",AG1779&gt;=8),"",IF(V1779&lt;TODAY(),"Vencida",IF(V1779=TODAY(),"Hoy","")))</f>
        <v/>
      </c>
      <c r="X1779" s="36" t="str">
        <f aca="false">IF(A1779="","",IF(COUNTIF(Seguimiento!$B$2:$B$5001,A1779)=0,"",_xlfn.MAXIFS(Seguimiento!$A$2:$A$5001,Seguimiento!$B$2:$B$5001,A1779)))</f>
        <v/>
      </c>
      <c r="Y1779" s="37" t="str">
        <f aca="true">IF(B1779="","",TODAY()-B1779)</f>
        <v/>
      </c>
      <c r="Z1779" s="38" t="str">
        <f aca="false">IF(OR(O1779="",G1779=""),"",O1779*IFERROR(INDEX(Listas!$B$2:$B$50,MATCH(G1779,Listas!$A$2:$A$50,0)),0))</f>
        <v/>
      </c>
      <c r="AA1779" s="32"/>
      <c r="AB1779" s="32"/>
      <c r="AC1779" s="32"/>
      <c r="AD1779" s="35" t="str">
        <f aca="false">IF(OR(LEFT(H1779,4)="Meta",LEFT(H1779,6)="Google"),IF(AG1779=3,"Lead calificado",IF(OR(AG1779=4,AG1779=5),"Tasación/visita",IF(OR(AG1779=6,AG1779=7),"Captación/oferta",IF(AG1779=8,"Cierre","")))),"")</f>
        <v/>
      </c>
      <c r="AE1779" s="32"/>
      <c r="AF1779" s="32"/>
      <c r="AG1779" s="37" t="n">
        <f aca="false">IF(R1779="",0,IFERROR(MATCH(R1779,Listas!$L$2:$L$50,0),0))</f>
        <v>0</v>
      </c>
    </row>
    <row r="1780" customFormat="false" ht="15" hidden="false" customHeight="false" outlineLevel="0" collapsed="false">
      <c r="A1780" s="30"/>
      <c r="B1780" s="31"/>
      <c r="C1780" s="32"/>
      <c r="D1780" s="32"/>
      <c r="E1780" s="33"/>
      <c r="F1780" s="32"/>
      <c r="G1780" s="32"/>
      <c r="H1780" s="32"/>
      <c r="I1780" s="32"/>
      <c r="J1780" s="32"/>
      <c r="K1780" s="32"/>
      <c r="L1780" s="32"/>
      <c r="M1780" s="30"/>
      <c r="N1780" s="32"/>
      <c r="O1780" s="34"/>
      <c r="P1780" s="32"/>
      <c r="Q1780" s="32"/>
      <c r="R1780" s="32"/>
      <c r="S1780" s="32"/>
      <c r="T1780" s="32"/>
      <c r="U1780" s="32"/>
      <c r="V1780" s="31"/>
      <c r="W1780" s="35" t="str">
        <f aca="true">IF(OR(V1780="",AG1780&gt;=8),"",IF(V1780&lt;TODAY(),"Vencida",IF(V1780=TODAY(),"Hoy","")))</f>
        <v/>
      </c>
      <c r="X1780" s="36" t="str">
        <f aca="false">IF(A1780="","",IF(COUNTIF(Seguimiento!$B$2:$B$5001,A1780)=0,"",_xlfn.MAXIFS(Seguimiento!$A$2:$A$5001,Seguimiento!$B$2:$B$5001,A1780)))</f>
        <v/>
      </c>
      <c r="Y1780" s="37" t="str">
        <f aca="true">IF(B1780="","",TODAY()-B1780)</f>
        <v/>
      </c>
      <c r="Z1780" s="38" t="str">
        <f aca="false">IF(OR(O1780="",G1780=""),"",O1780*IFERROR(INDEX(Listas!$B$2:$B$50,MATCH(G1780,Listas!$A$2:$A$50,0)),0))</f>
        <v/>
      </c>
      <c r="AA1780" s="32"/>
      <c r="AB1780" s="32"/>
      <c r="AC1780" s="32"/>
      <c r="AD1780" s="35" t="str">
        <f aca="false">IF(OR(LEFT(H1780,4)="Meta",LEFT(H1780,6)="Google"),IF(AG1780=3,"Lead calificado",IF(OR(AG1780=4,AG1780=5),"Tasación/visita",IF(OR(AG1780=6,AG1780=7),"Captación/oferta",IF(AG1780=8,"Cierre","")))),"")</f>
        <v/>
      </c>
      <c r="AE1780" s="32"/>
      <c r="AF1780" s="32"/>
      <c r="AG1780" s="37" t="n">
        <f aca="false">IF(R1780="",0,IFERROR(MATCH(R1780,Listas!$L$2:$L$50,0),0))</f>
        <v>0</v>
      </c>
    </row>
    <row r="1781" customFormat="false" ht="15" hidden="false" customHeight="false" outlineLevel="0" collapsed="false">
      <c r="A1781" s="30"/>
      <c r="B1781" s="31"/>
      <c r="C1781" s="32"/>
      <c r="D1781" s="32"/>
      <c r="E1781" s="33"/>
      <c r="F1781" s="32"/>
      <c r="G1781" s="32"/>
      <c r="H1781" s="32"/>
      <c r="I1781" s="32"/>
      <c r="J1781" s="32"/>
      <c r="K1781" s="32"/>
      <c r="L1781" s="32"/>
      <c r="M1781" s="30"/>
      <c r="N1781" s="32"/>
      <c r="O1781" s="34"/>
      <c r="P1781" s="32"/>
      <c r="Q1781" s="32"/>
      <c r="R1781" s="32"/>
      <c r="S1781" s="32"/>
      <c r="T1781" s="32"/>
      <c r="U1781" s="32"/>
      <c r="V1781" s="31"/>
      <c r="W1781" s="35" t="str">
        <f aca="true">IF(OR(V1781="",AG1781&gt;=8),"",IF(V1781&lt;TODAY(),"Vencida",IF(V1781=TODAY(),"Hoy","")))</f>
        <v/>
      </c>
      <c r="X1781" s="36" t="str">
        <f aca="false">IF(A1781="","",IF(COUNTIF(Seguimiento!$B$2:$B$5001,A1781)=0,"",_xlfn.MAXIFS(Seguimiento!$A$2:$A$5001,Seguimiento!$B$2:$B$5001,A1781)))</f>
        <v/>
      </c>
      <c r="Y1781" s="37" t="str">
        <f aca="true">IF(B1781="","",TODAY()-B1781)</f>
        <v/>
      </c>
      <c r="Z1781" s="38" t="str">
        <f aca="false">IF(OR(O1781="",G1781=""),"",O1781*IFERROR(INDEX(Listas!$B$2:$B$50,MATCH(G1781,Listas!$A$2:$A$50,0)),0))</f>
        <v/>
      </c>
      <c r="AA1781" s="32"/>
      <c r="AB1781" s="32"/>
      <c r="AC1781" s="32"/>
      <c r="AD1781" s="35" t="str">
        <f aca="false">IF(OR(LEFT(H1781,4)="Meta",LEFT(H1781,6)="Google"),IF(AG1781=3,"Lead calificado",IF(OR(AG1781=4,AG1781=5),"Tasación/visita",IF(OR(AG1781=6,AG1781=7),"Captación/oferta",IF(AG1781=8,"Cierre","")))),"")</f>
        <v/>
      </c>
      <c r="AE1781" s="32"/>
      <c r="AF1781" s="32"/>
      <c r="AG1781" s="37" t="n">
        <f aca="false">IF(R1781="",0,IFERROR(MATCH(R1781,Listas!$L$2:$L$50,0),0))</f>
        <v>0</v>
      </c>
    </row>
    <row r="1782" customFormat="false" ht="15" hidden="false" customHeight="false" outlineLevel="0" collapsed="false">
      <c r="A1782" s="30"/>
      <c r="B1782" s="31"/>
      <c r="C1782" s="32"/>
      <c r="D1782" s="32"/>
      <c r="E1782" s="33"/>
      <c r="F1782" s="32"/>
      <c r="G1782" s="32"/>
      <c r="H1782" s="32"/>
      <c r="I1782" s="32"/>
      <c r="J1782" s="32"/>
      <c r="K1782" s="32"/>
      <c r="L1782" s="32"/>
      <c r="M1782" s="30"/>
      <c r="N1782" s="32"/>
      <c r="O1782" s="34"/>
      <c r="P1782" s="32"/>
      <c r="Q1782" s="32"/>
      <c r="R1782" s="32"/>
      <c r="S1782" s="32"/>
      <c r="T1782" s="32"/>
      <c r="U1782" s="32"/>
      <c r="V1782" s="31"/>
      <c r="W1782" s="35" t="str">
        <f aca="true">IF(OR(V1782="",AG1782&gt;=8),"",IF(V1782&lt;TODAY(),"Vencida",IF(V1782=TODAY(),"Hoy","")))</f>
        <v/>
      </c>
      <c r="X1782" s="36" t="str">
        <f aca="false">IF(A1782="","",IF(COUNTIF(Seguimiento!$B$2:$B$5001,A1782)=0,"",_xlfn.MAXIFS(Seguimiento!$A$2:$A$5001,Seguimiento!$B$2:$B$5001,A1782)))</f>
        <v/>
      </c>
      <c r="Y1782" s="37" t="str">
        <f aca="true">IF(B1782="","",TODAY()-B1782)</f>
        <v/>
      </c>
      <c r="Z1782" s="38" t="str">
        <f aca="false">IF(OR(O1782="",G1782=""),"",O1782*IFERROR(INDEX(Listas!$B$2:$B$50,MATCH(G1782,Listas!$A$2:$A$50,0)),0))</f>
        <v/>
      </c>
      <c r="AA1782" s="32"/>
      <c r="AB1782" s="32"/>
      <c r="AC1782" s="32"/>
      <c r="AD1782" s="35" t="str">
        <f aca="false">IF(OR(LEFT(H1782,4)="Meta",LEFT(H1782,6)="Google"),IF(AG1782=3,"Lead calificado",IF(OR(AG1782=4,AG1782=5),"Tasación/visita",IF(OR(AG1782=6,AG1782=7),"Captación/oferta",IF(AG1782=8,"Cierre","")))),"")</f>
        <v/>
      </c>
      <c r="AE1782" s="32"/>
      <c r="AF1782" s="32"/>
      <c r="AG1782" s="37" t="n">
        <f aca="false">IF(R1782="",0,IFERROR(MATCH(R1782,Listas!$L$2:$L$50,0),0))</f>
        <v>0</v>
      </c>
    </row>
    <row r="1783" customFormat="false" ht="15" hidden="false" customHeight="false" outlineLevel="0" collapsed="false">
      <c r="A1783" s="30"/>
      <c r="B1783" s="31"/>
      <c r="C1783" s="32"/>
      <c r="D1783" s="32"/>
      <c r="E1783" s="33"/>
      <c r="F1783" s="32"/>
      <c r="G1783" s="32"/>
      <c r="H1783" s="32"/>
      <c r="I1783" s="32"/>
      <c r="J1783" s="32"/>
      <c r="K1783" s="32"/>
      <c r="L1783" s="32"/>
      <c r="M1783" s="30"/>
      <c r="N1783" s="32"/>
      <c r="O1783" s="34"/>
      <c r="P1783" s="32"/>
      <c r="Q1783" s="32"/>
      <c r="R1783" s="32"/>
      <c r="S1783" s="32"/>
      <c r="T1783" s="32"/>
      <c r="U1783" s="32"/>
      <c r="V1783" s="31"/>
      <c r="W1783" s="35" t="str">
        <f aca="true">IF(OR(V1783="",AG1783&gt;=8),"",IF(V1783&lt;TODAY(),"Vencida",IF(V1783=TODAY(),"Hoy","")))</f>
        <v/>
      </c>
      <c r="X1783" s="36" t="str">
        <f aca="false">IF(A1783="","",IF(COUNTIF(Seguimiento!$B$2:$B$5001,A1783)=0,"",_xlfn.MAXIFS(Seguimiento!$A$2:$A$5001,Seguimiento!$B$2:$B$5001,A1783)))</f>
        <v/>
      </c>
      <c r="Y1783" s="37" t="str">
        <f aca="true">IF(B1783="","",TODAY()-B1783)</f>
        <v/>
      </c>
      <c r="Z1783" s="38" t="str">
        <f aca="false">IF(OR(O1783="",G1783=""),"",O1783*IFERROR(INDEX(Listas!$B$2:$B$50,MATCH(G1783,Listas!$A$2:$A$50,0)),0))</f>
        <v/>
      </c>
      <c r="AA1783" s="32"/>
      <c r="AB1783" s="32"/>
      <c r="AC1783" s="32"/>
      <c r="AD1783" s="35" t="str">
        <f aca="false">IF(OR(LEFT(H1783,4)="Meta",LEFT(H1783,6)="Google"),IF(AG1783=3,"Lead calificado",IF(OR(AG1783=4,AG1783=5),"Tasación/visita",IF(OR(AG1783=6,AG1783=7),"Captación/oferta",IF(AG1783=8,"Cierre","")))),"")</f>
        <v/>
      </c>
      <c r="AE1783" s="32"/>
      <c r="AF1783" s="32"/>
      <c r="AG1783" s="37" t="n">
        <f aca="false">IF(R1783="",0,IFERROR(MATCH(R1783,Listas!$L$2:$L$50,0),0))</f>
        <v>0</v>
      </c>
    </row>
    <row r="1784" customFormat="false" ht="15" hidden="false" customHeight="false" outlineLevel="0" collapsed="false">
      <c r="A1784" s="30"/>
      <c r="B1784" s="31"/>
      <c r="C1784" s="32"/>
      <c r="D1784" s="32"/>
      <c r="E1784" s="33"/>
      <c r="F1784" s="32"/>
      <c r="G1784" s="32"/>
      <c r="H1784" s="32"/>
      <c r="I1784" s="32"/>
      <c r="J1784" s="32"/>
      <c r="K1784" s="32"/>
      <c r="L1784" s="32"/>
      <c r="M1784" s="30"/>
      <c r="N1784" s="32"/>
      <c r="O1784" s="34"/>
      <c r="P1784" s="32"/>
      <c r="Q1784" s="32"/>
      <c r="R1784" s="32"/>
      <c r="S1784" s="32"/>
      <c r="T1784" s="32"/>
      <c r="U1784" s="32"/>
      <c r="V1784" s="31"/>
      <c r="W1784" s="35" t="str">
        <f aca="true">IF(OR(V1784="",AG1784&gt;=8),"",IF(V1784&lt;TODAY(),"Vencida",IF(V1784=TODAY(),"Hoy","")))</f>
        <v/>
      </c>
      <c r="X1784" s="36" t="str">
        <f aca="false">IF(A1784="","",IF(COUNTIF(Seguimiento!$B$2:$B$5001,A1784)=0,"",_xlfn.MAXIFS(Seguimiento!$A$2:$A$5001,Seguimiento!$B$2:$B$5001,A1784)))</f>
        <v/>
      </c>
      <c r="Y1784" s="37" t="str">
        <f aca="true">IF(B1784="","",TODAY()-B1784)</f>
        <v/>
      </c>
      <c r="Z1784" s="38" t="str">
        <f aca="false">IF(OR(O1784="",G1784=""),"",O1784*IFERROR(INDEX(Listas!$B$2:$B$50,MATCH(G1784,Listas!$A$2:$A$50,0)),0))</f>
        <v/>
      </c>
      <c r="AA1784" s="32"/>
      <c r="AB1784" s="32"/>
      <c r="AC1784" s="32"/>
      <c r="AD1784" s="35" t="str">
        <f aca="false">IF(OR(LEFT(H1784,4)="Meta",LEFT(H1784,6)="Google"),IF(AG1784=3,"Lead calificado",IF(OR(AG1784=4,AG1784=5),"Tasación/visita",IF(OR(AG1784=6,AG1784=7),"Captación/oferta",IF(AG1784=8,"Cierre","")))),"")</f>
        <v/>
      </c>
      <c r="AE1784" s="32"/>
      <c r="AF1784" s="32"/>
      <c r="AG1784" s="37" t="n">
        <f aca="false">IF(R1784="",0,IFERROR(MATCH(R1784,Listas!$L$2:$L$50,0),0))</f>
        <v>0</v>
      </c>
    </row>
    <row r="1785" customFormat="false" ht="15" hidden="false" customHeight="false" outlineLevel="0" collapsed="false">
      <c r="A1785" s="30"/>
      <c r="B1785" s="31"/>
      <c r="C1785" s="32"/>
      <c r="D1785" s="32"/>
      <c r="E1785" s="33"/>
      <c r="F1785" s="32"/>
      <c r="G1785" s="32"/>
      <c r="H1785" s="32"/>
      <c r="I1785" s="32"/>
      <c r="J1785" s="32"/>
      <c r="K1785" s="32"/>
      <c r="L1785" s="32"/>
      <c r="M1785" s="30"/>
      <c r="N1785" s="32"/>
      <c r="O1785" s="34"/>
      <c r="P1785" s="32"/>
      <c r="Q1785" s="32"/>
      <c r="R1785" s="32"/>
      <c r="S1785" s="32"/>
      <c r="T1785" s="32"/>
      <c r="U1785" s="32"/>
      <c r="V1785" s="31"/>
      <c r="W1785" s="35" t="str">
        <f aca="true">IF(OR(V1785="",AG1785&gt;=8),"",IF(V1785&lt;TODAY(),"Vencida",IF(V1785=TODAY(),"Hoy","")))</f>
        <v/>
      </c>
      <c r="X1785" s="36" t="str">
        <f aca="false">IF(A1785="","",IF(COUNTIF(Seguimiento!$B$2:$B$5001,A1785)=0,"",_xlfn.MAXIFS(Seguimiento!$A$2:$A$5001,Seguimiento!$B$2:$B$5001,A1785)))</f>
        <v/>
      </c>
      <c r="Y1785" s="37" t="str">
        <f aca="true">IF(B1785="","",TODAY()-B1785)</f>
        <v/>
      </c>
      <c r="Z1785" s="38" t="str">
        <f aca="false">IF(OR(O1785="",G1785=""),"",O1785*IFERROR(INDEX(Listas!$B$2:$B$50,MATCH(G1785,Listas!$A$2:$A$50,0)),0))</f>
        <v/>
      </c>
      <c r="AA1785" s="32"/>
      <c r="AB1785" s="32"/>
      <c r="AC1785" s="32"/>
      <c r="AD1785" s="35" t="str">
        <f aca="false">IF(OR(LEFT(H1785,4)="Meta",LEFT(H1785,6)="Google"),IF(AG1785=3,"Lead calificado",IF(OR(AG1785=4,AG1785=5),"Tasación/visita",IF(OR(AG1785=6,AG1785=7),"Captación/oferta",IF(AG1785=8,"Cierre","")))),"")</f>
        <v/>
      </c>
      <c r="AE1785" s="32"/>
      <c r="AF1785" s="32"/>
      <c r="AG1785" s="37" t="n">
        <f aca="false">IF(R1785="",0,IFERROR(MATCH(R1785,Listas!$L$2:$L$50,0),0))</f>
        <v>0</v>
      </c>
    </row>
    <row r="1786" customFormat="false" ht="15" hidden="false" customHeight="false" outlineLevel="0" collapsed="false">
      <c r="A1786" s="30"/>
      <c r="B1786" s="31"/>
      <c r="C1786" s="32"/>
      <c r="D1786" s="32"/>
      <c r="E1786" s="33"/>
      <c r="F1786" s="32"/>
      <c r="G1786" s="32"/>
      <c r="H1786" s="32"/>
      <c r="I1786" s="32"/>
      <c r="J1786" s="32"/>
      <c r="K1786" s="32"/>
      <c r="L1786" s="32"/>
      <c r="M1786" s="30"/>
      <c r="N1786" s="32"/>
      <c r="O1786" s="34"/>
      <c r="P1786" s="32"/>
      <c r="Q1786" s="32"/>
      <c r="R1786" s="32"/>
      <c r="S1786" s="32"/>
      <c r="T1786" s="32"/>
      <c r="U1786" s="32"/>
      <c r="V1786" s="31"/>
      <c r="W1786" s="35" t="str">
        <f aca="true">IF(OR(V1786="",AG1786&gt;=8),"",IF(V1786&lt;TODAY(),"Vencida",IF(V1786=TODAY(),"Hoy","")))</f>
        <v/>
      </c>
      <c r="X1786" s="36" t="str">
        <f aca="false">IF(A1786="","",IF(COUNTIF(Seguimiento!$B$2:$B$5001,A1786)=0,"",_xlfn.MAXIFS(Seguimiento!$A$2:$A$5001,Seguimiento!$B$2:$B$5001,A1786)))</f>
        <v/>
      </c>
      <c r="Y1786" s="37" t="str">
        <f aca="true">IF(B1786="","",TODAY()-B1786)</f>
        <v/>
      </c>
      <c r="Z1786" s="38" t="str">
        <f aca="false">IF(OR(O1786="",G1786=""),"",O1786*IFERROR(INDEX(Listas!$B$2:$B$50,MATCH(G1786,Listas!$A$2:$A$50,0)),0))</f>
        <v/>
      </c>
      <c r="AA1786" s="32"/>
      <c r="AB1786" s="32"/>
      <c r="AC1786" s="32"/>
      <c r="AD1786" s="35" t="str">
        <f aca="false">IF(OR(LEFT(H1786,4)="Meta",LEFT(H1786,6)="Google"),IF(AG1786=3,"Lead calificado",IF(OR(AG1786=4,AG1786=5),"Tasación/visita",IF(OR(AG1786=6,AG1786=7),"Captación/oferta",IF(AG1786=8,"Cierre","")))),"")</f>
        <v/>
      </c>
      <c r="AE1786" s="32"/>
      <c r="AF1786" s="32"/>
      <c r="AG1786" s="37" t="n">
        <f aca="false">IF(R1786="",0,IFERROR(MATCH(R1786,Listas!$L$2:$L$50,0),0))</f>
        <v>0</v>
      </c>
    </row>
    <row r="1787" customFormat="false" ht="15" hidden="false" customHeight="false" outlineLevel="0" collapsed="false">
      <c r="A1787" s="30"/>
      <c r="B1787" s="31"/>
      <c r="C1787" s="32"/>
      <c r="D1787" s="32"/>
      <c r="E1787" s="33"/>
      <c r="F1787" s="32"/>
      <c r="G1787" s="32"/>
      <c r="H1787" s="32"/>
      <c r="I1787" s="32"/>
      <c r="J1787" s="32"/>
      <c r="K1787" s="32"/>
      <c r="L1787" s="32"/>
      <c r="M1787" s="30"/>
      <c r="N1787" s="32"/>
      <c r="O1787" s="34"/>
      <c r="P1787" s="32"/>
      <c r="Q1787" s="32"/>
      <c r="R1787" s="32"/>
      <c r="S1787" s="32"/>
      <c r="T1787" s="32"/>
      <c r="U1787" s="32"/>
      <c r="V1787" s="31"/>
      <c r="W1787" s="35" t="str">
        <f aca="true">IF(OR(V1787="",AG1787&gt;=8),"",IF(V1787&lt;TODAY(),"Vencida",IF(V1787=TODAY(),"Hoy","")))</f>
        <v/>
      </c>
      <c r="X1787" s="36" t="str">
        <f aca="false">IF(A1787="","",IF(COUNTIF(Seguimiento!$B$2:$B$5001,A1787)=0,"",_xlfn.MAXIFS(Seguimiento!$A$2:$A$5001,Seguimiento!$B$2:$B$5001,A1787)))</f>
        <v/>
      </c>
      <c r="Y1787" s="37" t="str">
        <f aca="true">IF(B1787="","",TODAY()-B1787)</f>
        <v/>
      </c>
      <c r="Z1787" s="38" t="str">
        <f aca="false">IF(OR(O1787="",G1787=""),"",O1787*IFERROR(INDEX(Listas!$B$2:$B$50,MATCH(G1787,Listas!$A$2:$A$50,0)),0))</f>
        <v/>
      </c>
      <c r="AA1787" s="32"/>
      <c r="AB1787" s="32"/>
      <c r="AC1787" s="32"/>
      <c r="AD1787" s="35" t="str">
        <f aca="false">IF(OR(LEFT(H1787,4)="Meta",LEFT(H1787,6)="Google"),IF(AG1787=3,"Lead calificado",IF(OR(AG1787=4,AG1787=5),"Tasación/visita",IF(OR(AG1787=6,AG1787=7),"Captación/oferta",IF(AG1787=8,"Cierre","")))),"")</f>
        <v/>
      </c>
      <c r="AE1787" s="32"/>
      <c r="AF1787" s="32"/>
      <c r="AG1787" s="37" t="n">
        <f aca="false">IF(R1787="",0,IFERROR(MATCH(R1787,Listas!$L$2:$L$50,0),0))</f>
        <v>0</v>
      </c>
    </row>
    <row r="1788" customFormat="false" ht="15" hidden="false" customHeight="false" outlineLevel="0" collapsed="false">
      <c r="A1788" s="30"/>
      <c r="B1788" s="31"/>
      <c r="C1788" s="32"/>
      <c r="D1788" s="32"/>
      <c r="E1788" s="33"/>
      <c r="F1788" s="32"/>
      <c r="G1788" s="32"/>
      <c r="H1788" s="32"/>
      <c r="I1788" s="32"/>
      <c r="J1788" s="32"/>
      <c r="K1788" s="32"/>
      <c r="L1788" s="32"/>
      <c r="M1788" s="30"/>
      <c r="N1788" s="32"/>
      <c r="O1788" s="34"/>
      <c r="P1788" s="32"/>
      <c r="Q1788" s="32"/>
      <c r="R1788" s="32"/>
      <c r="S1788" s="32"/>
      <c r="T1788" s="32"/>
      <c r="U1788" s="32"/>
      <c r="V1788" s="31"/>
      <c r="W1788" s="35" t="str">
        <f aca="true">IF(OR(V1788="",AG1788&gt;=8),"",IF(V1788&lt;TODAY(),"Vencida",IF(V1788=TODAY(),"Hoy","")))</f>
        <v/>
      </c>
      <c r="X1788" s="36" t="str">
        <f aca="false">IF(A1788="","",IF(COUNTIF(Seguimiento!$B$2:$B$5001,A1788)=0,"",_xlfn.MAXIFS(Seguimiento!$A$2:$A$5001,Seguimiento!$B$2:$B$5001,A1788)))</f>
        <v/>
      </c>
      <c r="Y1788" s="37" t="str">
        <f aca="true">IF(B1788="","",TODAY()-B1788)</f>
        <v/>
      </c>
      <c r="Z1788" s="38" t="str">
        <f aca="false">IF(OR(O1788="",G1788=""),"",O1788*IFERROR(INDEX(Listas!$B$2:$B$50,MATCH(G1788,Listas!$A$2:$A$50,0)),0))</f>
        <v/>
      </c>
      <c r="AA1788" s="32"/>
      <c r="AB1788" s="32"/>
      <c r="AC1788" s="32"/>
      <c r="AD1788" s="35" t="str">
        <f aca="false">IF(OR(LEFT(H1788,4)="Meta",LEFT(H1788,6)="Google"),IF(AG1788=3,"Lead calificado",IF(OR(AG1788=4,AG1788=5),"Tasación/visita",IF(OR(AG1788=6,AG1788=7),"Captación/oferta",IF(AG1788=8,"Cierre","")))),"")</f>
        <v/>
      </c>
      <c r="AE1788" s="32"/>
      <c r="AF1788" s="32"/>
      <c r="AG1788" s="37" t="n">
        <f aca="false">IF(R1788="",0,IFERROR(MATCH(R1788,Listas!$L$2:$L$50,0),0))</f>
        <v>0</v>
      </c>
    </row>
    <row r="1789" customFormat="false" ht="15" hidden="false" customHeight="false" outlineLevel="0" collapsed="false">
      <c r="A1789" s="30"/>
      <c r="B1789" s="31"/>
      <c r="C1789" s="32"/>
      <c r="D1789" s="32"/>
      <c r="E1789" s="33"/>
      <c r="F1789" s="32"/>
      <c r="G1789" s="32"/>
      <c r="H1789" s="32"/>
      <c r="I1789" s="32"/>
      <c r="J1789" s="32"/>
      <c r="K1789" s="32"/>
      <c r="L1789" s="32"/>
      <c r="M1789" s="30"/>
      <c r="N1789" s="32"/>
      <c r="O1789" s="34"/>
      <c r="P1789" s="32"/>
      <c r="Q1789" s="32"/>
      <c r="R1789" s="32"/>
      <c r="S1789" s="32"/>
      <c r="T1789" s="32"/>
      <c r="U1789" s="32"/>
      <c r="V1789" s="31"/>
      <c r="W1789" s="35" t="str">
        <f aca="true">IF(OR(V1789="",AG1789&gt;=8),"",IF(V1789&lt;TODAY(),"Vencida",IF(V1789=TODAY(),"Hoy","")))</f>
        <v/>
      </c>
      <c r="X1789" s="36" t="str">
        <f aca="false">IF(A1789="","",IF(COUNTIF(Seguimiento!$B$2:$B$5001,A1789)=0,"",_xlfn.MAXIFS(Seguimiento!$A$2:$A$5001,Seguimiento!$B$2:$B$5001,A1789)))</f>
        <v/>
      </c>
      <c r="Y1789" s="37" t="str">
        <f aca="true">IF(B1789="","",TODAY()-B1789)</f>
        <v/>
      </c>
      <c r="Z1789" s="38" t="str">
        <f aca="false">IF(OR(O1789="",G1789=""),"",O1789*IFERROR(INDEX(Listas!$B$2:$B$50,MATCH(G1789,Listas!$A$2:$A$50,0)),0))</f>
        <v/>
      </c>
      <c r="AA1789" s="32"/>
      <c r="AB1789" s="32"/>
      <c r="AC1789" s="32"/>
      <c r="AD1789" s="35" t="str">
        <f aca="false">IF(OR(LEFT(H1789,4)="Meta",LEFT(H1789,6)="Google"),IF(AG1789=3,"Lead calificado",IF(OR(AG1789=4,AG1789=5),"Tasación/visita",IF(OR(AG1789=6,AG1789=7),"Captación/oferta",IF(AG1789=8,"Cierre","")))),"")</f>
        <v/>
      </c>
      <c r="AE1789" s="32"/>
      <c r="AF1789" s="32"/>
      <c r="AG1789" s="37" t="n">
        <f aca="false">IF(R1789="",0,IFERROR(MATCH(R1789,Listas!$L$2:$L$50,0),0))</f>
        <v>0</v>
      </c>
    </row>
    <row r="1790" customFormat="false" ht="15" hidden="false" customHeight="false" outlineLevel="0" collapsed="false">
      <c r="A1790" s="30"/>
      <c r="B1790" s="31"/>
      <c r="C1790" s="32"/>
      <c r="D1790" s="32"/>
      <c r="E1790" s="33"/>
      <c r="F1790" s="32"/>
      <c r="G1790" s="32"/>
      <c r="H1790" s="32"/>
      <c r="I1790" s="32"/>
      <c r="J1790" s="32"/>
      <c r="K1790" s="32"/>
      <c r="L1790" s="32"/>
      <c r="M1790" s="30"/>
      <c r="N1790" s="32"/>
      <c r="O1790" s="34"/>
      <c r="P1790" s="32"/>
      <c r="Q1790" s="32"/>
      <c r="R1790" s="32"/>
      <c r="S1790" s="32"/>
      <c r="T1790" s="32"/>
      <c r="U1790" s="32"/>
      <c r="V1790" s="31"/>
      <c r="W1790" s="35" t="str">
        <f aca="true">IF(OR(V1790="",AG1790&gt;=8),"",IF(V1790&lt;TODAY(),"Vencida",IF(V1790=TODAY(),"Hoy","")))</f>
        <v/>
      </c>
      <c r="X1790" s="36" t="str">
        <f aca="false">IF(A1790="","",IF(COUNTIF(Seguimiento!$B$2:$B$5001,A1790)=0,"",_xlfn.MAXIFS(Seguimiento!$A$2:$A$5001,Seguimiento!$B$2:$B$5001,A1790)))</f>
        <v/>
      </c>
      <c r="Y1790" s="37" t="str">
        <f aca="true">IF(B1790="","",TODAY()-B1790)</f>
        <v/>
      </c>
      <c r="Z1790" s="38" t="str">
        <f aca="false">IF(OR(O1790="",G1790=""),"",O1790*IFERROR(INDEX(Listas!$B$2:$B$50,MATCH(G1790,Listas!$A$2:$A$50,0)),0))</f>
        <v/>
      </c>
      <c r="AA1790" s="32"/>
      <c r="AB1790" s="32"/>
      <c r="AC1790" s="32"/>
      <c r="AD1790" s="35" t="str">
        <f aca="false">IF(OR(LEFT(H1790,4)="Meta",LEFT(H1790,6)="Google"),IF(AG1790=3,"Lead calificado",IF(OR(AG1790=4,AG1790=5),"Tasación/visita",IF(OR(AG1790=6,AG1790=7),"Captación/oferta",IF(AG1790=8,"Cierre","")))),"")</f>
        <v/>
      </c>
      <c r="AE1790" s="32"/>
      <c r="AF1790" s="32"/>
      <c r="AG1790" s="37" t="n">
        <f aca="false">IF(R1790="",0,IFERROR(MATCH(R1790,Listas!$L$2:$L$50,0),0))</f>
        <v>0</v>
      </c>
    </row>
    <row r="1791" customFormat="false" ht="15" hidden="false" customHeight="false" outlineLevel="0" collapsed="false">
      <c r="A1791" s="30"/>
      <c r="B1791" s="31"/>
      <c r="C1791" s="32"/>
      <c r="D1791" s="32"/>
      <c r="E1791" s="33"/>
      <c r="F1791" s="32"/>
      <c r="G1791" s="32"/>
      <c r="H1791" s="32"/>
      <c r="I1791" s="32"/>
      <c r="J1791" s="32"/>
      <c r="K1791" s="32"/>
      <c r="L1791" s="32"/>
      <c r="M1791" s="30"/>
      <c r="N1791" s="32"/>
      <c r="O1791" s="34"/>
      <c r="P1791" s="32"/>
      <c r="Q1791" s="32"/>
      <c r="R1791" s="32"/>
      <c r="S1791" s="32"/>
      <c r="T1791" s="32"/>
      <c r="U1791" s="32"/>
      <c r="V1791" s="31"/>
      <c r="W1791" s="35" t="str">
        <f aca="true">IF(OR(V1791="",AG1791&gt;=8),"",IF(V1791&lt;TODAY(),"Vencida",IF(V1791=TODAY(),"Hoy","")))</f>
        <v/>
      </c>
      <c r="X1791" s="36" t="str">
        <f aca="false">IF(A1791="","",IF(COUNTIF(Seguimiento!$B$2:$B$5001,A1791)=0,"",_xlfn.MAXIFS(Seguimiento!$A$2:$A$5001,Seguimiento!$B$2:$B$5001,A1791)))</f>
        <v/>
      </c>
      <c r="Y1791" s="37" t="str">
        <f aca="true">IF(B1791="","",TODAY()-B1791)</f>
        <v/>
      </c>
      <c r="Z1791" s="38" t="str">
        <f aca="false">IF(OR(O1791="",G1791=""),"",O1791*IFERROR(INDEX(Listas!$B$2:$B$50,MATCH(G1791,Listas!$A$2:$A$50,0)),0))</f>
        <v/>
      </c>
      <c r="AA1791" s="32"/>
      <c r="AB1791" s="32"/>
      <c r="AC1791" s="32"/>
      <c r="AD1791" s="35" t="str">
        <f aca="false">IF(OR(LEFT(H1791,4)="Meta",LEFT(H1791,6)="Google"),IF(AG1791=3,"Lead calificado",IF(OR(AG1791=4,AG1791=5),"Tasación/visita",IF(OR(AG1791=6,AG1791=7),"Captación/oferta",IF(AG1791=8,"Cierre","")))),"")</f>
        <v/>
      </c>
      <c r="AE1791" s="32"/>
      <c r="AF1791" s="32"/>
      <c r="AG1791" s="37" t="n">
        <f aca="false">IF(R1791="",0,IFERROR(MATCH(R1791,Listas!$L$2:$L$50,0),0))</f>
        <v>0</v>
      </c>
    </row>
    <row r="1792" customFormat="false" ht="15" hidden="false" customHeight="false" outlineLevel="0" collapsed="false">
      <c r="A1792" s="30"/>
      <c r="B1792" s="31"/>
      <c r="C1792" s="32"/>
      <c r="D1792" s="32"/>
      <c r="E1792" s="33"/>
      <c r="F1792" s="32"/>
      <c r="G1792" s="32"/>
      <c r="H1792" s="32"/>
      <c r="I1792" s="32"/>
      <c r="J1792" s="32"/>
      <c r="K1792" s="32"/>
      <c r="L1792" s="32"/>
      <c r="M1792" s="30"/>
      <c r="N1792" s="32"/>
      <c r="O1792" s="34"/>
      <c r="P1792" s="32"/>
      <c r="Q1792" s="32"/>
      <c r="R1792" s="32"/>
      <c r="S1792" s="32"/>
      <c r="T1792" s="32"/>
      <c r="U1792" s="32"/>
      <c r="V1792" s="31"/>
      <c r="W1792" s="35" t="str">
        <f aca="true">IF(OR(V1792="",AG1792&gt;=8),"",IF(V1792&lt;TODAY(),"Vencida",IF(V1792=TODAY(),"Hoy","")))</f>
        <v/>
      </c>
      <c r="X1792" s="36" t="str">
        <f aca="false">IF(A1792="","",IF(COUNTIF(Seguimiento!$B$2:$B$5001,A1792)=0,"",_xlfn.MAXIFS(Seguimiento!$A$2:$A$5001,Seguimiento!$B$2:$B$5001,A1792)))</f>
        <v/>
      </c>
      <c r="Y1792" s="37" t="str">
        <f aca="true">IF(B1792="","",TODAY()-B1792)</f>
        <v/>
      </c>
      <c r="Z1792" s="38" t="str">
        <f aca="false">IF(OR(O1792="",G1792=""),"",O1792*IFERROR(INDEX(Listas!$B$2:$B$50,MATCH(G1792,Listas!$A$2:$A$50,0)),0))</f>
        <v/>
      </c>
      <c r="AA1792" s="32"/>
      <c r="AB1792" s="32"/>
      <c r="AC1792" s="32"/>
      <c r="AD1792" s="35" t="str">
        <f aca="false">IF(OR(LEFT(H1792,4)="Meta",LEFT(H1792,6)="Google"),IF(AG1792=3,"Lead calificado",IF(OR(AG1792=4,AG1792=5),"Tasación/visita",IF(OR(AG1792=6,AG1792=7),"Captación/oferta",IF(AG1792=8,"Cierre","")))),"")</f>
        <v/>
      </c>
      <c r="AE1792" s="32"/>
      <c r="AF1792" s="32"/>
      <c r="AG1792" s="37" t="n">
        <f aca="false">IF(R1792="",0,IFERROR(MATCH(R1792,Listas!$L$2:$L$50,0),0))</f>
        <v>0</v>
      </c>
    </row>
    <row r="1793" customFormat="false" ht="15" hidden="false" customHeight="false" outlineLevel="0" collapsed="false">
      <c r="A1793" s="30"/>
      <c r="B1793" s="31"/>
      <c r="C1793" s="32"/>
      <c r="D1793" s="32"/>
      <c r="E1793" s="33"/>
      <c r="F1793" s="32"/>
      <c r="G1793" s="32"/>
      <c r="H1793" s="32"/>
      <c r="I1793" s="32"/>
      <c r="J1793" s="32"/>
      <c r="K1793" s="32"/>
      <c r="L1793" s="32"/>
      <c r="M1793" s="30"/>
      <c r="N1793" s="32"/>
      <c r="O1793" s="34"/>
      <c r="P1793" s="32"/>
      <c r="Q1793" s="32"/>
      <c r="R1793" s="32"/>
      <c r="S1793" s="32"/>
      <c r="T1793" s="32"/>
      <c r="U1793" s="32"/>
      <c r="V1793" s="31"/>
      <c r="W1793" s="35" t="str">
        <f aca="true">IF(OR(V1793="",AG1793&gt;=8),"",IF(V1793&lt;TODAY(),"Vencida",IF(V1793=TODAY(),"Hoy","")))</f>
        <v/>
      </c>
      <c r="X1793" s="36" t="str">
        <f aca="false">IF(A1793="","",IF(COUNTIF(Seguimiento!$B$2:$B$5001,A1793)=0,"",_xlfn.MAXIFS(Seguimiento!$A$2:$A$5001,Seguimiento!$B$2:$B$5001,A1793)))</f>
        <v/>
      </c>
      <c r="Y1793" s="37" t="str">
        <f aca="true">IF(B1793="","",TODAY()-B1793)</f>
        <v/>
      </c>
      <c r="Z1793" s="38" t="str">
        <f aca="false">IF(OR(O1793="",G1793=""),"",O1793*IFERROR(INDEX(Listas!$B$2:$B$50,MATCH(G1793,Listas!$A$2:$A$50,0)),0))</f>
        <v/>
      </c>
      <c r="AA1793" s="32"/>
      <c r="AB1793" s="32"/>
      <c r="AC1793" s="32"/>
      <c r="AD1793" s="35" t="str">
        <f aca="false">IF(OR(LEFT(H1793,4)="Meta",LEFT(H1793,6)="Google"),IF(AG1793=3,"Lead calificado",IF(OR(AG1793=4,AG1793=5),"Tasación/visita",IF(OR(AG1793=6,AG1793=7),"Captación/oferta",IF(AG1793=8,"Cierre","")))),"")</f>
        <v/>
      </c>
      <c r="AE1793" s="32"/>
      <c r="AF1793" s="32"/>
      <c r="AG1793" s="37" t="n">
        <f aca="false">IF(R1793="",0,IFERROR(MATCH(R1793,Listas!$L$2:$L$50,0),0))</f>
        <v>0</v>
      </c>
    </row>
    <row r="1794" customFormat="false" ht="15" hidden="false" customHeight="false" outlineLevel="0" collapsed="false">
      <c r="A1794" s="30"/>
      <c r="B1794" s="31"/>
      <c r="C1794" s="32"/>
      <c r="D1794" s="32"/>
      <c r="E1794" s="33"/>
      <c r="F1794" s="32"/>
      <c r="G1794" s="32"/>
      <c r="H1794" s="32"/>
      <c r="I1794" s="32"/>
      <c r="J1794" s="32"/>
      <c r="K1794" s="32"/>
      <c r="L1794" s="32"/>
      <c r="M1794" s="30"/>
      <c r="N1794" s="32"/>
      <c r="O1794" s="34"/>
      <c r="P1794" s="32"/>
      <c r="Q1794" s="32"/>
      <c r="R1794" s="32"/>
      <c r="S1794" s="32"/>
      <c r="T1794" s="32"/>
      <c r="U1794" s="32"/>
      <c r="V1794" s="31"/>
      <c r="W1794" s="35" t="str">
        <f aca="true">IF(OR(V1794="",AG1794&gt;=8),"",IF(V1794&lt;TODAY(),"Vencida",IF(V1794=TODAY(),"Hoy","")))</f>
        <v/>
      </c>
      <c r="X1794" s="36" t="str">
        <f aca="false">IF(A1794="","",IF(COUNTIF(Seguimiento!$B$2:$B$5001,A1794)=0,"",_xlfn.MAXIFS(Seguimiento!$A$2:$A$5001,Seguimiento!$B$2:$B$5001,A1794)))</f>
        <v/>
      </c>
      <c r="Y1794" s="37" t="str">
        <f aca="true">IF(B1794="","",TODAY()-B1794)</f>
        <v/>
      </c>
      <c r="Z1794" s="38" t="str">
        <f aca="false">IF(OR(O1794="",G1794=""),"",O1794*IFERROR(INDEX(Listas!$B$2:$B$50,MATCH(G1794,Listas!$A$2:$A$50,0)),0))</f>
        <v/>
      </c>
      <c r="AA1794" s="32"/>
      <c r="AB1794" s="32"/>
      <c r="AC1794" s="32"/>
      <c r="AD1794" s="35" t="str">
        <f aca="false">IF(OR(LEFT(H1794,4)="Meta",LEFT(H1794,6)="Google"),IF(AG1794=3,"Lead calificado",IF(OR(AG1794=4,AG1794=5),"Tasación/visita",IF(OR(AG1794=6,AG1794=7),"Captación/oferta",IF(AG1794=8,"Cierre","")))),"")</f>
        <v/>
      </c>
      <c r="AE1794" s="32"/>
      <c r="AF1794" s="32"/>
      <c r="AG1794" s="37" t="n">
        <f aca="false">IF(R1794="",0,IFERROR(MATCH(R1794,Listas!$L$2:$L$50,0),0))</f>
        <v>0</v>
      </c>
    </row>
    <row r="1795" customFormat="false" ht="15" hidden="false" customHeight="false" outlineLevel="0" collapsed="false">
      <c r="A1795" s="30"/>
      <c r="B1795" s="31"/>
      <c r="C1795" s="32"/>
      <c r="D1795" s="32"/>
      <c r="E1795" s="33"/>
      <c r="F1795" s="32"/>
      <c r="G1795" s="32"/>
      <c r="H1795" s="32"/>
      <c r="I1795" s="32"/>
      <c r="J1795" s="32"/>
      <c r="K1795" s="32"/>
      <c r="L1795" s="32"/>
      <c r="M1795" s="30"/>
      <c r="N1795" s="32"/>
      <c r="O1795" s="34"/>
      <c r="P1795" s="32"/>
      <c r="Q1795" s="32"/>
      <c r="R1795" s="32"/>
      <c r="S1795" s="32"/>
      <c r="T1795" s="32"/>
      <c r="U1795" s="32"/>
      <c r="V1795" s="31"/>
      <c r="W1795" s="35" t="str">
        <f aca="true">IF(OR(V1795="",AG1795&gt;=8),"",IF(V1795&lt;TODAY(),"Vencida",IF(V1795=TODAY(),"Hoy","")))</f>
        <v/>
      </c>
      <c r="X1795" s="36" t="str">
        <f aca="false">IF(A1795="","",IF(COUNTIF(Seguimiento!$B$2:$B$5001,A1795)=0,"",_xlfn.MAXIFS(Seguimiento!$A$2:$A$5001,Seguimiento!$B$2:$B$5001,A1795)))</f>
        <v/>
      </c>
      <c r="Y1795" s="37" t="str">
        <f aca="true">IF(B1795="","",TODAY()-B1795)</f>
        <v/>
      </c>
      <c r="Z1795" s="38" t="str">
        <f aca="false">IF(OR(O1795="",G1795=""),"",O1795*IFERROR(INDEX(Listas!$B$2:$B$50,MATCH(G1795,Listas!$A$2:$A$50,0)),0))</f>
        <v/>
      </c>
      <c r="AA1795" s="32"/>
      <c r="AB1795" s="32"/>
      <c r="AC1795" s="32"/>
      <c r="AD1795" s="35" t="str">
        <f aca="false">IF(OR(LEFT(H1795,4)="Meta",LEFT(H1795,6)="Google"),IF(AG1795=3,"Lead calificado",IF(OR(AG1795=4,AG1795=5),"Tasación/visita",IF(OR(AG1795=6,AG1795=7),"Captación/oferta",IF(AG1795=8,"Cierre","")))),"")</f>
        <v/>
      </c>
      <c r="AE1795" s="32"/>
      <c r="AF1795" s="32"/>
      <c r="AG1795" s="37" t="n">
        <f aca="false">IF(R1795="",0,IFERROR(MATCH(R1795,Listas!$L$2:$L$50,0),0))</f>
        <v>0</v>
      </c>
    </row>
    <row r="1796" customFormat="false" ht="15" hidden="false" customHeight="false" outlineLevel="0" collapsed="false">
      <c r="A1796" s="30"/>
      <c r="B1796" s="31"/>
      <c r="C1796" s="32"/>
      <c r="D1796" s="32"/>
      <c r="E1796" s="33"/>
      <c r="F1796" s="32"/>
      <c r="G1796" s="32"/>
      <c r="H1796" s="32"/>
      <c r="I1796" s="32"/>
      <c r="J1796" s="32"/>
      <c r="K1796" s="32"/>
      <c r="L1796" s="32"/>
      <c r="M1796" s="30"/>
      <c r="N1796" s="32"/>
      <c r="O1796" s="34"/>
      <c r="P1796" s="32"/>
      <c r="Q1796" s="32"/>
      <c r="R1796" s="32"/>
      <c r="S1796" s="32"/>
      <c r="T1796" s="32"/>
      <c r="U1796" s="32"/>
      <c r="V1796" s="31"/>
      <c r="W1796" s="35" t="str">
        <f aca="true">IF(OR(V1796="",AG1796&gt;=8),"",IF(V1796&lt;TODAY(),"Vencida",IF(V1796=TODAY(),"Hoy","")))</f>
        <v/>
      </c>
      <c r="X1796" s="36" t="str">
        <f aca="false">IF(A1796="","",IF(COUNTIF(Seguimiento!$B$2:$B$5001,A1796)=0,"",_xlfn.MAXIFS(Seguimiento!$A$2:$A$5001,Seguimiento!$B$2:$B$5001,A1796)))</f>
        <v/>
      </c>
      <c r="Y1796" s="37" t="str">
        <f aca="true">IF(B1796="","",TODAY()-B1796)</f>
        <v/>
      </c>
      <c r="Z1796" s="38" t="str">
        <f aca="false">IF(OR(O1796="",G1796=""),"",O1796*IFERROR(INDEX(Listas!$B$2:$B$50,MATCH(G1796,Listas!$A$2:$A$50,0)),0))</f>
        <v/>
      </c>
      <c r="AA1796" s="32"/>
      <c r="AB1796" s="32"/>
      <c r="AC1796" s="32"/>
      <c r="AD1796" s="35" t="str">
        <f aca="false">IF(OR(LEFT(H1796,4)="Meta",LEFT(H1796,6)="Google"),IF(AG1796=3,"Lead calificado",IF(OR(AG1796=4,AG1796=5),"Tasación/visita",IF(OR(AG1796=6,AG1796=7),"Captación/oferta",IF(AG1796=8,"Cierre","")))),"")</f>
        <v/>
      </c>
      <c r="AE1796" s="32"/>
      <c r="AF1796" s="32"/>
      <c r="AG1796" s="37" t="n">
        <f aca="false">IF(R1796="",0,IFERROR(MATCH(R1796,Listas!$L$2:$L$50,0),0))</f>
        <v>0</v>
      </c>
    </row>
    <row r="1797" customFormat="false" ht="15" hidden="false" customHeight="false" outlineLevel="0" collapsed="false">
      <c r="A1797" s="30"/>
      <c r="B1797" s="31"/>
      <c r="C1797" s="32"/>
      <c r="D1797" s="32"/>
      <c r="E1797" s="33"/>
      <c r="F1797" s="32"/>
      <c r="G1797" s="32"/>
      <c r="H1797" s="32"/>
      <c r="I1797" s="32"/>
      <c r="J1797" s="32"/>
      <c r="K1797" s="32"/>
      <c r="L1797" s="32"/>
      <c r="M1797" s="30"/>
      <c r="N1797" s="32"/>
      <c r="O1797" s="34"/>
      <c r="P1797" s="32"/>
      <c r="Q1797" s="32"/>
      <c r="R1797" s="32"/>
      <c r="S1797" s="32"/>
      <c r="T1797" s="32"/>
      <c r="U1797" s="32"/>
      <c r="V1797" s="31"/>
      <c r="W1797" s="35" t="str">
        <f aca="true">IF(OR(V1797="",AG1797&gt;=8),"",IF(V1797&lt;TODAY(),"Vencida",IF(V1797=TODAY(),"Hoy","")))</f>
        <v/>
      </c>
      <c r="X1797" s="36" t="str">
        <f aca="false">IF(A1797="","",IF(COUNTIF(Seguimiento!$B$2:$B$5001,A1797)=0,"",_xlfn.MAXIFS(Seguimiento!$A$2:$A$5001,Seguimiento!$B$2:$B$5001,A1797)))</f>
        <v/>
      </c>
      <c r="Y1797" s="37" t="str">
        <f aca="true">IF(B1797="","",TODAY()-B1797)</f>
        <v/>
      </c>
      <c r="Z1797" s="38" t="str">
        <f aca="false">IF(OR(O1797="",G1797=""),"",O1797*IFERROR(INDEX(Listas!$B$2:$B$50,MATCH(G1797,Listas!$A$2:$A$50,0)),0))</f>
        <v/>
      </c>
      <c r="AA1797" s="32"/>
      <c r="AB1797" s="32"/>
      <c r="AC1797" s="32"/>
      <c r="AD1797" s="35" t="str">
        <f aca="false">IF(OR(LEFT(H1797,4)="Meta",LEFT(H1797,6)="Google"),IF(AG1797=3,"Lead calificado",IF(OR(AG1797=4,AG1797=5),"Tasación/visita",IF(OR(AG1797=6,AG1797=7),"Captación/oferta",IF(AG1797=8,"Cierre","")))),"")</f>
        <v/>
      </c>
      <c r="AE1797" s="32"/>
      <c r="AF1797" s="32"/>
      <c r="AG1797" s="37" t="n">
        <f aca="false">IF(R1797="",0,IFERROR(MATCH(R1797,Listas!$L$2:$L$50,0),0))</f>
        <v>0</v>
      </c>
    </row>
    <row r="1798" customFormat="false" ht="15" hidden="false" customHeight="false" outlineLevel="0" collapsed="false">
      <c r="A1798" s="30"/>
      <c r="B1798" s="31"/>
      <c r="C1798" s="32"/>
      <c r="D1798" s="32"/>
      <c r="E1798" s="33"/>
      <c r="F1798" s="32"/>
      <c r="G1798" s="32"/>
      <c r="H1798" s="32"/>
      <c r="I1798" s="32"/>
      <c r="J1798" s="32"/>
      <c r="K1798" s="32"/>
      <c r="L1798" s="32"/>
      <c r="M1798" s="30"/>
      <c r="N1798" s="32"/>
      <c r="O1798" s="34"/>
      <c r="P1798" s="32"/>
      <c r="Q1798" s="32"/>
      <c r="R1798" s="32"/>
      <c r="S1798" s="32"/>
      <c r="T1798" s="32"/>
      <c r="U1798" s="32"/>
      <c r="V1798" s="31"/>
      <c r="W1798" s="35" t="str">
        <f aca="true">IF(OR(V1798="",AG1798&gt;=8),"",IF(V1798&lt;TODAY(),"Vencida",IF(V1798=TODAY(),"Hoy","")))</f>
        <v/>
      </c>
      <c r="X1798" s="36" t="str">
        <f aca="false">IF(A1798="","",IF(COUNTIF(Seguimiento!$B$2:$B$5001,A1798)=0,"",_xlfn.MAXIFS(Seguimiento!$A$2:$A$5001,Seguimiento!$B$2:$B$5001,A1798)))</f>
        <v/>
      </c>
      <c r="Y1798" s="37" t="str">
        <f aca="true">IF(B1798="","",TODAY()-B1798)</f>
        <v/>
      </c>
      <c r="Z1798" s="38" t="str">
        <f aca="false">IF(OR(O1798="",G1798=""),"",O1798*IFERROR(INDEX(Listas!$B$2:$B$50,MATCH(G1798,Listas!$A$2:$A$50,0)),0))</f>
        <v/>
      </c>
      <c r="AA1798" s="32"/>
      <c r="AB1798" s="32"/>
      <c r="AC1798" s="32"/>
      <c r="AD1798" s="35" t="str">
        <f aca="false">IF(OR(LEFT(H1798,4)="Meta",LEFT(H1798,6)="Google"),IF(AG1798=3,"Lead calificado",IF(OR(AG1798=4,AG1798=5),"Tasación/visita",IF(OR(AG1798=6,AG1798=7),"Captación/oferta",IF(AG1798=8,"Cierre","")))),"")</f>
        <v/>
      </c>
      <c r="AE1798" s="32"/>
      <c r="AF1798" s="32"/>
      <c r="AG1798" s="37" t="n">
        <f aca="false">IF(R1798="",0,IFERROR(MATCH(R1798,Listas!$L$2:$L$50,0),0))</f>
        <v>0</v>
      </c>
    </row>
    <row r="1799" customFormat="false" ht="15" hidden="false" customHeight="false" outlineLevel="0" collapsed="false">
      <c r="A1799" s="30"/>
      <c r="B1799" s="31"/>
      <c r="C1799" s="32"/>
      <c r="D1799" s="32"/>
      <c r="E1799" s="33"/>
      <c r="F1799" s="32"/>
      <c r="G1799" s="32"/>
      <c r="H1799" s="32"/>
      <c r="I1799" s="32"/>
      <c r="J1799" s="32"/>
      <c r="K1799" s="32"/>
      <c r="L1799" s="32"/>
      <c r="M1799" s="30"/>
      <c r="N1799" s="32"/>
      <c r="O1799" s="34"/>
      <c r="P1799" s="32"/>
      <c r="Q1799" s="32"/>
      <c r="R1799" s="32"/>
      <c r="S1799" s="32"/>
      <c r="T1799" s="32"/>
      <c r="U1799" s="32"/>
      <c r="V1799" s="31"/>
      <c r="W1799" s="35" t="str">
        <f aca="true">IF(OR(V1799="",AG1799&gt;=8),"",IF(V1799&lt;TODAY(),"Vencida",IF(V1799=TODAY(),"Hoy","")))</f>
        <v/>
      </c>
      <c r="X1799" s="36" t="str">
        <f aca="false">IF(A1799="","",IF(COUNTIF(Seguimiento!$B$2:$B$5001,A1799)=0,"",_xlfn.MAXIFS(Seguimiento!$A$2:$A$5001,Seguimiento!$B$2:$B$5001,A1799)))</f>
        <v/>
      </c>
      <c r="Y1799" s="37" t="str">
        <f aca="true">IF(B1799="","",TODAY()-B1799)</f>
        <v/>
      </c>
      <c r="Z1799" s="38" t="str">
        <f aca="false">IF(OR(O1799="",G1799=""),"",O1799*IFERROR(INDEX(Listas!$B$2:$B$50,MATCH(G1799,Listas!$A$2:$A$50,0)),0))</f>
        <v/>
      </c>
      <c r="AA1799" s="32"/>
      <c r="AB1799" s="32"/>
      <c r="AC1799" s="32"/>
      <c r="AD1799" s="35" t="str">
        <f aca="false">IF(OR(LEFT(H1799,4)="Meta",LEFT(H1799,6)="Google"),IF(AG1799=3,"Lead calificado",IF(OR(AG1799=4,AG1799=5),"Tasación/visita",IF(OR(AG1799=6,AG1799=7),"Captación/oferta",IF(AG1799=8,"Cierre","")))),"")</f>
        <v/>
      </c>
      <c r="AE1799" s="32"/>
      <c r="AF1799" s="32"/>
      <c r="AG1799" s="37" t="n">
        <f aca="false">IF(R1799="",0,IFERROR(MATCH(R1799,Listas!$L$2:$L$50,0),0))</f>
        <v>0</v>
      </c>
    </row>
    <row r="1800" customFormat="false" ht="15" hidden="false" customHeight="false" outlineLevel="0" collapsed="false">
      <c r="A1800" s="30"/>
      <c r="B1800" s="31"/>
      <c r="C1800" s="32"/>
      <c r="D1800" s="32"/>
      <c r="E1800" s="33"/>
      <c r="F1800" s="32"/>
      <c r="G1800" s="32"/>
      <c r="H1800" s="32"/>
      <c r="I1800" s="32"/>
      <c r="J1800" s="32"/>
      <c r="K1800" s="32"/>
      <c r="L1800" s="32"/>
      <c r="M1800" s="30"/>
      <c r="N1800" s="32"/>
      <c r="O1800" s="34"/>
      <c r="P1800" s="32"/>
      <c r="Q1800" s="32"/>
      <c r="R1800" s="32"/>
      <c r="S1800" s="32"/>
      <c r="T1800" s="32"/>
      <c r="U1800" s="32"/>
      <c r="V1800" s="31"/>
      <c r="W1800" s="35" t="str">
        <f aca="true">IF(OR(V1800="",AG1800&gt;=8),"",IF(V1800&lt;TODAY(),"Vencida",IF(V1800=TODAY(),"Hoy","")))</f>
        <v/>
      </c>
      <c r="X1800" s="36" t="str">
        <f aca="false">IF(A1800="","",IF(COUNTIF(Seguimiento!$B$2:$B$5001,A1800)=0,"",_xlfn.MAXIFS(Seguimiento!$A$2:$A$5001,Seguimiento!$B$2:$B$5001,A1800)))</f>
        <v/>
      </c>
      <c r="Y1800" s="37" t="str">
        <f aca="true">IF(B1800="","",TODAY()-B1800)</f>
        <v/>
      </c>
      <c r="Z1800" s="38" t="str">
        <f aca="false">IF(OR(O1800="",G1800=""),"",O1800*IFERROR(INDEX(Listas!$B$2:$B$50,MATCH(G1800,Listas!$A$2:$A$50,0)),0))</f>
        <v/>
      </c>
      <c r="AA1800" s="32"/>
      <c r="AB1800" s="32"/>
      <c r="AC1800" s="32"/>
      <c r="AD1800" s="35" t="str">
        <f aca="false">IF(OR(LEFT(H1800,4)="Meta",LEFT(H1800,6)="Google"),IF(AG1800=3,"Lead calificado",IF(OR(AG1800=4,AG1800=5),"Tasación/visita",IF(OR(AG1800=6,AG1800=7),"Captación/oferta",IF(AG1800=8,"Cierre","")))),"")</f>
        <v/>
      </c>
      <c r="AE1800" s="32"/>
      <c r="AF1800" s="32"/>
      <c r="AG1800" s="37" t="n">
        <f aca="false">IF(R1800="",0,IFERROR(MATCH(R1800,Listas!$L$2:$L$50,0),0))</f>
        <v>0</v>
      </c>
    </row>
    <row r="1801" customFormat="false" ht="15" hidden="false" customHeight="false" outlineLevel="0" collapsed="false">
      <c r="A1801" s="30"/>
      <c r="B1801" s="31"/>
      <c r="C1801" s="32"/>
      <c r="D1801" s="32"/>
      <c r="E1801" s="33"/>
      <c r="F1801" s="32"/>
      <c r="G1801" s="32"/>
      <c r="H1801" s="32"/>
      <c r="I1801" s="32"/>
      <c r="J1801" s="32"/>
      <c r="K1801" s="32"/>
      <c r="L1801" s="32"/>
      <c r="M1801" s="30"/>
      <c r="N1801" s="32"/>
      <c r="O1801" s="34"/>
      <c r="P1801" s="32"/>
      <c r="Q1801" s="32"/>
      <c r="R1801" s="32"/>
      <c r="S1801" s="32"/>
      <c r="T1801" s="32"/>
      <c r="U1801" s="32"/>
      <c r="V1801" s="31"/>
      <c r="W1801" s="35" t="str">
        <f aca="true">IF(OR(V1801="",AG1801&gt;=8),"",IF(V1801&lt;TODAY(),"Vencida",IF(V1801=TODAY(),"Hoy","")))</f>
        <v/>
      </c>
      <c r="X1801" s="36" t="str">
        <f aca="false">IF(A1801="","",IF(COUNTIF(Seguimiento!$B$2:$B$5001,A1801)=0,"",_xlfn.MAXIFS(Seguimiento!$A$2:$A$5001,Seguimiento!$B$2:$B$5001,A1801)))</f>
        <v/>
      </c>
      <c r="Y1801" s="37" t="str">
        <f aca="true">IF(B1801="","",TODAY()-B1801)</f>
        <v/>
      </c>
      <c r="Z1801" s="38" t="str">
        <f aca="false">IF(OR(O1801="",G1801=""),"",O1801*IFERROR(INDEX(Listas!$B$2:$B$50,MATCH(G1801,Listas!$A$2:$A$50,0)),0))</f>
        <v/>
      </c>
      <c r="AA1801" s="32"/>
      <c r="AB1801" s="32"/>
      <c r="AC1801" s="32"/>
      <c r="AD1801" s="35" t="str">
        <f aca="false">IF(OR(LEFT(H1801,4)="Meta",LEFT(H1801,6)="Google"),IF(AG1801=3,"Lead calificado",IF(OR(AG1801=4,AG1801=5),"Tasación/visita",IF(OR(AG1801=6,AG1801=7),"Captación/oferta",IF(AG1801=8,"Cierre","")))),"")</f>
        <v/>
      </c>
      <c r="AE1801" s="32"/>
      <c r="AF1801" s="32"/>
      <c r="AG1801" s="37" t="n">
        <f aca="false">IF(R1801="",0,IFERROR(MATCH(R1801,Listas!$L$2:$L$50,0),0))</f>
        <v>0</v>
      </c>
    </row>
    <row r="1802" customFormat="false" ht="15" hidden="false" customHeight="false" outlineLevel="0" collapsed="false">
      <c r="A1802" s="30"/>
      <c r="B1802" s="31"/>
      <c r="C1802" s="32"/>
      <c r="D1802" s="32"/>
      <c r="E1802" s="33"/>
      <c r="F1802" s="32"/>
      <c r="G1802" s="32"/>
      <c r="H1802" s="32"/>
      <c r="I1802" s="32"/>
      <c r="J1802" s="32"/>
      <c r="K1802" s="32"/>
      <c r="L1802" s="32"/>
      <c r="M1802" s="30"/>
      <c r="N1802" s="32"/>
      <c r="O1802" s="34"/>
      <c r="P1802" s="32"/>
      <c r="Q1802" s="32"/>
      <c r="R1802" s="32"/>
      <c r="S1802" s="32"/>
      <c r="T1802" s="32"/>
      <c r="U1802" s="32"/>
      <c r="V1802" s="31"/>
      <c r="W1802" s="35" t="str">
        <f aca="true">IF(OR(V1802="",AG1802&gt;=8),"",IF(V1802&lt;TODAY(),"Vencida",IF(V1802=TODAY(),"Hoy","")))</f>
        <v/>
      </c>
      <c r="X1802" s="36" t="str">
        <f aca="false">IF(A1802="","",IF(COUNTIF(Seguimiento!$B$2:$B$5001,A1802)=0,"",_xlfn.MAXIFS(Seguimiento!$A$2:$A$5001,Seguimiento!$B$2:$B$5001,A1802)))</f>
        <v/>
      </c>
      <c r="Y1802" s="37" t="str">
        <f aca="true">IF(B1802="","",TODAY()-B1802)</f>
        <v/>
      </c>
      <c r="Z1802" s="38" t="str">
        <f aca="false">IF(OR(O1802="",G1802=""),"",O1802*IFERROR(INDEX(Listas!$B$2:$B$50,MATCH(G1802,Listas!$A$2:$A$50,0)),0))</f>
        <v/>
      </c>
      <c r="AA1802" s="32"/>
      <c r="AB1802" s="32"/>
      <c r="AC1802" s="32"/>
      <c r="AD1802" s="35" t="str">
        <f aca="false">IF(OR(LEFT(H1802,4)="Meta",LEFT(H1802,6)="Google"),IF(AG1802=3,"Lead calificado",IF(OR(AG1802=4,AG1802=5),"Tasación/visita",IF(OR(AG1802=6,AG1802=7),"Captación/oferta",IF(AG1802=8,"Cierre","")))),"")</f>
        <v/>
      </c>
      <c r="AE1802" s="32"/>
      <c r="AF1802" s="32"/>
      <c r="AG1802" s="37" t="n">
        <f aca="false">IF(R1802="",0,IFERROR(MATCH(R1802,Listas!$L$2:$L$50,0),0))</f>
        <v>0</v>
      </c>
    </row>
    <row r="1803" customFormat="false" ht="15" hidden="false" customHeight="false" outlineLevel="0" collapsed="false">
      <c r="A1803" s="30"/>
      <c r="B1803" s="31"/>
      <c r="C1803" s="32"/>
      <c r="D1803" s="32"/>
      <c r="E1803" s="33"/>
      <c r="F1803" s="32"/>
      <c r="G1803" s="32"/>
      <c r="H1803" s="32"/>
      <c r="I1803" s="32"/>
      <c r="J1803" s="32"/>
      <c r="K1803" s="32"/>
      <c r="L1803" s="32"/>
      <c r="M1803" s="30"/>
      <c r="N1803" s="32"/>
      <c r="O1803" s="34"/>
      <c r="P1803" s="32"/>
      <c r="Q1803" s="32"/>
      <c r="R1803" s="32"/>
      <c r="S1803" s="32"/>
      <c r="T1803" s="32"/>
      <c r="U1803" s="32"/>
      <c r="V1803" s="31"/>
      <c r="W1803" s="35" t="str">
        <f aca="true">IF(OR(V1803="",AG1803&gt;=8),"",IF(V1803&lt;TODAY(),"Vencida",IF(V1803=TODAY(),"Hoy","")))</f>
        <v/>
      </c>
      <c r="X1803" s="36" t="str">
        <f aca="false">IF(A1803="","",IF(COUNTIF(Seguimiento!$B$2:$B$5001,A1803)=0,"",_xlfn.MAXIFS(Seguimiento!$A$2:$A$5001,Seguimiento!$B$2:$B$5001,A1803)))</f>
        <v/>
      </c>
      <c r="Y1803" s="37" t="str">
        <f aca="true">IF(B1803="","",TODAY()-B1803)</f>
        <v/>
      </c>
      <c r="Z1803" s="38" t="str">
        <f aca="false">IF(OR(O1803="",G1803=""),"",O1803*IFERROR(INDEX(Listas!$B$2:$B$50,MATCH(G1803,Listas!$A$2:$A$50,0)),0))</f>
        <v/>
      </c>
      <c r="AA1803" s="32"/>
      <c r="AB1803" s="32"/>
      <c r="AC1803" s="32"/>
      <c r="AD1803" s="35" t="str">
        <f aca="false">IF(OR(LEFT(H1803,4)="Meta",LEFT(H1803,6)="Google"),IF(AG1803=3,"Lead calificado",IF(OR(AG1803=4,AG1803=5),"Tasación/visita",IF(OR(AG1803=6,AG1803=7),"Captación/oferta",IF(AG1803=8,"Cierre","")))),"")</f>
        <v/>
      </c>
      <c r="AE1803" s="32"/>
      <c r="AF1803" s="32"/>
      <c r="AG1803" s="37" t="n">
        <f aca="false">IF(R1803="",0,IFERROR(MATCH(R1803,Listas!$L$2:$L$50,0),0))</f>
        <v>0</v>
      </c>
    </row>
    <row r="1804" customFormat="false" ht="15" hidden="false" customHeight="false" outlineLevel="0" collapsed="false">
      <c r="A1804" s="30"/>
      <c r="B1804" s="31"/>
      <c r="C1804" s="32"/>
      <c r="D1804" s="32"/>
      <c r="E1804" s="33"/>
      <c r="F1804" s="32"/>
      <c r="G1804" s="32"/>
      <c r="H1804" s="32"/>
      <c r="I1804" s="32"/>
      <c r="J1804" s="32"/>
      <c r="K1804" s="32"/>
      <c r="L1804" s="32"/>
      <c r="M1804" s="30"/>
      <c r="N1804" s="32"/>
      <c r="O1804" s="34"/>
      <c r="P1804" s="32"/>
      <c r="Q1804" s="32"/>
      <c r="R1804" s="32"/>
      <c r="S1804" s="32"/>
      <c r="T1804" s="32"/>
      <c r="U1804" s="32"/>
      <c r="V1804" s="31"/>
      <c r="W1804" s="35" t="str">
        <f aca="true">IF(OR(V1804="",AG1804&gt;=8),"",IF(V1804&lt;TODAY(),"Vencida",IF(V1804=TODAY(),"Hoy","")))</f>
        <v/>
      </c>
      <c r="X1804" s="36" t="str">
        <f aca="false">IF(A1804="","",IF(COUNTIF(Seguimiento!$B$2:$B$5001,A1804)=0,"",_xlfn.MAXIFS(Seguimiento!$A$2:$A$5001,Seguimiento!$B$2:$B$5001,A1804)))</f>
        <v/>
      </c>
      <c r="Y1804" s="37" t="str">
        <f aca="true">IF(B1804="","",TODAY()-B1804)</f>
        <v/>
      </c>
      <c r="Z1804" s="38" t="str">
        <f aca="false">IF(OR(O1804="",G1804=""),"",O1804*IFERROR(INDEX(Listas!$B$2:$B$50,MATCH(G1804,Listas!$A$2:$A$50,0)),0))</f>
        <v/>
      </c>
      <c r="AA1804" s="32"/>
      <c r="AB1804" s="32"/>
      <c r="AC1804" s="32"/>
      <c r="AD1804" s="35" t="str">
        <f aca="false">IF(OR(LEFT(H1804,4)="Meta",LEFT(H1804,6)="Google"),IF(AG1804=3,"Lead calificado",IF(OR(AG1804=4,AG1804=5),"Tasación/visita",IF(OR(AG1804=6,AG1804=7),"Captación/oferta",IF(AG1804=8,"Cierre","")))),"")</f>
        <v/>
      </c>
      <c r="AE1804" s="32"/>
      <c r="AF1804" s="32"/>
      <c r="AG1804" s="37" t="n">
        <f aca="false">IF(R1804="",0,IFERROR(MATCH(R1804,Listas!$L$2:$L$50,0),0))</f>
        <v>0</v>
      </c>
    </row>
    <row r="1805" customFormat="false" ht="15" hidden="false" customHeight="false" outlineLevel="0" collapsed="false">
      <c r="A1805" s="30"/>
      <c r="B1805" s="31"/>
      <c r="C1805" s="32"/>
      <c r="D1805" s="32"/>
      <c r="E1805" s="33"/>
      <c r="F1805" s="32"/>
      <c r="G1805" s="32"/>
      <c r="H1805" s="32"/>
      <c r="I1805" s="32"/>
      <c r="J1805" s="32"/>
      <c r="K1805" s="32"/>
      <c r="L1805" s="32"/>
      <c r="M1805" s="30"/>
      <c r="N1805" s="32"/>
      <c r="O1805" s="34"/>
      <c r="P1805" s="32"/>
      <c r="Q1805" s="32"/>
      <c r="R1805" s="32"/>
      <c r="S1805" s="32"/>
      <c r="T1805" s="32"/>
      <c r="U1805" s="32"/>
      <c r="V1805" s="31"/>
      <c r="W1805" s="35" t="str">
        <f aca="true">IF(OR(V1805="",AG1805&gt;=8),"",IF(V1805&lt;TODAY(),"Vencida",IF(V1805=TODAY(),"Hoy","")))</f>
        <v/>
      </c>
      <c r="X1805" s="36" t="str">
        <f aca="false">IF(A1805="","",IF(COUNTIF(Seguimiento!$B$2:$B$5001,A1805)=0,"",_xlfn.MAXIFS(Seguimiento!$A$2:$A$5001,Seguimiento!$B$2:$B$5001,A1805)))</f>
        <v/>
      </c>
      <c r="Y1805" s="37" t="str">
        <f aca="true">IF(B1805="","",TODAY()-B1805)</f>
        <v/>
      </c>
      <c r="Z1805" s="38" t="str">
        <f aca="false">IF(OR(O1805="",G1805=""),"",O1805*IFERROR(INDEX(Listas!$B$2:$B$50,MATCH(G1805,Listas!$A$2:$A$50,0)),0))</f>
        <v/>
      </c>
      <c r="AA1805" s="32"/>
      <c r="AB1805" s="32"/>
      <c r="AC1805" s="32"/>
      <c r="AD1805" s="35" t="str">
        <f aca="false">IF(OR(LEFT(H1805,4)="Meta",LEFT(H1805,6)="Google"),IF(AG1805=3,"Lead calificado",IF(OR(AG1805=4,AG1805=5),"Tasación/visita",IF(OR(AG1805=6,AG1805=7),"Captación/oferta",IF(AG1805=8,"Cierre","")))),"")</f>
        <v/>
      </c>
      <c r="AE1805" s="32"/>
      <c r="AF1805" s="32"/>
      <c r="AG1805" s="37" t="n">
        <f aca="false">IF(R1805="",0,IFERROR(MATCH(R1805,Listas!$L$2:$L$50,0),0))</f>
        <v>0</v>
      </c>
    </row>
    <row r="1806" customFormat="false" ht="15" hidden="false" customHeight="false" outlineLevel="0" collapsed="false">
      <c r="A1806" s="30"/>
      <c r="B1806" s="31"/>
      <c r="C1806" s="32"/>
      <c r="D1806" s="32"/>
      <c r="E1806" s="33"/>
      <c r="F1806" s="32"/>
      <c r="G1806" s="32"/>
      <c r="H1806" s="32"/>
      <c r="I1806" s="32"/>
      <c r="J1806" s="32"/>
      <c r="K1806" s="32"/>
      <c r="L1806" s="32"/>
      <c r="M1806" s="30"/>
      <c r="N1806" s="32"/>
      <c r="O1806" s="34"/>
      <c r="P1806" s="32"/>
      <c r="Q1806" s="32"/>
      <c r="R1806" s="32"/>
      <c r="S1806" s="32"/>
      <c r="T1806" s="32"/>
      <c r="U1806" s="32"/>
      <c r="V1806" s="31"/>
      <c r="W1806" s="35" t="str">
        <f aca="true">IF(OR(V1806="",AG1806&gt;=8),"",IF(V1806&lt;TODAY(),"Vencida",IF(V1806=TODAY(),"Hoy","")))</f>
        <v/>
      </c>
      <c r="X1806" s="36" t="str">
        <f aca="false">IF(A1806="","",IF(COUNTIF(Seguimiento!$B$2:$B$5001,A1806)=0,"",_xlfn.MAXIFS(Seguimiento!$A$2:$A$5001,Seguimiento!$B$2:$B$5001,A1806)))</f>
        <v/>
      </c>
      <c r="Y1806" s="37" t="str">
        <f aca="true">IF(B1806="","",TODAY()-B1806)</f>
        <v/>
      </c>
      <c r="Z1806" s="38" t="str">
        <f aca="false">IF(OR(O1806="",G1806=""),"",O1806*IFERROR(INDEX(Listas!$B$2:$B$50,MATCH(G1806,Listas!$A$2:$A$50,0)),0))</f>
        <v/>
      </c>
      <c r="AA1806" s="32"/>
      <c r="AB1806" s="32"/>
      <c r="AC1806" s="32"/>
      <c r="AD1806" s="35" t="str">
        <f aca="false">IF(OR(LEFT(H1806,4)="Meta",LEFT(H1806,6)="Google"),IF(AG1806=3,"Lead calificado",IF(OR(AG1806=4,AG1806=5),"Tasación/visita",IF(OR(AG1806=6,AG1806=7),"Captación/oferta",IF(AG1806=8,"Cierre","")))),"")</f>
        <v/>
      </c>
      <c r="AE1806" s="32"/>
      <c r="AF1806" s="32"/>
      <c r="AG1806" s="37" t="n">
        <f aca="false">IF(R1806="",0,IFERROR(MATCH(R1806,Listas!$L$2:$L$50,0),0))</f>
        <v>0</v>
      </c>
    </row>
    <row r="1807" customFormat="false" ht="15" hidden="false" customHeight="false" outlineLevel="0" collapsed="false">
      <c r="A1807" s="30"/>
      <c r="B1807" s="31"/>
      <c r="C1807" s="32"/>
      <c r="D1807" s="32"/>
      <c r="E1807" s="33"/>
      <c r="F1807" s="32"/>
      <c r="G1807" s="32"/>
      <c r="H1807" s="32"/>
      <c r="I1807" s="32"/>
      <c r="J1807" s="32"/>
      <c r="K1807" s="32"/>
      <c r="L1807" s="32"/>
      <c r="M1807" s="30"/>
      <c r="N1807" s="32"/>
      <c r="O1807" s="34"/>
      <c r="P1807" s="32"/>
      <c r="Q1807" s="32"/>
      <c r="R1807" s="32"/>
      <c r="S1807" s="32"/>
      <c r="T1807" s="32"/>
      <c r="U1807" s="32"/>
      <c r="V1807" s="31"/>
      <c r="W1807" s="35" t="str">
        <f aca="true">IF(OR(V1807="",AG1807&gt;=8),"",IF(V1807&lt;TODAY(),"Vencida",IF(V1807=TODAY(),"Hoy","")))</f>
        <v/>
      </c>
      <c r="X1807" s="36" t="str">
        <f aca="false">IF(A1807="","",IF(COUNTIF(Seguimiento!$B$2:$B$5001,A1807)=0,"",_xlfn.MAXIFS(Seguimiento!$A$2:$A$5001,Seguimiento!$B$2:$B$5001,A1807)))</f>
        <v/>
      </c>
      <c r="Y1807" s="37" t="str">
        <f aca="true">IF(B1807="","",TODAY()-B1807)</f>
        <v/>
      </c>
      <c r="Z1807" s="38" t="str">
        <f aca="false">IF(OR(O1807="",G1807=""),"",O1807*IFERROR(INDEX(Listas!$B$2:$B$50,MATCH(G1807,Listas!$A$2:$A$50,0)),0))</f>
        <v/>
      </c>
      <c r="AA1807" s="32"/>
      <c r="AB1807" s="32"/>
      <c r="AC1807" s="32"/>
      <c r="AD1807" s="35" t="str">
        <f aca="false">IF(OR(LEFT(H1807,4)="Meta",LEFT(H1807,6)="Google"),IF(AG1807=3,"Lead calificado",IF(OR(AG1807=4,AG1807=5),"Tasación/visita",IF(OR(AG1807=6,AG1807=7),"Captación/oferta",IF(AG1807=8,"Cierre","")))),"")</f>
        <v/>
      </c>
      <c r="AE1807" s="32"/>
      <c r="AF1807" s="32"/>
      <c r="AG1807" s="37" t="n">
        <f aca="false">IF(R1807="",0,IFERROR(MATCH(R1807,Listas!$L$2:$L$50,0),0))</f>
        <v>0</v>
      </c>
    </row>
    <row r="1808" customFormat="false" ht="15" hidden="false" customHeight="false" outlineLevel="0" collapsed="false">
      <c r="A1808" s="30"/>
      <c r="B1808" s="31"/>
      <c r="C1808" s="32"/>
      <c r="D1808" s="32"/>
      <c r="E1808" s="33"/>
      <c r="F1808" s="32"/>
      <c r="G1808" s="32"/>
      <c r="H1808" s="32"/>
      <c r="I1808" s="32"/>
      <c r="J1808" s="32"/>
      <c r="K1808" s="32"/>
      <c r="L1808" s="32"/>
      <c r="M1808" s="30"/>
      <c r="N1808" s="32"/>
      <c r="O1808" s="34"/>
      <c r="P1808" s="32"/>
      <c r="Q1808" s="32"/>
      <c r="R1808" s="32"/>
      <c r="S1808" s="32"/>
      <c r="T1808" s="32"/>
      <c r="U1808" s="32"/>
      <c r="V1808" s="31"/>
      <c r="W1808" s="35" t="str">
        <f aca="true">IF(OR(V1808="",AG1808&gt;=8),"",IF(V1808&lt;TODAY(),"Vencida",IF(V1808=TODAY(),"Hoy","")))</f>
        <v/>
      </c>
      <c r="X1808" s="36" t="str">
        <f aca="false">IF(A1808="","",IF(COUNTIF(Seguimiento!$B$2:$B$5001,A1808)=0,"",_xlfn.MAXIFS(Seguimiento!$A$2:$A$5001,Seguimiento!$B$2:$B$5001,A1808)))</f>
        <v/>
      </c>
      <c r="Y1808" s="37" t="str">
        <f aca="true">IF(B1808="","",TODAY()-B1808)</f>
        <v/>
      </c>
      <c r="Z1808" s="38" t="str">
        <f aca="false">IF(OR(O1808="",G1808=""),"",O1808*IFERROR(INDEX(Listas!$B$2:$B$50,MATCH(G1808,Listas!$A$2:$A$50,0)),0))</f>
        <v/>
      </c>
      <c r="AA1808" s="32"/>
      <c r="AB1808" s="32"/>
      <c r="AC1808" s="32"/>
      <c r="AD1808" s="35" t="str">
        <f aca="false">IF(OR(LEFT(H1808,4)="Meta",LEFT(H1808,6)="Google"),IF(AG1808=3,"Lead calificado",IF(OR(AG1808=4,AG1808=5),"Tasación/visita",IF(OR(AG1808=6,AG1808=7),"Captación/oferta",IF(AG1808=8,"Cierre","")))),"")</f>
        <v/>
      </c>
      <c r="AE1808" s="32"/>
      <c r="AF1808" s="32"/>
      <c r="AG1808" s="37" t="n">
        <f aca="false">IF(R1808="",0,IFERROR(MATCH(R1808,Listas!$L$2:$L$50,0),0))</f>
        <v>0</v>
      </c>
    </row>
    <row r="1809" customFormat="false" ht="15" hidden="false" customHeight="false" outlineLevel="0" collapsed="false">
      <c r="A1809" s="30"/>
      <c r="B1809" s="31"/>
      <c r="C1809" s="32"/>
      <c r="D1809" s="32"/>
      <c r="E1809" s="33"/>
      <c r="F1809" s="32"/>
      <c r="G1809" s="32"/>
      <c r="H1809" s="32"/>
      <c r="I1809" s="32"/>
      <c r="J1809" s="32"/>
      <c r="K1809" s="32"/>
      <c r="L1809" s="32"/>
      <c r="M1809" s="30"/>
      <c r="N1809" s="32"/>
      <c r="O1809" s="34"/>
      <c r="P1809" s="32"/>
      <c r="Q1809" s="32"/>
      <c r="R1809" s="32"/>
      <c r="S1809" s="32"/>
      <c r="T1809" s="32"/>
      <c r="U1809" s="32"/>
      <c r="V1809" s="31"/>
      <c r="W1809" s="35" t="str">
        <f aca="true">IF(OR(V1809="",AG1809&gt;=8),"",IF(V1809&lt;TODAY(),"Vencida",IF(V1809=TODAY(),"Hoy","")))</f>
        <v/>
      </c>
      <c r="X1809" s="36" t="str">
        <f aca="false">IF(A1809="","",IF(COUNTIF(Seguimiento!$B$2:$B$5001,A1809)=0,"",_xlfn.MAXIFS(Seguimiento!$A$2:$A$5001,Seguimiento!$B$2:$B$5001,A1809)))</f>
        <v/>
      </c>
      <c r="Y1809" s="37" t="str">
        <f aca="true">IF(B1809="","",TODAY()-B1809)</f>
        <v/>
      </c>
      <c r="Z1809" s="38" t="str">
        <f aca="false">IF(OR(O1809="",G1809=""),"",O1809*IFERROR(INDEX(Listas!$B$2:$B$50,MATCH(G1809,Listas!$A$2:$A$50,0)),0))</f>
        <v/>
      </c>
      <c r="AA1809" s="32"/>
      <c r="AB1809" s="32"/>
      <c r="AC1809" s="32"/>
      <c r="AD1809" s="35" t="str">
        <f aca="false">IF(OR(LEFT(H1809,4)="Meta",LEFT(H1809,6)="Google"),IF(AG1809=3,"Lead calificado",IF(OR(AG1809=4,AG1809=5),"Tasación/visita",IF(OR(AG1809=6,AG1809=7),"Captación/oferta",IF(AG1809=8,"Cierre","")))),"")</f>
        <v/>
      </c>
      <c r="AE1809" s="32"/>
      <c r="AF1809" s="32"/>
      <c r="AG1809" s="37" t="n">
        <f aca="false">IF(R1809="",0,IFERROR(MATCH(R1809,Listas!$L$2:$L$50,0),0))</f>
        <v>0</v>
      </c>
    </row>
    <row r="1810" customFormat="false" ht="15" hidden="false" customHeight="false" outlineLevel="0" collapsed="false">
      <c r="A1810" s="30"/>
      <c r="B1810" s="31"/>
      <c r="C1810" s="32"/>
      <c r="D1810" s="32"/>
      <c r="E1810" s="33"/>
      <c r="F1810" s="32"/>
      <c r="G1810" s="32"/>
      <c r="H1810" s="32"/>
      <c r="I1810" s="32"/>
      <c r="J1810" s="32"/>
      <c r="K1810" s="32"/>
      <c r="L1810" s="32"/>
      <c r="M1810" s="30"/>
      <c r="N1810" s="32"/>
      <c r="O1810" s="34"/>
      <c r="P1810" s="32"/>
      <c r="Q1810" s="32"/>
      <c r="R1810" s="32"/>
      <c r="S1810" s="32"/>
      <c r="T1810" s="32"/>
      <c r="U1810" s="32"/>
      <c r="V1810" s="31"/>
      <c r="W1810" s="35" t="str">
        <f aca="true">IF(OR(V1810="",AG1810&gt;=8),"",IF(V1810&lt;TODAY(),"Vencida",IF(V1810=TODAY(),"Hoy","")))</f>
        <v/>
      </c>
      <c r="X1810" s="36" t="str">
        <f aca="false">IF(A1810="","",IF(COUNTIF(Seguimiento!$B$2:$B$5001,A1810)=0,"",_xlfn.MAXIFS(Seguimiento!$A$2:$A$5001,Seguimiento!$B$2:$B$5001,A1810)))</f>
        <v/>
      </c>
      <c r="Y1810" s="37" t="str">
        <f aca="true">IF(B1810="","",TODAY()-B1810)</f>
        <v/>
      </c>
      <c r="Z1810" s="38" t="str">
        <f aca="false">IF(OR(O1810="",G1810=""),"",O1810*IFERROR(INDEX(Listas!$B$2:$B$50,MATCH(G1810,Listas!$A$2:$A$50,0)),0))</f>
        <v/>
      </c>
      <c r="AA1810" s="32"/>
      <c r="AB1810" s="32"/>
      <c r="AC1810" s="32"/>
      <c r="AD1810" s="35" t="str">
        <f aca="false">IF(OR(LEFT(H1810,4)="Meta",LEFT(H1810,6)="Google"),IF(AG1810=3,"Lead calificado",IF(OR(AG1810=4,AG1810=5),"Tasación/visita",IF(OR(AG1810=6,AG1810=7),"Captación/oferta",IF(AG1810=8,"Cierre","")))),"")</f>
        <v/>
      </c>
      <c r="AE1810" s="32"/>
      <c r="AF1810" s="32"/>
      <c r="AG1810" s="37" t="n">
        <f aca="false">IF(R1810="",0,IFERROR(MATCH(R1810,Listas!$L$2:$L$50,0),0))</f>
        <v>0</v>
      </c>
    </row>
    <row r="1811" customFormat="false" ht="15" hidden="false" customHeight="false" outlineLevel="0" collapsed="false">
      <c r="A1811" s="30"/>
      <c r="B1811" s="31"/>
      <c r="C1811" s="32"/>
      <c r="D1811" s="32"/>
      <c r="E1811" s="33"/>
      <c r="F1811" s="32"/>
      <c r="G1811" s="32"/>
      <c r="H1811" s="32"/>
      <c r="I1811" s="32"/>
      <c r="J1811" s="32"/>
      <c r="K1811" s="32"/>
      <c r="L1811" s="32"/>
      <c r="M1811" s="30"/>
      <c r="N1811" s="32"/>
      <c r="O1811" s="34"/>
      <c r="P1811" s="32"/>
      <c r="Q1811" s="32"/>
      <c r="R1811" s="32"/>
      <c r="S1811" s="32"/>
      <c r="T1811" s="32"/>
      <c r="U1811" s="32"/>
      <c r="V1811" s="31"/>
      <c r="W1811" s="35" t="str">
        <f aca="true">IF(OR(V1811="",AG1811&gt;=8),"",IF(V1811&lt;TODAY(),"Vencida",IF(V1811=TODAY(),"Hoy","")))</f>
        <v/>
      </c>
      <c r="X1811" s="36" t="str">
        <f aca="false">IF(A1811="","",IF(COUNTIF(Seguimiento!$B$2:$B$5001,A1811)=0,"",_xlfn.MAXIFS(Seguimiento!$A$2:$A$5001,Seguimiento!$B$2:$B$5001,A1811)))</f>
        <v/>
      </c>
      <c r="Y1811" s="37" t="str">
        <f aca="true">IF(B1811="","",TODAY()-B1811)</f>
        <v/>
      </c>
      <c r="Z1811" s="38" t="str">
        <f aca="false">IF(OR(O1811="",G1811=""),"",O1811*IFERROR(INDEX(Listas!$B$2:$B$50,MATCH(G1811,Listas!$A$2:$A$50,0)),0))</f>
        <v/>
      </c>
      <c r="AA1811" s="32"/>
      <c r="AB1811" s="32"/>
      <c r="AC1811" s="32"/>
      <c r="AD1811" s="35" t="str">
        <f aca="false">IF(OR(LEFT(H1811,4)="Meta",LEFT(H1811,6)="Google"),IF(AG1811=3,"Lead calificado",IF(OR(AG1811=4,AG1811=5),"Tasación/visita",IF(OR(AG1811=6,AG1811=7),"Captación/oferta",IF(AG1811=8,"Cierre","")))),"")</f>
        <v/>
      </c>
      <c r="AE1811" s="32"/>
      <c r="AF1811" s="32"/>
      <c r="AG1811" s="37" t="n">
        <f aca="false">IF(R1811="",0,IFERROR(MATCH(R1811,Listas!$L$2:$L$50,0),0))</f>
        <v>0</v>
      </c>
    </row>
    <row r="1812" customFormat="false" ht="15" hidden="false" customHeight="false" outlineLevel="0" collapsed="false">
      <c r="A1812" s="30"/>
      <c r="B1812" s="31"/>
      <c r="C1812" s="32"/>
      <c r="D1812" s="32"/>
      <c r="E1812" s="33"/>
      <c r="F1812" s="32"/>
      <c r="G1812" s="32"/>
      <c r="H1812" s="32"/>
      <c r="I1812" s="32"/>
      <c r="J1812" s="32"/>
      <c r="K1812" s="32"/>
      <c r="L1812" s="32"/>
      <c r="M1812" s="30"/>
      <c r="N1812" s="32"/>
      <c r="O1812" s="34"/>
      <c r="P1812" s="32"/>
      <c r="Q1812" s="32"/>
      <c r="R1812" s="32"/>
      <c r="S1812" s="32"/>
      <c r="T1812" s="32"/>
      <c r="U1812" s="32"/>
      <c r="V1812" s="31"/>
      <c r="W1812" s="35" t="str">
        <f aca="true">IF(OR(V1812="",AG1812&gt;=8),"",IF(V1812&lt;TODAY(),"Vencida",IF(V1812=TODAY(),"Hoy","")))</f>
        <v/>
      </c>
      <c r="X1812" s="36" t="str">
        <f aca="false">IF(A1812="","",IF(COUNTIF(Seguimiento!$B$2:$B$5001,A1812)=0,"",_xlfn.MAXIFS(Seguimiento!$A$2:$A$5001,Seguimiento!$B$2:$B$5001,A1812)))</f>
        <v/>
      </c>
      <c r="Y1812" s="37" t="str">
        <f aca="true">IF(B1812="","",TODAY()-B1812)</f>
        <v/>
      </c>
      <c r="Z1812" s="38" t="str">
        <f aca="false">IF(OR(O1812="",G1812=""),"",O1812*IFERROR(INDEX(Listas!$B$2:$B$50,MATCH(G1812,Listas!$A$2:$A$50,0)),0))</f>
        <v/>
      </c>
      <c r="AA1812" s="32"/>
      <c r="AB1812" s="32"/>
      <c r="AC1812" s="32"/>
      <c r="AD1812" s="35" t="str">
        <f aca="false">IF(OR(LEFT(H1812,4)="Meta",LEFT(H1812,6)="Google"),IF(AG1812=3,"Lead calificado",IF(OR(AG1812=4,AG1812=5),"Tasación/visita",IF(OR(AG1812=6,AG1812=7),"Captación/oferta",IF(AG1812=8,"Cierre","")))),"")</f>
        <v/>
      </c>
      <c r="AE1812" s="32"/>
      <c r="AF1812" s="32"/>
      <c r="AG1812" s="37" t="n">
        <f aca="false">IF(R1812="",0,IFERROR(MATCH(R1812,Listas!$L$2:$L$50,0),0))</f>
        <v>0</v>
      </c>
    </row>
    <row r="1813" customFormat="false" ht="15" hidden="false" customHeight="false" outlineLevel="0" collapsed="false">
      <c r="A1813" s="30"/>
      <c r="B1813" s="31"/>
      <c r="C1813" s="32"/>
      <c r="D1813" s="32"/>
      <c r="E1813" s="33"/>
      <c r="F1813" s="32"/>
      <c r="G1813" s="32"/>
      <c r="H1813" s="32"/>
      <c r="I1813" s="32"/>
      <c r="J1813" s="32"/>
      <c r="K1813" s="32"/>
      <c r="L1813" s="32"/>
      <c r="M1813" s="30"/>
      <c r="N1813" s="32"/>
      <c r="O1813" s="34"/>
      <c r="P1813" s="32"/>
      <c r="Q1813" s="32"/>
      <c r="R1813" s="32"/>
      <c r="S1813" s="32"/>
      <c r="T1813" s="32"/>
      <c r="U1813" s="32"/>
      <c r="V1813" s="31"/>
      <c r="W1813" s="35" t="str">
        <f aca="true">IF(OR(V1813="",AG1813&gt;=8),"",IF(V1813&lt;TODAY(),"Vencida",IF(V1813=TODAY(),"Hoy","")))</f>
        <v/>
      </c>
      <c r="X1813" s="36" t="str">
        <f aca="false">IF(A1813="","",IF(COUNTIF(Seguimiento!$B$2:$B$5001,A1813)=0,"",_xlfn.MAXIFS(Seguimiento!$A$2:$A$5001,Seguimiento!$B$2:$B$5001,A1813)))</f>
        <v/>
      </c>
      <c r="Y1813" s="37" t="str">
        <f aca="true">IF(B1813="","",TODAY()-B1813)</f>
        <v/>
      </c>
      <c r="Z1813" s="38" t="str">
        <f aca="false">IF(OR(O1813="",G1813=""),"",O1813*IFERROR(INDEX(Listas!$B$2:$B$50,MATCH(G1813,Listas!$A$2:$A$50,0)),0))</f>
        <v/>
      </c>
      <c r="AA1813" s="32"/>
      <c r="AB1813" s="32"/>
      <c r="AC1813" s="32"/>
      <c r="AD1813" s="35" t="str">
        <f aca="false">IF(OR(LEFT(H1813,4)="Meta",LEFT(H1813,6)="Google"),IF(AG1813=3,"Lead calificado",IF(OR(AG1813=4,AG1813=5),"Tasación/visita",IF(OR(AG1813=6,AG1813=7),"Captación/oferta",IF(AG1813=8,"Cierre","")))),"")</f>
        <v/>
      </c>
      <c r="AE1813" s="32"/>
      <c r="AF1813" s="32"/>
      <c r="AG1813" s="37" t="n">
        <f aca="false">IF(R1813="",0,IFERROR(MATCH(R1813,Listas!$L$2:$L$50,0),0))</f>
        <v>0</v>
      </c>
    </row>
    <row r="1814" customFormat="false" ht="15" hidden="false" customHeight="false" outlineLevel="0" collapsed="false">
      <c r="A1814" s="30"/>
      <c r="B1814" s="31"/>
      <c r="C1814" s="32"/>
      <c r="D1814" s="32"/>
      <c r="E1814" s="33"/>
      <c r="F1814" s="32"/>
      <c r="G1814" s="32"/>
      <c r="H1814" s="32"/>
      <c r="I1814" s="32"/>
      <c r="J1814" s="32"/>
      <c r="K1814" s="32"/>
      <c r="L1814" s="32"/>
      <c r="M1814" s="30"/>
      <c r="N1814" s="32"/>
      <c r="O1814" s="34"/>
      <c r="P1814" s="32"/>
      <c r="Q1814" s="32"/>
      <c r="R1814" s="32"/>
      <c r="S1814" s="32"/>
      <c r="T1814" s="32"/>
      <c r="U1814" s="32"/>
      <c r="V1814" s="31"/>
      <c r="W1814" s="35" t="str">
        <f aca="true">IF(OR(V1814="",AG1814&gt;=8),"",IF(V1814&lt;TODAY(),"Vencida",IF(V1814=TODAY(),"Hoy","")))</f>
        <v/>
      </c>
      <c r="X1814" s="36" t="str">
        <f aca="false">IF(A1814="","",IF(COUNTIF(Seguimiento!$B$2:$B$5001,A1814)=0,"",_xlfn.MAXIFS(Seguimiento!$A$2:$A$5001,Seguimiento!$B$2:$B$5001,A1814)))</f>
        <v/>
      </c>
      <c r="Y1814" s="37" t="str">
        <f aca="true">IF(B1814="","",TODAY()-B1814)</f>
        <v/>
      </c>
      <c r="Z1814" s="38" t="str">
        <f aca="false">IF(OR(O1814="",G1814=""),"",O1814*IFERROR(INDEX(Listas!$B$2:$B$50,MATCH(G1814,Listas!$A$2:$A$50,0)),0))</f>
        <v/>
      </c>
      <c r="AA1814" s="32"/>
      <c r="AB1814" s="32"/>
      <c r="AC1814" s="32"/>
      <c r="AD1814" s="35" t="str">
        <f aca="false">IF(OR(LEFT(H1814,4)="Meta",LEFT(H1814,6)="Google"),IF(AG1814=3,"Lead calificado",IF(OR(AG1814=4,AG1814=5),"Tasación/visita",IF(OR(AG1814=6,AG1814=7),"Captación/oferta",IF(AG1814=8,"Cierre","")))),"")</f>
        <v/>
      </c>
      <c r="AE1814" s="32"/>
      <c r="AF1814" s="32"/>
      <c r="AG1814" s="37" t="n">
        <f aca="false">IF(R1814="",0,IFERROR(MATCH(R1814,Listas!$L$2:$L$50,0),0))</f>
        <v>0</v>
      </c>
    </row>
    <row r="1815" customFormat="false" ht="15" hidden="false" customHeight="false" outlineLevel="0" collapsed="false">
      <c r="A1815" s="30"/>
      <c r="B1815" s="31"/>
      <c r="C1815" s="32"/>
      <c r="D1815" s="32"/>
      <c r="E1815" s="33"/>
      <c r="F1815" s="32"/>
      <c r="G1815" s="32"/>
      <c r="H1815" s="32"/>
      <c r="I1815" s="32"/>
      <c r="J1815" s="32"/>
      <c r="K1815" s="32"/>
      <c r="L1815" s="32"/>
      <c r="M1815" s="30"/>
      <c r="N1815" s="32"/>
      <c r="O1815" s="34"/>
      <c r="P1815" s="32"/>
      <c r="Q1815" s="32"/>
      <c r="R1815" s="32"/>
      <c r="S1815" s="32"/>
      <c r="T1815" s="32"/>
      <c r="U1815" s="32"/>
      <c r="V1815" s="31"/>
      <c r="W1815" s="35" t="str">
        <f aca="true">IF(OR(V1815="",AG1815&gt;=8),"",IF(V1815&lt;TODAY(),"Vencida",IF(V1815=TODAY(),"Hoy","")))</f>
        <v/>
      </c>
      <c r="X1815" s="36" t="str">
        <f aca="false">IF(A1815="","",IF(COUNTIF(Seguimiento!$B$2:$B$5001,A1815)=0,"",_xlfn.MAXIFS(Seguimiento!$A$2:$A$5001,Seguimiento!$B$2:$B$5001,A1815)))</f>
        <v/>
      </c>
      <c r="Y1815" s="37" t="str">
        <f aca="true">IF(B1815="","",TODAY()-B1815)</f>
        <v/>
      </c>
      <c r="Z1815" s="38" t="str">
        <f aca="false">IF(OR(O1815="",G1815=""),"",O1815*IFERROR(INDEX(Listas!$B$2:$B$50,MATCH(G1815,Listas!$A$2:$A$50,0)),0))</f>
        <v/>
      </c>
      <c r="AA1815" s="32"/>
      <c r="AB1815" s="32"/>
      <c r="AC1815" s="32"/>
      <c r="AD1815" s="35" t="str">
        <f aca="false">IF(OR(LEFT(H1815,4)="Meta",LEFT(H1815,6)="Google"),IF(AG1815=3,"Lead calificado",IF(OR(AG1815=4,AG1815=5),"Tasación/visita",IF(OR(AG1815=6,AG1815=7),"Captación/oferta",IF(AG1815=8,"Cierre","")))),"")</f>
        <v/>
      </c>
      <c r="AE1815" s="32"/>
      <c r="AF1815" s="32"/>
      <c r="AG1815" s="37" t="n">
        <f aca="false">IF(R1815="",0,IFERROR(MATCH(R1815,Listas!$L$2:$L$50,0),0))</f>
        <v>0</v>
      </c>
    </row>
    <row r="1816" customFormat="false" ht="15" hidden="false" customHeight="false" outlineLevel="0" collapsed="false">
      <c r="A1816" s="30"/>
      <c r="B1816" s="31"/>
      <c r="C1816" s="32"/>
      <c r="D1816" s="32"/>
      <c r="E1816" s="33"/>
      <c r="F1816" s="32"/>
      <c r="G1816" s="32"/>
      <c r="H1816" s="32"/>
      <c r="I1816" s="32"/>
      <c r="J1816" s="32"/>
      <c r="K1816" s="32"/>
      <c r="L1816" s="32"/>
      <c r="M1816" s="30"/>
      <c r="N1816" s="32"/>
      <c r="O1816" s="34"/>
      <c r="P1816" s="32"/>
      <c r="Q1816" s="32"/>
      <c r="R1816" s="32"/>
      <c r="S1816" s="32"/>
      <c r="T1816" s="32"/>
      <c r="U1816" s="32"/>
      <c r="V1816" s="31"/>
      <c r="W1816" s="35" t="str">
        <f aca="true">IF(OR(V1816="",AG1816&gt;=8),"",IF(V1816&lt;TODAY(),"Vencida",IF(V1816=TODAY(),"Hoy","")))</f>
        <v/>
      </c>
      <c r="X1816" s="36" t="str">
        <f aca="false">IF(A1816="","",IF(COUNTIF(Seguimiento!$B$2:$B$5001,A1816)=0,"",_xlfn.MAXIFS(Seguimiento!$A$2:$A$5001,Seguimiento!$B$2:$B$5001,A1816)))</f>
        <v/>
      </c>
      <c r="Y1816" s="37" t="str">
        <f aca="true">IF(B1816="","",TODAY()-B1816)</f>
        <v/>
      </c>
      <c r="Z1816" s="38" t="str">
        <f aca="false">IF(OR(O1816="",G1816=""),"",O1816*IFERROR(INDEX(Listas!$B$2:$B$50,MATCH(G1816,Listas!$A$2:$A$50,0)),0))</f>
        <v/>
      </c>
      <c r="AA1816" s="32"/>
      <c r="AB1816" s="32"/>
      <c r="AC1816" s="32"/>
      <c r="AD1816" s="35" t="str">
        <f aca="false">IF(OR(LEFT(H1816,4)="Meta",LEFT(H1816,6)="Google"),IF(AG1816=3,"Lead calificado",IF(OR(AG1816=4,AG1816=5),"Tasación/visita",IF(OR(AG1816=6,AG1816=7),"Captación/oferta",IF(AG1816=8,"Cierre","")))),"")</f>
        <v/>
      </c>
      <c r="AE1816" s="32"/>
      <c r="AF1816" s="32"/>
      <c r="AG1816" s="37" t="n">
        <f aca="false">IF(R1816="",0,IFERROR(MATCH(R1816,Listas!$L$2:$L$50,0),0))</f>
        <v>0</v>
      </c>
    </row>
    <row r="1817" customFormat="false" ht="15" hidden="false" customHeight="false" outlineLevel="0" collapsed="false">
      <c r="A1817" s="30"/>
      <c r="B1817" s="31"/>
      <c r="C1817" s="32"/>
      <c r="D1817" s="32"/>
      <c r="E1817" s="33"/>
      <c r="F1817" s="32"/>
      <c r="G1817" s="32"/>
      <c r="H1817" s="32"/>
      <c r="I1817" s="32"/>
      <c r="J1817" s="32"/>
      <c r="K1817" s="32"/>
      <c r="L1817" s="32"/>
      <c r="M1817" s="30"/>
      <c r="N1817" s="32"/>
      <c r="O1817" s="34"/>
      <c r="P1817" s="32"/>
      <c r="Q1817" s="32"/>
      <c r="R1817" s="32"/>
      <c r="S1817" s="32"/>
      <c r="T1817" s="32"/>
      <c r="U1817" s="32"/>
      <c r="V1817" s="31"/>
      <c r="W1817" s="35" t="str">
        <f aca="true">IF(OR(V1817="",AG1817&gt;=8),"",IF(V1817&lt;TODAY(),"Vencida",IF(V1817=TODAY(),"Hoy","")))</f>
        <v/>
      </c>
      <c r="X1817" s="36" t="str">
        <f aca="false">IF(A1817="","",IF(COUNTIF(Seguimiento!$B$2:$B$5001,A1817)=0,"",_xlfn.MAXIFS(Seguimiento!$A$2:$A$5001,Seguimiento!$B$2:$B$5001,A1817)))</f>
        <v/>
      </c>
      <c r="Y1817" s="37" t="str">
        <f aca="true">IF(B1817="","",TODAY()-B1817)</f>
        <v/>
      </c>
      <c r="Z1817" s="38" t="str">
        <f aca="false">IF(OR(O1817="",G1817=""),"",O1817*IFERROR(INDEX(Listas!$B$2:$B$50,MATCH(G1817,Listas!$A$2:$A$50,0)),0))</f>
        <v/>
      </c>
      <c r="AA1817" s="32"/>
      <c r="AB1817" s="32"/>
      <c r="AC1817" s="32"/>
      <c r="AD1817" s="35" t="str">
        <f aca="false">IF(OR(LEFT(H1817,4)="Meta",LEFT(H1817,6)="Google"),IF(AG1817=3,"Lead calificado",IF(OR(AG1817=4,AG1817=5),"Tasación/visita",IF(OR(AG1817=6,AG1817=7),"Captación/oferta",IF(AG1817=8,"Cierre","")))),"")</f>
        <v/>
      </c>
      <c r="AE1817" s="32"/>
      <c r="AF1817" s="32"/>
      <c r="AG1817" s="37" t="n">
        <f aca="false">IF(R1817="",0,IFERROR(MATCH(R1817,Listas!$L$2:$L$50,0),0))</f>
        <v>0</v>
      </c>
    </row>
    <row r="1818" customFormat="false" ht="15" hidden="false" customHeight="false" outlineLevel="0" collapsed="false">
      <c r="A1818" s="30"/>
      <c r="B1818" s="31"/>
      <c r="C1818" s="32"/>
      <c r="D1818" s="32"/>
      <c r="E1818" s="33"/>
      <c r="F1818" s="32"/>
      <c r="G1818" s="32"/>
      <c r="H1818" s="32"/>
      <c r="I1818" s="32"/>
      <c r="J1818" s="32"/>
      <c r="K1818" s="32"/>
      <c r="L1818" s="32"/>
      <c r="M1818" s="30"/>
      <c r="N1818" s="32"/>
      <c r="O1818" s="34"/>
      <c r="P1818" s="32"/>
      <c r="Q1818" s="32"/>
      <c r="R1818" s="32"/>
      <c r="S1818" s="32"/>
      <c r="T1818" s="32"/>
      <c r="U1818" s="32"/>
      <c r="V1818" s="31"/>
      <c r="W1818" s="35" t="str">
        <f aca="true">IF(OR(V1818="",AG1818&gt;=8),"",IF(V1818&lt;TODAY(),"Vencida",IF(V1818=TODAY(),"Hoy","")))</f>
        <v/>
      </c>
      <c r="X1818" s="36" t="str">
        <f aca="false">IF(A1818="","",IF(COUNTIF(Seguimiento!$B$2:$B$5001,A1818)=0,"",_xlfn.MAXIFS(Seguimiento!$A$2:$A$5001,Seguimiento!$B$2:$B$5001,A1818)))</f>
        <v/>
      </c>
      <c r="Y1818" s="37" t="str">
        <f aca="true">IF(B1818="","",TODAY()-B1818)</f>
        <v/>
      </c>
      <c r="Z1818" s="38" t="str">
        <f aca="false">IF(OR(O1818="",G1818=""),"",O1818*IFERROR(INDEX(Listas!$B$2:$B$50,MATCH(G1818,Listas!$A$2:$A$50,0)),0))</f>
        <v/>
      </c>
      <c r="AA1818" s="32"/>
      <c r="AB1818" s="32"/>
      <c r="AC1818" s="32"/>
      <c r="AD1818" s="35" t="str">
        <f aca="false">IF(OR(LEFT(H1818,4)="Meta",LEFT(H1818,6)="Google"),IF(AG1818=3,"Lead calificado",IF(OR(AG1818=4,AG1818=5),"Tasación/visita",IF(OR(AG1818=6,AG1818=7),"Captación/oferta",IF(AG1818=8,"Cierre","")))),"")</f>
        <v/>
      </c>
      <c r="AE1818" s="32"/>
      <c r="AF1818" s="32"/>
      <c r="AG1818" s="37" t="n">
        <f aca="false">IF(R1818="",0,IFERROR(MATCH(R1818,Listas!$L$2:$L$50,0),0))</f>
        <v>0</v>
      </c>
    </row>
    <row r="1819" customFormat="false" ht="15" hidden="false" customHeight="false" outlineLevel="0" collapsed="false">
      <c r="A1819" s="30"/>
      <c r="B1819" s="31"/>
      <c r="C1819" s="32"/>
      <c r="D1819" s="32"/>
      <c r="E1819" s="33"/>
      <c r="F1819" s="32"/>
      <c r="G1819" s="32"/>
      <c r="H1819" s="32"/>
      <c r="I1819" s="32"/>
      <c r="J1819" s="32"/>
      <c r="K1819" s="32"/>
      <c r="L1819" s="32"/>
      <c r="M1819" s="30"/>
      <c r="N1819" s="32"/>
      <c r="O1819" s="34"/>
      <c r="P1819" s="32"/>
      <c r="Q1819" s="32"/>
      <c r="R1819" s="32"/>
      <c r="S1819" s="32"/>
      <c r="T1819" s="32"/>
      <c r="U1819" s="32"/>
      <c r="V1819" s="31"/>
      <c r="W1819" s="35" t="str">
        <f aca="true">IF(OR(V1819="",AG1819&gt;=8),"",IF(V1819&lt;TODAY(),"Vencida",IF(V1819=TODAY(),"Hoy","")))</f>
        <v/>
      </c>
      <c r="X1819" s="36" t="str">
        <f aca="false">IF(A1819="","",IF(COUNTIF(Seguimiento!$B$2:$B$5001,A1819)=0,"",_xlfn.MAXIFS(Seguimiento!$A$2:$A$5001,Seguimiento!$B$2:$B$5001,A1819)))</f>
        <v/>
      </c>
      <c r="Y1819" s="37" t="str">
        <f aca="true">IF(B1819="","",TODAY()-B1819)</f>
        <v/>
      </c>
      <c r="Z1819" s="38" t="str">
        <f aca="false">IF(OR(O1819="",G1819=""),"",O1819*IFERROR(INDEX(Listas!$B$2:$B$50,MATCH(G1819,Listas!$A$2:$A$50,0)),0))</f>
        <v/>
      </c>
      <c r="AA1819" s="32"/>
      <c r="AB1819" s="32"/>
      <c r="AC1819" s="32"/>
      <c r="AD1819" s="35" t="str">
        <f aca="false">IF(OR(LEFT(H1819,4)="Meta",LEFT(H1819,6)="Google"),IF(AG1819=3,"Lead calificado",IF(OR(AG1819=4,AG1819=5),"Tasación/visita",IF(OR(AG1819=6,AG1819=7),"Captación/oferta",IF(AG1819=8,"Cierre","")))),"")</f>
        <v/>
      </c>
      <c r="AE1819" s="32"/>
      <c r="AF1819" s="32"/>
      <c r="AG1819" s="37" t="n">
        <f aca="false">IF(R1819="",0,IFERROR(MATCH(R1819,Listas!$L$2:$L$50,0),0))</f>
        <v>0</v>
      </c>
    </row>
    <row r="1820" customFormat="false" ht="15" hidden="false" customHeight="false" outlineLevel="0" collapsed="false">
      <c r="A1820" s="30"/>
      <c r="B1820" s="31"/>
      <c r="C1820" s="32"/>
      <c r="D1820" s="32"/>
      <c r="E1820" s="33"/>
      <c r="F1820" s="32"/>
      <c r="G1820" s="32"/>
      <c r="H1820" s="32"/>
      <c r="I1820" s="32"/>
      <c r="J1820" s="32"/>
      <c r="K1820" s="32"/>
      <c r="L1820" s="32"/>
      <c r="M1820" s="30"/>
      <c r="N1820" s="32"/>
      <c r="O1820" s="34"/>
      <c r="P1820" s="32"/>
      <c r="Q1820" s="32"/>
      <c r="R1820" s="32"/>
      <c r="S1820" s="32"/>
      <c r="T1820" s="32"/>
      <c r="U1820" s="32"/>
      <c r="V1820" s="31"/>
      <c r="W1820" s="35" t="str">
        <f aca="true">IF(OR(V1820="",AG1820&gt;=8),"",IF(V1820&lt;TODAY(),"Vencida",IF(V1820=TODAY(),"Hoy","")))</f>
        <v/>
      </c>
      <c r="X1820" s="36" t="str">
        <f aca="false">IF(A1820="","",IF(COUNTIF(Seguimiento!$B$2:$B$5001,A1820)=0,"",_xlfn.MAXIFS(Seguimiento!$A$2:$A$5001,Seguimiento!$B$2:$B$5001,A1820)))</f>
        <v/>
      </c>
      <c r="Y1820" s="37" t="str">
        <f aca="true">IF(B1820="","",TODAY()-B1820)</f>
        <v/>
      </c>
      <c r="Z1820" s="38" t="str">
        <f aca="false">IF(OR(O1820="",G1820=""),"",O1820*IFERROR(INDEX(Listas!$B$2:$B$50,MATCH(G1820,Listas!$A$2:$A$50,0)),0))</f>
        <v/>
      </c>
      <c r="AA1820" s="32"/>
      <c r="AB1820" s="32"/>
      <c r="AC1820" s="32"/>
      <c r="AD1820" s="35" t="str">
        <f aca="false">IF(OR(LEFT(H1820,4)="Meta",LEFT(H1820,6)="Google"),IF(AG1820=3,"Lead calificado",IF(OR(AG1820=4,AG1820=5),"Tasación/visita",IF(OR(AG1820=6,AG1820=7),"Captación/oferta",IF(AG1820=8,"Cierre","")))),"")</f>
        <v/>
      </c>
      <c r="AE1820" s="32"/>
      <c r="AF1820" s="32"/>
      <c r="AG1820" s="37" t="n">
        <f aca="false">IF(R1820="",0,IFERROR(MATCH(R1820,Listas!$L$2:$L$50,0),0))</f>
        <v>0</v>
      </c>
    </row>
    <row r="1821" customFormat="false" ht="15" hidden="false" customHeight="false" outlineLevel="0" collapsed="false">
      <c r="A1821" s="30"/>
      <c r="B1821" s="31"/>
      <c r="C1821" s="32"/>
      <c r="D1821" s="32"/>
      <c r="E1821" s="33"/>
      <c r="F1821" s="32"/>
      <c r="G1821" s="32"/>
      <c r="H1821" s="32"/>
      <c r="I1821" s="32"/>
      <c r="J1821" s="32"/>
      <c r="K1821" s="32"/>
      <c r="L1821" s="32"/>
      <c r="M1821" s="30"/>
      <c r="N1821" s="32"/>
      <c r="O1821" s="34"/>
      <c r="P1821" s="32"/>
      <c r="Q1821" s="32"/>
      <c r="R1821" s="32"/>
      <c r="S1821" s="32"/>
      <c r="T1821" s="32"/>
      <c r="U1821" s="32"/>
      <c r="V1821" s="31"/>
      <c r="W1821" s="35" t="str">
        <f aca="true">IF(OR(V1821="",AG1821&gt;=8),"",IF(V1821&lt;TODAY(),"Vencida",IF(V1821=TODAY(),"Hoy","")))</f>
        <v/>
      </c>
      <c r="X1821" s="36" t="str">
        <f aca="false">IF(A1821="","",IF(COUNTIF(Seguimiento!$B$2:$B$5001,A1821)=0,"",_xlfn.MAXIFS(Seguimiento!$A$2:$A$5001,Seguimiento!$B$2:$B$5001,A1821)))</f>
        <v/>
      </c>
      <c r="Y1821" s="37" t="str">
        <f aca="true">IF(B1821="","",TODAY()-B1821)</f>
        <v/>
      </c>
      <c r="Z1821" s="38" t="str">
        <f aca="false">IF(OR(O1821="",G1821=""),"",O1821*IFERROR(INDEX(Listas!$B$2:$B$50,MATCH(G1821,Listas!$A$2:$A$50,0)),0))</f>
        <v/>
      </c>
      <c r="AA1821" s="32"/>
      <c r="AB1821" s="32"/>
      <c r="AC1821" s="32"/>
      <c r="AD1821" s="35" t="str">
        <f aca="false">IF(OR(LEFT(H1821,4)="Meta",LEFT(H1821,6)="Google"),IF(AG1821=3,"Lead calificado",IF(OR(AG1821=4,AG1821=5),"Tasación/visita",IF(OR(AG1821=6,AG1821=7),"Captación/oferta",IF(AG1821=8,"Cierre","")))),"")</f>
        <v/>
      </c>
      <c r="AE1821" s="32"/>
      <c r="AF1821" s="32"/>
      <c r="AG1821" s="37" t="n">
        <f aca="false">IF(R1821="",0,IFERROR(MATCH(R1821,Listas!$L$2:$L$50,0),0))</f>
        <v>0</v>
      </c>
    </row>
    <row r="1822" customFormat="false" ht="15" hidden="false" customHeight="false" outlineLevel="0" collapsed="false">
      <c r="A1822" s="30"/>
      <c r="B1822" s="31"/>
      <c r="C1822" s="32"/>
      <c r="D1822" s="32"/>
      <c r="E1822" s="33"/>
      <c r="F1822" s="32"/>
      <c r="G1822" s="32"/>
      <c r="H1822" s="32"/>
      <c r="I1822" s="32"/>
      <c r="J1822" s="32"/>
      <c r="K1822" s="32"/>
      <c r="L1822" s="32"/>
      <c r="M1822" s="30"/>
      <c r="N1822" s="32"/>
      <c r="O1822" s="34"/>
      <c r="P1822" s="32"/>
      <c r="Q1822" s="32"/>
      <c r="R1822" s="32"/>
      <c r="S1822" s="32"/>
      <c r="T1822" s="32"/>
      <c r="U1822" s="32"/>
      <c r="V1822" s="31"/>
      <c r="W1822" s="35" t="str">
        <f aca="true">IF(OR(V1822="",AG1822&gt;=8),"",IF(V1822&lt;TODAY(),"Vencida",IF(V1822=TODAY(),"Hoy","")))</f>
        <v/>
      </c>
      <c r="X1822" s="36" t="str">
        <f aca="false">IF(A1822="","",IF(COUNTIF(Seguimiento!$B$2:$B$5001,A1822)=0,"",_xlfn.MAXIFS(Seguimiento!$A$2:$A$5001,Seguimiento!$B$2:$B$5001,A1822)))</f>
        <v/>
      </c>
      <c r="Y1822" s="37" t="str">
        <f aca="true">IF(B1822="","",TODAY()-B1822)</f>
        <v/>
      </c>
      <c r="Z1822" s="38" t="str">
        <f aca="false">IF(OR(O1822="",G1822=""),"",O1822*IFERROR(INDEX(Listas!$B$2:$B$50,MATCH(G1822,Listas!$A$2:$A$50,0)),0))</f>
        <v/>
      </c>
      <c r="AA1822" s="32"/>
      <c r="AB1822" s="32"/>
      <c r="AC1822" s="32"/>
      <c r="AD1822" s="35" t="str">
        <f aca="false">IF(OR(LEFT(H1822,4)="Meta",LEFT(H1822,6)="Google"),IF(AG1822=3,"Lead calificado",IF(OR(AG1822=4,AG1822=5),"Tasación/visita",IF(OR(AG1822=6,AG1822=7),"Captación/oferta",IF(AG1822=8,"Cierre","")))),"")</f>
        <v/>
      </c>
      <c r="AE1822" s="32"/>
      <c r="AF1822" s="32"/>
      <c r="AG1822" s="37" t="n">
        <f aca="false">IF(R1822="",0,IFERROR(MATCH(R1822,Listas!$L$2:$L$50,0),0))</f>
        <v>0</v>
      </c>
    </row>
    <row r="1823" customFormat="false" ht="15" hidden="false" customHeight="false" outlineLevel="0" collapsed="false">
      <c r="A1823" s="30"/>
      <c r="B1823" s="31"/>
      <c r="C1823" s="32"/>
      <c r="D1823" s="32"/>
      <c r="E1823" s="33"/>
      <c r="F1823" s="32"/>
      <c r="G1823" s="32"/>
      <c r="H1823" s="32"/>
      <c r="I1823" s="32"/>
      <c r="J1823" s="32"/>
      <c r="K1823" s="32"/>
      <c r="L1823" s="32"/>
      <c r="M1823" s="30"/>
      <c r="N1823" s="32"/>
      <c r="O1823" s="34"/>
      <c r="P1823" s="32"/>
      <c r="Q1823" s="32"/>
      <c r="R1823" s="32"/>
      <c r="S1823" s="32"/>
      <c r="T1823" s="32"/>
      <c r="U1823" s="32"/>
      <c r="V1823" s="31"/>
      <c r="W1823" s="35" t="str">
        <f aca="true">IF(OR(V1823="",AG1823&gt;=8),"",IF(V1823&lt;TODAY(),"Vencida",IF(V1823=TODAY(),"Hoy","")))</f>
        <v/>
      </c>
      <c r="X1823" s="36" t="str">
        <f aca="false">IF(A1823="","",IF(COUNTIF(Seguimiento!$B$2:$B$5001,A1823)=0,"",_xlfn.MAXIFS(Seguimiento!$A$2:$A$5001,Seguimiento!$B$2:$B$5001,A1823)))</f>
        <v/>
      </c>
      <c r="Y1823" s="37" t="str">
        <f aca="true">IF(B1823="","",TODAY()-B1823)</f>
        <v/>
      </c>
      <c r="Z1823" s="38" t="str">
        <f aca="false">IF(OR(O1823="",G1823=""),"",O1823*IFERROR(INDEX(Listas!$B$2:$B$50,MATCH(G1823,Listas!$A$2:$A$50,0)),0))</f>
        <v/>
      </c>
      <c r="AA1823" s="32"/>
      <c r="AB1823" s="32"/>
      <c r="AC1823" s="32"/>
      <c r="AD1823" s="35" t="str">
        <f aca="false">IF(OR(LEFT(H1823,4)="Meta",LEFT(H1823,6)="Google"),IF(AG1823=3,"Lead calificado",IF(OR(AG1823=4,AG1823=5),"Tasación/visita",IF(OR(AG1823=6,AG1823=7),"Captación/oferta",IF(AG1823=8,"Cierre","")))),"")</f>
        <v/>
      </c>
      <c r="AE1823" s="32"/>
      <c r="AF1823" s="32"/>
      <c r="AG1823" s="37" t="n">
        <f aca="false">IF(R1823="",0,IFERROR(MATCH(R1823,Listas!$L$2:$L$50,0),0))</f>
        <v>0</v>
      </c>
    </row>
    <row r="1824" customFormat="false" ht="15" hidden="false" customHeight="false" outlineLevel="0" collapsed="false">
      <c r="A1824" s="30"/>
      <c r="B1824" s="31"/>
      <c r="C1824" s="32"/>
      <c r="D1824" s="32"/>
      <c r="E1824" s="33"/>
      <c r="F1824" s="32"/>
      <c r="G1824" s="32"/>
      <c r="H1824" s="32"/>
      <c r="I1824" s="32"/>
      <c r="J1824" s="32"/>
      <c r="K1824" s="32"/>
      <c r="L1824" s="32"/>
      <c r="M1824" s="30"/>
      <c r="N1824" s="32"/>
      <c r="O1824" s="34"/>
      <c r="P1824" s="32"/>
      <c r="Q1824" s="32"/>
      <c r="R1824" s="32"/>
      <c r="S1824" s="32"/>
      <c r="T1824" s="32"/>
      <c r="U1824" s="32"/>
      <c r="V1824" s="31"/>
      <c r="W1824" s="35" t="str">
        <f aca="true">IF(OR(V1824="",AG1824&gt;=8),"",IF(V1824&lt;TODAY(),"Vencida",IF(V1824=TODAY(),"Hoy","")))</f>
        <v/>
      </c>
      <c r="X1824" s="36" t="str">
        <f aca="false">IF(A1824="","",IF(COUNTIF(Seguimiento!$B$2:$B$5001,A1824)=0,"",_xlfn.MAXIFS(Seguimiento!$A$2:$A$5001,Seguimiento!$B$2:$B$5001,A1824)))</f>
        <v/>
      </c>
      <c r="Y1824" s="37" t="str">
        <f aca="true">IF(B1824="","",TODAY()-B1824)</f>
        <v/>
      </c>
      <c r="Z1824" s="38" t="str">
        <f aca="false">IF(OR(O1824="",G1824=""),"",O1824*IFERROR(INDEX(Listas!$B$2:$B$50,MATCH(G1824,Listas!$A$2:$A$50,0)),0))</f>
        <v/>
      </c>
      <c r="AA1824" s="32"/>
      <c r="AB1824" s="32"/>
      <c r="AC1824" s="32"/>
      <c r="AD1824" s="35" t="str">
        <f aca="false">IF(OR(LEFT(H1824,4)="Meta",LEFT(H1824,6)="Google"),IF(AG1824=3,"Lead calificado",IF(OR(AG1824=4,AG1824=5),"Tasación/visita",IF(OR(AG1824=6,AG1824=7),"Captación/oferta",IF(AG1824=8,"Cierre","")))),"")</f>
        <v/>
      </c>
      <c r="AE1824" s="32"/>
      <c r="AF1824" s="32"/>
      <c r="AG1824" s="37" t="n">
        <f aca="false">IF(R1824="",0,IFERROR(MATCH(R1824,Listas!$L$2:$L$50,0),0))</f>
        <v>0</v>
      </c>
    </row>
    <row r="1825" customFormat="false" ht="15" hidden="false" customHeight="false" outlineLevel="0" collapsed="false">
      <c r="A1825" s="30"/>
      <c r="B1825" s="31"/>
      <c r="C1825" s="32"/>
      <c r="D1825" s="32"/>
      <c r="E1825" s="33"/>
      <c r="F1825" s="32"/>
      <c r="G1825" s="32"/>
      <c r="H1825" s="32"/>
      <c r="I1825" s="32"/>
      <c r="J1825" s="32"/>
      <c r="K1825" s="32"/>
      <c r="L1825" s="32"/>
      <c r="M1825" s="30"/>
      <c r="N1825" s="32"/>
      <c r="O1825" s="34"/>
      <c r="P1825" s="32"/>
      <c r="Q1825" s="32"/>
      <c r="R1825" s="32"/>
      <c r="S1825" s="32"/>
      <c r="T1825" s="32"/>
      <c r="U1825" s="32"/>
      <c r="V1825" s="31"/>
      <c r="W1825" s="35" t="str">
        <f aca="true">IF(OR(V1825="",AG1825&gt;=8),"",IF(V1825&lt;TODAY(),"Vencida",IF(V1825=TODAY(),"Hoy","")))</f>
        <v/>
      </c>
      <c r="X1825" s="36" t="str">
        <f aca="false">IF(A1825="","",IF(COUNTIF(Seguimiento!$B$2:$B$5001,A1825)=0,"",_xlfn.MAXIFS(Seguimiento!$A$2:$A$5001,Seguimiento!$B$2:$B$5001,A1825)))</f>
        <v/>
      </c>
      <c r="Y1825" s="37" t="str">
        <f aca="true">IF(B1825="","",TODAY()-B1825)</f>
        <v/>
      </c>
      <c r="Z1825" s="38" t="str">
        <f aca="false">IF(OR(O1825="",G1825=""),"",O1825*IFERROR(INDEX(Listas!$B$2:$B$50,MATCH(G1825,Listas!$A$2:$A$50,0)),0))</f>
        <v/>
      </c>
      <c r="AA1825" s="32"/>
      <c r="AB1825" s="32"/>
      <c r="AC1825" s="32"/>
      <c r="AD1825" s="35" t="str">
        <f aca="false">IF(OR(LEFT(H1825,4)="Meta",LEFT(H1825,6)="Google"),IF(AG1825=3,"Lead calificado",IF(OR(AG1825=4,AG1825=5),"Tasación/visita",IF(OR(AG1825=6,AG1825=7),"Captación/oferta",IF(AG1825=8,"Cierre","")))),"")</f>
        <v/>
      </c>
      <c r="AE1825" s="32"/>
      <c r="AF1825" s="32"/>
      <c r="AG1825" s="37" t="n">
        <f aca="false">IF(R1825="",0,IFERROR(MATCH(R1825,Listas!$L$2:$L$50,0),0))</f>
        <v>0</v>
      </c>
    </row>
    <row r="1826" customFormat="false" ht="15" hidden="false" customHeight="false" outlineLevel="0" collapsed="false">
      <c r="A1826" s="30"/>
      <c r="B1826" s="31"/>
      <c r="C1826" s="32"/>
      <c r="D1826" s="32"/>
      <c r="E1826" s="33"/>
      <c r="F1826" s="32"/>
      <c r="G1826" s="32"/>
      <c r="H1826" s="32"/>
      <c r="I1826" s="32"/>
      <c r="J1826" s="32"/>
      <c r="K1826" s="32"/>
      <c r="L1826" s="32"/>
      <c r="M1826" s="30"/>
      <c r="N1826" s="32"/>
      <c r="O1826" s="34"/>
      <c r="P1826" s="32"/>
      <c r="Q1826" s="32"/>
      <c r="R1826" s="32"/>
      <c r="S1826" s="32"/>
      <c r="T1826" s="32"/>
      <c r="U1826" s="32"/>
      <c r="V1826" s="31"/>
      <c r="W1826" s="35" t="str">
        <f aca="true">IF(OR(V1826="",AG1826&gt;=8),"",IF(V1826&lt;TODAY(),"Vencida",IF(V1826=TODAY(),"Hoy","")))</f>
        <v/>
      </c>
      <c r="X1826" s="36" t="str">
        <f aca="false">IF(A1826="","",IF(COUNTIF(Seguimiento!$B$2:$B$5001,A1826)=0,"",_xlfn.MAXIFS(Seguimiento!$A$2:$A$5001,Seguimiento!$B$2:$B$5001,A1826)))</f>
        <v/>
      </c>
      <c r="Y1826" s="37" t="str">
        <f aca="true">IF(B1826="","",TODAY()-B1826)</f>
        <v/>
      </c>
      <c r="Z1826" s="38" t="str">
        <f aca="false">IF(OR(O1826="",G1826=""),"",O1826*IFERROR(INDEX(Listas!$B$2:$B$50,MATCH(G1826,Listas!$A$2:$A$50,0)),0))</f>
        <v/>
      </c>
      <c r="AA1826" s="32"/>
      <c r="AB1826" s="32"/>
      <c r="AC1826" s="32"/>
      <c r="AD1826" s="35" t="str">
        <f aca="false">IF(OR(LEFT(H1826,4)="Meta",LEFT(H1826,6)="Google"),IF(AG1826=3,"Lead calificado",IF(OR(AG1826=4,AG1826=5),"Tasación/visita",IF(OR(AG1826=6,AG1826=7),"Captación/oferta",IF(AG1826=8,"Cierre","")))),"")</f>
        <v/>
      </c>
      <c r="AE1826" s="32"/>
      <c r="AF1826" s="32"/>
      <c r="AG1826" s="37" t="n">
        <f aca="false">IF(R1826="",0,IFERROR(MATCH(R1826,Listas!$L$2:$L$50,0),0))</f>
        <v>0</v>
      </c>
    </row>
    <row r="1827" customFormat="false" ht="15" hidden="false" customHeight="false" outlineLevel="0" collapsed="false">
      <c r="A1827" s="30"/>
      <c r="B1827" s="31"/>
      <c r="C1827" s="32"/>
      <c r="D1827" s="32"/>
      <c r="E1827" s="33"/>
      <c r="F1827" s="32"/>
      <c r="G1827" s="32"/>
      <c r="H1827" s="32"/>
      <c r="I1827" s="32"/>
      <c r="J1827" s="32"/>
      <c r="K1827" s="32"/>
      <c r="L1827" s="32"/>
      <c r="M1827" s="30"/>
      <c r="N1827" s="32"/>
      <c r="O1827" s="34"/>
      <c r="P1827" s="32"/>
      <c r="Q1827" s="32"/>
      <c r="R1827" s="32"/>
      <c r="S1827" s="32"/>
      <c r="T1827" s="32"/>
      <c r="U1827" s="32"/>
      <c r="V1827" s="31"/>
      <c r="W1827" s="35" t="str">
        <f aca="true">IF(OR(V1827="",AG1827&gt;=8),"",IF(V1827&lt;TODAY(),"Vencida",IF(V1827=TODAY(),"Hoy","")))</f>
        <v/>
      </c>
      <c r="X1827" s="36" t="str">
        <f aca="false">IF(A1827="","",IF(COUNTIF(Seguimiento!$B$2:$B$5001,A1827)=0,"",_xlfn.MAXIFS(Seguimiento!$A$2:$A$5001,Seguimiento!$B$2:$B$5001,A1827)))</f>
        <v/>
      </c>
      <c r="Y1827" s="37" t="str">
        <f aca="true">IF(B1827="","",TODAY()-B1827)</f>
        <v/>
      </c>
      <c r="Z1827" s="38" t="str">
        <f aca="false">IF(OR(O1827="",G1827=""),"",O1827*IFERROR(INDEX(Listas!$B$2:$B$50,MATCH(G1827,Listas!$A$2:$A$50,0)),0))</f>
        <v/>
      </c>
      <c r="AA1827" s="32"/>
      <c r="AB1827" s="32"/>
      <c r="AC1827" s="32"/>
      <c r="AD1827" s="35" t="str">
        <f aca="false">IF(OR(LEFT(H1827,4)="Meta",LEFT(H1827,6)="Google"),IF(AG1827=3,"Lead calificado",IF(OR(AG1827=4,AG1827=5),"Tasación/visita",IF(OR(AG1827=6,AG1827=7),"Captación/oferta",IF(AG1827=8,"Cierre","")))),"")</f>
        <v/>
      </c>
      <c r="AE1827" s="32"/>
      <c r="AF1827" s="32"/>
      <c r="AG1827" s="37" t="n">
        <f aca="false">IF(R1827="",0,IFERROR(MATCH(R1827,Listas!$L$2:$L$50,0),0))</f>
        <v>0</v>
      </c>
    </row>
    <row r="1828" customFormat="false" ht="15" hidden="false" customHeight="false" outlineLevel="0" collapsed="false">
      <c r="A1828" s="30"/>
      <c r="B1828" s="31"/>
      <c r="C1828" s="32"/>
      <c r="D1828" s="32"/>
      <c r="E1828" s="33"/>
      <c r="F1828" s="32"/>
      <c r="G1828" s="32"/>
      <c r="H1828" s="32"/>
      <c r="I1828" s="32"/>
      <c r="J1828" s="32"/>
      <c r="K1828" s="32"/>
      <c r="L1828" s="32"/>
      <c r="M1828" s="30"/>
      <c r="N1828" s="32"/>
      <c r="O1828" s="34"/>
      <c r="P1828" s="32"/>
      <c r="Q1828" s="32"/>
      <c r="R1828" s="32"/>
      <c r="S1828" s="32"/>
      <c r="T1828" s="32"/>
      <c r="U1828" s="32"/>
      <c r="V1828" s="31"/>
      <c r="W1828" s="35" t="str">
        <f aca="true">IF(OR(V1828="",AG1828&gt;=8),"",IF(V1828&lt;TODAY(),"Vencida",IF(V1828=TODAY(),"Hoy","")))</f>
        <v/>
      </c>
      <c r="X1828" s="36" t="str">
        <f aca="false">IF(A1828="","",IF(COUNTIF(Seguimiento!$B$2:$B$5001,A1828)=0,"",_xlfn.MAXIFS(Seguimiento!$A$2:$A$5001,Seguimiento!$B$2:$B$5001,A1828)))</f>
        <v/>
      </c>
      <c r="Y1828" s="37" t="str">
        <f aca="true">IF(B1828="","",TODAY()-B1828)</f>
        <v/>
      </c>
      <c r="Z1828" s="38" t="str">
        <f aca="false">IF(OR(O1828="",G1828=""),"",O1828*IFERROR(INDEX(Listas!$B$2:$B$50,MATCH(G1828,Listas!$A$2:$A$50,0)),0))</f>
        <v/>
      </c>
      <c r="AA1828" s="32"/>
      <c r="AB1828" s="32"/>
      <c r="AC1828" s="32"/>
      <c r="AD1828" s="35" t="str">
        <f aca="false">IF(OR(LEFT(H1828,4)="Meta",LEFT(H1828,6)="Google"),IF(AG1828=3,"Lead calificado",IF(OR(AG1828=4,AG1828=5),"Tasación/visita",IF(OR(AG1828=6,AG1828=7),"Captación/oferta",IF(AG1828=8,"Cierre","")))),"")</f>
        <v/>
      </c>
      <c r="AE1828" s="32"/>
      <c r="AF1828" s="32"/>
      <c r="AG1828" s="37" t="n">
        <f aca="false">IF(R1828="",0,IFERROR(MATCH(R1828,Listas!$L$2:$L$50,0),0))</f>
        <v>0</v>
      </c>
    </row>
    <row r="1829" customFormat="false" ht="15" hidden="false" customHeight="false" outlineLevel="0" collapsed="false">
      <c r="A1829" s="30"/>
      <c r="B1829" s="31"/>
      <c r="C1829" s="32"/>
      <c r="D1829" s="32"/>
      <c r="E1829" s="33"/>
      <c r="F1829" s="32"/>
      <c r="G1829" s="32"/>
      <c r="H1829" s="32"/>
      <c r="I1829" s="32"/>
      <c r="J1829" s="32"/>
      <c r="K1829" s="32"/>
      <c r="L1829" s="32"/>
      <c r="M1829" s="30"/>
      <c r="N1829" s="32"/>
      <c r="O1829" s="34"/>
      <c r="P1829" s="32"/>
      <c r="Q1829" s="32"/>
      <c r="R1829" s="32"/>
      <c r="S1829" s="32"/>
      <c r="T1829" s="32"/>
      <c r="U1829" s="32"/>
      <c r="V1829" s="31"/>
      <c r="W1829" s="35" t="str">
        <f aca="true">IF(OR(V1829="",AG1829&gt;=8),"",IF(V1829&lt;TODAY(),"Vencida",IF(V1829=TODAY(),"Hoy","")))</f>
        <v/>
      </c>
      <c r="X1829" s="36" t="str">
        <f aca="false">IF(A1829="","",IF(COUNTIF(Seguimiento!$B$2:$B$5001,A1829)=0,"",_xlfn.MAXIFS(Seguimiento!$A$2:$A$5001,Seguimiento!$B$2:$B$5001,A1829)))</f>
        <v/>
      </c>
      <c r="Y1829" s="37" t="str">
        <f aca="true">IF(B1829="","",TODAY()-B1829)</f>
        <v/>
      </c>
      <c r="Z1829" s="38" t="str">
        <f aca="false">IF(OR(O1829="",G1829=""),"",O1829*IFERROR(INDEX(Listas!$B$2:$B$50,MATCH(G1829,Listas!$A$2:$A$50,0)),0))</f>
        <v/>
      </c>
      <c r="AA1829" s="32"/>
      <c r="AB1829" s="32"/>
      <c r="AC1829" s="32"/>
      <c r="AD1829" s="35" t="str">
        <f aca="false">IF(OR(LEFT(H1829,4)="Meta",LEFT(H1829,6)="Google"),IF(AG1829=3,"Lead calificado",IF(OR(AG1829=4,AG1829=5),"Tasación/visita",IF(OR(AG1829=6,AG1829=7),"Captación/oferta",IF(AG1829=8,"Cierre","")))),"")</f>
        <v/>
      </c>
      <c r="AE1829" s="32"/>
      <c r="AF1829" s="32"/>
      <c r="AG1829" s="37" t="n">
        <f aca="false">IF(R1829="",0,IFERROR(MATCH(R1829,Listas!$L$2:$L$50,0),0))</f>
        <v>0</v>
      </c>
    </row>
    <row r="1830" customFormat="false" ht="15" hidden="false" customHeight="false" outlineLevel="0" collapsed="false">
      <c r="A1830" s="30"/>
      <c r="B1830" s="31"/>
      <c r="C1830" s="32"/>
      <c r="D1830" s="32"/>
      <c r="E1830" s="33"/>
      <c r="F1830" s="32"/>
      <c r="G1830" s="32"/>
      <c r="H1830" s="32"/>
      <c r="I1830" s="32"/>
      <c r="J1830" s="32"/>
      <c r="K1830" s="32"/>
      <c r="L1830" s="32"/>
      <c r="M1830" s="30"/>
      <c r="N1830" s="32"/>
      <c r="O1830" s="34"/>
      <c r="P1830" s="32"/>
      <c r="Q1830" s="32"/>
      <c r="R1830" s="32"/>
      <c r="S1830" s="32"/>
      <c r="T1830" s="32"/>
      <c r="U1830" s="32"/>
      <c r="V1830" s="31"/>
      <c r="W1830" s="35" t="str">
        <f aca="true">IF(OR(V1830="",AG1830&gt;=8),"",IF(V1830&lt;TODAY(),"Vencida",IF(V1830=TODAY(),"Hoy","")))</f>
        <v/>
      </c>
      <c r="X1830" s="36" t="str">
        <f aca="false">IF(A1830="","",IF(COUNTIF(Seguimiento!$B$2:$B$5001,A1830)=0,"",_xlfn.MAXIFS(Seguimiento!$A$2:$A$5001,Seguimiento!$B$2:$B$5001,A1830)))</f>
        <v/>
      </c>
      <c r="Y1830" s="37" t="str">
        <f aca="true">IF(B1830="","",TODAY()-B1830)</f>
        <v/>
      </c>
      <c r="Z1830" s="38" t="str">
        <f aca="false">IF(OR(O1830="",G1830=""),"",O1830*IFERROR(INDEX(Listas!$B$2:$B$50,MATCH(G1830,Listas!$A$2:$A$50,0)),0))</f>
        <v/>
      </c>
      <c r="AA1830" s="32"/>
      <c r="AB1830" s="32"/>
      <c r="AC1830" s="32"/>
      <c r="AD1830" s="35" t="str">
        <f aca="false">IF(OR(LEFT(H1830,4)="Meta",LEFT(H1830,6)="Google"),IF(AG1830=3,"Lead calificado",IF(OR(AG1830=4,AG1830=5),"Tasación/visita",IF(OR(AG1830=6,AG1830=7),"Captación/oferta",IF(AG1830=8,"Cierre","")))),"")</f>
        <v/>
      </c>
      <c r="AE1830" s="32"/>
      <c r="AF1830" s="32"/>
      <c r="AG1830" s="37" t="n">
        <f aca="false">IF(R1830="",0,IFERROR(MATCH(R1830,Listas!$L$2:$L$50,0),0))</f>
        <v>0</v>
      </c>
    </row>
    <row r="1831" customFormat="false" ht="15" hidden="false" customHeight="false" outlineLevel="0" collapsed="false">
      <c r="A1831" s="30"/>
      <c r="B1831" s="31"/>
      <c r="C1831" s="32"/>
      <c r="D1831" s="32"/>
      <c r="E1831" s="33"/>
      <c r="F1831" s="32"/>
      <c r="G1831" s="32"/>
      <c r="H1831" s="32"/>
      <c r="I1831" s="32"/>
      <c r="J1831" s="32"/>
      <c r="K1831" s="32"/>
      <c r="L1831" s="32"/>
      <c r="M1831" s="30"/>
      <c r="N1831" s="32"/>
      <c r="O1831" s="34"/>
      <c r="P1831" s="32"/>
      <c r="Q1831" s="32"/>
      <c r="R1831" s="32"/>
      <c r="S1831" s="32"/>
      <c r="T1831" s="32"/>
      <c r="U1831" s="32"/>
      <c r="V1831" s="31"/>
      <c r="W1831" s="35" t="str">
        <f aca="true">IF(OR(V1831="",AG1831&gt;=8),"",IF(V1831&lt;TODAY(),"Vencida",IF(V1831=TODAY(),"Hoy","")))</f>
        <v/>
      </c>
      <c r="X1831" s="36" t="str">
        <f aca="false">IF(A1831="","",IF(COUNTIF(Seguimiento!$B$2:$B$5001,A1831)=0,"",_xlfn.MAXIFS(Seguimiento!$A$2:$A$5001,Seguimiento!$B$2:$B$5001,A1831)))</f>
        <v/>
      </c>
      <c r="Y1831" s="37" t="str">
        <f aca="true">IF(B1831="","",TODAY()-B1831)</f>
        <v/>
      </c>
      <c r="Z1831" s="38" t="str">
        <f aca="false">IF(OR(O1831="",G1831=""),"",O1831*IFERROR(INDEX(Listas!$B$2:$B$50,MATCH(G1831,Listas!$A$2:$A$50,0)),0))</f>
        <v/>
      </c>
      <c r="AA1831" s="32"/>
      <c r="AB1831" s="32"/>
      <c r="AC1831" s="32"/>
      <c r="AD1831" s="35" t="str">
        <f aca="false">IF(OR(LEFT(H1831,4)="Meta",LEFT(H1831,6)="Google"),IF(AG1831=3,"Lead calificado",IF(OR(AG1831=4,AG1831=5),"Tasación/visita",IF(OR(AG1831=6,AG1831=7),"Captación/oferta",IF(AG1831=8,"Cierre","")))),"")</f>
        <v/>
      </c>
      <c r="AE1831" s="32"/>
      <c r="AF1831" s="32"/>
      <c r="AG1831" s="37" t="n">
        <f aca="false">IF(R1831="",0,IFERROR(MATCH(R1831,Listas!$L$2:$L$50,0),0))</f>
        <v>0</v>
      </c>
    </row>
    <row r="1832" customFormat="false" ht="15" hidden="false" customHeight="false" outlineLevel="0" collapsed="false">
      <c r="A1832" s="30"/>
      <c r="B1832" s="31"/>
      <c r="C1832" s="32"/>
      <c r="D1832" s="32"/>
      <c r="E1832" s="33"/>
      <c r="F1832" s="32"/>
      <c r="G1832" s="32"/>
      <c r="H1832" s="32"/>
      <c r="I1832" s="32"/>
      <c r="J1832" s="32"/>
      <c r="K1832" s="32"/>
      <c r="L1832" s="32"/>
      <c r="M1832" s="30"/>
      <c r="N1832" s="32"/>
      <c r="O1832" s="34"/>
      <c r="P1832" s="32"/>
      <c r="Q1832" s="32"/>
      <c r="R1832" s="32"/>
      <c r="S1832" s="32"/>
      <c r="T1832" s="32"/>
      <c r="U1832" s="32"/>
      <c r="V1832" s="31"/>
      <c r="W1832" s="35" t="str">
        <f aca="true">IF(OR(V1832="",AG1832&gt;=8),"",IF(V1832&lt;TODAY(),"Vencida",IF(V1832=TODAY(),"Hoy","")))</f>
        <v/>
      </c>
      <c r="X1832" s="36" t="str">
        <f aca="false">IF(A1832="","",IF(COUNTIF(Seguimiento!$B$2:$B$5001,A1832)=0,"",_xlfn.MAXIFS(Seguimiento!$A$2:$A$5001,Seguimiento!$B$2:$B$5001,A1832)))</f>
        <v/>
      </c>
      <c r="Y1832" s="37" t="str">
        <f aca="true">IF(B1832="","",TODAY()-B1832)</f>
        <v/>
      </c>
      <c r="Z1832" s="38" t="str">
        <f aca="false">IF(OR(O1832="",G1832=""),"",O1832*IFERROR(INDEX(Listas!$B$2:$B$50,MATCH(G1832,Listas!$A$2:$A$50,0)),0))</f>
        <v/>
      </c>
      <c r="AA1832" s="32"/>
      <c r="AB1832" s="32"/>
      <c r="AC1832" s="32"/>
      <c r="AD1832" s="35" t="str">
        <f aca="false">IF(OR(LEFT(H1832,4)="Meta",LEFT(H1832,6)="Google"),IF(AG1832=3,"Lead calificado",IF(OR(AG1832=4,AG1832=5),"Tasación/visita",IF(OR(AG1832=6,AG1832=7),"Captación/oferta",IF(AG1832=8,"Cierre","")))),"")</f>
        <v/>
      </c>
      <c r="AE1832" s="32"/>
      <c r="AF1832" s="32"/>
      <c r="AG1832" s="37" t="n">
        <f aca="false">IF(R1832="",0,IFERROR(MATCH(R1832,Listas!$L$2:$L$50,0),0))</f>
        <v>0</v>
      </c>
    </row>
    <row r="1833" customFormat="false" ht="15" hidden="false" customHeight="false" outlineLevel="0" collapsed="false">
      <c r="A1833" s="30"/>
      <c r="B1833" s="31"/>
      <c r="C1833" s="32"/>
      <c r="D1833" s="32"/>
      <c r="E1833" s="33"/>
      <c r="F1833" s="32"/>
      <c r="G1833" s="32"/>
      <c r="H1833" s="32"/>
      <c r="I1833" s="32"/>
      <c r="J1833" s="32"/>
      <c r="K1833" s="32"/>
      <c r="L1833" s="32"/>
      <c r="M1833" s="30"/>
      <c r="N1833" s="32"/>
      <c r="O1833" s="34"/>
      <c r="P1833" s="32"/>
      <c r="Q1833" s="32"/>
      <c r="R1833" s="32"/>
      <c r="S1833" s="32"/>
      <c r="T1833" s="32"/>
      <c r="U1833" s="32"/>
      <c r="V1833" s="31"/>
      <c r="W1833" s="35" t="str">
        <f aca="true">IF(OR(V1833="",AG1833&gt;=8),"",IF(V1833&lt;TODAY(),"Vencida",IF(V1833=TODAY(),"Hoy","")))</f>
        <v/>
      </c>
      <c r="X1833" s="36" t="str">
        <f aca="false">IF(A1833="","",IF(COUNTIF(Seguimiento!$B$2:$B$5001,A1833)=0,"",_xlfn.MAXIFS(Seguimiento!$A$2:$A$5001,Seguimiento!$B$2:$B$5001,A1833)))</f>
        <v/>
      </c>
      <c r="Y1833" s="37" t="str">
        <f aca="true">IF(B1833="","",TODAY()-B1833)</f>
        <v/>
      </c>
      <c r="Z1833" s="38" t="str">
        <f aca="false">IF(OR(O1833="",G1833=""),"",O1833*IFERROR(INDEX(Listas!$B$2:$B$50,MATCH(G1833,Listas!$A$2:$A$50,0)),0))</f>
        <v/>
      </c>
      <c r="AA1833" s="32"/>
      <c r="AB1833" s="32"/>
      <c r="AC1833" s="32"/>
      <c r="AD1833" s="35" t="str">
        <f aca="false">IF(OR(LEFT(H1833,4)="Meta",LEFT(H1833,6)="Google"),IF(AG1833=3,"Lead calificado",IF(OR(AG1833=4,AG1833=5),"Tasación/visita",IF(OR(AG1833=6,AG1833=7),"Captación/oferta",IF(AG1833=8,"Cierre","")))),"")</f>
        <v/>
      </c>
      <c r="AE1833" s="32"/>
      <c r="AF1833" s="32"/>
      <c r="AG1833" s="37" t="n">
        <f aca="false">IF(R1833="",0,IFERROR(MATCH(R1833,Listas!$L$2:$L$50,0),0))</f>
        <v>0</v>
      </c>
    </row>
    <row r="1834" customFormat="false" ht="15" hidden="false" customHeight="false" outlineLevel="0" collapsed="false">
      <c r="A1834" s="30"/>
      <c r="B1834" s="31"/>
      <c r="C1834" s="32"/>
      <c r="D1834" s="32"/>
      <c r="E1834" s="33"/>
      <c r="F1834" s="32"/>
      <c r="G1834" s="32"/>
      <c r="H1834" s="32"/>
      <c r="I1834" s="32"/>
      <c r="J1834" s="32"/>
      <c r="K1834" s="32"/>
      <c r="L1834" s="32"/>
      <c r="M1834" s="30"/>
      <c r="N1834" s="32"/>
      <c r="O1834" s="34"/>
      <c r="P1834" s="32"/>
      <c r="Q1834" s="32"/>
      <c r="R1834" s="32"/>
      <c r="S1834" s="32"/>
      <c r="T1834" s="32"/>
      <c r="U1834" s="32"/>
      <c r="V1834" s="31"/>
      <c r="W1834" s="35" t="str">
        <f aca="true">IF(OR(V1834="",AG1834&gt;=8),"",IF(V1834&lt;TODAY(),"Vencida",IF(V1834=TODAY(),"Hoy","")))</f>
        <v/>
      </c>
      <c r="X1834" s="36" t="str">
        <f aca="false">IF(A1834="","",IF(COUNTIF(Seguimiento!$B$2:$B$5001,A1834)=0,"",_xlfn.MAXIFS(Seguimiento!$A$2:$A$5001,Seguimiento!$B$2:$B$5001,A1834)))</f>
        <v/>
      </c>
      <c r="Y1834" s="37" t="str">
        <f aca="true">IF(B1834="","",TODAY()-B1834)</f>
        <v/>
      </c>
      <c r="Z1834" s="38" t="str">
        <f aca="false">IF(OR(O1834="",G1834=""),"",O1834*IFERROR(INDEX(Listas!$B$2:$B$50,MATCH(G1834,Listas!$A$2:$A$50,0)),0))</f>
        <v/>
      </c>
      <c r="AA1834" s="32"/>
      <c r="AB1834" s="32"/>
      <c r="AC1834" s="32"/>
      <c r="AD1834" s="35" t="str">
        <f aca="false">IF(OR(LEFT(H1834,4)="Meta",LEFT(H1834,6)="Google"),IF(AG1834=3,"Lead calificado",IF(OR(AG1834=4,AG1834=5),"Tasación/visita",IF(OR(AG1834=6,AG1834=7),"Captación/oferta",IF(AG1834=8,"Cierre","")))),"")</f>
        <v/>
      </c>
      <c r="AE1834" s="32"/>
      <c r="AF1834" s="32"/>
      <c r="AG1834" s="37" t="n">
        <f aca="false">IF(R1834="",0,IFERROR(MATCH(R1834,Listas!$L$2:$L$50,0),0))</f>
        <v>0</v>
      </c>
    </row>
    <row r="1835" customFormat="false" ht="15" hidden="false" customHeight="false" outlineLevel="0" collapsed="false">
      <c r="A1835" s="30"/>
      <c r="B1835" s="31"/>
      <c r="C1835" s="32"/>
      <c r="D1835" s="32"/>
      <c r="E1835" s="33"/>
      <c r="F1835" s="32"/>
      <c r="G1835" s="32"/>
      <c r="H1835" s="32"/>
      <c r="I1835" s="32"/>
      <c r="J1835" s="32"/>
      <c r="K1835" s="32"/>
      <c r="L1835" s="32"/>
      <c r="M1835" s="30"/>
      <c r="N1835" s="32"/>
      <c r="O1835" s="34"/>
      <c r="P1835" s="32"/>
      <c r="Q1835" s="32"/>
      <c r="R1835" s="32"/>
      <c r="S1835" s="32"/>
      <c r="T1835" s="32"/>
      <c r="U1835" s="32"/>
      <c r="V1835" s="31"/>
      <c r="W1835" s="35" t="str">
        <f aca="true">IF(OR(V1835="",AG1835&gt;=8),"",IF(V1835&lt;TODAY(),"Vencida",IF(V1835=TODAY(),"Hoy","")))</f>
        <v/>
      </c>
      <c r="X1835" s="36" t="str">
        <f aca="false">IF(A1835="","",IF(COUNTIF(Seguimiento!$B$2:$B$5001,A1835)=0,"",_xlfn.MAXIFS(Seguimiento!$A$2:$A$5001,Seguimiento!$B$2:$B$5001,A1835)))</f>
        <v/>
      </c>
      <c r="Y1835" s="37" t="str">
        <f aca="true">IF(B1835="","",TODAY()-B1835)</f>
        <v/>
      </c>
      <c r="Z1835" s="38" t="str">
        <f aca="false">IF(OR(O1835="",G1835=""),"",O1835*IFERROR(INDEX(Listas!$B$2:$B$50,MATCH(G1835,Listas!$A$2:$A$50,0)),0))</f>
        <v/>
      </c>
      <c r="AA1835" s="32"/>
      <c r="AB1835" s="32"/>
      <c r="AC1835" s="32"/>
      <c r="AD1835" s="35" t="str">
        <f aca="false">IF(OR(LEFT(H1835,4)="Meta",LEFT(H1835,6)="Google"),IF(AG1835=3,"Lead calificado",IF(OR(AG1835=4,AG1835=5),"Tasación/visita",IF(OR(AG1835=6,AG1835=7),"Captación/oferta",IF(AG1835=8,"Cierre","")))),"")</f>
        <v/>
      </c>
      <c r="AE1835" s="32"/>
      <c r="AF1835" s="32"/>
      <c r="AG1835" s="37" t="n">
        <f aca="false">IF(R1835="",0,IFERROR(MATCH(R1835,Listas!$L$2:$L$50,0),0))</f>
        <v>0</v>
      </c>
    </row>
    <row r="1836" customFormat="false" ht="15" hidden="false" customHeight="false" outlineLevel="0" collapsed="false">
      <c r="A1836" s="30"/>
      <c r="B1836" s="31"/>
      <c r="C1836" s="32"/>
      <c r="D1836" s="32"/>
      <c r="E1836" s="33"/>
      <c r="F1836" s="32"/>
      <c r="G1836" s="32"/>
      <c r="H1836" s="32"/>
      <c r="I1836" s="32"/>
      <c r="J1836" s="32"/>
      <c r="K1836" s="32"/>
      <c r="L1836" s="32"/>
      <c r="M1836" s="30"/>
      <c r="N1836" s="32"/>
      <c r="O1836" s="34"/>
      <c r="P1836" s="32"/>
      <c r="Q1836" s="32"/>
      <c r="R1836" s="32"/>
      <c r="S1836" s="32"/>
      <c r="T1836" s="32"/>
      <c r="U1836" s="32"/>
      <c r="V1836" s="31"/>
      <c r="W1836" s="35" t="str">
        <f aca="true">IF(OR(V1836="",AG1836&gt;=8),"",IF(V1836&lt;TODAY(),"Vencida",IF(V1836=TODAY(),"Hoy","")))</f>
        <v/>
      </c>
      <c r="X1836" s="36" t="str">
        <f aca="false">IF(A1836="","",IF(COUNTIF(Seguimiento!$B$2:$B$5001,A1836)=0,"",_xlfn.MAXIFS(Seguimiento!$A$2:$A$5001,Seguimiento!$B$2:$B$5001,A1836)))</f>
        <v/>
      </c>
      <c r="Y1836" s="37" t="str">
        <f aca="true">IF(B1836="","",TODAY()-B1836)</f>
        <v/>
      </c>
      <c r="Z1836" s="38" t="str">
        <f aca="false">IF(OR(O1836="",G1836=""),"",O1836*IFERROR(INDEX(Listas!$B$2:$B$50,MATCH(G1836,Listas!$A$2:$A$50,0)),0))</f>
        <v/>
      </c>
      <c r="AA1836" s="32"/>
      <c r="AB1836" s="32"/>
      <c r="AC1836" s="32"/>
      <c r="AD1836" s="35" t="str">
        <f aca="false">IF(OR(LEFT(H1836,4)="Meta",LEFT(H1836,6)="Google"),IF(AG1836=3,"Lead calificado",IF(OR(AG1836=4,AG1836=5),"Tasación/visita",IF(OR(AG1836=6,AG1836=7),"Captación/oferta",IF(AG1836=8,"Cierre","")))),"")</f>
        <v/>
      </c>
      <c r="AE1836" s="32"/>
      <c r="AF1836" s="32"/>
      <c r="AG1836" s="37" t="n">
        <f aca="false">IF(R1836="",0,IFERROR(MATCH(R1836,Listas!$L$2:$L$50,0),0))</f>
        <v>0</v>
      </c>
    </row>
    <row r="1837" customFormat="false" ht="15" hidden="false" customHeight="false" outlineLevel="0" collapsed="false">
      <c r="A1837" s="30"/>
      <c r="B1837" s="31"/>
      <c r="C1837" s="32"/>
      <c r="D1837" s="32"/>
      <c r="E1837" s="33"/>
      <c r="F1837" s="32"/>
      <c r="G1837" s="32"/>
      <c r="H1837" s="32"/>
      <c r="I1837" s="32"/>
      <c r="J1837" s="32"/>
      <c r="K1837" s="32"/>
      <c r="L1837" s="32"/>
      <c r="M1837" s="30"/>
      <c r="N1837" s="32"/>
      <c r="O1837" s="34"/>
      <c r="P1837" s="32"/>
      <c r="Q1837" s="32"/>
      <c r="R1837" s="32"/>
      <c r="S1837" s="32"/>
      <c r="T1837" s="32"/>
      <c r="U1837" s="32"/>
      <c r="V1837" s="31"/>
      <c r="W1837" s="35" t="str">
        <f aca="true">IF(OR(V1837="",AG1837&gt;=8),"",IF(V1837&lt;TODAY(),"Vencida",IF(V1837=TODAY(),"Hoy","")))</f>
        <v/>
      </c>
      <c r="X1837" s="36" t="str">
        <f aca="false">IF(A1837="","",IF(COUNTIF(Seguimiento!$B$2:$B$5001,A1837)=0,"",_xlfn.MAXIFS(Seguimiento!$A$2:$A$5001,Seguimiento!$B$2:$B$5001,A1837)))</f>
        <v/>
      </c>
      <c r="Y1837" s="37" t="str">
        <f aca="true">IF(B1837="","",TODAY()-B1837)</f>
        <v/>
      </c>
      <c r="Z1837" s="38" t="str">
        <f aca="false">IF(OR(O1837="",G1837=""),"",O1837*IFERROR(INDEX(Listas!$B$2:$B$50,MATCH(G1837,Listas!$A$2:$A$50,0)),0))</f>
        <v/>
      </c>
      <c r="AA1837" s="32"/>
      <c r="AB1837" s="32"/>
      <c r="AC1837" s="32"/>
      <c r="AD1837" s="35" t="str">
        <f aca="false">IF(OR(LEFT(H1837,4)="Meta",LEFT(H1837,6)="Google"),IF(AG1837=3,"Lead calificado",IF(OR(AG1837=4,AG1837=5),"Tasación/visita",IF(OR(AG1837=6,AG1837=7),"Captación/oferta",IF(AG1837=8,"Cierre","")))),"")</f>
        <v/>
      </c>
      <c r="AE1837" s="32"/>
      <c r="AF1837" s="32"/>
      <c r="AG1837" s="37" t="n">
        <f aca="false">IF(R1837="",0,IFERROR(MATCH(R1837,Listas!$L$2:$L$50,0),0))</f>
        <v>0</v>
      </c>
    </row>
    <row r="1838" customFormat="false" ht="15" hidden="false" customHeight="false" outlineLevel="0" collapsed="false">
      <c r="A1838" s="30"/>
      <c r="B1838" s="31"/>
      <c r="C1838" s="32"/>
      <c r="D1838" s="32"/>
      <c r="E1838" s="33"/>
      <c r="F1838" s="32"/>
      <c r="G1838" s="32"/>
      <c r="H1838" s="32"/>
      <c r="I1838" s="32"/>
      <c r="J1838" s="32"/>
      <c r="K1838" s="32"/>
      <c r="L1838" s="32"/>
      <c r="M1838" s="30"/>
      <c r="N1838" s="32"/>
      <c r="O1838" s="34"/>
      <c r="P1838" s="32"/>
      <c r="Q1838" s="32"/>
      <c r="R1838" s="32"/>
      <c r="S1838" s="32"/>
      <c r="T1838" s="32"/>
      <c r="U1838" s="32"/>
      <c r="V1838" s="31"/>
      <c r="W1838" s="35" t="str">
        <f aca="true">IF(OR(V1838="",AG1838&gt;=8),"",IF(V1838&lt;TODAY(),"Vencida",IF(V1838=TODAY(),"Hoy","")))</f>
        <v/>
      </c>
      <c r="X1838" s="36" t="str">
        <f aca="false">IF(A1838="","",IF(COUNTIF(Seguimiento!$B$2:$B$5001,A1838)=0,"",_xlfn.MAXIFS(Seguimiento!$A$2:$A$5001,Seguimiento!$B$2:$B$5001,A1838)))</f>
        <v/>
      </c>
      <c r="Y1838" s="37" t="str">
        <f aca="true">IF(B1838="","",TODAY()-B1838)</f>
        <v/>
      </c>
      <c r="Z1838" s="38" t="str">
        <f aca="false">IF(OR(O1838="",G1838=""),"",O1838*IFERROR(INDEX(Listas!$B$2:$B$50,MATCH(G1838,Listas!$A$2:$A$50,0)),0))</f>
        <v/>
      </c>
      <c r="AA1838" s="32"/>
      <c r="AB1838" s="32"/>
      <c r="AC1838" s="32"/>
      <c r="AD1838" s="35" t="str">
        <f aca="false">IF(OR(LEFT(H1838,4)="Meta",LEFT(H1838,6)="Google"),IF(AG1838=3,"Lead calificado",IF(OR(AG1838=4,AG1838=5),"Tasación/visita",IF(OR(AG1838=6,AG1838=7),"Captación/oferta",IF(AG1838=8,"Cierre","")))),"")</f>
        <v/>
      </c>
      <c r="AE1838" s="32"/>
      <c r="AF1838" s="32"/>
      <c r="AG1838" s="37" t="n">
        <f aca="false">IF(R1838="",0,IFERROR(MATCH(R1838,Listas!$L$2:$L$50,0),0))</f>
        <v>0</v>
      </c>
    </row>
    <row r="1839" customFormat="false" ht="15" hidden="false" customHeight="false" outlineLevel="0" collapsed="false">
      <c r="A1839" s="30"/>
      <c r="B1839" s="31"/>
      <c r="C1839" s="32"/>
      <c r="D1839" s="32"/>
      <c r="E1839" s="33"/>
      <c r="F1839" s="32"/>
      <c r="G1839" s="32"/>
      <c r="H1839" s="32"/>
      <c r="I1839" s="32"/>
      <c r="J1839" s="32"/>
      <c r="K1839" s="32"/>
      <c r="L1839" s="32"/>
      <c r="M1839" s="30"/>
      <c r="N1839" s="32"/>
      <c r="O1839" s="34"/>
      <c r="P1839" s="32"/>
      <c r="Q1839" s="32"/>
      <c r="R1839" s="32"/>
      <c r="S1839" s="32"/>
      <c r="T1839" s="32"/>
      <c r="U1839" s="32"/>
      <c r="V1839" s="31"/>
      <c r="W1839" s="35" t="str">
        <f aca="true">IF(OR(V1839="",AG1839&gt;=8),"",IF(V1839&lt;TODAY(),"Vencida",IF(V1839=TODAY(),"Hoy","")))</f>
        <v/>
      </c>
      <c r="X1839" s="36" t="str">
        <f aca="false">IF(A1839="","",IF(COUNTIF(Seguimiento!$B$2:$B$5001,A1839)=0,"",_xlfn.MAXIFS(Seguimiento!$A$2:$A$5001,Seguimiento!$B$2:$B$5001,A1839)))</f>
        <v/>
      </c>
      <c r="Y1839" s="37" t="str">
        <f aca="true">IF(B1839="","",TODAY()-B1839)</f>
        <v/>
      </c>
      <c r="Z1839" s="38" t="str">
        <f aca="false">IF(OR(O1839="",G1839=""),"",O1839*IFERROR(INDEX(Listas!$B$2:$B$50,MATCH(G1839,Listas!$A$2:$A$50,0)),0))</f>
        <v/>
      </c>
      <c r="AA1839" s="32"/>
      <c r="AB1839" s="32"/>
      <c r="AC1839" s="32"/>
      <c r="AD1839" s="35" t="str">
        <f aca="false">IF(OR(LEFT(H1839,4)="Meta",LEFT(H1839,6)="Google"),IF(AG1839=3,"Lead calificado",IF(OR(AG1839=4,AG1839=5),"Tasación/visita",IF(OR(AG1839=6,AG1839=7),"Captación/oferta",IF(AG1839=8,"Cierre","")))),"")</f>
        <v/>
      </c>
      <c r="AE1839" s="32"/>
      <c r="AF1839" s="32"/>
      <c r="AG1839" s="37" t="n">
        <f aca="false">IF(R1839="",0,IFERROR(MATCH(R1839,Listas!$L$2:$L$50,0),0))</f>
        <v>0</v>
      </c>
    </row>
    <row r="1840" customFormat="false" ht="15" hidden="false" customHeight="false" outlineLevel="0" collapsed="false">
      <c r="A1840" s="30"/>
      <c r="B1840" s="31"/>
      <c r="C1840" s="32"/>
      <c r="D1840" s="32"/>
      <c r="E1840" s="33"/>
      <c r="F1840" s="32"/>
      <c r="G1840" s="32"/>
      <c r="H1840" s="32"/>
      <c r="I1840" s="32"/>
      <c r="J1840" s="32"/>
      <c r="K1840" s="32"/>
      <c r="L1840" s="32"/>
      <c r="M1840" s="30"/>
      <c r="N1840" s="32"/>
      <c r="O1840" s="34"/>
      <c r="P1840" s="32"/>
      <c r="Q1840" s="32"/>
      <c r="R1840" s="32"/>
      <c r="S1840" s="32"/>
      <c r="T1840" s="32"/>
      <c r="U1840" s="32"/>
      <c r="V1840" s="31"/>
      <c r="W1840" s="35" t="str">
        <f aca="true">IF(OR(V1840="",AG1840&gt;=8),"",IF(V1840&lt;TODAY(),"Vencida",IF(V1840=TODAY(),"Hoy","")))</f>
        <v/>
      </c>
      <c r="X1840" s="36" t="str">
        <f aca="false">IF(A1840="","",IF(COUNTIF(Seguimiento!$B$2:$B$5001,A1840)=0,"",_xlfn.MAXIFS(Seguimiento!$A$2:$A$5001,Seguimiento!$B$2:$B$5001,A1840)))</f>
        <v/>
      </c>
      <c r="Y1840" s="37" t="str">
        <f aca="true">IF(B1840="","",TODAY()-B1840)</f>
        <v/>
      </c>
      <c r="Z1840" s="38" t="str">
        <f aca="false">IF(OR(O1840="",G1840=""),"",O1840*IFERROR(INDEX(Listas!$B$2:$B$50,MATCH(G1840,Listas!$A$2:$A$50,0)),0))</f>
        <v/>
      </c>
      <c r="AA1840" s="32"/>
      <c r="AB1840" s="32"/>
      <c r="AC1840" s="32"/>
      <c r="AD1840" s="35" t="str">
        <f aca="false">IF(OR(LEFT(H1840,4)="Meta",LEFT(H1840,6)="Google"),IF(AG1840=3,"Lead calificado",IF(OR(AG1840=4,AG1840=5),"Tasación/visita",IF(OR(AG1840=6,AG1840=7),"Captación/oferta",IF(AG1840=8,"Cierre","")))),"")</f>
        <v/>
      </c>
      <c r="AE1840" s="32"/>
      <c r="AF1840" s="32"/>
      <c r="AG1840" s="37" t="n">
        <f aca="false">IF(R1840="",0,IFERROR(MATCH(R1840,Listas!$L$2:$L$50,0),0))</f>
        <v>0</v>
      </c>
    </row>
    <row r="1841" customFormat="false" ht="15" hidden="false" customHeight="false" outlineLevel="0" collapsed="false">
      <c r="A1841" s="30"/>
      <c r="B1841" s="31"/>
      <c r="C1841" s="32"/>
      <c r="D1841" s="32"/>
      <c r="E1841" s="33"/>
      <c r="F1841" s="32"/>
      <c r="G1841" s="32"/>
      <c r="H1841" s="32"/>
      <c r="I1841" s="32"/>
      <c r="J1841" s="32"/>
      <c r="K1841" s="32"/>
      <c r="L1841" s="32"/>
      <c r="M1841" s="30"/>
      <c r="N1841" s="32"/>
      <c r="O1841" s="34"/>
      <c r="P1841" s="32"/>
      <c r="Q1841" s="32"/>
      <c r="R1841" s="32"/>
      <c r="S1841" s="32"/>
      <c r="T1841" s="32"/>
      <c r="U1841" s="32"/>
      <c r="V1841" s="31"/>
      <c r="W1841" s="35" t="str">
        <f aca="true">IF(OR(V1841="",AG1841&gt;=8),"",IF(V1841&lt;TODAY(),"Vencida",IF(V1841=TODAY(),"Hoy","")))</f>
        <v/>
      </c>
      <c r="X1841" s="36" t="str">
        <f aca="false">IF(A1841="","",IF(COUNTIF(Seguimiento!$B$2:$B$5001,A1841)=0,"",_xlfn.MAXIFS(Seguimiento!$A$2:$A$5001,Seguimiento!$B$2:$B$5001,A1841)))</f>
        <v/>
      </c>
      <c r="Y1841" s="37" t="str">
        <f aca="true">IF(B1841="","",TODAY()-B1841)</f>
        <v/>
      </c>
      <c r="Z1841" s="38" t="str">
        <f aca="false">IF(OR(O1841="",G1841=""),"",O1841*IFERROR(INDEX(Listas!$B$2:$B$50,MATCH(G1841,Listas!$A$2:$A$50,0)),0))</f>
        <v/>
      </c>
      <c r="AA1841" s="32"/>
      <c r="AB1841" s="32"/>
      <c r="AC1841" s="32"/>
      <c r="AD1841" s="35" t="str">
        <f aca="false">IF(OR(LEFT(H1841,4)="Meta",LEFT(H1841,6)="Google"),IF(AG1841=3,"Lead calificado",IF(OR(AG1841=4,AG1841=5),"Tasación/visita",IF(OR(AG1841=6,AG1841=7),"Captación/oferta",IF(AG1841=8,"Cierre","")))),"")</f>
        <v/>
      </c>
      <c r="AE1841" s="32"/>
      <c r="AF1841" s="32"/>
      <c r="AG1841" s="37" t="n">
        <f aca="false">IF(R1841="",0,IFERROR(MATCH(R1841,Listas!$L$2:$L$50,0),0))</f>
        <v>0</v>
      </c>
    </row>
    <row r="1842" customFormat="false" ht="15" hidden="false" customHeight="false" outlineLevel="0" collapsed="false">
      <c r="A1842" s="30"/>
      <c r="B1842" s="31"/>
      <c r="C1842" s="32"/>
      <c r="D1842" s="32"/>
      <c r="E1842" s="33"/>
      <c r="F1842" s="32"/>
      <c r="G1842" s="32"/>
      <c r="H1842" s="32"/>
      <c r="I1842" s="32"/>
      <c r="J1842" s="32"/>
      <c r="K1842" s="32"/>
      <c r="L1842" s="32"/>
      <c r="M1842" s="30"/>
      <c r="N1842" s="32"/>
      <c r="O1842" s="34"/>
      <c r="P1842" s="32"/>
      <c r="Q1842" s="32"/>
      <c r="R1842" s="32"/>
      <c r="S1842" s="32"/>
      <c r="T1842" s="32"/>
      <c r="U1842" s="32"/>
      <c r="V1842" s="31"/>
      <c r="W1842" s="35" t="str">
        <f aca="true">IF(OR(V1842="",AG1842&gt;=8),"",IF(V1842&lt;TODAY(),"Vencida",IF(V1842=TODAY(),"Hoy","")))</f>
        <v/>
      </c>
      <c r="X1842" s="36" t="str">
        <f aca="false">IF(A1842="","",IF(COUNTIF(Seguimiento!$B$2:$B$5001,A1842)=0,"",_xlfn.MAXIFS(Seguimiento!$A$2:$A$5001,Seguimiento!$B$2:$B$5001,A1842)))</f>
        <v/>
      </c>
      <c r="Y1842" s="37" t="str">
        <f aca="true">IF(B1842="","",TODAY()-B1842)</f>
        <v/>
      </c>
      <c r="Z1842" s="38" t="str">
        <f aca="false">IF(OR(O1842="",G1842=""),"",O1842*IFERROR(INDEX(Listas!$B$2:$B$50,MATCH(G1842,Listas!$A$2:$A$50,0)),0))</f>
        <v/>
      </c>
      <c r="AA1842" s="32"/>
      <c r="AB1842" s="32"/>
      <c r="AC1842" s="32"/>
      <c r="AD1842" s="35" t="str">
        <f aca="false">IF(OR(LEFT(H1842,4)="Meta",LEFT(H1842,6)="Google"),IF(AG1842=3,"Lead calificado",IF(OR(AG1842=4,AG1842=5),"Tasación/visita",IF(OR(AG1842=6,AG1842=7),"Captación/oferta",IF(AG1842=8,"Cierre","")))),"")</f>
        <v/>
      </c>
      <c r="AE1842" s="32"/>
      <c r="AF1842" s="32"/>
      <c r="AG1842" s="37" t="n">
        <f aca="false">IF(R1842="",0,IFERROR(MATCH(R1842,Listas!$L$2:$L$50,0),0))</f>
        <v>0</v>
      </c>
    </row>
    <row r="1843" customFormat="false" ht="15" hidden="false" customHeight="false" outlineLevel="0" collapsed="false">
      <c r="A1843" s="30"/>
      <c r="B1843" s="31"/>
      <c r="C1843" s="32"/>
      <c r="D1843" s="32"/>
      <c r="E1843" s="33"/>
      <c r="F1843" s="32"/>
      <c r="G1843" s="32"/>
      <c r="H1843" s="32"/>
      <c r="I1843" s="32"/>
      <c r="J1843" s="32"/>
      <c r="K1843" s="32"/>
      <c r="L1843" s="32"/>
      <c r="M1843" s="30"/>
      <c r="N1843" s="32"/>
      <c r="O1843" s="34"/>
      <c r="P1843" s="32"/>
      <c r="Q1843" s="32"/>
      <c r="R1843" s="32"/>
      <c r="S1843" s="32"/>
      <c r="T1843" s="32"/>
      <c r="U1843" s="32"/>
      <c r="V1843" s="31"/>
      <c r="W1843" s="35" t="str">
        <f aca="true">IF(OR(V1843="",AG1843&gt;=8),"",IF(V1843&lt;TODAY(),"Vencida",IF(V1843=TODAY(),"Hoy","")))</f>
        <v/>
      </c>
      <c r="X1843" s="36" t="str">
        <f aca="false">IF(A1843="","",IF(COUNTIF(Seguimiento!$B$2:$B$5001,A1843)=0,"",_xlfn.MAXIFS(Seguimiento!$A$2:$A$5001,Seguimiento!$B$2:$B$5001,A1843)))</f>
        <v/>
      </c>
      <c r="Y1843" s="37" t="str">
        <f aca="true">IF(B1843="","",TODAY()-B1843)</f>
        <v/>
      </c>
      <c r="Z1843" s="38" t="str">
        <f aca="false">IF(OR(O1843="",G1843=""),"",O1843*IFERROR(INDEX(Listas!$B$2:$B$50,MATCH(G1843,Listas!$A$2:$A$50,0)),0))</f>
        <v/>
      </c>
      <c r="AA1843" s="32"/>
      <c r="AB1843" s="32"/>
      <c r="AC1843" s="32"/>
      <c r="AD1843" s="35" t="str">
        <f aca="false">IF(OR(LEFT(H1843,4)="Meta",LEFT(H1843,6)="Google"),IF(AG1843=3,"Lead calificado",IF(OR(AG1843=4,AG1843=5),"Tasación/visita",IF(OR(AG1843=6,AG1843=7),"Captación/oferta",IF(AG1843=8,"Cierre","")))),"")</f>
        <v/>
      </c>
      <c r="AE1843" s="32"/>
      <c r="AF1843" s="32"/>
      <c r="AG1843" s="37" t="n">
        <f aca="false">IF(R1843="",0,IFERROR(MATCH(R1843,Listas!$L$2:$L$50,0),0))</f>
        <v>0</v>
      </c>
    </row>
    <row r="1844" customFormat="false" ht="15" hidden="false" customHeight="false" outlineLevel="0" collapsed="false">
      <c r="A1844" s="30"/>
      <c r="B1844" s="31"/>
      <c r="C1844" s="32"/>
      <c r="D1844" s="32"/>
      <c r="E1844" s="33"/>
      <c r="F1844" s="32"/>
      <c r="G1844" s="32"/>
      <c r="H1844" s="32"/>
      <c r="I1844" s="32"/>
      <c r="J1844" s="32"/>
      <c r="K1844" s="32"/>
      <c r="L1844" s="32"/>
      <c r="M1844" s="30"/>
      <c r="N1844" s="32"/>
      <c r="O1844" s="34"/>
      <c r="P1844" s="32"/>
      <c r="Q1844" s="32"/>
      <c r="R1844" s="32"/>
      <c r="S1844" s="32"/>
      <c r="T1844" s="32"/>
      <c r="U1844" s="32"/>
      <c r="V1844" s="31"/>
      <c r="W1844" s="35" t="str">
        <f aca="true">IF(OR(V1844="",AG1844&gt;=8),"",IF(V1844&lt;TODAY(),"Vencida",IF(V1844=TODAY(),"Hoy","")))</f>
        <v/>
      </c>
      <c r="X1844" s="36" t="str">
        <f aca="false">IF(A1844="","",IF(COUNTIF(Seguimiento!$B$2:$B$5001,A1844)=0,"",_xlfn.MAXIFS(Seguimiento!$A$2:$A$5001,Seguimiento!$B$2:$B$5001,A1844)))</f>
        <v/>
      </c>
      <c r="Y1844" s="37" t="str">
        <f aca="true">IF(B1844="","",TODAY()-B1844)</f>
        <v/>
      </c>
      <c r="Z1844" s="38" t="str">
        <f aca="false">IF(OR(O1844="",G1844=""),"",O1844*IFERROR(INDEX(Listas!$B$2:$B$50,MATCH(G1844,Listas!$A$2:$A$50,0)),0))</f>
        <v/>
      </c>
      <c r="AA1844" s="32"/>
      <c r="AB1844" s="32"/>
      <c r="AC1844" s="32"/>
      <c r="AD1844" s="35" t="str">
        <f aca="false">IF(OR(LEFT(H1844,4)="Meta",LEFT(H1844,6)="Google"),IF(AG1844=3,"Lead calificado",IF(OR(AG1844=4,AG1844=5),"Tasación/visita",IF(OR(AG1844=6,AG1844=7),"Captación/oferta",IF(AG1844=8,"Cierre","")))),"")</f>
        <v/>
      </c>
      <c r="AE1844" s="32"/>
      <c r="AF1844" s="32"/>
      <c r="AG1844" s="37" t="n">
        <f aca="false">IF(R1844="",0,IFERROR(MATCH(R1844,Listas!$L$2:$L$50,0),0))</f>
        <v>0</v>
      </c>
    </row>
    <row r="1845" customFormat="false" ht="15" hidden="false" customHeight="false" outlineLevel="0" collapsed="false">
      <c r="A1845" s="30"/>
      <c r="B1845" s="31"/>
      <c r="C1845" s="32"/>
      <c r="D1845" s="32"/>
      <c r="E1845" s="33"/>
      <c r="F1845" s="32"/>
      <c r="G1845" s="32"/>
      <c r="H1845" s="32"/>
      <c r="I1845" s="32"/>
      <c r="J1845" s="32"/>
      <c r="K1845" s="32"/>
      <c r="L1845" s="32"/>
      <c r="M1845" s="30"/>
      <c r="N1845" s="32"/>
      <c r="O1845" s="34"/>
      <c r="P1845" s="32"/>
      <c r="Q1845" s="32"/>
      <c r="R1845" s="32"/>
      <c r="S1845" s="32"/>
      <c r="T1845" s="32"/>
      <c r="U1845" s="32"/>
      <c r="V1845" s="31"/>
      <c r="W1845" s="35" t="str">
        <f aca="true">IF(OR(V1845="",AG1845&gt;=8),"",IF(V1845&lt;TODAY(),"Vencida",IF(V1845=TODAY(),"Hoy","")))</f>
        <v/>
      </c>
      <c r="X1845" s="36" t="str">
        <f aca="false">IF(A1845="","",IF(COUNTIF(Seguimiento!$B$2:$B$5001,A1845)=0,"",_xlfn.MAXIFS(Seguimiento!$A$2:$A$5001,Seguimiento!$B$2:$B$5001,A1845)))</f>
        <v/>
      </c>
      <c r="Y1845" s="37" t="str">
        <f aca="true">IF(B1845="","",TODAY()-B1845)</f>
        <v/>
      </c>
      <c r="Z1845" s="38" t="str">
        <f aca="false">IF(OR(O1845="",G1845=""),"",O1845*IFERROR(INDEX(Listas!$B$2:$B$50,MATCH(G1845,Listas!$A$2:$A$50,0)),0))</f>
        <v/>
      </c>
      <c r="AA1845" s="32"/>
      <c r="AB1845" s="32"/>
      <c r="AC1845" s="32"/>
      <c r="AD1845" s="35" t="str">
        <f aca="false">IF(OR(LEFT(H1845,4)="Meta",LEFT(H1845,6)="Google"),IF(AG1845=3,"Lead calificado",IF(OR(AG1845=4,AG1845=5),"Tasación/visita",IF(OR(AG1845=6,AG1845=7),"Captación/oferta",IF(AG1845=8,"Cierre","")))),"")</f>
        <v/>
      </c>
      <c r="AE1845" s="32"/>
      <c r="AF1845" s="32"/>
      <c r="AG1845" s="37" t="n">
        <f aca="false">IF(R1845="",0,IFERROR(MATCH(R1845,Listas!$L$2:$L$50,0),0))</f>
        <v>0</v>
      </c>
    </row>
    <row r="1846" customFormat="false" ht="15" hidden="false" customHeight="false" outlineLevel="0" collapsed="false">
      <c r="A1846" s="30"/>
      <c r="B1846" s="31"/>
      <c r="C1846" s="32"/>
      <c r="D1846" s="32"/>
      <c r="E1846" s="33"/>
      <c r="F1846" s="32"/>
      <c r="G1846" s="32"/>
      <c r="H1846" s="32"/>
      <c r="I1846" s="32"/>
      <c r="J1846" s="32"/>
      <c r="K1846" s="32"/>
      <c r="L1846" s="32"/>
      <c r="M1846" s="30"/>
      <c r="N1846" s="32"/>
      <c r="O1846" s="34"/>
      <c r="P1846" s="32"/>
      <c r="Q1846" s="32"/>
      <c r="R1846" s="32"/>
      <c r="S1846" s="32"/>
      <c r="T1846" s="32"/>
      <c r="U1846" s="32"/>
      <c r="V1846" s="31"/>
      <c r="W1846" s="35" t="str">
        <f aca="true">IF(OR(V1846="",AG1846&gt;=8),"",IF(V1846&lt;TODAY(),"Vencida",IF(V1846=TODAY(),"Hoy","")))</f>
        <v/>
      </c>
      <c r="X1846" s="36" t="str">
        <f aca="false">IF(A1846="","",IF(COUNTIF(Seguimiento!$B$2:$B$5001,A1846)=0,"",_xlfn.MAXIFS(Seguimiento!$A$2:$A$5001,Seguimiento!$B$2:$B$5001,A1846)))</f>
        <v/>
      </c>
      <c r="Y1846" s="37" t="str">
        <f aca="true">IF(B1846="","",TODAY()-B1846)</f>
        <v/>
      </c>
      <c r="Z1846" s="38" t="str">
        <f aca="false">IF(OR(O1846="",G1846=""),"",O1846*IFERROR(INDEX(Listas!$B$2:$B$50,MATCH(G1846,Listas!$A$2:$A$50,0)),0))</f>
        <v/>
      </c>
      <c r="AA1846" s="32"/>
      <c r="AB1846" s="32"/>
      <c r="AC1846" s="32"/>
      <c r="AD1846" s="35" t="str">
        <f aca="false">IF(OR(LEFT(H1846,4)="Meta",LEFT(H1846,6)="Google"),IF(AG1846=3,"Lead calificado",IF(OR(AG1846=4,AG1846=5),"Tasación/visita",IF(OR(AG1846=6,AG1846=7),"Captación/oferta",IF(AG1846=8,"Cierre","")))),"")</f>
        <v/>
      </c>
      <c r="AE1846" s="32"/>
      <c r="AF1846" s="32"/>
      <c r="AG1846" s="37" t="n">
        <f aca="false">IF(R1846="",0,IFERROR(MATCH(R1846,Listas!$L$2:$L$50,0),0))</f>
        <v>0</v>
      </c>
    </row>
    <row r="1847" customFormat="false" ht="15" hidden="false" customHeight="false" outlineLevel="0" collapsed="false">
      <c r="A1847" s="30"/>
      <c r="B1847" s="31"/>
      <c r="C1847" s="32"/>
      <c r="D1847" s="32"/>
      <c r="E1847" s="33"/>
      <c r="F1847" s="32"/>
      <c r="G1847" s="32"/>
      <c r="H1847" s="32"/>
      <c r="I1847" s="32"/>
      <c r="J1847" s="32"/>
      <c r="K1847" s="32"/>
      <c r="L1847" s="32"/>
      <c r="M1847" s="30"/>
      <c r="N1847" s="32"/>
      <c r="O1847" s="34"/>
      <c r="P1847" s="32"/>
      <c r="Q1847" s="32"/>
      <c r="R1847" s="32"/>
      <c r="S1847" s="32"/>
      <c r="T1847" s="32"/>
      <c r="U1847" s="32"/>
      <c r="V1847" s="31"/>
      <c r="W1847" s="35" t="str">
        <f aca="true">IF(OR(V1847="",AG1847&gt;=8),"",IF(V1847&lt;TODAY(),"Vencida",IF(V1847=TODAY(),"Hoy","")))</f>
        <v/>
      </c>
      <c r="X1847" s="36" t="str">
        <f aca="false">IF(A1847="","",IF(COUNTIF(Seguimiento!$B$2:$B$5001,A1847)=0,"",_xlfn.MAXIFS(Seguimiento!$A$2:$A$5001,Seguimiento!$B$2:$B$5001,A1847)))</f>
        <v/>
      </c>
      <c r="Y1847" s="37" t="str">
        <f aca="true">IF(B1847="","",TODAY()-B1847)</f>
        <v/>
      </c>
      <c r="Z1847" s="38" t="str">
        <f aca="false">IF(OR(O1847="",G1847=""),"",O1847*IFERROR(INDEX(Listas!$B$2:$B$50,MATCH(G1847,Listas!$A$2:$A$50,0)),0))</f>
        <v/>
      </c>
      <c r="AA1847" s="32"/>
      <c r="AB1847" s="32"/>
      <c r="AC1847" s="32"/>
      <c r="AD1847" s="35" t="str">
        <f aca="false">IF(OR(LEFT(H1847,4)="Meta",LEFT(H1847,6)="Google"),IF(AG1847=3,"Lead calificado",IF(OR(AG1847=4,AG1847=5),"Tasación/visita",IF(OR(AG1847=6,AG1847=7),"Captación/oferta",IF(AG1847=8,"Cierre","")))),"")</f>
        <v/>
      </c>
      <c r="AE1847" s="32"/>
      <c r="AF1847" s="32"/>
      <c r="AG1847" s="37" t="n">
        <f aca="false">IF(R1847="",0,IFERROR(MATCH(R1847,Listas!$L$2:$L$50,0),0))</f>
        <v>0</v>
      </c>
    </row>
    <row r="1848" customFormat="false" ht="15" hidden="false" customHeight="false" outlineLevel="0" collapsed="false">
      <c r="A1848" s="30"/>
      <c r="B1848" s="31"/>
      <c r="C1848" s="32"/>
      <c r="D1848" s="32"/>
      <c r="E1848" s="33"/>
      <c r="F1848" s="32"/>
      <c r="G1848" s="32"/>
      <c r="H1848" s="32"/>
      <c r="I1848" s="32"/>
      <c r="J1848" s="32"/>
      <c r="K1848" s="32"/>
      <c r="L1848" s="32"/>
      <c r="M1848" s="30"/>
      <c r="N1848" s="32"/>
      <c r="O1848" s="34"/>
      <c r="P1848" s="32"/>
      <c r="Q1848" s="32"/>
      <c r="R1848" s="32"/>
      <c r="S1848" s="32"/>
      <c r="T1848" s="32"/>
      <c r="U1848" s="32"/>
      <c r="V1848" s="31"/>
      <c r="W1848" s="35" t="str">
        <f aca="true">IF(OR(V1848="",AG1848&gt;=8),"",IF(V1848&lt;TODAY(),"Vencida",IF(V1848=TODAY(),"Hoy","")))</f>
        <v/>
      </c>
      <c r="X1848" s="36" t="str">
        <f aca="false">IF(A1848="","",IF(COUNTIF(Seguimiento!$B$2:$B$5001,A1848)=0,"",_xlfn.MAXIFS(Seguimiento!$A$2:$A$5001,Seguimiento!$B$2:$B$5001,A1848)))</f>
        <v/>
      </c>
      <c r="Y1848" s="37" t="str">
        <f aca="true">IF(B1848="","",TODAY()-B1848)</f>
        <v/>
      </c>
      <c r="Z1848" s="38" t="str">
        <f aca="false">IF(OR(O1848="",G1848=""),"",O1848*IFERROR(INDEX(Listas!$B$2:$B$50,MATCH(G1848,Listas!$A$2:$A$50,0)),0))</f>
        <v/>
      </c>
      <c r="AA1848" s="32"/>
      <c r="AB1848" s="32"/>
      <c r="AC1848" s="32"/>
      <c r="AD1848" s="35" t="str">
        <f aca="false">IF(OR(LEFT(H1848,4)="Meta",LEFT(H1848,6)="Google"),IF(AG1848=3,"Lead calificado",IF(OR(AG1848=4,AG1848=5),"Tasación/visita",IF(OR(AG1848=6,AG1848=7),"Captación/oferta",IF(AG1848=8,"Cierre","")))),"")</f>
        <v/>
      </c>
      <c r="AE1848" s="32"/>
      <c r="AF1848" s="32"/>
      <c r="AG1848" s="37" t="n">
        <f aca="false">IF(R1848="",0,IFERROR(MATCH(R1848,Listas!$L$2:$L$50,0),0))</f>
        <v>0</v>
      </c>
    </row>
    <row r="1849" customFormat="false" ht="15" hidden="false" customHeight="false" outlineLevel="0" collapsed="false">
      <c r="A1849" s="30"/>
      <c r="B1849" s="31"/>
      <c r="C1849" s="32"/>
      <c r="D1849" s="32"/>
      <c r="E1849" s="33"/>
      <c r="F1849" s="32"/>
      <c r="G1849" s="32"/>
      <c r="H1849" s="32"/>
      <c r="I1849" s="32"/>
      <c r="J1849" s="32"/>
      <c r="K1849" s="32"/>
      <c r="L1849" s="32"/>
      <c r="M1849" s="30"/>
      <c r="N1849" s="32"/>
      <c r="O1849" s="34"/>
      <c r="P1849" s="32"/>
      <c r="Q1849" s="32"/>
      <c r="R1849" s="32"/>
      <c r="S1849" s="32"/>
      <c r="T1849" s="32"/>
      <c r="U1849" s="32"/>
      <c r="V1849" s="31"/>
      <c r="W1849" s="35" t="str">
        <f aca="true">IF(OR(V1849="",AG1849&gt;=8),"",IF(V1849&lt;TODAY(),"Vencida",IF(V1849=TODAY(),"Hoy","")))</f>
        <v/>
      </c>
      <c r="X1849" s="36" t="str">
        <f aca="false">IF(A1849="","",IF(COUNTIF(Seguimiento!$B$2:$B$5001,A1849)=0,"",_xlfn.MAXIFS(Seguimiento!$A$2:$A$5001,Seguimiento!$B$2:$B$5001,A1849)))</f>
        <v/>
      </c>
      <c r="Y1849" s="37" t="str">
        <f aca="true">IF(B1849="","",TODAY()-B1849)</f>
        <v/>
      </c>
      <c r="Z1849" s="38" t="str">
        <f aca="false">IF(OR(O1849="",G1849=""),"",O1849*IFERROR(INDEX(Listas!$B$2:$B$50,MATCH(G1849,Listas!$A$2:$A$50,0)),0))</f>
        <v/>
      </c>
      <c r="AA1849" s="32"/>
      <c r="AB1849" s="32"/>
      <c r="AC1849" s="32"/>
      <c r="AD1849" s="35" t="str">
        <f aca="false">IF(OR(LEFT(H1849,4)="Meta",LEFT(H1849,6)="Google"),IF(AG1849=3,"Lead calificado",IF(OR(AG1849=4,AG1849=5),"Tasación/visita",IF(OR(AG1849=6,AG1849=7),"Captación/oferta",IF(AG1849=8,"Cierre","")))),"")</f>
        <v/>
      </c>
      <c r="AE1849" s="32"/>
      <c r="AF1849" s="32"/>
      <c r="AG1849" s="37" t="n">
        <f aca="false">IF(R1849="",0,IFERROR(MATCH(R1849,Listas!$L$2:$L$50,0),0))</f>
        <v>0</v>
      </c>
    </row>
    <row r="1850" customFormat="false" ht="15" hidden="false" customHeight="false" outlineLevel="0" collapsed="false">
      <c r="A1850" s="30"/>
      <c r="B1850" s="31"/>
      <c r="C1850" s="32"/>
      <c r="D1850" s="32"/>
      <c r="E1850" s="33"/>
      <c r="F1850" s="32"/>
      <c r="G1850" s="32"/>
      <c r="H1850" s="32"/>
      <c r="I1850" s="32"/>
      <c r="J1850" s="32"/>
      <c r="K1850" s="32"/>
      <c r="L1850" s="32"/>
      <c r="M1850" s="30"/>
      <c r="N1850" s="32"/>
      <c r="O1850" s="34"/>
      <c r="P1850" s="32"/>
      <c r="Q1850" s="32"/>
      <c r="R1850" s="32"/>
      <c r="S1850" s="32"/>
      <c r="T1850" s="32"/>
      <c r="U1850" s="32"/>
      <c r="V1850" s="31"/>
      <c r="W1850" s="35" t="str">
        <f aca="true">IF(OR(V1850="",AG1850&gt;=8),"",IF(V1850&lt;TODAY(),"Vencida",IF(V1850=TODAY(),"Hoy","")))</f>
        <v/>
      </c>
      <c r="X1850" s="36" t="str">
        <f aca="false">IF(A1850="","",IF(COUNTIF(Seguimiento!$B$2:$B$5001,A1850)=0,"",_xlfn.MAXIFS(Seguimiento!$A$2:$A$5001,Seguimiento!$B$2:$B$5001,A1850)))</f>
        <v/>
      </c>
      <c r="Y1850" s="37" t="str">
        <f aca="true">IF(B1850="","",TODAY()-B1850)</f>
        <v/>
      </c>
      <c r="Z1850" s="38" t="str">
        <f aca="false">IF(OR(O1850="",G1850=""),"",O1850*IFERROR(INDEX(Listas!$B$2:$B$50,MATCH(G1850,Listas!$A$2:$A$50,0)),0))</f>
        <v/>
      </c>
      <c r="AA1850" s="32"/>
      <c r="AB1850" s="32"/>
      <c r="AC1850" s="32"/>
      <c r="AD1850" s="35" t="str">
        <f aca="false">IF(OR(LEFT(H1850,4)="Meta",LEFT(H1850,6)="Google"),IF(AG1850=3,"Lead calificado",IF(OR(AG1850=4,AG1850=5),"Tasación/visita",IF(OR(AG1850=6,AG1850=7),"Captación/oferta",IF(AG1850=8,"Cierre","")))),"")</f>
        <v/>
      </c>
      <c r="AE1850" s="32"/>
      <c r="AF1850" s="32"/>
      <c r="AG1850" s="37" t="n">
        <f aca="false">IF(R1850="",0,IFERROR(MATCH(R1850,Listas!$L$2:$L$50,0),0))</f>
        <v>0</v>
      </c>
    </row>
    <row r="1851" customFormat="false" ht="15" hidden="false" customHeight="false" outlineLevel="0" collapsed="false">
      <c r="A1851" s="30"/>
      <c r="B1851" s="31"/>
      <c r="C1851" s="32"/>
      <c r="D1851" s="32"/>
      <c r="E1851" s="33"/>
      <c r="F1851" s="32"/>
      <c r="G1851" s="32"/>
      <c r="H1851" s="32"/>
      <c r="I1851" s="32"/>
      <c r="J1851" s="32"/>
      <c r="K1851" s="32"/>
      <c r="L1851" s="32"/>
      <c r="M1851" s="30"/>
      <c r="N1851" s="32"/>
      <c r="O1851" s="34"/>
      <c r="P1851" s="32"/>
      <c r="Q1851" s="32"/>
      <c r="R1851" s="32"/>
      <c r="S1851" s="32"/>
      <c r="T1851" s="32"/>
      <c r="U1851" s="32"/>
      <c r="V1851" s="31"/>
      <c r="W1851" s="35" t="str">
        <f aca="true">IF(OR(V1851="",AG1851&gt;=8),"",IF(V1851&lt;TODAY(),"Vencida",IF(V1851=TODAY(),"Hoy","")))</f>
        <v/>
      </c>
      <c r="X1851" s="36" t="str">
        <f aca="false">IF(A1851="","",IF(COUNTIF(Seguimiento!$B$2:$B$5001,A1851)=0,"",_xlfn.MAXIFS(Seguimiento!$A$2:$A$5001,Seguimiento!$B$2:$B$5001,A1851)))</f>
        <v/>
      </c>
      <c r="Y1851" s="37" t="str">
        <f aca="true">IF(B1851="","",TODAY()-B1851)</f>
        <v/>
      </c>
      <c r="Z1851" s="38" t="str">
        <f aca="false">IF(OR(O1851="",G1851=""),"",O1851*IFERROR(INDEX(Listas!$B$2:$B$50,MATCH(G1851,Listas!$A$2:$A$50,0)),0))</f>
        <v/>
      </c>
      <c r="AA1851" s="32"/>
      <c r="AB1851" s="32"/>
      <c r="AC1851" s="32"/>
      <c r="AD1851" s="35" t="str">
        <f aca="false">IF(OR(LEFT(H1851,4)="Meta",LEFT(H1851,6)="Google"),IF(AG1851=3,"Lead calificado",IF(OR(AG1851=4,AG1851=5),"Tasación/visita",IF(OR(AG1851=6,AG1851=7),"Captación/oferta",IF(AG1851=8,"Cierre","")))),"")</f>
        <v/>
      </c>
      <c r="AE1851" s="32"/>
      <c r="AF1851" s="32"/>
      <c r="AG1851" s="37" t="n">
        <f aca="false">IF(R1851="",0,IFERROR(MATCH(R1851,Listas!$L$2:$L$50,0),0))</f>
        <v>0</v>
      </c>
    </row>
    <row r="1852" customFormat="false" ht="15" hidden="false" customHeight="false" outlineLevel="0" collapsed="false">
      <c r="A1852" s="30"/>
      <c r="B1852" s="31"/>
      <c r="C1852" s="32"/>
      <c r="D1852" s="32"/>
      <c r="E1852" s="33"/>
      <c r="F1852" s="32"/>
      <c r="G1852" s="32"/>
      <c r="H1852" s="32"/>
      <c r="I1852" s="32"/>
      <c r="J1852" s="32"/>
      <c r="K1852" s="32"/>
      <c r="L1852" s="32"/>
      <c r="M1852" s="30"/>
      <c r="N1852" s="32"/>
      <c r="O1852" s="34"/>
      <c r="P1852" s="32"/>
      <c r="Q1852" s="32"/>
      <c r="R1852" s="32"/>
      <c r="S1852" s="32"/>
      <c r="T1852" s="32"/>
      <c r="U1852" s="32"/>
      <c r="V1852" s="31"/>
      <c r="W1852" s="35" t="str">
        <f aca="true">IF(OR(V1852="",AG1852&gt;=8),"",IF(V1852&lt;TODAY(),"Vencida",IF(V1852=TODAY(),"Hoy","")))</f>
        <v/>
      </c>
      <c r="X1852" s="36" t="str">
        <f aca="false">IF(A1852="","",IF(COUNTIF(Seguimiento!$B$2:$B$5001,A1852)=0,"",_xlfn.MAXIFS(Seguimiento!$A$2:$A$5001,Seguimiento!$B$2:$B$5001,A1852)))</f>
        <v/>
      </c>
      <c r="Y1852" s="37" t="str">
        <f aca="true">IF(B1852="","",TODAY()-B1852)</f>
        <v/>
      </c>
      <c r="Z1852" s="38" t="str">
        <f aca="false">IF(OR(O1852="",G1852=""),"",O1852*IFERROR(INDEX(Listas!$B$2:$B$50,MATCH(G1852,Listas!$A$2:$A$50,0)),0))</f>
        <v/>
      </c>
      <c r="AA1852" s="32"/>
      <c r="AB1852" s="32"/>
      <c r="AC1852" s="32"/>
      <c r="AD1852" s="35" t="str">
        <f aca="false">IF(OR(LEFT(H1852,4)="Meta",LEFT(H1852,6)="Google"),IF(AG1852=3,"Lead calificado",IF(OR(AG1852=4,AG1852=5),"Tasación/visita",IF(OR(AG1852=6,AG1852=7),"Captación/oferta",IF(AG1852=8,"Cierre","")))),"")</f>
        <v/>
      </c>
      <c r="AE1852" s="32"/>
      <c r="AF1852" s="32"/>
      <c r="AG1852" s="37" t="n">
        <f aca="false">IF(R1852="",0,IFERROR(MATCH(R1852,Listas!$L$2:$L$50,0),0))</f>
        <v>0</v>
      </c>
    </row>
    <row r="1853" customFormat="false" ht="15" hidden="false" customHeight="false" outlineLevel="0" collapsed="false">
      <c r="A1853" s="30"/>
      <c r="B1853" s="31"/>
      <c r="C1853" s="32"/>
      <c r="D1853" s="32"/>
      <c r="E1853" s="33"/>
      <c r="F1853" s="32"/>
      <c r="G1853" s="32"/>
      <c r="H1853" s="32"/>
      <c r="I1853" s="32"/>
      <c r="J1853" s="32"/>
      <c r="K1853" s="32"/>
      <c r="L1853" s="32"/>
      <c r="M1853" s="30"/>
      <c r="N1853" s="32"/>
      <c r="O1853" s="34"/>
      <c r="P1853" s="32"/>
      <c r="Q1853" s="32"/>
      <c r="R1853" s="32"/>
      <c r="S1853" s="32"/>
      <c r="T1853" s="32"/>
      <c r="U1853" s="32"/>
      <c r="V1853" s="31"/>
      <c r="W1853" s="35" t="str">
        <f aca="true">IF(OR(V1853="",AG1853&gt;=8),"",IF(V1853&lt;TODAY(),"Vencida",IF(V1853=TODAY(),"Hoy","")))</f>
        <v/>
      </c>
      <c r="X1853" s="36" t="str">
        <f aca="false">IF(A1853="","",IF(COUNTIF(Seguimiento!$B$2:$B$5001,A1853)=0,"",_xlfn.MAXIFS(Seguimiento!$A$2:$A$5001,Seguimiento!$B$2:$B$5001,A1853)))</f>
        <v/>
      </c>
      <c r="Y1853" s="37" t="str">
        <f aca="true">IF(B1853="","",TODAY()-B1853)</f>
        <v/>
      </c>
      <c r="Z1853" s="38" t="str">
        <f aca="false">IF(OR(O1853="",G1853=""),"",O1853*IFERROR(INDEX(Listas!$B$2:$B$50,MATCH(G1853,Listas!$A$2:$A$50,0)),0))</f>
        <v/>
      </c>
      <c r="AA1853" s="32"/>
      <c r="AB1853" s="32"/>
      <c r="AC1853" s="32"/>
      <c r="AD1853" s="35" t="str">
        <f aca="false">IF(OR(LEFT(H1853,4)="Meta",LEFT(H1853,6)="Google"),IF(AG1853=3,"Lead calificado",IF(OR(AG1853=4,AG1853=5),"Tasación/visita",IF(OR(AG1853=6,AG1853=7),"Captación/oferta",IF(AG1853=8,"Cierre","")))),"")</f>
        <v/>
      </c>
      <c r="AE1853" s="32"/>
      <c r="AF1853" s="32"/>
      <c r="AG1853" s="37" t="n">
        <f aca="false">IF(R1853="",0,IFERROR(MATCH(R1853,Listas!$L$2:$L$50,0),0))</f>
        <v>0</v>
      </c>
    </row>
    <row r="1854" customFormat="false" ht="15" hidden="false" customHeight="false" outlineLevel="0" collapsed="false">
      <c r="A1854" s="30"/>
      <c r="B1854" s="31"/>
      <c r="C1854" s="32"/>
      <c r="D1854" s="32"/>
      <c r="E1854" s="33"/>
      <c r="F1854" s="32"/>
      <c r="G1854" s="32"/>
      <c r="H1854" s="32"/>
      <c r="I1854" s="32"/>
      <c r="J1854" s="32"/>
      <c r="K1854" s="32"/>
      <c r="L1854" s="32"/>
      <c r="M1854" s="30"/>
      <c r="N1854" s="32"/>
      <c r="O1854" s="34"/>
      <c r="P1854" s="32"/>
      <c r="Q1854" s="32"/>
      <c r="R1854" s="32"/>
      <c r="S1854" s="32"/>
      <c r="T1854" s="32"/>
      <c r="U1854" s="32"/>
      <c r="V1854" s="31"/>
      <c r="W1854" s="35" t="str">
        <f aca="true">IF(OR(V1854="",AG1854&gt;=8),"",IF(V1854&lt;TODAY(),"Vencida",IF(V1854=TODAY(),"Hoy","")))</f>
        <v/>
      </c>
      <c r="X1854" s="36" t="str">
        <f aca="false">IF(A1854="","",IF(COUNTIF(Seguimiento!$B$2:$B$5001,A1854)=0,"",_xlfn.MAXIFS(Seguimiento!$A$2:$A$5001,Seguimiento!$B$2:$B$5001,A1854)))</f>
        <v/>
      </c>
      <c r="Y1854" s="37" t="str">
        <f aca="true">IF(B1854="","",TODAY()-B1854)</f>
        <v/>
      </c>
      <c r="Z1854" s="38" t="str">
        <f aca="false">IF(OR(O1854="",G1854=""),"",O1854*IFERROR(INDEX(Listas!$B$2:$B$50,MATCH(G1854,Listas!$A$2:$A$50,0)),0))</f>
        <v/>
      </c>
      <c r="AA1854" s="32"/>
      <c r="AB1854" s="32"/>
      <c r="AC1854" s="32"/>
      <c r="AD1854" s="35" t="str">
        <f aca="false">IF(OR(LEFT(H1854,4)="Meta",LEFT(H1854,6)="Google"),IF(AG1854=3,"Lead calificado",IF(OR(AG1854=4,AG1854=5),"Tasación/visita",IF(OR(AG1854=6,AG1854=7),"Captación/oferta",IF(AG1854=8,"Cierre","")))),"")</f>
        <v/>
      </c>
      <c r="AE1854" s="32"/>
      <c r="AF1854" s="32"/>
      <c r="AG1854" s="37" t="n">
        <f aca="false">IF(R1854="",0,IFERROR(MATCH(R1854,Listas!$L$2:$L$50,0),0))</f>
        <v>0</v>
      </c>
    </row>
    <row r="1855" customFormat="false" ht="15" hidden="false" customHeight="false" outlineLevel="0" collapsed="false">
      <c r="A1855" s="30"/>
      <c r="B1855" s="31"/>
      <c r="C1855" s="32"/>
      <c r="D1855" s="32"/>
      <c r="E1855" s="33"/>
      <c r="F1855" s="32"/>
      <c r="G1855" s="32"/>
      <c r="H1855" s="32"/>
      <c r="I1855" s="32"/>
      <c r="J1855" s="32"/>
      <c r="K1855" s="32"/>
      <c r="L1855" s="32"/>
      <c r="M1855" s="30"/>
      <c r="N1855" s="32"/>
      <c r="O1855" s="34"/>
      <c r="P1855" s="32"/>
      <c r="Q1855" s="32"/>
      <c r="R1855" s="32"/>
      <c r="S1855" s="32"/>
      <c r="T1855" s="32"/>
      <c r="U1855" s="32"/>
      <c r="V1855" s="31"/>
      <c r="W1855" s="35" t="str">
        <f aca="true">IF(OR(V1855="",AG1855&gt;=8),"",IF(V1855&lt;TODAY(),"Vencida",IF(V1855=TODAY(),"Hoy","")))</f>
        <v/>
      </c>
      <c r="X1855" s="36" t="str">
        <f aca="false">IF(A1855="","",IF(COUNTIF(Seguimiento!$B$2:$B$5001,A1855)=0,"",_xlfn.MAXIFS(Seguimiento!$A$2:$A$5001,Seguimiento!$B$2:$B$5001,A1855)))</f>
        <v/>
      </c>
      <c r="Y1855" s="37" t="str">
        <f aca="true">IF(B1855="","",TODAY()-B1855)</f>
        <v/>
      </c>
      <c r="Z1855" s="38" t="str">
        <f aca="false">IF(OR(O1855="",G1855=""),"",O1855*IFERROR(INDEX(Listas!$B$2:$B$50,MATCH(G1855,Listas!$A$2:$A$50,0)),0))</f>
        <v/>
      </c>
      <c r="AA1855" s="32"/>
      <c r="AB1855" s="32"/>
      <c r="AC1855" s="32"/>
      <c r="AD1855" s="35" t="str">
        <f aca="false">IF(OR(LEFT(H1855,4)="Meta",LEFT(H1855,6)="Google"),IF(AG1855=3,"Lead calificado",IF(OR(AG1855=4,AG1855=5),"Tasación/visita",IF(OR(AG1855=6,AG1855=7),"Captación/oferta",IF(AG1855=8,"Cierre","")))),"")</f>
        <v/>
      </c>
      <c r="AE1855" s="32"/>
      <c r="AF1855" s="32"/>
      <c r="AG1855" s="37" t="n">
        <f aca="false">IF(R1855="",0,IFERROR(MATCH(R1855,Listas!$L$2:$L$50,0),0))</f>
        <v>0</v>
      </c>
    </row>
    <row r="1856" customFormat="false" ht="15" hidden="false" customHeight="false" outlineLevel="0" collapsed="false">
      <c r="A1856" s="30"/>
      <c r="B1856" s="31"/>
      <c r="C1856" s="32"/>
      <c r="D1856" s="32"/>
      <c r="E1856" s="33"/>
      <c r="F1856" s="32"/>
      <c r="G1856" s="32"/>
      <c r="H1856" s="32"/>
      <c r="I1856" s="32"/>
      <c r="J1856" s="32"/>
      <c r="K1856" s="32"/>
      <c r="L1856" s="32"/>
      <c r="M1856" s="30"/>
      <c r="N1856" s="32"/>
      <c r="O1856" s="34"/>
      <c r="P1856" s="32"/>
      <c r="Q1856" s="32"/>
      <c r="R1856" s="32"/>
      <c r="S1856" s="32"/>
      <c r="T1856" s="32"/>
      <c r="U1856" s="32"/>
      <c r="V1856" s="31"/>
      <c r="W1856" s="35" t="str">
        <f aca="true">IF(OR(V1856="",AG1856&gt;=8),"",IF(V1856&lt;TODAY(),"Vencida",IF(V1856=TODAY(),"Hoy","")))</f>
        <v/>
      </c>
      <c r="X1856" s="36" t="str">
        <f aca="false">IF(A1856="","",IF(COUNTIF(Seguimiento!$B$2:$B$5001,A1856)=0,"",_xlfn.MAXIFS(Seguimiento!$A$2:$A$5001,Seguimiento!$B$2:$B$5001,A1856)))</f>
        <v/>
      </c>
      <c r="Y1856" s="37" t="str">
        <f aca="true">IF(B1856="","",TODAY()-B1856)</f>
        <v/>
      </c>
      <c r="Z1856" s="38" t="str">
        <f aca="false">IF(OR(O1856="",G1856=""),"",O1856*IFERROR(INDEX(Listas!$B$2:$B$50,MATCH(G1856,Listas!$A$2:$A$50,0)),0))</f>
        <v/>
      </c>
      <c r="AA1856" s="32"/>
      <c r="AB1856" s="32"/>
      <c r="AC1856" s="32"/>
      <c r="AD1856" s="35" t="str">
        <f aca="false">IF(OR(LEFT(H1856,4)="Meta",LEFT(H1856,6)="Google"),IF(AG1856=3,"Lead calificado",IF(OR(AG1856=4,AG1856=5),"Tasación/visita",IF(OR(AG1856=6,AG1856=7),"Captación/oferta",IF(AG1856=8,"Cierre","")))),"")</f>
        <v/>
      </c>
      <c r="AE1856" s="32"/>
      <c r="AF1856" s="32"/>
      <c r="AG1856" s="37" t="n">
        <f aca="false">IF(R1856="",0,IFERROR(MATCH(R1856,Listas!$L$2:$L$50,0),0))</f>
        <v>0</v>
      </c>
    </row>
    <row r="1857" customFormat="false" ht="15" hidden="false" customHeight="false" outlineLevel="0" collapsed="false">
      <c r="A1857" s="30"/>
      <c r="B1857" s="31"/>
      <c r="C1857" s="32"/>
      <c r="D1857" s="32"/>
      <c r="E1857" s="33"/>
      <c r="F1857" s="32"/>
      <c r="G1857" s="32"/>
      <c r="H1857" s="32"/>
      <c r="I1857" s="32"/>
      <c r="J1857" s="32"/>
      <c r="K1857" s="32"/>
      <c r="L1857" s="32"/>
      <c r="M1857" s="30"/>
      <c r="N1857" s="32"/>
      <c r="O1857" s="34"/>
      <c r="P1857" s="32"/>
      <c r="Q1857" s="32"/>
      <c r="R1857" s="32"/>
      <c r="S1857" s="32"/>
      <c r="T1857" s="32"/>
      <c r="U1857" s="32"/>
      <c r="V1857" s="31"/>
      <c r="W1857" s="35" t="str">
        <f aca="true">IF(OR(V1857="",AG1857&gt;=8),"",IF(V1857&lt;TODAY(),"Vencida",IF(V1857=TODAY(),"Hoy","")))</f>
        <v/>
      </c>
      <c r="X1857" s="36" t="str">
        <f aca="false">IF(A1857="","",IF(COUNTIF(Seguimiento!$B$2:$B$5001,A1857)=0,"",_xlfn.MAXIFS(Seguimiento!$A$2:$A$5001,Seguimiento!$B$2:$B$5001,A1857)))</f>
        <v/>
      </c>
      <c r="Y1857" s="37" t="str">
        <f aca="true">IF(B1857="","",TODAY()-B1857)</f>
        <v/>
      </c>
      <c r="Z1857" s="38" t="str">
        <f aca="false">IF(OR(O1857="",G1857=""),"",O1857*IFERROR(INDEX(Listas!$B$2:$B$50,MATCH(G1857,Listas!$A$2:$A$50,0)),0))</f>
        <v/>
      </c>
      <c r="AA1857" s="32"/>
      <c r="AB1857" s="32"/>
      <c r="AC1857" s="32"/>
      <c r="AD1857" s="35" t="str">
        <f aca="false">IF(OR(LEFT(H1857,4)="Meta",LEFT(H1857,6)="Google"),IF(AG1857=3,"Lead calificado",IF(OR(AG1857=4,AG1857=5),"Tasación/visita",IF(OR(AG1857=6,AG1857=7),"Captación/oferta",IF(AG1857=8,"Cierre","")))),"")</f>
        <v/>
      </c>
      <c r="AE1857" s="32"/>
      <c r="AF1857" s="32"/>
      <c r="AG1857" s="37" t="n">
        <f aca="false">IF(R1857="",0,IFERROR(MATCH(R1857,Listas!$L$2:$L$50,0),0))</f>
        <v>0</v>
      </c>
    </row>
    <row r="1858" customFormat="false" ht="15" hidden="false" customHeight="false" outlineLevel="0" collapsed="false">
      <c r="A1858" s="30"/>
      <c r="B1858" s="31"/>
      <c r="C1858" s="32"/>
      <c r="D1858" s="32"/>
      <c r="E1858" s="33"/>
      <c r="F1858" s="32"/>
      <c r="G1858" s="32"/>
      <c r="H1858" s="32"/>
      <c r="I1858" s="32"/>
      <c r="J1858" s="32"/>
      <c r="K1858" s="32"/>
      <c r="L1858" s="32"/>
      <c r="M1858" s="30"/>
      <c r="N1858" s="32"/>
      <c r="O1858" s="34"/>
      <c r="P1858" s="32"/>
      <c r="Q1858" s="32"/>
      <c r="R1858" s="32"/>
      <c r="S1858" s="32"/>
      <c r="T1858" s="32"/>
      <c r="U1858" s="32"/>
      <c r="V1858" s="31"/>
      <c r="W1858" s="35" t="str">
        <f aca="true">IF(OR(V1858="",AG1858&gt;=8),"",IF(V1858&lt;TODAY(),"Vencida",IF(V1858=TODAY(),"Hoy","")))</f>
        <v/>
      </c>
      <c r="X1858" s="36" t="str">
        <f aca="false">IF(A1858="","",IF(COUNTIF(Seguimiento!$B$2:$B$5001,A1858)=0,"",_xlfn.MAXIFS(Seguimiento!$A$2:$A$5001,Seguimiento!$B$2:$B$5001,A1858)))</f>
        <v/>
      </c>
      <c r="Y1858" s="37" t="str">
        <f aca="true">IF(B1858="","",TODAY()-B1858)</f>
        <v/>
      </c>
      <c r="Z1858" s="38" t="str">
        <f aca="false">IF(OR(O1858="",G1858=""),"",O1858*IFERROR(INDEX(Listas!$B$2:$B$50,MATCH(G1858,Listas!$A$2:$A$50,0)),0))</f>
        <v/>
      </c>
      <c r="AA1858" s="32"/>
      <c r="AB1858" s="32"/>
      <c r="AC1858" s="32"/>
      <c r="AD1858" s="35" t="str">
        <f aca="false">IF(OR(LEFT(H1858,4)="Meta",LEFT(H1858,6)="Google"),IF(AG1858=3,"Lead calificado",IF(OR(AG1858=4,AG1858=5),"Tasación/visita",IF(OR(AG1858=6,AG1858=7),"Captación/oferta",IF(AG1858=8,"Cierre","")))),"")</f>
        <v/>
      </c>
      <c r="AE1858" s="32"/>
      <c r="AF1858" s="32"/>
      <c r="AG1858" s="37" t="n">
        <f aca="false">IF(R1858="",0,IFERROR(MATCH(R1858,Listas!$L$2:$L$50,0),0))</f>
        <v>0</v>
      </c>
    </row>
    <row r="1859" customFormat="false" ht="15" hidden="false" customHeight="false" outlineLevel="0" collapsed="false">
      <c r="A1859" s="30"/>
      <c r="B1859" s="31"/>
      <c r="C1859" s="32"/>
      <c r="D1859" s="32"/>
      <c r="E1859" s="33"/>
      <c r="F1859" s="32"/>
      <c r="G1859" s="32"/>
      <c r="H1859" s="32"/>
      <c r="I1859" s="32"/>
      <c r="J1859" s="32"/>
      <c r="K1859" s="32"/>
      <c r="L1859" s="32"/>
      <c r="M1859" s="30"/>
      <c r="N1859" s="32"/>
      <c r="O1859" s="34"/>
      <c r="P1859" s="32"/>
      <c r="Q1859" s="32"/>
      <c r="R1859" s="32"/>
      <c r="S1859" s="32"/>
      <c r="T1859" s="32"/>
      <c r="U1859" s="32"/>
      <c r="V1859" s="31"/>
      <c r="W1859" s="35" t="str">
        <f aca="true">IF(OR(V1859="",AG1859&gt;=8),"",IF(V1859&lt;TODAY(),"Vencida",IF(V1859=TODAY(),"Hoy","")))</f>
        <v/>
      </c>
      <c r="X1859" s="36" t="str">
        <f aca="false">IF(A1859="","",IF(COUNTIF(Seguimiento!$B$2:$B$5001,A1859)=0,"",_xlfn.MAXIFS(Seguimiento!$A$2:$A$5001,Seguimiento!$B$2:$B$5001,A1859)))</f>
        <v/>
      </c>
      <c r="Y1859" s="37" t="str">
        <f aca="true">IF(B1859="","",TODAY()-B1859)</f>
        <v/>
      </c>
      <c r="Z1859" s="38" t="str">
        <f aca="false">IF(OR(O1859="",G1859=""),"",O1859*IFERROR(INDEX(Listas!$B$2:$B$50,MATCH(G1859,Listas!$A$2:$A$50,0)),0))</f>
        <v/>
      </c>
      <c r="AA1859" s="32"/>
      <c r="AB1859" s="32"/>
      <c r="AC1859" s="32"/>
      <c r="AD1859" s="35" t="str">
        <f aca="false">IF(OR(LEFT(H1859,4)="Meta",LEFT(H1859,6)="Google"),IF(AG1859=3,"Lead calificado",IF(OR(AG1859=4,AG1859=5),"Tasación/visita",IF(OR(AG1859=6,AG1859=7),"Captación/oferta",IF(AG1859=8,"Cierre","")))),"")</f>
        <v/>
      </c>
      <c r="AE1859" s="32"/>
      <c r="AF1859" s="32"/>
      <c r="AG1859" s="37" t="n">
        <f aca="false">IF(R1859="",0,IFERROR(MATCH(R1859,Listas!$L$2:$L$50,0),0))</f>
        <v>0</v>
      </c>
    </row>
    <row r="1860" customFormat="false" ht="15" hidden="false" customHeight="false" outlineLevel="0" collapsed="false">
      <c r="A1860" s="30"/>
      <c r="B1860" s="31"/>
      <c r="C1860" s="32"/>
      <c r="D1860" s="32"/>
      <c r="E1860" s="33"/>
      <c r="F1860" s="32"/>
      <c r="G1860" s="32"/>
      <c r="H1860" s="32"/>
      <c r="I1860" s="32"/>
      <c r="J1860" s="32"/>
      <c r="K1860" s="32"/>
      <c r="L1860" s="32"/>
      <c r="M1860" s="30"/>
      <c r="N1860" s="32"/>
      <c r="O1860" s="34"/>
      <c r="P1860" s="32"/>
      <c r="Q1860" s="32"/>
      <c r="R1860" s="32"/>
      <c r="S1860" s="32"/>
      <c r="T1860" s="32"/>
      <c r="U1860" s="32"/>
      <c r="V1860" s="31"/>
      <c r="W1860" s="35" t="str">
        <f aca="true">IF(OR(V1860="",AG1860&gt;=8),"",IF(V1860&lt;TODAY(),"Vencida",IF(V1860=TODAY(),"Hoy","")))</f>
        <v/>
      </c>
      <c r="X1860" s="36" t="str">
        <f aca="false">IF(A1860="","",IF(COUNTIF(Seguimiento!$B$2:$B$5001,A1860)=0,"",_xlfn.MAXIFS(Seguimiento!$A$2:$A$5001,Seguimiento!$B$2:$B$5001,A1860)))</f>
        <v/>
      </c>
      <c r="Y1860" s="37" t="str">
        <f aca="true">IF(B1860="","",TODAY()-B1860)</f>
        <v/>
      </c>
      <c r="Z1860" s="38" t="str">
        <f aca="false">IF(OR(O1860="",G1860=""),"",O1860*IFERROR(INDEX(Listas!$B$2:$B$50,MATCH(G1860,Listas!$A$2:$A$50,0)),0))</f>
        <v/>
      </c>
      <c r="AA1860" s="32"/>
      <c r="AB1860" s="32"/>
      <c r="AC1860" s="32"/>
      <c r="AD1860" s="35" t="str">
        <f aca="false">IF(OR(LEFT(H1860,4)="Meta",LEFT(H1860,6)="Google"),IF(AG1860=3,"Lead calificado",IF(OR(AG1860=4,AG1860=5),"Tasación/visita",IF(OR(AG1860=6,AG1860=7),"Captación/oferta",IF(AG1860=8,"Cierre","")))),"")</f>
        <v/>
      </c>
      <c r="AE1860" s="32"/>
      <c r="AF1860" s="32"/>
      <c r="AG1860" s="37" t="n">
        <f aca="false">IF(R1860="",0,IFERROR(MATCH(R1860,Listas!$L$2:$L$50,0),0))</f>
        <v>0</v>
      </c>
    </row>
    <row r="1861" customFormat="false" ht="15" hidden="false" customHeight="false" outlineLevel="0" collapsed="false">
      <c r="A1861" s="30"/>
      <c r="B1861" s="31"/>
      <c r="C1861" s="32"/>
      <c r="D1861" s="32"/>
      <c r="E1861" s="33"/>
      <c r="F1861" s="32"/>
      <c r="G1861" s="32"/>
      <c r="H1861" s="32"/>
      <c r="I1861" s="32"/>
      <c r="J1861" s="32"/>
      <c r="K1861" s="32"/>
      <c r="L1861" s="32"/>
      <c r="M1861" s="30"/>
      <c r="N1861" s="32"/>
      <c r="O1861" s="34"/>
      <c r="P1861" s="32"/>
      <c r="Q1861" s="32"/>
      <c r="R1861" s="32"/>
      <c r="S1861" s="32"/>
      <c r="T1861" s="32"/>
      <c r="U1861" s="32"/>
      <c r="V1861" s="31"/>
      <c r="W1861" s="35" t="str">
        <f aca="true">IF(OR(V1861="",AG1861&gt;=8),"",IF(V1861&lt;TODAY(),"Vencida",IF(V1861=TODAY(),"Hoy","")))</f>
        <v/>
      </c>
      <c r="X1861" s="36" t="str">
        <f aca="false">IF(A1861="","",IF(COUNTIF(Seguimiento!$B$2:$B$5001,A1861)=0,"",_xlfn.MAXIFS(Seguimiento!$A$2:$A$5001,Seguimiento!$B$2:$B$5001,A1861)))</f>
        <v/>
      </c>
      <c r="Y1861" s="37" t="str">
        <f aca="true">IF(B1861="","",TODAY()-B1861)</f>
        <v/>
      </c>
      <c r="Z1861" s="38" t="str">
        <f aca="false">IF(OR(O1861="",G1861=""),"",O1861*IFERROR(INDEX(Listas!$B$2:$B$50,MATCH(G1861,Listas!$A$2:$A$50,0)),0))</f>
        <v/>
      </c>
      <c r="AA1861" s="32"/>
      <c r="AB1861" s="32"/>
      <c r="AC1861" s="32"/>
      <c r="AD1861" s="35" t="str">
        <f aca="false">IF(OR(LEFT(H1861,4)="Meta",LEFT(H1861,6)="Google"),IF(AG1861=3,"Lead calificado",IF(OR(AG1861=4,AG1861=5),"Tasación/visita",IF(OR(AG1861=6,AG1861=7),"Captación/oferta",IF(AG1861=8,"Cierre","")))),"")</f>
        <v/>
      </c>
      <c r="AE1861" s="32"/>
      <c r="AF1861" s="32"/>
      <c r="AG1861" s="37" t="n">
        <f aca="false">IF(R1861="",0,IFERROR(MATCH(R1861,Listas!$L$2:$L$50,0),0))</f>
        <v>0</v>
      </c>
    </row>
    <row r="1862" customFormat="false" ht="15" hidden="false" customHeight="false" outlineLevel="0" collapsed="false">
      <c r="A1862" s="30"/>
      <c r="B1862" s="31"/>
      <c r="C1862" s="32"/>
      <c r="D1862" s="32"/>
      <c r="E1862" s="33"/>
      <c r="F1862" s="32"/>
      <c r="G1862" s="32"/>
      <c r="H1862" s="32"/>
      <c r="I1862" s="32"/>
      <c r="J1862" s="32"/>
      <c r="K1862" s="32"/>
      <c r="L1862" s="32"/>
      <c r="M1862" s="30"/>
      <c r="N1862" s="32"/>
      <c r="O1862" s="34"/>
      <c r="P1862" s="32"/>
      <c r="Q1862" s="32"/>
      <c r="R1862" s="32"/>
      <c r="S1862" s="32"/>
      <c r="T1862" s="32"/>
      <c r="U1862" s="32"/>
      <c r="V1862" s="31"/>
      <c r="W1862" s="35" t="str">
        <f aca="true">IF(OR(V1862="",AG1862&gt;=8),"",IF(V1862&lt;TODAY(),"Vencida",IF(V1862=TODAY(),"Hoy","")))</f>
        <v/>
      </c>
      <c r="X1862" s="36" t="str">
        <f aca="false">IF(A1862="","",IF(COUNTIF(Seguimiento!$B$2:$B$5001,A1862)=0,"",_xlfn.MAXIFS(Seguimiento!$A$2:$A$5001,Seguimiento!$B$2:$B$5001,A1862)))</f>
        <v/>
      </c>
      <c r="Y1862" s="37" t="str">
        <f aca="true">IF(B1862="","",TODAY()-B1862)</f>
        <v/>
      </c>
      <c r="Z1862" s="38" t="str">
        <f aca="false">IF(OR(O1862="",G1862=""),"",O1862*IFERROR(INDEX(Listas!$B$2:$B$50,MATCH(G1862,Listas!$A$2:$A$50,0)),0))</f>
        <v/>
      </c>
      <c r="AA1862" s="32"/>
      <c r="AB1862" s="32"/>
      <c r="AC1862" s="32"/>
      <c r="AD1862" s="35" t="str">
        <f aca="false">IF(OR(LEFT(H1862,4)="Meta",LEFT(H1862,6)="Google"),IF(AG1862=3,"Lead calificado",IF(OR(AG1862=4,AG1862=5),"Tasación/visita",IF(OR(AG1862=6,AG1862=7),"Captación/oferta",IF(AG1862=8,"Cierre","")))),"")</f>
        <v/>
      </c>
      <c r="AE1862" s="32"/>
      <c r="AF1862" s="32"/>
      <c r="AG1862" s="37" t="n">
        <f aca="false">IF(R1862="",0,IFERROR(MATCH(R1862,Listas!$L$2:$L$50,0),0))</f>
        <v>0</v>
      </c>
    </row>
    <row r="1863" customFormat="false" ht="15" hidden="false" customHeight="false" outlineLevel="0" collapsed="false">
      <c r="A1863" s="30"/>
      <c r="B1863" s="31"/>
      <c r="C1863" s="32"/>
      <c r="D1863" s="32"/>
      <c r="E1863" s="33"/>
      <c r="F1863" s="32"/>
      <c r="G1863" s="32"/>
      <c r="H1863" s="32"/>
      <c r="I1863" s="32"/>
      <c r="J1863" s="32"/>
      <c r="K1863" s="32"/>
      <c r="L1863" s="32"/>
      <c r="M1863" s="30"/>
      <c r="N1863" s="32"/>
      <c r="O1863" s="34"/>
      <c r="P1863" s="32"/>
      <c r="Q1863" s="32"/>
      <c r="R1863" s="32"/>
      <c r="S1863" s="32"/>
      <c r="T1863" s="32"/>
      <c r="U1863" s="32"/>
      <c r="V1863" s="31"/>
      <c r="W1863" s="35" t="str">
        <f aca="true">IF(OR(V1863="",AG1863&gt;=8),"",IF(V1863&lt;TODAY(),"Vencida",IF(V1863=TODAY(),"Hoy","")))</f>
        <v/>
      </c>
      <c r="X1863" s="36" t="str">
        <f aca="false">IF(A1863="","",IF(COUNTIF(Seguimiento!$B$2:$B$5001,A1863)=0,"",_xlfn.MAXIFS(Seguimiento!$A$2:$A$5001,Seguimiento!$B$2:$B$5001,A1863)))</f>
        <v/>
      </c>
      <c r="Y1863" s="37" t="str">
        <f aca="true">IF(B1863="","",TODAY()-B1863)</f>
        <v/>
      </c>
      <c r="Z1863" s="38" t="str">
        <f aca="false">IF(OR(O1863="",G1863=""),"",O1863*IFERROR(INDEX(Listas!$B$2:$B$50,MATCH(G1863,Listas!$A$2:$A$50,0)),0))</f>
        <v/>
      </c>
      <c r="AA1863" s="32"/>
      <c r="AB1863" s="32"/>
      <c r="AC1863" s="32"/>
      <c r="AD1863" s="35" t="str">
        <f aca="false">IF(OR(LEFT(H1863,4)="Meta",LEFT(H1863,6)="Google"),IF(AG1863=3,"Lead calificado",IF(OR(AG1863=4,AG1863=5),"Tasación/visita",IF(OR(AG1863=6,AG1863=7),"Captación/oferta",IF(AG1863=8,"Cierre","")))),"")</f>
        <v/>
      </c>
      <c r="AE1863" s="32"/>
      <c r="AF1863" s="32"/>
      <c r="AG1863" s="37" t="n">
        <f aca="false">IF(R1863="",0,IFERROR(MATCH(R1863,Listas!$L$2:$L$50,0),0))</f>
        <v>0</v>
      </c>
    </row>
    <row r="1864" customFormat="false" ht="15" hidden="false" customHeight="false" outlineLevel="0" collapsed="false">
      <c r="A1864" s="30"/>
      <c r="B1864" s="31"/>
      <c r="C1864" s="32"/>
      <c r="D1864" s="32"/>
      <c r="E1864" s="33"/>
      <c r="F1864" s="32"/>
      <c r="G1864" s="32"/>
      <c r="H1864" s="32"/>
      <c r="I1864" s="32"/>
      <c r="J1864" s="32"/>
      <c r="K1864" s="32"/>
      <c r="L1864" s="32"/>
      <c r="M1864" s="30"/>
      <c r="N1864" s="32"/>
      <c r="O1864" s="34"/>
      <c r="P1864" s="32"/>
      <c r="Q1864" s="32"/>
      <c r="R1864" s="32"/>
      <c r="S1864" s="32"/>
      <c r="T1864" s="32"/>
      <c r="U1864" s="32"/>
      <c r="V1864" s="31"/>
      <c r="W1864" s="35" t="str">
        <f aca="true">IF(OR(V1864="",AG1864&gt;=8),"",IF(V1864&lt;TODAY(),"Vencida",IF(V1864=TODAY(),"Hoy","")))</f>
        <v/>
      </c>
      <c r="X1864" s="36" t="str">
        <f aca="false">IF(A1864="","",IF(COUNTIF(Seguimiento!$B$2:$B$5001,A1864)=0,"",_xlfn.MAXIFS(Seguimiento!$A$2:$A$5001,Seguimiento!$B$2:$B$5001,A1864)))</f>
        <v/>
      </c>
      <c r="Y1864" s="37" t="str">
        <f aca="true">IF(B1864="","",TODAY()-B1864)</f>
        <v/>
      </c>
      <c r="Z1864" s="38" t="str">
        <f aca="false">IF(OR(O1864="",G1864=""),"",O1864*IFERROR(INDEX(Listas!$B$2:$B$50,MATCH(G1864,Listas!$A$2:$A$50,0)),0))</f>
        <v/>
      </c>
      <c r="AA1864" s="32"/>
      <c r="AB1864" s="32"/>
      <c r="AC1864" s="32"/>
      <c r="AD1864" s="35" t="str">
        <f aca="false">IF(OR(LEFT(H1864,4)="Meta",LEFT(H1864,6)="Google"),IF(AG1864=3,"Lead calificado",IF(OR(AG1864=4,AG1864=5),"Tasación/visita",IF(OR(AG1864=6,AG1864=7),"Captación/oferta",IF(AG1864=8,"Cierre","")))),"")</f>
        <v/>
      </c>
      <c r="AE1864" s="32"/>
      <c r="AF1864" s="32"/>
      <c r="AG1864" s="37" t="n">
        <f aca="false">IF(R1864="",0,IFERROR(MATCH(R1864,Listas!$L$2:$L$50,0),0))</f>
        <v>0</v>
      </c>
    </row>
    <row r="1865" customFormat="false" ht="15" hidden="false" customHeight="false" outlineLevel="0" collapsed="false">
      <c r="A1865" s="30"/>
      <c r="B1865" s="31"/>
      <c r="C1865" s="32"/>
      <c r="D1865" s="32"/>
      <c r="E1865" s="33"/>
      <c r="F1865" s="32"/>
      <c r="G1865" s="32"/>
      <c r="H1865" s="32"/>
      <c r="I1865" s="32"/>
      <c r="J1865" s="32"/>
      <c r="K1865" s="32"/>
      <c r="L1865" s="32"/>
      <c r="M1865" s="30"/>
      <c r="N1865" s="32"/>
      <c r="O1865" s="34"/>
      <c r="P1865" s="32"/>
      <c r="Q1865" s="32"/>
      <c r="R1865" s="32"/>
      <c r="S1865" s="32"/>
      <c r="T1865" s="32"/>
      <c r="U1865" s="32"/>
      <c r="V1865" s="31"/>
      <c r="W1865" s="35" t="str">
        <f aca="true">IF(OR(V1865="",AG1865&gt;=8),"",IF(V1865&lt;TODAY(),"Vencida",IF(V1865=TODAY(),"Hoy","")))</f>
        <v/>
      </c>
      <c r="X1865" s="36" t="str">
        <f aca="false">IF(A1865="","",IF(COUNTIF(Seguimiento!$B$2:$B$5001,A1865)=0,"",_xlfn.MAXIFS(Seguimiento!$A$2:$A$5001,Seguimiento!$B$2:$B$5001,A1865)))</f>
        <v/>
      </c>
      <c r="Y1865" s="37" t="str">
        <f aca="true">IF(B1865="","",TODAY()-B1865)</f>
        <v/>
      </c>
      <c r="Z1865" s="38" t="str">
        <f aca="false">IF(OR(O1865="",G1865=""),"",O1865*IFERROR(INDEX(Listas!$B$2:$B$50,MATCH(G1865,Listas!$A$2:$A$50,0)),0))</f>
        <v/>
      </c>
      <c r="AA1865" s="32"/>
      <c r="AB1865" s="32"/>
      <c r="AC1865" s="32"/>
      <c r="AD1865" s="35" t="str">
        <f aca="false">IF(OR(LEFT(H1865,4)="Meta",LEFT(H1865,6)="Google"),IF(AG1865=3,"Lead calificado",IF(OR(AG1865=4,AG1865=5),"Tasación/visita",IF(OR(AG1865=6,AG1865=7),"Captación/oferta",IF(AG1865=8,"Cierre","")))),"")</f>
        <v/>
      </c>
      <c r="AE1865" s="32"/>
      <c r="AF1865" s="32"/>
      <c r="AG1865" s="37" t="n">
        <f aca="false">IF(R1865="",0,IFERROR(MATCH(R1865,Listas!$L$2:$L$50,0),0))</f>
        <v>0</v>
      </c>
    </row>
    <row r="1866" customFormat="false" ht="15" hidden="false" customHeight="false" outlineLevel="0" collapsed="false">
      <c r="A1866" s="30"/>
      <c r="B1866" s="31"/>
      <c r="C1866" s="32"/>
      <c r="D1866" s="32"/>
      <c r="E1866" s="33"/>
      <c r="F1866" s="32"/>
      <c r="G1866" s="32"/>
      <c r="H1866" s="32"/>
      <c r="I1866" s="32"/>
      <c r="J1866" s="32"/>
      <c r="K1866" s="32"/>
      <c r="L1866" s="32"/>
      <c r="M1866" s="30"/>
      <c r="N1866" s="32"/>
      <c r="O1866" s="34"/>
      <c r="P1866" s="32"/>
      <c r="Q1866" s="32"/>
      <c r="R1866" s="32"/>
      <c r="S1866" s="32"/>
      <c r="T1866" s="32"/>
      <c r="U1866" s="32"/>
      <c r="V1866" s="31"/>
      <c r="W1866" s="35" t="str">
        <f aca="true">IF(OR(V1866="",AG1866&gt;=8),"",IF(V1866&lt;TODAY(),"Vencida",IF(V1866=TODAY(),"Hoy","")))</f>
        <v/>
      </c>
      <c r="X1866" s="36" t="str">
        <f aca="false">IF(A1866="","",IF(COUNTIF(Seguimiento!$B$2:$B$5001,A1866)=0,"",_xlfn.MAXIFS(Seguimiento!$A$2:$A$5001,Seguimiento!$B$2:$B$5001,A1866)))</f>
        <v/>
      </c>
      <c r="Y1866" s="37" t="str">
        <f aca="true">IF(B1866="","",TODAY()-B1866)</f>
        <v/>
      </c>
      <c r="Z1866" s="38" t="str">
        <f aca="false">IF(OR(O1866="",G1866=""),"",O1866*IFERROR(INDEX(Listas!$B$2:$B$50,MATCH(G1866,Listas!$A$2:$A$50,0)),0))</f>
        <v/>
      </c>
      <c r="AA1866" s="32"/>
      <c r="AB1866" s="32"/>
      <c r="AC1866" s="32"/>
      <c r="AD1866" s="35" t="str">
        <f aca="false">IF(OR(LEFT(H1866,4)="Meta",LEFT(H1866,6)="Google"),IF(AG1866=3,"Lead calificado",IF(OR(AG1866=4,AG1866=5),"Tasación/visita",IF(OR(AG1866=6,AG1866=7),"Captación/oferta",IF(AG1866=8,"Cierre","")))),"")</f>
        <v/>
      </c>
      <c r="AE1866" s="32"/>
      <c r="AF1866" s="32"/>
      <c r="AG1866" s="37" t="n">
        <f aca="false">IF(R1866="",0,IFERROR(MATCH(R1866,Listas!$L$2:$L$50,0),0))</f>
        <v>0</v>
      </c>
    </row>
    <row r="1867" customFormat="false" ht="15" hidden="false" customHeight="false" outlineLevel="0" collapsed="false">
      <c r="A1867" s="30"/>
      <c r="B1867" s="31"/>
      <c r="C1867" s="32"/>
      <c r="D1867" s="32"/>
      <c r="E1867" s="33"/>
      <c r="F1867" s="32"/>
      <c r="G1867" s="32"/>
      <c r="H1867" s="32"/>
      <c r="I1867" s="32"/>
      <c r="J1867" s="32"/>
      <c r="K1867" s="32"/>
      <c r="L1867" s="32"/>
      <c r="M1867" s="30"/>
      <c r="N1867" s="32"/>
      <c r="O1867" s="34"/>
      <c r="P1867" s="32"/>
      <c r="Q1867" s="32"/>
      <c r="R1867" s="32"/>
      <c r="S1867" s="32"/>
      <c r="T1867" s="32"/>
      <c r="U1867" s="32"/>
      <c r="V1867" s="31"/>
      <c r="W1867" s="35" t="str">
        <f aca="true">IF(OR(V1867="",AG1867&gt;=8),"",IF(V1867&lt;TODAY(),"Vencida",IF(V1867=TODAY(),"Hoy","")))</f>
        <v/>
      </c>
      <c r="X1867" s="36" t="str">
        <f aca="false">IF(A1867="","",IF(COUNTIF(Seguimiento!$B$2:$B$5001,A1867)=0,"",_xlfn.MAXIFS(Seguimiento!$A$2:$A$5001,Seguimiento!$B$2:$B$5001,A1867)))</f>
        <v/>
      </c>
      <c r="Y1867" s="37" t="str">
        <f aca="true">IF(B1867="","",TODAY()-B1867)</f>
        <v/>
      </c>
      <c r="Z1867" s="38" t="str">
        <f aca="false">IF(OR(O1867="",G1867=""),"",O1867*IFERROR(INDEX(Listas!$B$2:$B$50,MATCH(G1867,Listas!$A$2:$A$50,0)),0))</f>
        <v/>
      </c>
      <c r="AA1867" s="32"/>
      <c r="AB1867" s="32"/>
      <c r="AC1867" s="32"/>
      <c r="AD1867" s="35" t="str">
        <f aca="false">IF(OR(LEFT(H1867,4)="Meta",LEFT(H1867,6)="Google"),IF(AG1867=3,"Lead calificado",IF(OR(AG1867=4,AG1867=5),"Tasación/visita",IF(OR(AG1867=6,AG1867=7),"Captación/oferta",IF(AG1867=8,"Cierre","")))),"")</f>
        <v/>
      </c>
      <c r="AE1867" s="32"/>
      <c r="AF1867" s="32"/>
      <c r="AG1867" s="37" t="n">
        <f aca="false">IF(R1867="",0,IFERROR(MATCH(R1867,Listas!$L$2:$L$50,0),0))</f>
        <v>0</v>
      </c>
    </row>
    <row r="1868" customFormat="false" ht="15" hidden="false" customHeight="false" outlineLevel="0" collapsed="false">
      <c r="A1868" s="30"/>
      <c r="B1868" s="31"/>
      <c r="C1868" s="32"/>
      <c r="D1868" s="32"/>
      <c r="E1868" s="33"/>
      <c r="F1868" s="32"/>
      <c r="G1868" s="32"/>
      <c r="H1868" s="32"/>
      <c r="I1868" s="32"/>
      <c r="J1868" s="32"/>
      <c r="K1868" s="32"/>
      <c r="L1868" s="32"/>
      <c r="M1868" s="30"/>
      <c r="N1868" s="32"/>
      <c r="O1868" s="34"/>
      <c r="P1868" s="32"/>
      <c r="Q1868" s="32"/>
      <c r="R1868" s="32"/>
      <c r="S1868" s="32"/>
      <c r="T1868" s="32"/>
      <c r="U1868" s="32"/>
      <c r="V1868" s="31"/>
      <c r="W1868" s="35" t="str">
        <f aca="true">IF(OR(V1868="",AG1868&gt;=8),"",IF(V1868&lt;TODAY(),"Vencida",IF(V1868=TODAY(),"Hoy","")))</f>
        <v/>
      </c>
      <c r="X1868" s="36" t="str">
        <f aca="false">IF(A1868="","",IF(COUNTIF(Seguimiento!$B$2:$B$5001,A1868)=0,"",_xlfn.MAXIFS(Seguimiento!$A$2:$A$5001,Seguimiento!$B$2:$B$5001,A1868)))</f>
        <v/>
      </c>
      <c r="Y1868" s="37" t="str">
        <f aca="true">IF(B1868="","",TODAY()-B1868)</f>
        <v/>
      </c>
      <c r="Z1868" s="38" t="str">
        <f aca="false">IF(OR(O1868="",G1868=""),"",O1868*IFERROR(INDEX(Listas!$B$2:$B$50,MATCH(G1868,Listas!$A$2:$A$50,0)),0))</f>
        <v/>
      </c>
      <c r="AA1868" s="32"/>
      <c r="AB1868" s="32"/>
      <c r="AC1868" s="32"/>
      <c r="AD1868" s="35" t="str">
        <f aca="false">IF(OR(LEFT(H1868,4)="Meta",LEFT(H1868,6)="Google"),IF(AG1868=3,"Lead calificado",IF(OR(AG1868=4,AG1868=5),"Tasación/visita",IF(OR(AG1868=6,AG1868=7),"Captación/oferta",IF(AG1868=8,"Cierre","")))),"")</f>
        <v/>
      </c>
      <c r="AE1868" s="32"/>
      <c r="AF1868" s="32"/>
      <c r="AG1868" s="37" t="n">
        <f aca="false">IF(R1868="",0,IFERROR(MATCH(R1868,Listas!$L$2:$L$50,0),0))</f>
        <v>0</v>
      </c>
    </row>
    <row r="1869" customFormat="false" ht="15" hidden="false" customHeight="false" outlineLevel="0" collapsed="false">
      <c r="A1869" s="30"/>
      <c r="B1869" s="31"/>
      <c r="C1869" s="32"/>
      <c r="D1869" s="32"/>
      <c r="E1869" s="33"/>
      <c r="F1869" s="32"/>
      <c r="G1869" s="32"/>
      <c r="H1869" s="32"/>
      <c r="I1869" s="32"/>
      <c r="J1869" s="32"/>
      <c r="K1869" s="32"/>
      <c r="L1869" s="32"/>
      <c r="M1869" s="30"/>
      <c r="N1869" s="32"/>
      <c r="O1869" s="34"/>
      <c r="P1869" s="32"/>
      <c r="Q1869" s="32"/>
      <c r="R1869" s="32"/>
      <c r="S1869" s="32"/>
      <c r="T1869" s="32"/>
      <c r="U1869" s="32"/>
      <c r="V1869" s="31"/>
      <c r="W1869" s="35" t="str">
        <f aca="true">IF(OR(V1869="",AG1869&gt;=8),"",IF(V1869&lt;TODAY(),"Vencida",IF(V1869=TODAY(),"Hoy","")))</f>
        <v/>
      </c>
      <c r="X1869" s="36" t="str">
        <f aca="false">IF(A1869="","",IF(COUNTIF(Seguimiento!$B$2:$B$5001,A1869)=0,"",_xlfn.MAXIFS(Seguimiento!$A$2:$A$5001,Seguimiento!$B$2:$B$5001,A1869)))</f>
        <v/>
      </c>
      <c r="Y1869" s="37" t="str">
        <f aca="true">IF(B1869="","",TODAY()-B1869)</f>
        <v/>
      </c>
      <c r="Z1869" s="38" t="str">
        <f aca="false">IF(OR(O1869="",G1869=""),"",O1869*IFERROR(INDEX(Listas!$B$2:$B$50,MATCH(G1869,Listas!$A$2:$A$50,0)),0))</f>
        <v/>
      </c>
      <c r="AA1869" s="32"/>
      <c r="AB1869" s="32"/>
      <c r="AC1869" s="32"/>
      <c r="AD1869" s="35" t="str">
        <f aca="false">IF(OR(LEFT(H1869,4)="Meta",LEFT(H1869,6)="Google"),IF(AG1869=3,"Lead calificado",IF(OR(AG1869=4,AG1869=5),"Tasación/visita",IF(OR(AG1869=6,AG1869=7),"Captación/oferta",IF(AG1869=8,"Cierre","")))),"")</f>
        <v/>
      </c>
      <c r="AE1869" s="32"/>
      <c r="AF1869" s="32"/>
      <c r="AG1869" s="37" t="n">
        <f aca="false">IF(R1869="",0,IFERROR(MATCH(R1869,Listas!$L$2:$L$50,0),0))</f>
        <v>0</v>
      </c>
    </row>
    <row r="1870" customFormat="false" ht="15" hidden="false" customHeight="false" outlineLevel="0" collapsed="false">
      <c r="A1870" s="30"/>
      <c r="B1870" s="31"/>
      <c r="C1870" s="32"/>
      <c r="D1870" s="32"/>
      <c r="E1870" s="33"/>
      <c r="F1870" s="32"/>
      <c r="G1870" s="32"/>
      <c r="H1870" s="32"/>
      <c r="I1870" s="32"/>
      <c r="J1870" s="32"/>
      <c r="K1870" s="32"/>
      <c r="L1870" s="32"/>
      <c r="M1870" s="30"/>
      <c r="N1870" s="32"/>
      <c r="O1870" s="34"/>
      <c r="P1870" s="32"/>
      <c r="Q1870" s="32"/>
      <c r="R1870" s="32"/>
      <c r="S1870" s="32"/>
      <c r="T1870" s="32"/>
      <c r="U1870" s="32"/>
      <c r="V1870" s="31"/>
      <c r="W1870" s="35" t="str">
        <f aca="true">IF(OR(V1870="",AG1870&gt;=8),"",IF(V1870&lt;TODAY(),"Vencida",IF(V1870=TODAY(),"Hoy","")))</f>
        <v/>
      </c>
      <c r="X1870" s="36" t="str">
        <f aca="false">IF(A1870="","",IF(COUNTIF(Seguimiento!$B$2:$B$5001,A1870)=0,"",_xlfn.MAXIFS(Seguimiento!$A$2:$A$5001,Seguimiento!$B$2:$B$5001,A1870)))</f>
        <v/>
      </c>
      <c r="Y1870" s="37" t="str">
        <f aca="true">IF(B1870="","",TODAY()-B1870)</f>
        <v/>
      </c>
      <c r="Z1870" s="38" t="str">
        <f aca="false">IF(OR(O1870="",G1870=""),"",O1870*IFERROR(INDEX(Listas!$B$2:$B$50,MATCH(G1870,Listas!$A$2:$A$50,0)),0))</f>
        <v/>
      </c>
      <c r="AA1870" s="32"/>
      <c r="AB1870" s="32"/>
      <c r="AC1870" s="32"/>
      <c r="AD1870" s="35" t="str">
        <f aca="false">IF(OR(LEFT(H1870,4)="Meta",LEFT(H1870,6)="Google"),IF(AG1870=3,"Lead calificado",IF(OR(AG1870=4,AG1870=5),"Tasación/visita",IF(OR(AG1870=6,AG1870=7),"Captación/oferta",IF(AG1870=8,"Cierre","")))),"")</f>
        <v/>
      </c>
      <c r="AE1870" s="32"/>
      <c r="AF1870" s="32"/>
      <c r="AG1870" s="37" t="n">
        <f aca="false">IF(R1870="",0,IFERROR(MATCH(R1870,Listas!$L$2:$L$50,0),0))</f>
        <v>0</v>
      </c>
    </row>
    <row r="1871" customFormat="false" ht="15" hidden="false" customHeight="false" outlineLevel="0" collapsed="false">
      <c r="A1871" s="30"/>
      <c r="B1871" s="31"/>
      <c r="C1871" s="32"/>
      <c r="D1871" s="32"/>
      <c r="E1871" s="33"/>
      <c r="F1871" s="32"/>
      <c r="G1871" s="32"/>
      <c r="H1871" s="32"/>
      <c r="I1871" s="32"/>
      <c r="J1871" s="32"/>
      <c r="K1871" s="32"/>
      <c r="L1871" s="32"/>
      <c r="M1871" s="30"/>
      <c r="N1871" s="32"/>
      <c r="O1871" s="34"/>
      <c r="P1871" s="32"/>
      <c r="Q1871" s="32"/>
      <c r="R1871" s="32"/>
      <c r="S1871" s="32"/>
      <c r="T1871" s="32"/>
      <c r="U1871" s="32"/>
      <c r="V1871" s="31"/>
      <c r="W1871" s="35" t="str">
        <f aca="true">IF(OR(V1871="",AG1871&gt;=8),"",IF(V1871&lt;TODAY(),"Vencida",IF(V1871=TODAY(),"Hoy","")))</f>
        <v/>
      </c>
      <c r="X1871" s="36" t="str">
        <f aca="false">IF(A1871="","",IF(COUNTIF(Seguimiento!$B$2:$B$5001,A1871)=0,"",_xlfn.MAXIFS(Seguimiento!$A$2:$A$5001,Seguimiento!$B$2:$B$5001,A1871)))</f>
        <v/>
      </c>
      <c r="Y1871" s="37" t="str">
        <f aca="true">IF(B1871="","",TODAY()-B1871)</f>
        <v/>
      </c>
      <c r="Z1871" s="38" t="str">
        <f aca="false">IF(OR(O1871="",G1871=""),"",O1871*IFERROR(INDEX(Listas!$B$2:$B$50,MATCH(G1871,Listas!$A$2:$A$50,0)),0))</f>
        <v/>
      </c>
      <c r="AA1871" s="32"/>
      <c r="AB1871" s="32"/>
      <c r="AC1871" s="32"/>
      <c r="AD1871" s="35" t="str">
        <f aca="false">IF(OR(LEFT(H1871,4)="Meta",LEFT(H1871,6)="Google"),IF(AG1871=3,"Lead calificado",IF(OR(AG1871=4,AG1871=5),"Tasación/visita",IF(OR(AG1871=6,AG1871=7),"Captación/oferta",IF(AG1871=8,"Cierre","")))),"")</f>
        <v/>
      </c>
      <c r="AE1871" s="32"/>
      <c r="AF1871" s="32"/>
      <c r="AG1871" s="37" t="n">
        <f aca="false">IF(R1871="",0,IFERROR(MATCH(R1871,Listas!$L$2:$L$50,0),0))</f>
        <v>0</v>
      </c>
    </row>
    <row r="1872" customFormat="false" ht="15" hidden="false" customHeight="false" outlineLevel="0" collapsed="false">
      <c r="A1872" s="30"/>
      <c r="B1872" s="31"/>
      <c r="C1872" s="32"/>
      <c r="D1872" s="32"/>
      <c r="E1872" s="33"/>
      <c r="F1872" s="32"/>
      <c r="G1872" s="32"/>
      <c r="H1872" s="32"/>
      <c r="I1872" s="32"/>
      <c r="J1872" s="32"/>
      <c r="K1872" s="32"/>
      <c r="L1872" s="32"/>
      <c r="M1872" s="30"/>
      <c r="N1872" s="32"/>
      <c r="O1872" s="34"/>
      <c r="P1872" s="32"/>
      <c r="Q1872" s="32"/>
      <c r="R1872" s="32"/>
      <c r="S1872" s="32"/>
      <c r="T1872" s="32"/>
      <c r="U1872" s="32"/>
      <c r="V1872" s="31"/>
      <c r="W1872" s="35" t="str">
        <f aca="true">IF(OR(V1872="",AG1872&gt;=8),"",IF(V1872&lt;TODAY(),"Vencida",IF(V1872=TODAY(),"Hoy","")))</f>
        <v/>
      </c>
      <c r="X1872" s="36" t="str">
        <f aca="false">IF(A1872="","",IF(COUNTIF(Seguimiento!$B$2:$B$5001,A1872)=0,"",_xlfn.MAXIFS(Seguimiento!$A$2:$A$5001,Seguimiento!$B$2:$B$5001,A1872)))</f>
        <v/>
      </c>
      <c r="Y1872" s="37" t="str">
        <f aca="true">IF(B1872="","",TODAY()-B1872)</f>
        <v/>
      </c>
      <c r="Z1872" s="38" t="str">
        <f aca="false">IF(OR(O1872="",G1872=""),"",O1872*IFERROR(INDEX(Listas!$B$2:$B$50,MATCH(G1872,Listas!$A$2:$A$50,0)),0))</f>
        <v/>
      </c>
      <c r="AA1872" s="32"/>
      <c r="AB1872" s="32"/>
      <c r="AC1872" s="32"/>
      <c r="AD1872" s="35" t="str">
        <f aca="false">IF(OR(LEFT(H1872,4)="Meta",LEFT(H1872,6)="Google"),IF(AG1872=3,"Lead calificado",IF(OR(AG1872=4,AG1872=5),"Tasación/visita",IF(OR(AG1872=6,AG1872=7),"Captación/oferta",IF(AG1872=8,"Cierre","")))),"")</f>
        <v/>
      </c>
      <c r="AE1872" s="32"/>
      <c r="AF1872" s="32"/>
      <c r="AG1872" s="37" t="n">
        <f aca="false">IF(R1872="",0,IFERROR(MATCH(R1872,Listas!$L$2:$L$50,0),0))</f>
        <v>0</v>
      </c>
    </row>
    <row r="1873" customFormat="false" ht="15" hidden="false" customHeight="false" outlineLevel="0" collapsed="false">
      <c r="A1873" s="30"/>
      <c r="B1873" s="31"/>
      <c r="C1873" s="32"/>
      <c r="D1873" s="32"/>
      <c r="E1873" s="33"/>
      <c r="F1873" s="32"/>
      <c r="G1873" s="32"/>
      <c r="H1873" s="32"/>
      <c r="I1873" s="32"/>
      <c r="J1873" s="32"/>
      <c r="K1873" s="32"/>
      <c r="L1873" s="32"/>
      <c r="M1873" s="30"/>
      <c r="N1873" s="32"/>
      <c r="O1873" s="34"/>
      <c r="P1873" s="32"/>
      <c r="Q1873" s="32"/>
      <c r="R1873" s="32"/>
      <c r="S1873" s="32"/>
      <c r="T1873" s="32"/>
      <c r="U1873" s="32"/>
      <c r="V1873" s="31"/>
      <c r="W1873" s="35" t="str">
        <f aca="true">IF(OR(V1873="",AG1873&gt;=8),"",IF(V1873&lt;TODAY(),"Vencida",IF(V1873=TODAY(),"Hoy","")))</f>
        <v/>
      </c>
      <c r="X1873" s="36" t="str">
        <f aca="false">IF(A1873="","",IF(COUNTIF(Seguimiento!$B$2:$B$5001,A1873)=0,"",_xlfn.MAXIFS(Seguimiento!$A$2:$A$5001,Seguimiento!$B$2:$B$5001,A1873)))</f>
        <v/>
      </c>
      <c r="Y1873" s="37" t="str">
        <f aca="true">IF(B1873="","",TODAY()-B1873)</f>
        <v/>
      </c>
      <c r="Z1873" s="38" t="str">
        <f aca="false">IF(OR(O1873="",G1873=""),"",O1873*IFERROR(INDEX(Listas!$B$2:$B$50,MATCH(G1873,Listas!$A$2:$A$50,0)),0))</f>
        <v/>
      </c>
      <c r="AA1873" s="32"/>
      <c r="AB1873" s="32"/>
      <c r="AC1873" s="32"/>
      <c r="AD1873" s="35" t="str">
        <f aca="false">IF(OR(LEFT(H1873,4)="Meta",LEFT(H1873,6)="Google"),IF(AG1873=3,"Lead calificado",IF(OR(AG1873=4,AG1873=5),"Tasación/visita",IF(OR(AG1873=6,AG1873=7),"Captación/oferta",IF(AG1873=8,"Cierre","")))),"")</f>
        <v/>
      </c>
      <c r="AE1873" s="32"/>
      <c r="AF1873" s="32"/>
      <c r="AG1873" s="37" t="n">
        <f aca="false">IF(R1873="",0,IFERROR(MATCH(R1873,Listas!$L$2:$L$50,0),0))</f>
        <v>0</v>
      </c>
    </row>
    <row r="1874" customFormat="false" ht="15" hidden="false" customHeight="false" outlineLevel="0" collapsed="false">
      <c r="A1874" s="30"/>
      <c r="B1874" s="31"/>
      <c r="C1874" s="32"/>
      <c r="D1874" s="32"/>
      <c r="E1874" s="33"/>
      <c r="F1874" s="32"/>
      <c r="G1874" s="32"/>
      <c r="H1874" s="32"/>
      <c r="I1874" s="32"/>
      <c r="J1874" s="32"/>
      <c r="K1874" s="32"/>
      <c r="L1874" s="32"/>
      <c r="M1874" s="30"/>
      <c r="N1874" s="32"/>
      <c r="O1874" s="34"/>
      <c r="P1874" s="32"/>
      <c r="Q1874" s="32"/>
      <c r="R1874" s="32"/>
      <c r="S1874" s="32"/>
      <c r="T1874" s="32"/>
      <c r="U1874" s="32"/>
      <c r="V1874" s="31"/>
      <c r="W1874" s="35" t="str">
        <f aca="true">IF(OR(V1874="",AG1874&gt;=8),"",IF(V1874&lt;TODAY(),"Vencida",IF(V1874=TODAY(),"Hoy","")))</f>
        <v/>
      </c>
      <c r="X1874" s="36" t="str">
        <f aca="false">IF(A1874="","",IF(COUNTIF(Seguimiento!$B$2:$B$5001,A1874)=0,"",_xlfn.MAXIFS(Seguimiento!$A$2:$A$5001,Seguimiento!$B$2:$B$5001,A1874)))</f>
        <v/>
      </c>
      <c r="Y1874" s="37" t="str">
        <f aca="true">IF(B1874="","",TODAY()-B1874)</f>
        <v/>
      </c>
      <c r="Z1874" s="38" t="str">
        <f aca="false">IF(OR(O1874="",G1874=""),"",O1874*IFERROR(INDEX(Listas!$B$2:$B$50,MATCH(G1874,Listas!$A$2:$A$50,0)),0))</f>
        <v/>
      </c>
      <c r="AA1874" s="32"/>
      <c r="AB1874" s="32"/>
      <c r="AC1874" s="32"/>
      <c r="AD1874" s="35" t="str">
        <f aca="false">IF(OR(LEFT(H1874,4)="Meta",LEFT(H1874,6)="Google"),IF(AG1874=3,"Lead calificado",IF(OR(AG1874=4,AG1874=5),"Tasación/visita",IF(OR(AG1874=6,AG1874=7),"Captación/oferta",IF(AG1874=8,"Cierre","")))),"")</f>
        <v/>
      </c>
      <c r="AE1874" s="32"/>
      <c r="AF1874" s="32"/>
      <c r="AG1874" s="37" t="n">
        <f aca="false">IF(R1874="",0,IFERROR(MATCH(R1874,Listas!$L$2:$L$50,0),0))</f>
        <v>0</v>
      </c>
    </row>
    <row r="1875" customFormat="false" ht="15" hidden="false" customHeight="false" outlineLevel="0" collapsed="false">
      <c r="A1875" s="30"/>
      <c r="B1875" s="31"/>
      <c r="C1875" s="32"/>
      <c r="D1875" s="32"/>
      <c r="E1875" s="33"/>
      <c r="F1875" s="32"/>
      <c r="G1875" s="32"/>
      <c r="H1875" s="32"/>
      <c r="I1875" s="32"/>
      <c r="J1875" s="32"/>
      <c r="K1875" s="32"/>
      <c r="L1875" s="32"/>
      <c r="M1875" s="30"/>
      <c r="N1875" s="32"/>
      <c r="O1875" s="34"/>
      <c r="P1875" s="32"/>
      <c r="Q1875" s="32"/>
      <c r="R1875" s="32"/>
      <c r="S1875" s="32"/>
      <c r="T1875" s="32"/>
      <c r="U1875" s="32"/>
      <c r="V1875" s="31"/>
      <c r="W1875" s="35" t="str">
        <f aca="true">IF(OR(V1875="",AG1875&gt;=8),"",IF(V1875&lt;TODAY(),"Vencida",IF(V1875=TODAY(),"Hoy","")))</f>
        <v/>
      </c>
      <c r="X1875" s="36" t="str">
        <f aca="false">IF(A1875="","",IF(COUNTIF(Seguimiento!$B$2:$B$5001,A1875)=0,"",_xlfn.MAXIFS(Seguimiento!$A$2:$A$5001,Seguimiento!$B$2:$B$5001,A1875)))</f>
        <v/>
      </c>
      <c r="Y1875" s="37" t="str">
        <f aca="true">IF(B1875="","",TODAY()-B1875)</f>
        <v/>
      </c>
      <c r="Z1875" s="38" t="str">
        <f aca="false">IF(OR(O1875="",G1875=""),"",O1875*IFERROR(INDEX(Listas!$B$2:$B$50,MATCH(G1875,Listas!$A$2:$A$50,0)),0))</f>
        <v/>
      </c>
      <c r="AA1875" s="32"/>
      <c r="AB1875" s="32"/>
      <c r="AC1875" s="32"/>
      <c r="AD1875" s="35" t="str">
        <f aca="false">IF(OR(LEFT(H1875,4)="Meta",LEFT(H1875,6)="Google"),IF(AG1875=3,"Lead calificado",IF(OR(AG1875=4,AG1875=5),"Tasación/visita",IF(OR(AG1875=6,AG1875=7),"Captación/oferta",IF(AG1875=8,"Cierre","")))),"")</f>
        <v/>
      </c>
      <c r="AE1875" s="32"/>
      <c r="AF1875" s="32"/>
      <c r="AG1875" s="37" t="n">
        <f aca="false">IF(R1875="",0,IFERROR(MATCH(R1875,Listas!$L$2:$L$50,0),0))</f>
        <v>0</v>
      </c>
    </row>
    <row r="1876" customFormat="false" ht="15" hidden="false" customHeight="false" outlineLevel="0" collapsed="false">
      <c r="A1876" s="30"/>
      <c r="B1876" s="31"/>
      <c r="C1876" s="32"/>
      <c r="D1876" s="32"/>
      <c r="E1876" s="33"/>
      <c r="F1876" s="32"/>
      <c r="G1876" s="32"/>
      <c r="H1876" s="32"/>
      <c r="I1876" s="32"/>
      <c r="J1876" s="32"/>
      <c r="K1876" s="32"/>
      <c r="L1876" s="32"/>
      <c r="M1876" s="30"/>
      <c r="N1876" s="32"/>
      <c r="O1876" s="34"/>
      <c r="P1876" s="32"/>
      <c r="Q1876" s="32"/>
      <c r="R1876" s="32"/>
      <c r="S1876" s="32"/>
      <c r="T1876" s="32"/>
      <c r="U1876" s="32"/>
      <c r="V1876" s="31"/>
      <c r="W1876" s="35" t="str">
        <f aca="true">IF(OR(V1876="",AG1876&gt;=8),"",IF(V1876&lt;TODAY(),"Vencida",IF(V1876=TODAY(),"Hoy","")))</f>
        <v/>
      </c>
      <c r="X1876" s="36" t="str">
        <f aca="false">IF(A1876="","",IF(COUNTIF(Seguimiento!$B$2:$B$5001,A1876)=0,"",_xlfn.MAXIFS(Seguimiento!$A$2:$A$5001,Seguimiento!$B$2:$B$5001,A1876)))</f>
        <v/>
      </c>
      <c r="Y1876" s="37" t="str">
        <f aca="true">IF(B1876="","",TODAY()-B1876)</f>
        <v/>
      </c>
      <c r="Z1876" s="38" t="str">
        <f aca="false">IF(OR(O1876="",G1876=""),"",O1876*IFERROR(INDEX(Listas!$B$2:$B$50,MATCH(G1876,Listas!$A$2:$A$50,0)),0))</f>
        <v/>
      </c>
      <c r="AA1876" s="32"/>
      <c r="AB1876" s="32"/>
      <c r="AC1876" s="32"/>
      <c r="AD1876" s="35" t="str">
        <f aca="false">IF(OR(LEFT(H1876,4)="Meta",LEFT(H1876,6)="Google"),IF(AG1876=3,"Lead calificado",IF(OR(AG1876=4,AG1876=5),"Tasación/visita",IF(OR(AG1876=6,AG1876=7),"Captación/oferta",IF(AG1876=8,"Cierre","")))),"")</f>
        <v/>
      </c>
      <c r="AE1876" s="32"/>
      <c r="AF1876" s="32"/>
      <c r="AG1876" s="37" t="n">
        <f aca="false">IF(R1876="",0,IFERROR(MATCH(R1876,Listas!$L$2:$L$50,0),0))</f>
        <v>0</v>
      </c>
    </row>
    <row r="1877" customFormat="false" ht="15" hidden="false" customHeight="false" outlineLevel="0" collapsed="false">
      <c r="A1877" s="30"/>
      <c r="B1877" s="31"/>
      <c r="C1877" s="32"/>
      <c r="D1877" s="32"/>
      <c r="E1877" s="33"/>
      <c r="F1877" s="32"/>
      <c r="G1877" s="32"/>
      <c r="H1877" s="32"/>
      <c r="I1877" s="32"/>
      <c r="J1877" s="32"/>
      <c r="K1877" s="32"/>
      <c r="L1877" s="32"/>
      <c r="M1877" s="30"/>
      <c r="N1877" s="32"/>
      <c r="O1877" s="34"/>
      <c r="P1877" s="32"/>
      <c r="Q1877" s="32"/>
      <c r="R1877" s="32"/>
      <c r="S1877" s="32"/>
      <c r="T1877" s="32"/>
      <c r="U1877" s="32"/>
      <c r="V1877" s="31"/>
      <c r="W1877" s="35" t="str">
        <f aca="true">IF(OR(V1877="",AG1877&gt;=8),"",IF(V1877&lt;TODAY(),"Vencida",IF(V1877=TODAY(),"Hoy","")))</f>
        <v/>
      </c>
      <c r="X1877" s="36" t="str">
        <f aca="false">IF(A1877="","",IF(COUNTIF(Seguimiento!$B$2:$B$5001,A1877)=0,"",_xlfn.MAXIFS(Seguimiento!$A$2:$A$5001,Seguimiento!$B$2:$B$5001,A1877)))</f>
        <v/>
      </c>
      <c r="Y1877" s="37" t="str">
        <f aca="true">IF(B1877="","",TODAY()-B1877)</f>
        <v/>
      </c>
      <c r="Z1877" s="38" t="str">
        <f aca="false">IF(OR(O1877="",G1877=""),"",O1877*IFERROR(INDEX(Listas!$B$2:$B$50,MATCH(G1877,Listas!$A$2:$A$50,0)),0))</f>
        <v/>
      </c>
      <c r="AA1877" s="32"/>
      <c r="AB1877" s="32"/>
      <c r="AC1877" s="32"/>
      <c r="AD1877" s="35" t="str">
        <f aca="false">IF(OR(LEFT(H1877,4)="Meta",LEFT(H1877,6)="Google"),IF(AG1877=3,"Lead calificado",IF(OR(AG1877=4,AG1877=5),"Tasación/visita",IF(OR(AG1877=6,AG1877=7),"Captación/oferta",IF(AG1877=8,"Cierre","")))),"")</f>
        <v/>
      </c>
      <c r="AE1877" s="32"/>
      <c r="AF1877" s="32"/>
      <c r="AG1877" s="37" t="n">
        <f aca="false">IF(R1877="",0,IFERROR(MATCH(R1877,Listas!$L$2:$L$50,0),0))</f>
        <v>0</v>
      </c>
    </row>
    <row r="1878" customFormat="false" ht="15" hidden="false" customHeight="false" outlineLevel="0" collapsed="false">
      <c r="A1878" s="30"/>
      <c r="B1878" s="31"/>
      <c r="C1878" s="32"/>
      <c r="D1878" s="32"/>
      <c r="E1878" s="33"/>
      <c r="F1878" s="32"/>
      <c r="G1878" s="32"/>
      <c r="H1878" s="32"/>
      <c r="I1878" s="32"/>
      <c r="J1878" s="32"/>
      <c r="K1878" s="32"/>
      <c r="L1878" s="32"/>
      <c r="M1878" s="30"/>
      <c r="N1878" s="32"/>
      <c r="O1878" s="34"/>
      <c r="P1878" s="32"/>
      <c r="Q1878" s="32"/>
      <c r="R1878" s="32"/>
      <c r="S1878" s="32"/>
      <c r="T1878" s="32"/>
      <c r="U1878" s="32"/>
      <c r="V1878" s="31"/>
      <c r="W1878" s="35" t="str">
        <f aca="true">IF(OR(V1878="",AG1878&gt;=8),"",IF(V1878&lt;TODAY(),"Vencida",IF(V1878=TODAY(),"Hoy","")))</f>
        <v/>
      </c>
      <c r="X1878" s="36" t="str">
        <f aca="false">IF(A1878="","",IF(COUNTIF(Seguimiento!$B$2:$B$5001,A1878)=0,"",_xlfn.MAXIFS(Seguimiento!$A$2:$A$5001,Seguimiento!$B$2:$B$5001,A1878)))</f>
        <v/>
      </c>
      <c r="Y1878" s="37" t="str">
        <f aca="true">IF(B1878="","",TODAY()-B1878)</f>
        <v/>
      </c>
      <c r="Z1878" s="38" t="str">
        <f aca="false">IF(OR(O1878="",G1878=""),"",O1878*IFERROR(INDEX(Listas!$B$2:$B$50,MATCH(G1878,Listas!$A$2:$A$50,0)),0))</f>
        <v/>
      </c>
      <c r="AA1878" s="32"/>
      <c r="AB1878" s="32"/>
      <c r="AC1878" s="32"/>
      <c r="AD1878" s="35" t="str">
        <f aca="false">IF(OR(LEFT(H1878,4)="Meta",LEFT(H1878,6)="Google"),IF(AG1878=3,"Lead calificado",IF(OR(AG1878=4,AG1878=5),"Tasación/visita",IF(OR(AG1878=6,AG1878=7),"Captación/oferta",IF(AG1878=8,"Cierre","")))),"")</f>
        <v/>
      </c>
      <c r="AE1878" s="32"/>
      <c r="AF1878" s="32"/>
      <c r="AG1878" s="37" t="n">
        <f aca="false">IF(R1878="",0,IFERROR(MATCH(R1878,Listas!$L$2:$L$50,0),0))</f>
        <v>0</v>
      </c>
    </row>
    <row r="1879" customFormat="false" ht="15" hidden="false" customHeight="false" outlineLevel="0" collapsed="false">
      <c r="A1879" s="30"/>
      <c r="B1879" s="31"/>
      <c r="C1879" s="32"/>
      <c r="D1879" s="32"/>
      <c r="E1879" s="33"/>
      <c r="F1879" s="32"/>
      <c r="G1879" s="32"/>
      <c r="H1879" s="32"/>
      <c r="I1879" s="32"/>
      <c r="J1879" s="32"/>
      <c r="K1879" s="32"/>
      <c r="L1879" s="32"/>
      <c r="M1879" s="30"/>
      <c r="N1879" s="32"/>
      <c r="O1879" s="34"/>
      <c r="P1879" s="32"/>
      <c r="Q1879" s="32"/>
      <c r="R1879" s="32"/>
      <c r="S1879" s="32"/>
      <c r="T1879" s="32"/>
      <c r="U1879" s="32"/>
      <c r="V1879" s="31"/>
      <c r="W1879" s="35" t="str">
        <f aca="true">IF(OR(V1879="",AG1879&gt;=8),"",IF(V1879&lt;TODAY(),"Vencida",IF(V1879=TODAY(),"Hoy","")))</f>
        <v/>
      </c>
      <c r="X1879" s="36" t="str">
        <f aca="false">IF(A1879="","",IF(COUNTIF(Seguimiento!$B$2:$B$5001,A1879)=0,"",_xlfn.MAXIFS(Seguimiento!$A$2:$A$5001,Seguimiento!$B$2:$B$5001,A1879)))</f>
        <v/>
      </c>
      <c r="Y1879" s="37" t="str">
        <f aca="true">IF(B1879="","",TODAY()-B1879)</f>
        <v/>
      </c>
      <c r="Z1879" s="38" t="str">
        <f aca="false">IF(OR(O1879="",G1879=""),"",O1879*IFERROR(INDEX(Listas!$B$2:$B$50,MATCH(G1879,Listas!$A$2:$A$50,0)),0))</f>
        <v/>
      </c>
      <c r="AA1879" s="32"/>
      <c r="AB1879" s="32"/>
      <c r="AC1879" s="32"/>
      <c r="AD1879" s="35" t="str">
        <f aca="false">IF(OR(LEFT(H1879,4)="Meta",LEFT(H1879,6)="Google"),IF(AG1879=3,"Lead calificado",IF(OR(AG1879=4,AG1879=5),"Tasación/visita",IF(OR(AG1879=6,AG1879=7),"Captación/oferta",IF(AG1879=8,"Cierre","")))),"")</f>
        <v/>
      </c>
      <c r="AE1879" s="32"/>
      <c r="AF1879" s="32"/>
      <c r="AG1879" s="37" t="n">
        <f aca="false">IF(R1879="",0,IFERROR(MATCH(R1879,Listas!$L$2:$L$50,0),0))</f>
        <v>0</v>
      </c>
    </row>
    <row r="1880" customFormat="false" ht="15" hidden="false" customHeight="false" outlineLevel="0" collapsed="false">
      <c r="A1880" s="30"/>
      <c r="B1880" s="31"/>
      <c r="C1880" s="32"/>
      <c r="D1880" s="32"/>
      <c r="E1880" s="33"/>
      <c r="F1880" s="32"/>
      <c r="G1880" s="32"/>
      <c r="H1880" s="32"/>
      <c r="I1880" s="32"/>
      <c r="J1880" s="32"/>
      <c r="K1880" s="32"/>
      <c r="L1880" s="32"/>
      <c r="M1880" s="30"/>
      <c r="N1880" s="32"/>
      <c r="O1880" s="34"/>
      <c r="P1880" s="32"/>
      <c r="Q1880" s="32"/>
      <c r="R1880" s="32"/>
      <c r="S1880" s="32"/>
      <c r="T1880" s="32"/>
      <c r="U1880" s="32"/>
      <c r="V1880" s="31"/>
      <c r="W1880" s="35" t="str">
        <f aca="true">IF(OR(V1880="",AG1880&gt;=8),"",IF(V1880&lt;TODAY(),"Vencida",IF(V1880=TODAY(),"Hoy","")))</f>
        <v/>
      </c>
      <c r="X1880" s="36" t="str">
        <f aca="false">IF(A1880="","",IF(COUNTIF(Seguimiento!$B$2:$B$5001,A1880)=0,"",_xlfn.MAXIFS(Seguimiento!$A$2:$A$5001,Seguimiento!$B$2:$B$5001,A1880)))</f>
        <v/>
      </c>
      <c r="Y1880" s="37" t="str">
        <f aca="true">IF(B1880="","",TODAY()-B1880)</f>
        <v/>
      </c>
      <c r="Z1880" s="38" t="str">
        <f aca="false">IF(OR(O1880="",G1880=""),"",O1880*IFERROR(INDEX(Listas!$B$2:$B$50,MATCH(G1880,Listas!$A$2:$A$50,0)),0))</f>
        <v/>
      </c>
      <c r="AA1880" s="32"/>
      <c r="AB1880" s="32"/>
      <c r="AC1880" s="32"/>
      <c r="AD1880" s="35" t="str">
        <f aca="false">IF(OR(LEFT(H1880,4)="Meta",LEFT(H1880,6)="Google"),IF(AG1880=3,"Lead calificado",IF(OR(AG1880=4,AG1880=5),"Tasación/visita",IF(OR(AG1880=6,AG1880=7),"Captación/oferta",IF(AG1880=8,"Cierre","")))),"")</f>
        <v/>
      </c>
      <c r="AE1880" s="32"/>
      <c r="AF1880" s="32"/>
      <c r="AG1880" s="37" t="n">
        <f aca="false">IF(R1880="",0,IFERROR(MATCH(R1880,Listas!$L$2:$L$50,0),0))</f>
        <v>0</v>
      </c>
    </row>
    <row r="1881" customFormat="false" ht="15" hidden="false" customHeight="false" outlineLevel="0" collapsed="false">
      <c r="A1881" s="30"/>
      <c r="B1881" s="31"/>
      <c r="C1881" s="32"/>
      <c r="D1881" s="32"/>
      <c r="E1881" s="33"/>
      <c r="F1881" s="32"/>
      <c r="G1881" s="32"/>
      <c r="H1881" s="32"/>
      <c r="I1881" s="32"/>
      <c r="J1881" s="32"/>
      <c r="K1881" s="32"/>
      <c r="L1881" s="32"/>
      <c r="M1881" s="30"/>
      <c r="N1881" s="32"/>
      <c r="O1881" s="34"/>
      <c r="P1881" s="32"/>
      <c r="Q1881" s="32"/>
      <c r="R1881" s="32"/>
      <c r="S1881" s="32"/>
      <c r="T1881" s="32"/>
      <c r="U1881" s="32"/>
      <c r="V1881" s="31"/>
      <c r="W1881" s="35" t="str">
        <f aca="true">IF(OR(V1881="",AG1881&gt;=8),"",IF(V1881&lt;TODAY(),"Vencida",IF(V1881=TODAY(),"Hoy","")))</f>
        <v/>
      </c>
      <c r="X1881" s="36" t="str">
        <f aca="false">IF(A1881="","",IF(COUNTIF(Seguimiento!$B$2:$B$5001,A1881)=0,"",_xlfn.MAXIFS(Seguimiento!$A$2:$A$5001,Seguimiento!$B$2:$B$5001,A1881)))</f>
        <v/>
      </c>
      <c r="Y1881" s="37" t="str">
        <f aca="true">IF(B1881="","",TODAY()-B1881)</f>
        <v/>
      </c>
      <c r="Z1881" s="38" t="str">
        <f aca="false">IF(OR(O1881="",G1881=""),"",O1881*IFERROR(INDEX(Listas!$B$2:$B$50,MATCH(G1881,Listas!$A$2:$A$50,0)),0))</f>
        <v/>
      </c>
      <c r="AA1881" s="32"/>
      <c r="AB1881" s="32"/>
      <c r="AC1881" s="32"/>
      <c r="AD1881" s="35" t="str">
        <f aca="false">IF(OR(LEFT(H1881,4)="Meta",LEFT(H1881,6)="Google"),IF(AG1881=3,"Lead calificado",IF(OR(AG1881=4,AG1881=5),"Tasación/visita",IF(OR(AG1881=6,AG1881=7),"Captación/oferta",IF(AG1881=8,"Cierre","")))),"")</f>
        <v/>
      </c>
      <c r="AE1881" s="32"/>
      <c r="AF1881" s="32"/>
      <c r="AG1881" s="37" t="n">
        <f aca="false">IF(R1881="",0,IFERROR(MATCH(R1881,Listas!$L$2:$L$50,0),0))</f>
        <v>0</v>
      </c>
    </row>
    <row r="1882" customFormat="false" ht="15" hidden="false" customHeight="false" outlineLevel="0" collapsed="false">
      <c r="A1882" s="30"/>
      <c r="B1882" s="31"/>
      <c r="C1882" s="32"/>
      <c r="D1882" s="32"/>
      <c r="E1882" s="33"/>
      <c r="F1882" s="32"/>
      <c r="G1882" s="32"/>
      <c r="H1882" s="32"/>
      <c r="I1882" s="32"/>
      <c r="J1882" s="32"/>
      <c r="K1882" s="32"/>
      <c r="L1882" s="32"/>
      <c r="M1882" s="30"/>
      <c r="N1882" s="32"/>
      <c r="O1882" s="34"/>
      <c r="P1882" s="32"/>
      <c r="Q1882" s="32"/>
      <c r="R1882" s="32"/>
      <c r="S1882" s="32"/>
      <c r="T1882" s="32"/>
      <c r="U1882" s="32"/>
      <c r="V1882" s="31"/>
      <c r="W1882" s="35" t="str">
        <f aca="true">IF(OR(V1882="",AG1882&gt;=8),"",IF(V1882&lt;TODAY(),"Vencida",IF(V1882=TODAY(),"Hoy","")))</f>
        <v/>
      </c>
      <c r="X1882" s="36" t="str">
        <f aca="false">IF(A1882="","",IF(COUNTIF(Seguimiento!$B$2:$B$5001,A1882)=0,"",_xlfn.MAXIFS(Seguimiento!$A$2:$A$5001,Seguimiento!$B$2:$B$5001,A1882)))</f>
        <v/>
      </c>
      <c r="Y1882" s="37" t="str">
        <f aca="true">IF(B1882="","",TODAY()-B1882)</f>
        <v/>
      </c>
      <c r="Z1882" s="38" t="str">
        <f aca="false">IF(OR(O1882="",G1882=""),"",O1882*IFERROR(INDEX(Listas!$B$2:$B$50,MATCH(G1882,Listas!$A$2:$A$50,0)),0))</f>
        <v/>
      </c>
      <c r="AA1882" s="32"/>
      <c r="AB1882" s="32"/>
      <c r="AC1882" s="32"/>
      <c r="AD1882" s="35" t="str">
        <f aca="false">IF(OR(LEFT(H1882,4)="Meta",LEFT(H1882,6)="Google"),IF(AG1882=3,"Lead calificado",IF(OR(AG1882=4,AG1882=5),"Tasación/visita",IF(OR(AG1882=6,AG1882=7),"Captación/oferta",IF(AG1882=8,"Cierre","")))),"")</f>
        <v/>
      </c>
      <c r="AE1882" s="32"/>
      <c r="AF1882" s="32"/>
      <c r="AG1882" s="37" t="n">
        <f aca="false">IF(R1882="",0,IFERROR(MATCH(R1882,Listas!$L$2:$L$50,0),0))</f>
        <v>0</v>
      </c>
    </row>
    <row r="1883" customFormat="false" ht="15" hidden="false" customHeight="false" outlineLevel="0" collapsed="false">
      <c r="A1883" s="30"/>
      <c r="B1883" s="31"/>
      <c r="C1883" s="32"/>
      <c r="D1883" s="32"/>
      <c r="E1883" s="33"/>
      <c r="F1883" s="32"/>
      <c r="G1883" s="32"/>
      <c r="H1883" s="32"/>
      <c r="I1883" s="32"/>
      <c r="J1883" s="32"/>
      <c r="K1883" s="32"/>
      <c r="L1883" s="32"/>
      <c r="M1883" s="30"/>
      <c r="N1883" s="32"/>
      <c r="O1883" s="34"/>
      <c r="P1883" s="32"/>
      <c r="Q1883" s="32"/>
      <c r="R1883" s="32"/>
      <c r="S1883" s="32"/>
      <c r="T1883" s="32"/>
      <c r="U1883" s="32"/>
      <c r="V1883" s="31"/>
      <c r="W1883" s="35" t="str">
        <f aca="true">IF(OR(V1883="",AG1883&gt;=8),"",IF(V1883&lt;TODAY(),"Vencida",IF(V1883=TODAY(),"Hoy","")))</f>
        <v/>
      </c>
      <c r="X1883" s="36" t="str">
        <f aca="false">IF(A1883="","",IF(COUNTIF(Seguimiento!$B$2:$B$5001,A1883)=0,"",_xlfn.MAXIFS(Seguimiento!$A$2:$A$5001,Seguimiento!$B$2:$B$5001,A1883)))</f>
        <v/>
      </c>
      <c r="Y1883" s="37" t="str">
        <f aca="true">IF(B1883="","",TODAY()-B1883)</f>
        <v/>
      </c>
      <c r="Z1883" s="38" t="str">
        <f aca="false">IF(OR(O1883="",G1883=""),"",O1883*IFERROR(INDEX(Listas!$B$2:$B$50,MATCH(G1883,Listas!$A$2:$A$50,0)),0))</f>
        <v/>
      </c>
      <c r="AA1883" s="32"/>
      <c r="AB1883" s="32"/>
      <c r="AC1883" s="32"/>
      <c r="AD1883" s="35" t="str">
        <f aca="false">IF(OR(LEFT(H1883,4)="Meta",LEFT(H1883,6)="Google"),IF(AG1883=3,"Lead calificado",IF(OR(AG1883=4,AG1883=5),"Tasación/visita",IF(OR(AG1883=6,AG1883=7),"Captación/oferta",IF(AG1883=8,"Cierre","")))),"")</f>
        <v/>
      </c>
      <c r="AE1883" s="32"/>
      <c r="AF1883" s="32"/>
      <c r="AG1883" s="37" t="n">
        <f aca="false">IF(R1883="",0,IFERROR(MATCH(R1883,Listas!$L$2:$L$50,0),0))</f>
        <v>0</v>
      </c>
    </row>
    <row r="1884" customFormat="false" ht="15" hidden="false" customHeight="false" outlineLevel="0" collapsed="false">
      <c r="A1884" s="30"/>
      <c r="B1884" s="31"/>
      <c r="C1884" s="32"/>
      <c r="D1884" s="32"/>
      <c r="E1884" s="33"/>
      <c r="F1884" s="32"/>
      <c r="G1884" s="32"/>
      <c r="H1884" s="32"/>
      <c r="I1884" s="32"/>
      <c r="J1884" s="32"/>
      <c r="K1884" s="32"/>
      <c r="L1884" s="32"/>
      <c r="M1884" s="30"/>
      <c r="N1884" s="32"/>
      <c r="O1884" s="34"/>
      <c r="P1884" s="32"/>
      <c r="Q1884" s="32"/>
      <c r="R1884" s="32"/>
      <c r="S1884" s="32"/>
      <c r="T1884" s="32"/>
      <c r="U1884" s="32"/>
      <c r="V1884" s="31"/>
      <c r="W1884" s="35" t="str">
        <f aca="true">IF(OR(V1884="",AG1884&gt;=8),"",IF(V1884&lt;TODAY(),"Vencida",IF(V1884=TODAY(),"Hoy","")))</f>
        <v/>
      </c>
      <c r="X1884" s="36" t="str">
        <f aca="false">IF(A1884="","",IF(COUNTIF(Seguimiento!$B$2:$B$5001,A1884)=0,"",_xlfn.MAXIFS(Seguimiento!$A$2:$A$5001,Seguimiento!$B$2:$B$5001,A1884)))</f>
        <v/>
      </c>
      <c r="Y1884" s="37" t="str">
        <f aca="true">IF(B1884="","",TODAY()-B1884)</f>
        <v/>
      </c>
      <c r="Z1884" s="38" t="str">
        <f aca="false">IF(OR(O1884="",G1884=""),"",O1884*IFERROR(INDEX(Listas!$B$2:$B$50,MATCH(G1884,Listas!$A$2:$A$50,0)),0))</f>
        <v/>
      </c>
      <c r="AA1884" s="32"/>
      <c r="AB1884" s="32"/>
      <c r="AC1884" s="32"/>
      <c r="AD1884" s="35" t="str">
        <f aca="false">IF(OR(LEFT(H1884,4)="Meta",LEFT(H1884,6)="Google"),IF(AG1884=3,"Lead calificado",IF(OR(AG1884=4,AG1884=5),"Tasación/visita",IF(OR(AG1884=6,AG1884=7),"Captación/oferta",IF(AG1884=8,"Cierre","")))),"")</f>
        <v/>
      </c>
      <c r="AE1884" s="32"/>
      <c r="AF1884" s="32"/>
      <c r="AG1884" s="37" t="n">
        <f aca="false">IF(R1884="",0,IFERROR(MATCH(R1884,Listas!$L$2:$L$50,0),0))</f>
        <v>0</v>
      </c>
    </row>
    <row r="1885" customFormat="false" ht="15" hidden="false" customHeight="false" outlineLevel="0" collapsed="false">
      <c r="A1885" s="30"/>
      <c r="B1885" s="31"/>
      <c r="C1885" s="32"/>
      <c r="D1885" s="32"/>
      <c r="E1885" s="33"/>
      <c r="F1885" s="32"/>
      <c r="G1885" s="32"/>
      <c r="H1885" s="32"/>
      <c r="I1885" s="32"/>
      <c r="J1885" s="32"/>
      <c r="K1885" s="32"/>
      <c r="L1885" s="32"/>
      <c r="M1885" s="30"/>
      <c r="N1885" s="32"/>
      <c r="O1885" s="34"/>
      <c r="P1885" s="32"/>
      <c r="Q1885" s="32"/>
      <c r="R1885" s="32"/>
      <c r="S1885" s="32"/>
      <c r="T1885" s="32"/>
      <c r="U1885" s="32"/>
      <c r="V1885" s="31"/>
      <c r="W1885" s="35" t="str">
        <f aca="true">IF(OR(V1885="",AG1885&gt;=8),"",IF(V1885&lt;TODAY(),"Vencida",IF(V1885=TODAY(),"Hoy","")))</f>
        <v/>
      </c>
      <c r="X1885" s="36" t="str">
        <f aca="false">IF(A1885="","",IF(COUNTIF(Seguimiento!$B$2:$B$5001,A1885)=0,"",_xlfn.MAXIFS(Seguimiento!$A$2:$A$5001,Seguimiento!$B$2:$B$5001,A1885)))</f>
        <v/>
      </c>
      <c r="Y1885" s="37" t="str">
        <f aca="true">IF(B1885="","",TODAY()-B1885)</f>
        <v/>
      </c>
      <c r="Z1885" s="38" t="str">
        <f aca="false">IF(OR(O1885="",G1885=""),"",O1885*IFERROR(INDEX(Listas!$B$2:$B$50,MATCH(G1885,Listas!$A$2:$A$50,0)),0))</f>
        <v/>
      </c>
      <c r="AA1885" s="32"/>
      <c r="AB1885" s="32"/>
      <c r="AC1885" s="32"/>
      <c r="AD1885" s="35" t="str">
        <f aca="false">IF(OR(LEFT(H1885,4)="Meta",LEFT(H1885,6)="Google"),IF(AG1885=3,"Lead calificado",IF(OR(AG1885=4,AG1885=5),"Tasación/visita",IF(OR(AG1885=6,AG1885=7),"Captación/oferta",IF(AG1885=8,"Cierre","")))),"")</f>
        <v/>
      </c>
      <c r="AE1885" s="32"/>
      <c r="AF1885" s="32"/>
      <c r="AG1885" s="37" t="n">
        <f aca="false">IF(R1885="",0,IFERROR(MATCH(R1885,Listas!$L$2:$L$50,0),0))</f>
        <v>0</v>
      </c>
    </row>
    <row r="1886" customFormat="false" ht="15" hidden="false" customHeight="false" outlineLevel="0" collapsed="false">
      <c r="A1886" s="30"/>
      <c r="B1886" s="31"/>
      <c r="C1886" s="32"/>
      <c r="D1886" s="32"/>
      <c r="E1886" s="33"/>
      <c r="F1886" s="32"/>
      <c r="G1886" s="32"/>
      <c r="H1886" s="32"/>
      <c r="I1886" s="32"/>
      <c r="J1886" s="32"/>
      <c r="K1886" s="32"/>
      <c r="L1886" s="32"/>
      <c r="M1886" s="30"/>
      <c r="N1886" s="32"/>
      <c r="O1886" s="34"/>
      <c r="P1886" s="32"/>
      <c r="Q1886" s="32"/>
      <c r="R1886" s="32"/>
      <c r="S1886" s="32"/>
      <c r="T1886" s="32"/>
      <c r="U1886" s="32"/>
      <c r="V1886" s="31"/>
      <c r="W1886" s="35" t="str">
        <f aca="true">IF(OR(V1886="",AG1886&gt;=8),"",IF(V1886&lt;TODAY(),"Vencida",IF(V1886=TODAY(),"Hoy","")))</f>
        <v/>
      </c>
      <c r="X1886" s="36" t="str">
        <f aca="false">IF(A1886="","",IF(COUNTIF(Seguimiento!$B$2:$B$5001,A1886)=0,"",_xlfn.MAXIFS(Seguimiento!$A$2:$A$5001,Seguimiento!$B$2:$B$5001,A1886)))</f>
        <v/>
      </c>
      <c r="Y1886" s="37" t="str">
        <f aca="true">IF(B1886="","",TODAY()-B1886)</f>
        <v/>
      </c>
      <c r="Z1886" s="38" t="str">
        <f aca="false">IF(OR(O1886="",G1886=""),"",O1886*IFERROR(INDEX(Listas!$B$2:$B$50,MATCH(G1886,Listas!$A$2:$A$50,0)),0))</f>
        <v/>
      </c>
      <c r="AA1886" s="32"/>
      <c r="AB1886" s="32"/>
      <c r="AC1886" s="32"/>
      <c r="AD1886" s="35" t="str">
        <f aca="false">IF(OR(LEFT(H1886,4)="Meta",LEFT(H1886,6)="Google"),IF(AG1886=3,"Lead calificado",IF(OR(AG1886=4,AG1886=5),"Tasación/visita",IF(OR(AG1886=6,AG1886=7),"Captación/oferta",IF(AG1886=8,"Cierre","")))),"")</f>
        <v/>
      </c>
      <c r="AE1886" s="32"/>
      <c r="AF1886" s="32"/>
      <c r="AG1886" s="37" t="n">
        <f aca="false">IF(R1886="",0,IFERROR(MATCH(R1886,Listas!$L$2:$L$50,0),0))</f>
        <v>0</v>
      </c>
    </row>
    <row r="1887" customFormat="false" ht="15" hidden="false" customHeight="false" outlineLevel="0" collapsed="false">
      <c r="A1887" s="30"/>
      <c r="B1887" s="31"/>
      <c r="C1887" s="32"/>
      <c r="D1887" s="32"/>
      <c r="E1887" s="33"/>
      <c r="F1887" s="32"/>
      <c r="G1887" s="32"/>
      <c r="H1887" s="32"/>
      <c r="I1887" s="32"/>
      <c r="J1887" s="32"/>
      <c r="K1887" s="32"/>
      <c r="L1887" s="32"/>
      <c r="M1887" s="30"/>
      <c r="N1887" s="32"/>
      <c r="O1887" s="34"/>
      <c r="P1887" s="32"/>
      <c r="Q1887" s="32"/>
      <c r="R1887" s="32"/>
      <c r="S1887" s="32"/>
      <c r="T1887" s="32"/>
      <c r="U1887" s="32"/>
      <c r="V1887" s="31"/>
      <c r="W1887" s="35" t="str">
        <f aca="true">IF(OR(V1887="",AG1887&gt;=8),"",IF(V1887&lt;TODAY(),"Vencida",IF(V1887=TODAY(),"Hoy","")))</f>
        <v/>
      </c>
      <c r="X1887" s="36" t="str">
        <f aca="false">IF(A1887="","",IF(COUNTIF(Seguimiento!$B$2:$B$5001,A1887)=0,"",_xlfn.MAXIFS(Seguimiento!$A$2:$A$5001,Seguimiento!$B$2:$B$5001,A1887)))</f>
        <v/>
      </c>
      <c r="Y1887" s="37" t="str">
        <f aca="true">IF(B1887="","",TODAY()-B1887)</f>
        <v/>
      </c>
      <c r="Z1887" s="38" t="str">
        <f aca="false">IF(OR(O1887="",G1887=""),"",O1887*IFERROR(INDEX(Listas!$B$2:$B$50,MATCH(G1887,Listas!$A$2:$A$50,0)),0))</f>
        <v/>
      </c>
      <c r="AA1887" s="32"/>
      <c r="AB1887" s="32"/>
      <c r="AC1887" s="32"/>
      <c r="AD1887" s="35" t="str">
        <f aca="false">IF(OR(LEFT(H1887,4)="Meta",LEFT(H1887,6)="Google"),IF(AG1887=3,"Lead calificado",IF(OR(AG1887=4,AG1887=5),"Tasación/visita",IF(OR(AG1887=6,AG1887=7),"Captación/oferta",IF(AG1887=8,"Cierre","")))),"")</f>
        <v/>
      </c>
      <c r="AE1887" s="32"/>
      <c r="AF1887" s="32"/>
      <c r="AG1887" s="37" t="n">
        <f aca="false">IF(R1887="",0,IFERROR(MATCH(R1887,Listas!$L$2:$L$50,0),0))</f>
        <v>0</v>
      </c>
    </row>
    <row r="1888" customFormat="false" ht="15" hidden="false" customHeight="false" outlineLevel="0" collapsed="false">
      <c r="A1888" s="30"/>
      <c r="B1888" s="31"/>
      <c r="C1888" s="32"/>
      <c r="D1888" s="32"/>
      <c r="E1888" s="33"/>
      <c r="F1888" s="32"/>
      <c r="G1888" s="32"/>
      <c r="H1888" s="32"/>
      <c r="I1888" s="32"/>
      <c r="J1888" s="32"/>
      <c r="K1888" s="32"/>
      <c r="L1888" s="32"/>
      <c r="M1888" s="30"/>
      <c r="N1888" s="32"/>
      <c r="O1888" s="34"/>
      <c r="P1888" s="32"/>
      <c r="Q1888" s="32"/>
      <c r="R1888" s="32"/>
      <c r="S1888" s="32"/>
      <c r="T1888" s="32"/>
      <c r="U1888" s="32"/>
      <c r="V1888" s="31"/>
      <c r="W1888" s="35" t="str">
        <f aca="true">IF(OR(V1888="",AG1888&gt;=8),"",IF(V1888&lt;TODAY(),"Vencida",IF(V1888=TODAY(),"Hoy","")))</f>
        <v/>
      </c>
      <c r="X1888" s="36" t="str">
        <f aca="false">IF(A1888="","",IF(COUNTIF(Seguimiento!$B$2:$B$5001,A1888)=0,"",_xlfn.MAXIFS(Seguimiento!$A$2:$A$5001,Seguimiento!$B$2:$B$5001,A1888)))</f>
        <v/>
      </c>
      <c r="Y1888" s="37" t="str">
        <f aca="true">IF(B1888="","",TODAY()-B1888)</f>
        <v/>
      </c>
      <c r="Z1888" s="38" t="str">
        <f aca="false">IF(OR(O1888="",G1888=""),"",O1888*IFERROR(INDEX(Listas!$B$2:$B$50,MATCH(G1888,Listas!$A$2:$A$50,0)),0))</f>
        <v/>
      </c>
      <c r="AA1888" s="32"/>
      <c r="AB1888" s="32"/>
      <c r="AC1888" s="32"/>
      <c r="AD1888" s="35" t="str">
        <f aca="false">IF(OR(LEFT(H1888,4)="Meta",LEFT(H1888,6)="Google"),IF(AG1888=3,"Lead calificado",IF(OR(AG1888=4,AG1888=5),"Tasación/visita",IF(OR(AG1888=6,AG1888=7),"Captación/oferta",IF(AG1888=8,"Cierre","")))),"")</f>
        <v/>
      </c>
      <c r="AE1888" s="32"/>
      <c r="AF1888" s="32"/>
      <c r="AG1888" s="37" t="n">
        <f aca="false">IF(R1888="",0,IFERROR(MATCH(R1888,Listas!$L$2:$L$50,0),0))</f>
        <v>0</v>
      </c>
    </row>
    <row r="1889" customFormat="false" ht="15" hidden="false" customHeight="false" outlineLevel="0" collapsed="false">
      <c r="A1889" s="30"/>
      <c r="B1889" s="31"/>
      <c r="C1889" s="32"/>
      <c r="D1889" s="32"/>
      <c r="E1889" s="33"/>
      <c r="F1889" s="32"/>
      <c r="G1889" s="32"/>
      <c r="H1889" s="32"/>
      <c r="I1889" s="32"/>
      <c r="J1889" s="32"/>
      <c r="K1889" s="32"/>
      <c r="L1889" s="32"/>
      <c r="M1889" s="30"/>
      <c r="N1889" s="32"/>
      <c r="O1889" s="34"/>
      <c r="P1889" s="32"/>
      <c r="Q1889" s="32"/>
      <c r="R1889" s="32"/>
      <c r="S1889" s="32"/>
      <c r="T1889" s="32"/>
      <c r="U1889" s="32"/>
      <c r="V1889" s="31"/>
      <c r="W1889" s="35" t="str">
        <f aca="true">IF(OR(V1889="",AG1889&gt;=8),"",IF(V1889&lt;TODAY(),"Vencida",IF(V1889=TODAY(),"Hoy","")))</f>
        <v/>
      </c>
      <c r="X1889" s="36" t="str">
        <f aca="false">IF(A1889="","",IF(COUNTIF(Seguimiento!$B$2:$B$5001,A1889)=0,"",_xlfn.MAXIFS(Seguimiento!$A$2:$A$5001,Seguimiento!$B$2:$B$5001,A1889)))</f>
        <v/>
      </c>
      <c r="Y1889" s="37" t="str">
        <f aca="true">IF(B1889="","",TODAY()-B1889)</f>
        <v/>
      </c>
      <c r="Z1889" s="38" t="str">
        <f aca="false">IF(OR(O1889="",G1889=""),"",O1889*IFERROR(INDEX(Listas!$B$2:$B$50,MATCH(G1889,Listas!$A$2:$A$50,0)),0))</f>
        <v/>
      </c>
      <c r="AA1889" s="32"/>
      <c r="AB1889" s="32"/>
      <c r="AC1889" s="32"/>
      <c r="AD1889" s="35" t="str">
        <f aca="false">IF(OR(LEFT(H1889,4)="Meta",LEFT(H1889,6)="Google"),IF(AG1889=3,"Lead calificado",IF(OR(AG1889=4,AG1889=5),"Tasación/visita",IF(OR(AG1889=6,AG1889=7),"Captación/oferta",IF(AG1889=8,"Cierre","")))),"")</f>
        <v/>
      </c>
      <c r="AE1889" s="32"/>
      <c r="AF1889" s="32"/>
      <c r="AG1889" s="37" t="n">
        <f aca="false">IF(R1889="",0,IFERROR(MATCH(R1889,Listas!$L$2:$L$50,0),0))</f>
        <v>0</v>
      </c>
    </row>
    <row r="1890" customFormat="false" ht="15" hidden="false" customHeight="false" outlineLevel="0" collapsed="false">
      <c r="A1890" s="30"/>
      <c r="B1890" s="31"/>
      <c r="C1890" s="32"/>
      <c r="D1890" s="32"/>
      <c r="E1890" s="33"/>
      <c r="F1890" s="32"/>
      <c r="G1890" s="32"/>
      <c r="H1890" s="32"/>
      <c r="I1890" s="32"/>
      <c r="J1890" s="32"/>
      <c r="K1890" s="32"/>
      <c r="L1890" s="32"/>
      <c r="M1890" s="30"/>
      <c r="N1890" s="32"/>
      <c r="O1890" s="34"/>
      <c r="P1890" s="32"/>
      <c r="Q1890" s="32"/>
      <c r="R1890" s="32"/>
      <c r="S1890" s="32"/>
      <c r="T1890" s="32"/>
      <c r="U1890" s="32"/>
      <c r="V1890" s="31"/>
      <c r="W1890" s="35" t="str">
        <f aca="true">IF(OR(V1890="",AG1890&gt;=8),"",IF(V1890&lt;TODAY(),"Vencida",IF(V1890=TODAY(),"Hoy","")))</f>
        <v/>
      </c>
      <c r="X1890" s="36" t="str">
        <f aca="false">IF(A1890="","",IF(COUNTIF(Seguimiento!$B$2:$B$5001,A1890)=0,"",_xlfn.MAXIFS(Seguimiento!$A$2:$A$5001,Seguimiento!$B$2:$B$5001,A1890)))</f>
        <v/>
      </c>
      <c r="Y1890" s="37" t="str">
        <f aca="true">IF(B1890="","",TODAY()-B1890)</f>
        <v/>
      </c>
      <c r="Z1890" s="38" t="str">
        <f aca="false">IF(OR(O1890="",G1890=""),"",O1890*IFERROR(INDEX(Listas!$B$2:$B$50,MATCH(G1890,Listas!$A$2:$A$50,0)),0))</f>
        <v/>
      </c>
      <c r="AA1890" s="32"/>
      <c r="AB1890" s="32"/>
      <c r="AC1890" s="32"/>
      <c r="AD1890" s="35" t="str">
        <f aca="false">IF(OR(LEFT(H1890,4)="Meta",LEFT(H1890,6)="Google"),IF(AG1890=3,"Lead calificado",IF(OR(AG1890=4,AG1890=5),"Tasación/visita",IF(OR(AG1890=6,AG1890=7),"Captación/oferta",IF(AG1890=8,"Cierre","")))),"")</f>
        <v/>
      </c>
      <c r="AE1890" s="32"/>
      <c r="AF1890" s="32"/>
      <c r="AG1890" s="37" t="n">
        <f aca="false">IF(R1890="",0,IFERROR(MATCH(R1890,Listas!$L$2:$L$50,0),0))</f>
        <v>0</v>
      </c>
    </row>
    <row r="1891" customFormat="false" ht="15" hidden="false" customHeight="false" outlineLevel="0" collapsed="false">
      <c r="A1891" s="30"/>
      <c r="B1891" s="31"/>
      <c r="C1891" s="32"/>
      <c r="D1891" s="32"/>
      <c r="E1891" s="33"/>
      <c r="F1891" s="32"/>
      <c r="G1891" s="32"/>
      <c r="H1891" s="32"/>
      <c r="I1891" s="32"/>
      <c r="J1891" s="32"/>
      <c r="K1891" s="32"/>
      <c r="L1891" s="32"/>
      <c r="M1891" s="30"/>
      <c r="N1891" s="32"/>
      <c r="O1891" s="34"/>
      <c r="P1891" s="32"/>
      <c r="Q1891" s="32"/>
      <c r="R1891" s="32"/>
      <c r="S1891" s="32"/>
      <c r="T1891" s="32"/>
      <c r="U1891" s="32"/>
      <c r="V1891" s="31"/>
      <c r="W1891" s="35" t="str">
        <f aca="true">IF(OR(V1891="",AG1891&gt;=8),"",IF(V1891&lt;TODAY(),"Vencida",IF(V1891=TODAY(),"Hoy","")))</f>
        <v/>
      </c>
      <c r="X1891" s="36" t="str">
        <f aca="false">IF(A1891="","",IF(COUNTIF(Seguimiento!$B$2:$B$5001,A1891)=0,"",_xlfn.MAXIFS(Seguimiento!$A$2:$A$5001,Seguimiento!$B$2:$B$5001,A1891)))</f>
        <v/>
      </c>
      <c r="Y1891" s="37" t="str">
        <f aca="true">IF(B1891="","",TODAY()-B1891)</f>
        <v/>
      </c>
      <c r="Z1891" s="38" t="str">
        <f aca="false">IF(OR(O1891="",G1891=""),"",O1891*IFERROR(INDEX(Listas!$B$2:$B$50,MATCH(G1891,Listas!$A$2:$A$50,0)),0))</f>
        <v/>
      </c>
      <c r="AA1891" s="32"/>
      <c r="AB1891" s="32"/>
      <c r="AC1891" s="32"/>
      <c r="AD1891" s="35" t="str">
        <f aca="false">IF(OR(LEFT(H1891,4)="Meta",LEFT(H1891,6)="Google"),IF(AG1891=3,"Lead calificado",IF(OR(AG1891=4,AG1891=5),"Tasación/visita",IF(OR(AG1891=6,AG1891=7),"Captación/oferta",IF(AG1891=8,"Cierre","")))),"")</f>
        <v/>
      </c>
      <c r="AE1891" s="32"/>
      <c r="AF1891" s="32"/>
      <c r="AG1891" s="37" t="n">
        <f aca="false">IF(R1891="",0,IFERROR(MATCH(R1891,Listas!$L$2:$L$50,0),0))</f>
        <v>0</v>
      </c>
    </row>
    <row r="1892" customFormat="false" ht="15" hidden="false" customHeight="false" outlineLevel="0" collapsed="false">
      <c r="A1892" s="30"/>
      <c r="B1892" s="31"/>
      <c r="C1892" s="32"/>
      <c r="D1892" s="32"/>
      <c r="E1892" s="33"/>
      <c r="F1892" s="32"/>
      <c r="G1892" s="32"/>
      <c r="H1892" s="32"/>
      <c r="I1892" s="32"/>
      <c r="J1892" s="32"/>
      <c r="K1892" s="32"/>
      <c r="L1892" s="32"/>
      <c r="M1892" s="30"/>
      <c r="N1892" s="32"/>
      <c r="O1892" s="34"/>
      <c r="P1892" s="32"/>
      <c r="Q1892" s="32"/>
      <c r="R1892" s="32"/>
      <c r="S1892" s="32"/>
      <c r="T1892" s="32"/>
      <c r="U1892" s="32"/>
      <c r="V1892" s="31"/>
      <c r="W1892" s="35" t="str">
        <f aca="true">IF(OR(V1892="",AG1892&gt;=8),"",IF(V1892&lt;TODAY(),"Vencida",IF(V1892=TODAY(),"Hoy","")))</f>
        <v/>
      </c>
      <c r="X1892" s="36" t="str">
        <f aca="false">IF(A1892="","",IF(COUNTIF(Seguimiento!$B$2:$B$5001,A1892)=0,"",_xlfn.MAXIFS(Seguimiento!$A$2:$A$5001,Seguimiento!$B$2:$B$5001,A1892)))</f>
        <v/>
      </c>
      <c r="Y1892" s="37" t="str">
        <f aca="true">IF(B1892="","",TODAY()-B1892)</f>
        <v/>
      </c>
      <c r="Z1892" s="38" t="str">
        <f aca="false">IF(OR(O1892="",G1892=""),"",O1892*IFERROR(INDEX(Listas!$B$2:$B$50,MATCH(G1892,Listas!$A$2:$A$50,0)),0))</f>
        <v/>
      </c>
      <c r="AA1892" s="32"/>
      <c r="AB1892" s="32"/>
      <c r="AC1892" s="32"/>
      <c r="AD1892" s="35" t="str">
        <f aca="false">IF(OR(LEFT(H1892,4)="Meta",LEFT(H1892,6)="Google"),IF(AG1892=3,"Lead calificado",IF(OR(AG1892=4,AG1892=5),"Tasación/visita",IF(OR(AG1892=6,AG1892=7),"Captación/oferta",IF(AG1892=8,"Cierre","")))),"")</f>
        <v/>
      </c>
      <c r="AE1892" s="32"/>
      <c r="AF1892" s="32"/>
      <c r="AG1892" s="37" t="n">
        <f aca="false">IF(R1892="",0,IFERROR(MATCH(R1892,Listas!$L$2:$L$50,0),0))</f>
        <v>0</v>
      </c>
    </row>
    <row r="1893" customFormat="false" ht="15" hidden="false" customHeight="false" outlineLevel="0" collapsed="false">
      <c r="A1893" s="30"/>
      <c r="B1893" s="31"/>
      <c r="C1893" s="32"/>
      <c r="D1893" s="32"/>
      <c r="E1893" s="33"/>
      <c r="F1893" s="32"/>
      <c r="G1893" s="32"/>
      <c r="H1893" s="32"/>
      <c r="I1893" s="32"/>
      <c r="J1893" s="32"/>
      <c r="K1893" s="32"/>
      <c r="L1893" s="32"/>
      <c r="M1893" s="30"/>
      <c r="N1893" s="32"/>
      <c r="O1893" s="34"/>
      <c r="P1893" s="32"/>
      <c r="Q1893" s="32"/>
      <c r="R1893" s="32"/>
      <c r="S1893" s="32"/>
      <c r="T1893" s="32"/>
      <c r="U1893" s="32"/>
      <c r="V1893" s="31"/>
      <c r="W1893" s="35" t="str">
        <f aca="true">IF(OR(V1893="",AG1893&gt;=8),"",IF(V1893&lt;TODAY(),"Vencida",IF(V1893=TODAY(),"Hoy","")))</f>
        <v/>
      </c>
      <c r="X1893" s="36" t="str">
        <f aca="false">IF(A1893="","",IF(COUNTIF(Seguimiento!$B$2:$B$5001,A1893)=0,"",_xlfn.MAXIFS(Seguimiento!$A$2:$A$5001,Seguimiento!$B$2:$B$5001,A1893)))</f>
        <v/>
      </c>
      <c r="Y1893" s="37" t="str">
        <f aca="true">IF(B1893="","",TODAY()-B1893)</f>
        <v/>
      </c>
      <c r="Z1893" s="38" t="str">
        <f aca="false">IF(OR(O1893="",G1893=""),"",O1893*IFERROR(INDEX(Listas!$B$2:$B$50,MATCH(G1893,Listas!$A$2:$A$50,0)),0))</f>
        <v/>
      </c>
      <c r="AA1893" s="32"/>
      <c r="AB1893" s="32"/>
      <c r="AC1893" s="32"/>
      <c r="AD1893" s="35" t="str">
        <f aca="false">IF(OR(LEFT(H1893,4)="Meta",LEFT(H1893,6)="Google"),IF(AG1893=3,"Lead calificado",IF(OR(AG1893=4,AG1893=5),"Tasación/visita",IF(OR(AG1893=6,AG1893=7),"Captación/oferta",IF(AG1893=8,"Cierre","")))),"")</f>
        <v/>
      </c>
      <c r="AE1893" s="32"/>
      <c r="AF1893" s="32"/>
      <c r="AG1893" s="37" t="n">
        <f aca="false">IF(R1893="",0,IFERROR(MATCH(R1893,Listas!$L$2:$L$50,0),0))</f>
        <v>0</v>
      </c>
    </row>
    <row r="1894" customFormat="false" ht="15" hidden="false" customHeight="false" outlineLevel="0" collapsed="false">
      <c r="A1894" s="30"/>
      <c r="B1894" s="31"/>
      <c r="C1894" s="32"/>
      <c r="D1894" s="32"/>
      <c r="E1894" s="33"/>
      <c r="F1894" s="32"/>
      <c r="G1894" s="32"/>
      <c r="H1894" s="32"/>
      <c r="I1894" s="32"/>
      <c r="J1894" s="32"/>
      <c r="K1894" s="32"/>
      <c r="L1894" s="32"/>
      <c r="M1894" s="30"/>
      <c r="N1894" s="32"/>
      <c r="O1894" s="34"/>
      <c r="P1894" s="32"/>
      <c r="Q1894" s="32"/>
      <c r="R1894" s="32"/>
      <c r="S1894" s="32"/>
      <c r="T1894" s="32"/>
      <c r="U1894" s="32"/>
      <c r="V1894" s="31"/>
      <c r="W1894" s="35" t="str">
        <f aca="true">IF(OR(V1894="",AG1894&gt;=8),"",IF(V1894&lt;TODAY(),"Vencida",IF(V1894=TODAY(),"Hoy","")))</f>
        <v/>
      </c>
      <c r="X1894" s="36" t="str">
        <f aca="false">IF(A1894="","",IF(COUNTIF(Seguimiento!$B$2:$B$5001,A1894)=0,"",_xlfn.MAXIFS(Seguimiento!$A$2:$A$5001,Seguimiento!$B$2:$B$5001,A1894)))</f>
        <v/>
      </c>
      <c r="Y1894" s="37" t="str">
        <f aca="true">IF(B1894="","",TODAY()-B1894)</f>
        <v/>
      </c>
      <c r="Z1894" s="38" t="str">
        <f aca="false">IF(OR(O1894="",G1894=""),"",O1894*IFERROR(INDEX(Listas!$B$2:$B$50,MATCH(G1894,Listas!$A$2:$A$50,0)),0))</f>
        <v/>
      </c>
      <c r="AA1894" s="32"/>
      <c r="AB1894" s="32"/>
      <c r="AC1894" s="32"/>
      <c r="AD1894" s="35" t="str">
        <f aca="false">IF(OR(LEFT(H1894,4)="Meta",LEFT(H1894,6)="Google"),IF(AG1894=3,"Lead calificado",IF(OR(AG1894=4,AG1894=5),"Tasación/visita",IF(OR(AG1894=6,AG1894=7),"Captación/oferta",IF(AG1894=8,"Cierre","")))),"")</f>
        <v/>
      </c>
      <c r="AE1894" s="32"/>
      <c r="AF1894" s="32"/>
      <c r="AG1894" s="37" t="n">
        <f aca="false">IF(R1894="",0,IFERROR(MATCH(R1894,Listas!$L$2:$L$50,0),0))</f>
        <v>0</v>
      </c>
    </row>
    <row r="1895" customFormat="false" ht="15" hidden="false" customHeight="false" outlineLevel="0" collapsed="false">
      <c r="A1895" s="30"/>
      <c r="B1895" s="31"/>
      <c r="C1895" s="32"/>
      <c r="D1895" s="32"/>
      <c r="E1895" s="33"/>
      <c r="F1895" s="32"/>
      <c r="G1895" s="32"/>
      <c r="H1895" s="32"/>
      <c r="I1895" s="32"/>
      <c r="J1895" s="32"/>
      <c r="K1895" s="32"/>
      <c r="L1895" s="32"/>
      <c r="M1895" s="30"/>
      <c r="N1895" s="32"/>
      <c r="O1895" s="34"/>
      <c r="P1895" s="32"/>
      <c r="Q1895" s="32"/>
      <c r="R1895" s="32"/>
      <c r="S1895" s="32"/>
      <c r="T1895" s="32"/>
      <c r="U1895" s="32"/>
      <c r="V1895" s="31"/>
      <c r="W1895" s="35" t="str">
        <f aca="true">IF(OR(V1895="",AG1895&gt;=8),"",IF(V1895&lt;TODAY(),"Vencida",IF(V1895=TODAY(),"Hoy","")))</f>
        <v/>
      </c>
      <c r="X1895" s="36" t="str">
        <f aca="false">IF(A1895="","",IF(COUNTIF(Seguimiento!$B$2:$B$5001,A1895)=0,"",_xlfn.MAXIFS(Seguimiento!$A$2:$A$5001,Seguimiento!$B$2:$B$5001,A1895)))</f>
        <v/>
      </c>
      <c r="Y1895" s="37" t="str">
        <f aca="true">IF(B1895="","",TODAY()-B1895)</f>
        <v/>
      </c>
      <c r="Z1895" s="38" t="str">
        <f aca="false">IF(OR(O1895="",G1895=""),"",O1895*IFERROR(INDEX(Listas!$B$2:$B$50,MATCH(G1895,Listas!$A$2:$A$50,0)),0))</f>
        <v/>
      </c>
      <c r="AA1895" s="32"/>
      <c r="AB1895" s="32"/>
      <c r="AC1895" s="32"/>
      <c r="AD1895" s="35" t="str">
        <f aca="false">IF(OR(LEFT(H1895,4)="Meta",LEFT(H1895,6)="Google"),IF(AG1895=3,"Lead calificado",IF(OR(AG1895=4,AG1895=5),"Tasación/visita",IF(OR(AG1895=6,AG1895=7),"Captación/oferta",IF(AG1895=8,"Cierre","")))),"")</f>
        <v/>
      </c>
      <c r="AE1895" s="32"/>
      <c r="AF1895" s="32"/>
      <c r="AG1895" s="37" t="n">
        <f aca="false">IF(R1895="",0,IFERROR(MATCH(R1895,Listas!$L$2:$L$50,0),0))</f>
        <v>0</v>
      </c>
    </row>
    <row r="1896" customFormat="false" ht="15" hidden="false" customHeight="false" outlineLevel="0" collapsed="false">
      <c r="A1896" s="30"/>
      <c r="B1896" s="31"/>
      <c r="C1896" s="32"/>
      <c r="D1896" s="32"/>
      <c r="E1896" s="33"/>
      <c r="F1896" s="32"/>
      <c r="G1896" s="32"/>
      <c r="H1896" s="32"/>
      <c r="I1896" s="32"/>
      <c r="J1896" s="32"/>
      <c r="K1896" s="32"/>
      <c r="L1896" s="32"/>
      <c r="M1896" s="30"/>
      <c r="N1896" s="32"/>
      <c r="O1896" s="34"/>
      <c r="P1896" s="32"/>
      <c r="Q1896" s="32"/>
      <c r="R1896" s="32"/>
      <c r="S1896" s="32"/>
      <c r="T1896" s="32"/>
      <c r="U1896" s="32"/>
      <c r="V1896" s="31"/>
      <c r="W1896" s="35" t="str">
        <f aca="true">IF(OR(V1896="",AG1896&gt;=8),"",IF(V1896&lt;TODAY(),"Vencida",IF(V1896=TODAY(),"Hoy","")))</f>
        <v/>
      </c>
      <c r="X1896" s="36" t="str">
        <f aca="false">IF(A1896="","",IF(COUNTIF(Seguimiento!$B$2:$B$5001,A1896)=0,"",_xlfn.MAXIFS(Seguimiento!$A$2:$A$5001,Seguimiento!$B$2:$B$5001,A1896)))</f>
        <v/>
      </c>
      <c r="Y1896" s="37" t="str">
        <f aca="true">IF(B1896="","",TODAY()-B1896)</f>
        <v/>
      </c>
      <c r="Z1896" s="38" t="str">
        <f aca="false">IF(OR(O1896="",G1896=""),"",O1896*IFERROR(INDEX(Listas!$B$2:$B$50,MATCH(G1896,Listas!$A$2:$A$50,0)),0))</f>
        <v/>
      </c>
      <c r="AA1896" s="32"/>
      <c r="AB1896" s="32"/>
      <c r="AC1896" s="32"/>
      <c r="AD1896" s="35" t="str">
        <f aca="false">IF(OR(LEFT(H1896,4)="Meta",LEFT(H1896,6)="Google"),IF(AG1896=3,"Lead calificado",IF(OR(AG1896=4,AG1896=5),"Tasación/visita",IF(OR(AG1896=6,AG1896=7),"Captación/oferta",IF(AG1896=8,"Cierre","")))),"")</f>
        <v/>
      </c>
      <c r="AE1896" s="32"/>
      <c r="AF1896" s="32"/>
      <c r="AG1896" s="37" t="n">
        <f aca="false">IF(R1896="",0,IFERROR(MATCH(R1896,Listas!$L$2:$L$50,0),0))</f>
        <v>0</v>
      </c>
    </row>
    <row r="1897" customFormat="false" ht="15" hidden="false" customHeight="false" outlineLevel="0" collapsed="false">
      <c r="A1897" s="30"/>
      <c r="B1897" s="31"/>
      <c r="C1897" s="32"/>
      <c r="D1897" s="32"/>
      <c r="E1897" s="33"/>
      <c r="F1897" s="32"/>
      <c r="G1897" s="32"/>
      <c r="H1897" s="32"/>
      <c r="I1897" s="32"/>
      <c r="J1897" s="32"/>
      <c r="K1897" s="32"/>
      <c r="L1897" s="32"/>
      <c r="M1897" s="30"/>
      <c r="N1897" s="32"/>
      <c r="O1897" s="34"/>
      <c r="P1897" s="32"/>
      <c r="Q1897" s="32"/>
      <c r="R1897" s="32"/>
      <c r="S1897" s="32"/>
      <c r="T1897" s="32"/>
      <c r="U1897" s="32"/>
      <c r="V1897" s="31"/>
      <c r="W1897" s="35" t="str">
        <f aca="true">IF(OR(V1897="",AG1897&gt;=8),"",IF(V1897&lt;TODAY(),"Vencida",IF(V1897=TODAY(),"Hoy","")))</f>
        <v/>
      </c>
      <c r="X1897" s="36" t="str">
        <f aca="false">IF(A1897="","",IF(COUNTIF(Seguimiento!$B$2:$B$5001,A1897)=0,"",_xlfn.MAXIFS(Seguimiento!$A$2:$A$5001,Seguimiento!$B$2:$B$5001,A1897)))</f>
        <v/>
      </c>
      <c r="Y1897" s="37" t="str">
        <f aca="true">IF(B1897="","",TODAY()-B1897)</f>
        <v/>
      </c>
      <c r="Z1897" s="38" t="str">
        <f aca="false">IF(OR(O1897="",G1897=""),"",O1897*IFERROR(INDEX(Listas!$B$2:$B$50,MATCH(G1897,Listas!$A$2:$A$50,0)),0))</f>
        <v/>
      </c>
      <c r="AA1897" s="32"/>
      <c r="AB1897" s="32"/>
      <c r="AC1897" s="32"/>
      <c r="AD1897" s="35" t="str">
        <f aca="false">IF(OR(LEFT(H1897,4)="Meta",LEFT(H1897,6)="Google"),IF(AG1897=3,"Lead calificado",IF(OR(AG1897=4,AG1897=5),"Tasación/visita",IF(OR(AG1897=6,AG1897=7),"Captación/oferta",IF(AG1897=8,"Cierre","")))),"")</f>
        <v/>
      </c>
      <c r="AE1897" s="32"/>
      <c r="AF1897" s="32"/>
      <c r="AG1897" s="37" t="n">
        <f aca="false">IF(R1897="",0,IFERROR(MATCH(R1897,Listas!$L$2:$L$50,0),0))</f>
        <v>0</v>
      </c>
    </row>
    <row r="1898" customFormat="false" ht="15" hidden="false" customHeight="false" outlineLevel="0" collapsed="false">
      <c r="A1898" s="30"/>
      <c r="B1898" s="31"/>
      <c r="C1898" s="32"/>
      <c r="D1898" s="32"/>
      <c r="E1898" s="33"/>
      <c r="F1898" s="32"/>
      <c r="G1898" s="32"/>
      <c r="H1898" s="32"/>
      <c r="I1898" s="32"/>
      <c r="J1898" s="32"/>
      <c r="K1898" s="32"/>
      <c r="L1898" s="32"/>
      <c r="M1898" s="30"/>
      <c r="N1898" s="32"/>
      <c r="O1898" s="34"/>
      <c r="P1898" s="32"/>
      <c r="Q1898" s="32"/>
      <c r="R1898" s="32"/>
      <c r="S1898" s="32"/>
      <c r="T1898" s="32"/>
      <c r="U1898" s="32"/>
      <c r="V1898" s="31"/>
      <c r="W1898" s="35" t="str">
        <f aca="true">IF(OR(V1898="",AG1898&gt;=8),"",IF(V1898&lt;TODAY(),"Vencida",IF(V1898=TODAY(),"Hoy","")))</f>
        <v/>
      </c>
      <c r="X1898" s="36" t="str">
        <f aca="false">IF(A1898="","",IF(COUNTIF(Seguimiento!$B$2:$B$5001,A1898)=0,"",_xlfn.MAXIFS(Seguimiento!$A$2:$A$5001,Seguimiento!$B$2:$B$5001,A1898)))</f>
        <v/>
      </c>
      <c r="Y1898" s="37" t="str">
        <f aca="true">IF(B1898="","",TODAY()-B1898)</f>
        <v/>
      </c>
      <c r="Z1898" s="38" t="str">
        <f aca="false">IF(OR(O1898="",G1898=""),"",O1898*IFERROR(INDEX(Listas!$B$2:$B$50,MATCH(G1898,Listas!$A$2:$A$50,0)),0))</f>
        <v/>
      </c>
      <c r="AA1898" s="32"/>
      <c r="AB1898" s="32"/>
      <c r="AC1898" s="32"/>
      <c r="AD1898" s="35" t="str">
        <f aca="false">IF(OR(LEFT(H1898,4)="Meta",LEFT(H1898,6)="Google"),IF(AG1898=3,"Lead calificado",IF(OR(AG1898=4,AG1898=5),"Tasación/visita",IF(OR(AG1898=6,AG1898=7),"Captación/oferta",IF(AG1898=8,"Cierre","")))),"")</f>
        <v/>
      </c>
      <c r="AE1898" s="32"/>
      <c r="AF1898" s="32"/>
      <c r="AG1898" s="37" t="n">
        <f aca="false">IF(R1898="",0,IFERROR(MATCH(R1898,Listas!$L$2:$L$50,0),0))</f>
        <v>0</v>
      </c>
    </row>
    <row r="1899" customFormat="false" ht="15" hidden="false" customHeight="false" outlineLevel="0" collapsed="false">
      <c r="A1899" s="30"/>
      <c r="B1899" s="31"/>
      <c r="C1899" s="32"/>
      <c r="D1899" s="32"/>
      <c r="E1899" s="33"/>
      <c r="F1899" s="32"/>
      <c r="G1899" s="32"/>
      <c r="H1899" s="32"/>
      <c r="I1899" s="32"/>
      <c r="J1899" s="32"/>
      <c r="K1899" s="32"/>
      <c r="L1899" s="32"/>
      <c r="M1899" s="30"/>
      <c r="N1899" s="32"/>
      <c r="O1899" s="34"/>
      <c r="P1899" s="32"/>
      <c r="Q1899" s="32"/>
      <c r="R1899" s="32"/>
      <c r="S1899" s="32"/>
      <c r="T1899" s="32"/>
      <c r="U1899" s="32"/>
      <c r="V1899" s="31"/>
      <c r="W1899" s="35" t="str">
        <f aca="true">IF(OR(V1899="",AG1899&gt;=8),"",IF(V1899&lt;TODAY(),"Vencida",IF(V1899=TODAY(),"Hoy","")))</f>
        <v/>
      </c>
      <c r="X1899" s="36" t="str">
        <f aca="false">IF(A1899="","",IF(COUNTIF(Seguimiento!$B$2:$B$5001,A1899)=0,"",_xlfn.MAXIFS(Seguimiento!$A$2:$A$5001,Seguimiento!$B$2:$B$5001,A1899)))</f>
        <v/>
      </c>
      <c r="Y1899" s="37" t="str">
        <f aca="true">IF(B1899="","",TODAY()-B1899)</f>
        <v/>
      </c>
      <c r="Z1899" s="38" t="str">
        <f aca="false">IF(OR(O1899="",G1899=""),"",O1899*IFERROR(INDEX(Listas!$B$2:$B$50,MATCH(G1899,Listas!$A$2:$A$50,0)),0))</f>
        <v/>
      </c>
      <c r="AA1899" s="32"/>
      <c r="AB1899" s="32"/>
      <c r="AC1899" s="32"/>
      <c r="AD1899" s="35" t="str">
        <f aca="false">IF(OR(LEFT(H1899,4)="Meta",LEFT(H1899,6)="Google"),IF(AG1899=3,"Lead calificado",IF(OR(AG1899=4,AG1899=5),"Tasación/visita",IF(OR(AG1899=6,AG1899=7),"Captación/oferta",IF(AG1899=8,"Cierre","")))),"")</f>
        <v/>
      </c>
      <c r="AE1899" s="32"/>
      <c r="AF1899" s="32"/>
      <c r="AG1899" s="37" t="n">
        <f aca="false">IF(R1899="",0,IFERROR(MATCH(R1899,Listas!$L$2:$L$50,0),0))</f>
        <v>0</v>
      </c>
    </row>
    <row r="1900" customFormat="false" ht="15" hidden="false" customHeight="false" outlineLevel="0" collapsed="false">
      <c r="A1900" s="30"/>
      <c r="B1900" s="31"/>
      <c r="C1900" s="32"/>
      <c r="D1900" s="32"/>
      <c r="E1900" s="33"/>
      <c r="F1900" s="32"/>
      <c r="G1900" s="32"/>
      <c r="H1900" s="32"/>
      <c r="I1900" s="32"/>
      <c r="J1900" s="32"/>
      <c r="K1900" s="32"/>
      <c r="L1900" s="32"/>
      <c r="M1900" s="30"/>
      <c r="N1900" s="32"/>
      <c r="O1900" s="34"/>
      <c r="P1900" s="32"/>
      <c r="Q1900" s="32"/>
      <c r="R1900" s="32"/>
      <c r="S1900" s="32"/>
      <c r="T1900" s="32"/>
      <c r="U1900" s="32"/>
      <c r="V1900" s="31"/>
      <c r="W1900" s="35" t="str">
        <f aca="true">IF(OR(V1900="",AG1900&gt;=8),"",IF(V1900&lt;TODAY(),"Vencida",IF(V1900=TODAY(),"Hoy","")))</f>
        <v/>
      </c>
      <c r="X1900" s="36" t="str">
        <f aca="false">IF(A1900="","",IF(COUNTIF(Seguimiento!$B$2:$B$5001,A1900)=0,"",_xlfn.MAXIFS(Seguimiento!$A$2:$A$5001,Seguimiento!$B$2:$B$5001,A1900)))</f>
        <v/>
      </c>
      <c r="Y1900" s="37" t="str">
        <f aca="true">IF(B1900="","",TODAY()-B1900)</f>
        <v/>
      </c>
      <c r="Z1900" s="38" t="str">
        <f aca="false">IF(OR(O1900="",G1900=""),"",O1900*IFERROR(INDEX(Listas!$B$2:$B$50,MATCH(G1900,Listas!$A$2:$A$50,0)),0))</f>
        <v/>
      </c>
      <c r="AA1900" s="32"/>
      <c r="AB1900" s="32"/>
      <c r="AC1900" s="32"/>
      <c r="AD1900" s="35" t="str">
        <f aca="false">IF(OR(LEFT(H1900,4)="Meta",LEFT(H1900,6)="Google"),IF(AG1900=3,"Lead calificado",IF(OR(AG1900=4,AG1900=5),"Tasación/visita",IF(OR(AG1900=6,AG1900=7),"Captación/oferta",IF(AG1900=8,"Cierre","")))),"")</f>
        <v/>
      </c>
      <c r="AE1900" s="32"/>
      <c r="AF1900" s="32"/>
      <c r="AG1900" s="37" t="n">
        <f aca="false">IF(R1900="",0,IFERROR(MATCH(R1900,Listas!$L$2:$L$50,0),0))</f>
        <v>0</v>
      </c>
    </row>
    <row r="1901" customFormat="false" ht="15" hidden="false" customHeight="false" outlineLevel="0" collapsed="false">
      <c r="A1901" s="30"/>
      <c r="B1901" s="31"/>
      <c r="C1901" s="32"/>
      <c r="D1901" s="32"/>
      <c r="E1901" s="33"/>
      <c r="F1901" s="32"/>
      <c r="G1901" s="32"/>
      <c r="H1901" s="32"/>
      <c r="I1901" s="32"/>
      <c r="J1901" s="32"/>
      <c r="K1901" s="32"/>
      <c r="L1901" s="32"/>
      <c r="M1901" s="30"/>
      <c r="N1901" s="32"/>
      <c r="O1901" s="34"/>
      <c r="P1901" s="32"/>
      <c r="Q1901" s="32"/>
      <c r="R1901" s="32"/>
      <c r="S1901" s="32"/>
      <c r="T1901" s="32"/>
      <c r="U1901" s="32"/>
      <c r="V1901" s="31"/>
      <c r="W1901" s="35" t="str">
        <f aca="true">IF(OR(V1901="",AG1901&gt;=8),"",IF(V1901&lt;TODAY(),"Vencida",IF(V1901=TODAY(),"Hoy","")))</f>
        <v/>
      </c>
      <c r="X1901" s="36" t="str">
        <f aca="false">IF(A1901="","",IF(COUNTIF(Seguimiento!$B$2:$B$5001,A1901)=0,"",_xlfn.MAXIFS(Seguimiento!$A$2:$A$5001,Seguimiento!$B$2:$B$5001,A1901)))</f>
        <v/>
      </c>
      <c r="Y1901" s="37" t="str">
        <f aca="true">IF(B1901="","",TODAY()-B1901)</f>
        <v/>
      </c>
      <c r="Z1901" s="38" t="str">
        <f aca="false">IF(OR(O1901="",G1901=""),"",O1901*IFERROR(INDEX(Listas!$B$2:$B$50,MATCH(G1901,Listas!$A$2:$A$50,0)),0))</f>
        <v/>
      </c>
      <c r="AA1901" s="32"/>
      <c r="AB1901" s="32"/>
      <c r="AC1901" s="32"/>
      <c r="AD1901" s="35" t="str">
        <f aca="false">IF(OR(LEFT(H1901,4)="Meta",LEFT(H1901,6)="Google"),IF(AG1901=3,"Lead calificado",IF(OR(AG1901=4,AG1901=5),"Tasación/visita",IF(OR(AG1901=6,AG1901=7),"Captación/oferta",IF(AG1901=8,"Cierre","")))),"")</f>
        <v/>
      </c>
      <c r="AE1901" s="32"/>
      <c r="AF1901" s="32"/>
      <c r="AG1901" s="37" t="n">
        <f aca="false">IF(R1901="",0,IFERROR(MATCH(R1901,Listas!$L$2:$L$50,0),0))</f>
        <v>0</v>
      </c>
    </row>
    <row r="1902" customFormat="false" ht="15" hidden="false" customHeight="false" outlineLevel="0" collapsed="false">
      <c r="A1902" s="30"/>
      <c r="B1902" s="31"/>
      <c r="C1902" s="32"/>
      <c r="D1902" s="32"/>
      <c r="E1902" s="33"/>
      <c r="F1902" s="32"/>
      <c r="G1902" s="32"/>
      <c r="H1902" s="32"/>
      <c r="I1902" s="32"/>
      <c r="J1902" s="32"/>
      <c r="K1902" s="32"/>
      <c r="L1902" s="32"/>
      <c r="M1902" s="30"/>
      <c r="N1902" s="32"/>
      <c r="O1902" s="34"/>
      <c r="P1902" s="32"/>
      <c r="Q1902" s="32"/>
      <c r="R1902" s="32"/>
      <c r="S1902" s="32"/>
      <c r="T1902" s="32"/>
      <c r="U1902" s="32"/>
      <c r="V1902" s="31"/>
      <c r="W1902" s="35" t="str">
        <f aca="true">IF(OR(V1902="",AG1902&gt;=8),"",IF(V1902&lt;TODAY(),"Vencida",IF(V1902=TODAY(),"Hoy","")))</f>
        <v/>
      </c>
      <c r="X1902" s="36" t="str">
        <f aca="false">IF(A1902="","",IF(COUNTIF(Seguimiento!$B$2:$B$5001,A1902)=0,"",_xlfn.MAXIFS(Seguimiento!$A$2:$A$5001,Seguimiento!$B$2:$B$5001,A1902)))</f>
        <v/>
      </c>
      <c r="Y1902" s="37" t="str">
        <f aca="true">IF(B1902="","",TODAY()-B1902)</f>
        <v/>
      </c>
      <c r="Z1902" s="38" t="str">
        <f aca="false">IF(OR(O1902="",G1902=""),"",O1902*IFERROR(INDEX(Listas!$B$2:$B$50,MATCH(G1902,Listas!$A$2:$A$50,0)),0))</f>
        <v/>
      </c>
      <c r="AA1902" s="32"/>
      <c r="AB1902" s="32"/>
      <c r="AC1902" s="32"/>
      <c r="AD1902" s="35" t="str">
        <f aca="false">IF(OR(LEFT(H1902,4)="Meta",LEFT(H1902,6)="Google"),IF(AG1902=3,"Lead calificado",IF(OR(AG1902=4,AG1902=5),"Tasación/visita",IF(OR(AG1902=6,AG1902=7),"Captación/oferta",IF(AG1902=8,"Cierre","")))),"")</f>
        <v/>
      </c>
      <c r="AE1902" s="32"/>
      <c r="AF1902" s="32"/>
      <c r="AG1902" s="37" t="n">
        <f aca="false">IF(R1902="",0,IFERROR(MATCH(R1902,Listas!$L$2:$L$50,0),0))</f>
        <v>0</v>
      </c>
    </row>
    <row r="1903" customFormat="false" ht="15" hidden="false" customHeight="false" outlineLevel="0" collapsed="false">
      <c r="A1903" s="30"/>
      <c r="B1903" s="31"/>
      <c r="C1903" s="32"/>
      <c r="D1903" s="32"/>
      <c r="E1903" s="33"/>
      <c r="F1903" s="32"/>
      <c r="G1903" s="32"/>
      <c r="H1903" s="32"/>
      <c r="I1903" s="32"/>
      <c r="J1903" s="32"/>
      <c r="K1903" s="32"/>
      <c r="L1903" s="32"/>
      <c r="M1903" s="30"/>
      <c r="N1903" s="32"/>
      <c r="O1903" s="34"/>
      <c r="P1903" s="32"/>
      <c r="Q1903" s="32"/>
      <c r="R1903" s="32"/>
      <c r="S1903" s="32"/>
      <c r="T1903" s="32"/>
      <c r="U1903" s="32"/>
      <c r="V1903" s="31"/>
      <c r="W1903" s="35" t="str">
        <f aca="true">IF(OR(V1903="",AG1903&gt;=8),"",IF(V1903&lt;TODAY(),"Vencida",IF(V1903=TODAY(),"Hoy","")))</f>
        <v/>
      </c>
      <c r="X1903" s="36" t="str">
        <f aca="false">IF(A1903="","",IF(COUNTIF(Seguimiento!$B$2:$B$5001,A1903)=0,"",_xlfn.MAXIFS(Seguimiento!$A$2:$A$5001,Seguimiento!$B$2:$B$5001,A1903)))</f>
        <v/>
      </c>
      <c r="Y1903" s="37" t="str">
        <f aca="true">IF(B1903="","",TODAY()-B1903)</f>
        <v/>
      </c>
      <c r="Z1903" s="38" t="str">
        <f aca="false">IF(OR(O1903="",G1903=""),"",O1903*IFERROR(INDEX(Listas!$B$2:$B$50,MATCH(G1903,Listas!$A$2:$A$50,0)),0))</f>
        <v/>
      </c>
      <c r="AA1903" s="32"/>
      <c r="AB1903" s="32"/>
      <c r="AC1903" s="32"/>
      <c r="AD1903" s="35" t="str">
        <f aca="false">IF(OR(LEFT(H1903,4)="Meta",LEFT(H1903,6)="Google"),IF(AG1903=3,"Lead calificado",IF(OR(AG1903=4,AG1903=5),"Tasación/visita",IF(OR(AG1903=6,AG1903=7),"Captación/oferta",IF(AG1903=8,"Cierre","")))),"")</f>
        <v/>
      </c>
      <c r="AE1903" s="32"/>
      <c r="AF1903" s="32"/>
      <c r="AG1903" s="37" t="n">
        <f aca="false">IF(R1903="",0,IFERROR(MATCH(R1903,Listas!$L$2:$L$50,0),0))</f>
        <v>0</v>
      </c>
    </row>
    <row r="1904" customFormat="false" ht="15" hidden="false" customHeight="false" outlineLevel="0" collapsed="false">
      <c r="A1904" s="30"/>
      <c r="B1904" s="31"/>
      <c r="C1904" s="32"/>
      <c r="D1904" s="32"/>
      <c r="E1904" s="33"/>
      <c r="F1904" s="32"/>
      <c r="G1904" s="32"/>
      <c r="H1904" s="32"/>
      <c r="I1904" s="32"/>
      <c r="J1904" s="32"/>
      <c r="K1904" s="32"/>
      <c r="L1904" s="32"/>
      <c r="M1904" s="30"/>
      <c r="N1904" s="32"/>
      <c r="O1904" s="34"/>
      <c r="P1904" s="32"/>
      <c r="Q1904" s="32"/>
      <c r="R1904" s="32"/>
      <c r="S1904" s="32"/>
      <c r="T1904" s="32"/>
      <c r="U1904" s="32"/>
      <c r="V1904" s="31"/>
      <c r="W1904" s="35" t="str">
        <f aca="true">IF(OR(V1904="",AG1904&gt;=8),"",IF(V1904&lt;TODAY(),"Vencida",IF(V1904=TODAY(),"Hoy","")))</f>
        <v/>
      </c>
      <c r="X1904" s="36" t="str">
        <f aca="false">IF(A1904="","",IF(COUNTIF(Seguimiento!$B$2:$B$5001,A1904)=0,"",_xlfn.MAXIFS(Seguimiento!$A$2:$A$5001,Seguimiento!$B$2:$B$5001,A1904)))</f>
        <v/>
      </c>
      <c r="Y1904" s="37" t="str">
        <f aca="true">IF(B1904="","",TODAY()-B1904)</f>
        <v/>
      </c>
      <c r="Z1904" s="38" t="str">
        <f aca="false">IF(OR(O1904="",G1904=""),"",O1904*IFERROR(INDEX(Listas!$B$2:$B$50,MATCH(G1904,Listas!$A$2:$A$50,0)),0))</f>
        <v/>
      </c>
      <c r="AA1904" s="32"/>
      <c r="AB1904" s="32"/>
      <c r="AC1904" s="32"/>
      <c r="AD1904" s="35" t="str">
        <f aca="false">IF(OR(LEFT(H1904,4)="Meta",LEFT(H1904,6)="Google"),IF(AG1904=3,"Lead calificado",IF(OR(AG1904=4,AG1904=5),"Tasación/visita",IF(OR(AG1904=6,AG1904=7),"Captación/oferta",IF(AG1904=8,"Cierre","")))),"")</f>
        <v/>
      </c>
      <c r="AE1904" s="32"/>
      <c r="AF1904" s="32"/>
      <c r="AG1904" s="37" t="n">
        <f aca="false">IF(R1904="",0,IFERROR(MATCH(R1904,Listas!$L$2:$L$50,0),0))</f>
        <v>0</v>
      </c>
    </row>
    <row r="1905" customFormat="false" ht="15" hidden="false" customHeight="false" outlineLevel="0" collapsed="false">
      <c r="A1905" s="30"/>
      <c r="B1905" s="31"/>
      <c r="C1905" s="32"/>
      <c r="D1905" s="32"/>
      <c r="E1905" s="33"/>
      <c r="F1905" s="32"/>
      <c r="G1905" s="32"/>
      <c r="H1905" s="32"/>
      <c r="I1905" s="32"/>
      <c r="J1905" s="32"/>
      <c r="K1905" s="32"/>
      <c r="L1905" s="32"/>
      <c r="M1905" s="30"/>
      <c r="N1905" s="32"/>
      <c r="O1905" s="34"/>
      <c r="P1905" s="32"/>
      <c r="Q1905" s="32"/>
      <c r="R1905" s="32"/>
      <c r="S1905" s="32"/>
      <c r="T1905" s="32"/>
      <c r="U1905" s="32"/>
      <c r="V1905" s="31"/>
      <c r="W1905" s="35" t="str">
        <f aca="true">IF(OR(V1905="",AG1905&gt;=8),"",IF(V1905&lt;TODAY(),"Vencida",IF(V1905=TODAY(),"Hoy","")))</f>
        <v/>
      </c>
      <c r="X1905" s="36" t="str">
        <f aca="false">IF(A1905="","",IF(COUNTIF(Seguimiento!$B$2:$B$5001,A1905)=0,"",_xlfn.MAXIFS(Seguimiento!$A$2:$A$5001,Seguimiento!$B$2:$B$5001,A1905)))</f>
        <v/>
      </c>
      <c r="Y1905" s="37" t="str">
        <f aca="true">IF(B1905="","",TODAY()-B1905)</f>
        <v/>
      </c>
      <c r="Z1905" s="38" t="str">
        <f aca="false">IF(OR(O1905="",G1905=""),"",O1905*IFERROR(INDEX(Listas!$B$2:$B$50,MATCH(G1905,Listas!$A$2:$A$50,0)),0))</f>
        <v/>
      </c>
      <c r="AA1905" s="32"/>
      <c r="AB1905" s="32"/>
      <c r="AC1905" s="32"/>
      <c r="AD1905" s="35" t="str">
        <f aca="false">IF(OR(LEFT(H1905,4)="Meta",LEFT(H1905,6)="Google"),IF(AG1905=3,"Lead calificado",IF(OR(AG1905=4,AG1905=5),"Tasación/visita",IF(OR(AG1905=6,AG1905=7),"Captación/oferta",IF(AG1905=8,"Cierre","")))),"")</f>
        <v/>
      </c>
      <c r="AE1905" s="32"/>
      <c r="AF1905" s="32"/>
      <c r="AG1905" s="37" t="n">
        <f aca="false">IF(R1905="",0,IFERROR(MATCH(R1905,Listas!$L$2:$L$50,0),0))</f>
        <v>0</v>
      </c>
    </row>
    <row r="1906" customFormat="false" ht="15" hidden="false" customHeight="false" outlineLevel="0" collapsed="false">
      <c r="A1906" s="30"/>
      <c r="B1906" s="31"/>
      <c r="C1906" s="32"/>
      <c r="D1906" s="32"/>
      <c r="E1906" s="33"/>
      <c r="F1906" s="32"/>
      <c r="G1906" s="32"/>
      <c r="H1906" s="32"/>
      <c r="I1906" s="32"/>
      <c r="J1906" s="32"/>
      <c r="K1906" s="32"/>
      <c r="L1906" s="32"/>
      <c r="M1906" s="30"/>
      <c r="N1906" s="32"/>
      <c r="O1906" s="34"/>
      <c r="P1906" s="32"/>
      <c r="Q1906" s="32"/>
      <c r="R1906" s="32"/>
      <c r="S1906" s="32"/>
      <c r="T1906" s="32"/>
      <c r="U1906" s="32"/>
      <c r="V1906" s="31"/>
      <c r="W1906" s="35" t="str">
        <f aca="true">IF(OR(V1906="",AG1906&gt;=8),"",IF(V1906&lt;TODAY(),"Vencida",IF(V1906=TODAY(),"Hoy","")))</f>
        <v/>
      </c>
      <c r="X1906" s="36" t="str">
        <f aca="false">IF(A1906="","",IF(COUNTIF(Seguimiento!$B$2:$B$5001,A1906)=0,"",_xlfn.MAXIFS(Seguimiento!$A$2:$A$5001,Seguimiento!$B$2:$B$5001,A1906)))</f>
        <v/>
      </c>
      <c r="Y1906" s="37" t="str">
        <f aca="true">IF(B1906="","",TODAY()-B1906)</f>
        <v/>
      </c>
      <c r="Z1906" s="38" t="str">
        <f aca="false">IF(OR(O1906="",G1906=""),"",O1906*IFERROR(INDEX(Listas!$B$2:$B$50,MATCH(G1906,Listas!$A$2:$A$50,0)),0))</f>
        <v/>
      </c>
      <c r="AA1906" s="32"/>
      <c r="AB1906" s="32"/>
      <c r="AC1906" s="32"/>
      <c r="AD1906" s="35" t="str">
        <f aca="false">IF(OR(LEFT(H1906,4)="Meta",LEFT(H1906,6)="Google"),IF(AG1906=3,"Lead calificado",IF(OR(AG1906=4,AG1906=5),"Tasación/visita",IF(OR(AG1906=6,AG1906=7),"Captación/oferta",IF(AG1906=8,"Cierre","")))),"")</f>
        <v/>
      </c>
      <c r="AE1906" s="32"/>
      <c r="AF1906" s="32"/>
      <c r="AG1906" s="37" t="n">
        <f aca="false">IF(R1906="",0,IFERROR(MATCH(R1906,Listas!$L$2:$L$50,0),0))</f>
        <v>0</v>
      </c>
    </row>
    <row r="1907" customFormat="false" ht="15" hidden="false" customHeight="false" outlineLevel="0" collapsed="false">
      <c r="A1907" s="30"/>
      <c r="B1907" s="31"/>
      <c r="C1907" s="32"/>
      <c r="D1907" s="32"/>
      <c r="E1907" s="33"/>
      <c r="F1907" s="32"/>
      <c r="G1907" s="32"/>
      <c r="H1907" s="32"/>
      <c r="I1907" s="32"/>
      <c r="J1907" s="32"/>
      <c r="K1907" s="32"/>
      <c r="L1907" s="32"/>
      <c r="M1907" s="30"/>
      <c r="N1907" s="32"/>
      <c r="O1907" s="34"/>
      <c r="P1907" s="32"/>
      <c r="Q1907" s="32"/>
      <c r="R1907" s="32"/>
      <c r="S1907" s="32"/>
      <c r="T1907" s="32"/>
      <c r="U1907" s="32"/>
      <c r="V1907" s="31"/>
      <c r="W1907" s="35" t="str">
        <f aca="true">IF(OR(V1907="",AG1907&gt;=8),"",IF(V1907&lt;TODAY(),"Vencida",IF(V1907=TODAY(),"Hoy","")))</f>
        <v/>
      </c>
      <c r="X1907" s="36" t="str">
        <f aca="false">IF(A1907="","",IF(COUNTIF(Seguimiento!$B$2:$B$5001,A1907)=0,"",_xlfn.MAXIFS(Seguimiento!$A$2:$A$5001,Seguimiento!$B$2:$B$5001,A1907)))</f>
        <v/>
      </c>
      <c r="Y1907" s="37" t="str">
        <f aca="true">IF(B1907="","",TODAY()-B1907)</f>
        <v/>
      </c>
      <c r="Z1907" s="38" t="str">
        <f aca="false">IF(OR(O1907="",G1907=""),"",O1907*IFERROR(INDEX(Listas!$B$2:$B$50,MATCH(G1907,Listas!$A$2:$A$50,0)),0))</f>
        <v/>
      </c>
      <c r="AA1907" s="32"/>
      <c r="AB1907" s="32"/>
      <c r="AC1907" s="32"/>
      <c r="AD1907" s="35" t="str">
        <f aca="false">IF(OR(LEFT(H1907,4)="Meta",LEFT(H1907,6)="Google"),IF(AG1907=3,"Lead calificado",IF(OR(AG1907=4,AG1907=5),"Tasación/visita",IF(OR(AG1907=6,AG1907=7),"Captación/oferta",IF(AG1907=8,"Cierre","")))),"")</f>
        <v/>
      </c>
      <c r="AE1907" s="32"/>
      <c r="AF1907" s="32"/>
      <c r="AG1907" s="37" t="n">
        <f aca="false">IF(R1907="",0,IFERROR(MATCH(R1907,Listas!$L$2:$L$50,0),0))</f>
        <v>0</v>
      </c>
    </row>
    <row r="1908" customFormat="false" ht="15" hidden="false" customHeight="false" outlineLevel="0" collapsed="false">
      <c r="A1908" s="30"/>
      <c r="B1908" s="31"/>
      <c r="C1908" s="32"/>
      <c r="D1908" s="32"/>
      <c r="E1908" s="33"/>
      <c r="F1908" s="32"/>
      <c r="G1908" s="32"/>
      <c r="H1908" s="32"/>
      <c r="I1908" s="32"/>
      <c r="J1908" s="32"/>
      <c r="K1908" s="32"/>
      <c r="L1908" s="32"/>
      <c r="M1908" s="30"/>
      <c r="N1908" s="32"/>
      <c r="O1908" s="34"/>
      <c r="P1908" s="32"/>
      <c r="Q1908" s="32"/>
      <c r="R1908" s="32"/>
      <c r="S1908" s="32"/>
      <c r="T1908" s="32"/>
      <c r="U1908" s="32"/>
      <c r="V1908" s="31"/>
      <c r="W1908" s="35" t="str">
        <f aca="true">IF(OR(V1908="",AG1908&gt;=8),"",IF(V1908&lt;TODAY(),"Vencida",IF(V1908=TODAY(),"Hoy","")))</f>
        <v/>
      </c>
      <c r="X1908" s="36" t="str">
        <f aca="false">IF(A1908="","",IF(COUNTIF(Seguimiento!$B$2:$B$5001,A1908)=0,"",_xlfn.MAXIFS(Seguimiento!$A$2:$A$5001,Seguimiento!$B$2:$B$5001,A1908)))</f>
        <v/>
      </c>
      <c r="Y1908" s="37" t="str">
        <f aca="true">IF(B1908="","",TODAY()-B1908)</f>
        <v/>
      </c>
      <c r="Z1908" s="38" t="str">
        <f aca="false">IF(OR(O1908="",G1908=""),"",O1908*IFERROR(INDEX(Listas!$B$2:$B$50,MATCH(G1908,Listas!$A$2:$A$50,0)),0))</f>
        <v/>
      </c>
      <c r="AA1908" s="32"/>
      <c r="AB1908" s="32"/>
      <c r="AC1908" s="32"/>
      <c r="AD1908" s="35" t="str">
        <f aca="false">IF(OR(LEFT(H1908,4)="Meta",LEFT(H1908,6)="Google"),IF(AG1908=3,"Lead calificado",IF(OR(AG1908=4,AG1908=5),"Tasación/visita",IF(OR(AG1908=6,AG1908=7),"Captación/oferta",IF(AG1908=8,"Cierre","")))),"")</f>
        <v/>
      </c>
      <c r="AE1908" s="32"/>
      <c r="AF1908" s="32"/>
      <c r="AG1908" s="37" t="n">
        <f aca="false">IF(R1908="",0,IFERROR(MATCH(R1908,Listas!$L$2:$L$50,0),0))</f>
        <v>0</v>
      </c>
    </row>
    <row r="1909" customFormat="false" ht="15" hidden="false" customHeight="false" outlineLevel="0" collapsed="false">
      <c r="A1909" s="30"/>
      <c r="B1909" s="31"/>
      <c r="C1909" s="32"/>
      <c r="D1909" s="32"/>
      <c r="E1909" s="33"/>
      <c r="F1909" s="32"/>
      <c r="G1909" s="32"/>
      <c r="H1909" s="32"/>
      <c r="I1909" s="32"/>
      <c r="J1909" s="32"/>
      <c r="K1909" s="32"/>
      <c r="L1909" s="32"/>
      <c r="M1909" s="30"/>
      <c r="N1909" s="32"/>
      <c r="O1909" s="34"/>
      <c r="P1909" s="32"/>
      <c r="Q1909" s="32"/>
      <c r="R1909" s="32"/>
      <c r="S1909" s="32"/>
      <c r="T1909" s="32"/>
      <c r="U1909" s="32"/>
      <c r="V1909" s="31"/>
      <c r="W1909" s="35" t="str">
        <f aca="true">IF(OR(V1909="",AG1909&gt;=8),"",IF(V1909&lt;TODAY(),"Vencida",IF(V1909=TODAY(),"Hoy","")))</f>
        <v/>
      </c>
      <c r="X1909" s="36" t="str">
        <f aca="false">IF(A1909="","",IF(COUNTIF(Seguimiento!$B$2:$B$5001,A1909)=0,"",_xlfn.MAXIFS(Seguimiento!$A$2:$A$5001,Seguimiento!$B$2:$B$5001,A1909)))</f>
        <v/>
      </c>
      <c r="Y1909" s="37" t="str">
        <f aca="true">IF(B1909="","",TODAY()-B1909)</f>
        <v/>
      </c>
      <c r="Z1909" s="38" t="str">
        <f aca="false">IF(OR(O1909="",G1909=""),"",O1909*IFERROR(INDEX(Listas!$B$2:$B$50,MATCH(G1909,Listas!$A$2:$A$50,0)),0))</f>
        <v/>
      </c>
      <c r="AA1909" s="32"/>
      <c r="AB1909" s="32"/>
      <c r="AC1909" s="32"/>
      <c r="AD1909" s="35" t="str">
        <f aca="false">IF(OR(LEFT(H1909,4)="Meta",LEFT(H1909,6)="Google"),IF(AG1909=3,"Lead calificado",IF(OR(AG1909=4,AG1909=5),"Tasación/visita",IF(OR(AG1909=6,AG1909=7),"Captación/oferta",IF(AG1909=8,"Cierre","")))),"")</f>
        <v/>
      </c>
      <c r="AE1909" s="32"/>
      <c r="AF1909" s="32"/>
      <c r="AG1909" s="37" t="n">
        <f aca="false">IF(R1909="",0,IFERROR(MATCH(R1909,Listas!$L$2:$L$50,0),0))</f>
        <v>0</v>
      </c>
    </row>
    <row r="1910" customFormat="false" ht="15" hidden="false" customHeight="false" outlineLevel="0" collapsed="false">
      <c r="A1910" s="30"/>
      <c r="B1910" s="31"/>
      <c r="C1910" s="32"/>
      <c r="D1910" s="32"/>
      <c r="E1910" s="33"/>
      <c r="F1910" s="32"/>
      <c r="G1910" s="32"/>
      <c r="H1910" s="32"/>
      <c r="I1910" s="32"/>
      <c r="J1910" s="32"/>
      <c r="K1910" s="32"/>
      <c r="L1910" s="32"/>
      <c r="M1910" s="30"/>
      <c r="N1910" s="32"/>
      <c r="O1910" s="34"/>
      <c r="P1910" s="32"/>
      <c r="Q1910" s="32"/>
      <c r="R1910" s="32"/>
      <c r="S1910" s="32"/>
      <c r="T1910" s="32"/>
      <c r="U1910" s="32"/>
      <c r="V1910" s="31"/>
      <c r="W1910" s="35" t="str">
        <f aca="true">IF(OR(V1910="",AG1910&gt;=8),"",IF(V1910&lt;TODAY(),"Vencida",IF(V1910=TODAY(),"Hoy","")))</f>
        <v/>
      </c>
      <c r="X1910" s="36" t="str">
        <f aca="false">IF(A1910="","",IF(COUNTIF(Seguimiento!$B$2:$B$5001,A1910)=0,"",_xlfn.MAXIFS(Seguimiento!$A$2:$A$5001,Seguimiento!$B$2:$B$5001,A1910)))</f>
        <v/>
      </c>
      <c r="Y1910" s="37" t="str">
        <f aca="true">IF(B1910="","",TODAY()-B1910)</f>
        <v/>
      </c>
      <c r="Z1910" s="38" t="str">
        <f aca="false">IF(OR(O1910="",G1910=""),"",O1910*IFERROR(INDEX(Listas!$B$2:$B$50,MATCH(G1910,Listas!$A$2:$A$50,0)),0))</f>
        <v/>
      </c>
      <c r="AA1910" s="32"/>
      <c r="AB1910" s="32"/>
      <c r="AC1910" s="32"/>
      <c r="AD1910" s="35" t="str">
        <f aca="false">IF(OR(LEFT(H1910,4)="Meta",LEFT(H1910,6)="Google"),IF(AG1910=3,"Lead calificado",IF(OR(AG1910=4,AG1910=5),"Tasación/visita",IF(OR(AG1910=6,AG1910=7),"Captación/oferta",IF(AG1910=8,"Cierre","")))),"")</f>
        <v/>
      </c>
      <c r="AE1910" s="32"/>
      <c r="AF1910" s="32"/>
      <c r="AG1910" s="37" t="n">
        <f aca="false">IF(R1910="",0,IFERROR(MATCH(R1910,Listas!$L$2:$L$50,0),0))</f>
        <v>0</v>
      </c>
    </row>
    <row r="1911" customFormat="false" ht="15" hidden="false" customHeight="false" outlineLevel="0" collapsed="false">
      <c r="A1911" s="30"/>
      <c r="B1911" s="31"/>
      <c r="C1911" s="32"/>
      <c r="D1911" s="32"/>
      <c r="E1911" s="33"/>
      <c r="F1911" s="32"/>
      <c r="G1911" s="32"/>
      <c r="H1911" s="32"/>
      <c r="I1911" s="32"/>
      <c r="J1911" s="32"/>
      <c r="K1911" s="32"/>
      <c r="L1911" s="32"/>
      <c r="M1911" s="30"/>
      <c r="N1911" s="32"/>
      <c r="O1911" s="34"/>
      <c r="P1911" s="32"/>
      <c r="Q1911" s="32"/>
      <c r="R1911" s="32"/>
      <c r="S1911" s="32"/>
      <c r="T1911" s="32"/>
      <c r="U1911" s="32"/>
      <c r="V1911" s="31"/>
      <c r="W1911" s="35" t="str">
        <f aca="true">IF(OR(V1911="",AG1911&gt;=8),"",IF(V1911&lt;TODAY(),"Vencida",IF(V1911=TODAY(),"Hoy","")))</f>
        <v/>
      </c>
      <c r="X1911" s="36" t="str">
        <f aca="false">IF(A1911="","",IF(COUNTIF(Seguimiento!$B$2:$B$5001,A1911)=0,"",_xlfn.MAXIFS(Seguimiento!$A$2:$A$5001,Seguimiento!$B$2:$B$5001,A1911)))</f>
        <v/>
      </c>
      <c r="Y1911" s="37" t="str">
        <f aca="true">IF(B1911="","",TODAY()-B1911)</f>
        <v/>
      </c>
      <c r="Z1911" s="38" t="str">
        <f aca="false">IF(OR(O1911="",G1911=""),"",O1911*IFERROR(INDEX(Listas!$B$2:$B$50,MATCH(G1911,Listas!$A$2:$A$50,0)),0))</f>
        <v/>
      </c>
      <c r="AA1911" s="32"/>
      <c r="AB1911" s="32"/>
      <c r="AC1911" s="32"/>
      <c r="AD1911" s="35" t="str">
        <f aca="false">IF(OR(LEFT(H1911,4)="Meta",LEFT(H1911,6)="Google"),IF(AG1911=3,"Lead calificado",IF(OR(AG1911=4,AG1911=5),"Tasación/visita",IF(OR(AG1911=6,AG1911=7),"Captación/oferta",IF(AG1911=8,"Cierre","")))),"")</f>
        <v/>
      </c>
      <c r="AE1911" s="32"/>
      <c r="AF1911" s="32"/>
      <c r="AG1911" s="37" t="n">
        <f aca="false">IF(R1911="",0,IFERROR(MATCH(R1911,Listas!$L$2:$L$50,0),0))</f>
        <v>0</v>
      </c>
    </row>
    <row r="1912" customFormat="false" ht="15" hidden="false" customHeight="false" outlineLevel="0" collapsed="false">
      <c r="A1912" s="30"/>
      <c r="B1912" s="31"/>
      <c r="C1912" s="32"/>
      <c r="D1912" s="32"/>
      <c r="E1912" s="33"/>
      <c r="F1912" s="32"/>
      <c r="G1912" s="32"/>
      <c r="H1912" s="32"/>
      <c r="I1912" s="32"/>
      <c r="J1912" s="32"/>
      <c r="K1912" s="32"/>
      <c r="L1912" s="32"/>
      <c r="M1912" s="30"/>
      <c r="N1912" s="32"/>
      <c r="O1912" s="34"/>
      <c r="P1912" s="32"/>
      <c r="Q1912" s="32"/>
      <c r="R1912" s="32"/>
      <c r="S1912" s="32"/>
      <c r="T1912" s="32"/>
      <c r="U1912" s="32"/>
      <c r="V1912" s="31"/>
      <c r="W1912" s="35" t="str">
        <f aca="true">IF(OR(V1912="",AG1912&gt;=8),"",IF(V1912&lt;TODAY(),"Vencida",IF(V1912=TODAY(),"Hoy","")))</f>
        <v/>
      </c>
      <c r="X1912" s="36" t="str">
        <f aca="false">IF(A1912="","",IF(COUNTIF(Seguimiento!$B$2:$B$5001,A1912)=0,"",_xlfn.MAXIFS(Seguimiento!$A$2:$A$5001,Seguimiento!$B$2:$B$5001,A1912)))</f>
        <v/>
      </c>
      <c r="Y1912" s="37" t="str">
        <f aca="true">IF(B1912="","",TODAY()-B1912)</f>
        <v/>
      </c>
      <c r="Z1912" s="38" t="str">
        <f aca="false">IF(OR(O1912="",G1912=""),"",O1912*IFERROR(INDEX(Listas!$B$2:$B$50,MATCH(G1912,Listas!$A$2:$A$50,0)),0))</f>
        <v/>
      </c>
      <c r="AA1912" s="32"/>
      <c r="AB1912" s="32"/>
      <c r="AC1912" s="32"/>
      <c r="AD1912" s="35" t="str">
        <f aca="false">IF(OR(LEFT(H1912,4)="Meta",LEFT(H1912,6)="Google"),IF(AG1912=3,"Lead calificado",IF(OR(AG1912=4,AG1912=5),"Tasación/visita",IF(OR(AG1912=6,AG1912=7),"Captación/oferta",IF(AG1912=8,"Cierre","")))),"")</f>
        <v/>
      </c>
      <c r="AE1912" s="32"/>
      <c r="AF1912" s="32"/>
      <c r="AG1912" s="37" t="n">
        <f aca="false">IF(R1912="",0,IFERROR(MATCH(R1912,Listas!$L$2:$L$50,0),0))</f>
        <v>0</v>
      </c>
    </row>
    <row r="1913" customFormat="false" ht="15" hidden="false" customHeight="false" outlineLevel="0" collapsed="false">
      <c r="A1913" s="30"/>
      <c r="B1913" s="31"/>
      <c r="C1913" s="32"/>
      <c r="D1913" s="32"/>
      <c r="E1913" s="33"/>
      <c r="F1913" s="32"/>
      <c r="G1913" s="32"/>
      <c r="H1913" s="32"/>
      <c r="I1913" s="32"/>
      <c r="J1913" s="32"/>
      <c r="K1913" s="32"/>
      <c r="L1913" s="32"/>
      <c r="M1913" s="30"/>
      <c r="N1913" s="32"/>
      <c r="O1913" s="34"/>
      <c r="P1913" s="32"/>
      <c r="Q1913" s="32"/>
      <c r="R1913" s="32"/>
      <c r="S1913" s="32"/>
      <c r="T1913" s="32"/>
      <c r="U1913" s="32"/>
      <c r="V1913" s="31"/>
      <c r="W1913" s="35" t="str">
        <f aca="true">IF(OR(V1913="",AG1913&gt;=8),"",IF(V1913&lt;TODAY(),"Vencida",IF(V1913=TODAY(),"Hoy","")))</f>
        <v/>
      </c>
      <c r="X1913" s="36" t="str">
        <f aca="false">IF(A1913="","",IF(COUNTIF(Seguimiento!$B$2:$B$5001,A1913)=0,"",_xlfn.MAXIFS(Seguimiento!$A$2:$A$5001,Seguimiento!$B$2:$B$5001,A1913)))</f>
        <v/>
      </c>
      <c r="Y1913" s="37" t="str">
        <f aca="true">IF(B1913="","",TODAY()-B1913)</f>
        <v/>
      </c>
      <c r="Z1913" s="38" t="str">
        <f aca="false">IF(OR(O1913="",G1913=""),"",O1913*IFERROR(INDEX(Listas!$B$2:$B$50,MATCH(G1913,Listas!$A$2:$A$50,0)),0))</f>
        <v/>
      </c>
      <c r="AA1913" s="32"/>
      <c r="AB1913" s="32"/>
      <c r="AC1913" s="32"/>
      <c r="AD1913" s="35" t="str">
        <f aca="false">IF(OR(LEFT(H1913,4)="Meta",LEFT(H1913,6)="Google"),IF(AG1913=3,"Lead calificado",IF(OR(AG1913=4,AG1913=5),"Tasación/visita",IF(OR(AG1913=6,AG1913=7),"Captación/oferta",IF(AG1913=8,"Cierre","")))),"")</f>
        <v/>
      </c>
      <c r="AE1913" s="32"/>
      <c r="AF1913" s="32"/>
      <c r="AG1913" s="37" t="n">
        <f aca="false">IF(R1913="",0,IFERROR(MATCH(R1913,Listas!$L$2:$L$50,0),0))</f>
        <v>0</v>
      </c>
    </row>
    <row r="1914" customFormat="false" ht="15" hidden="false" customHeight="false" outlineLevel="0" collapsed="false">
      <c r="A1914" s="30"/>
      <c r="B1914" s="31"/>
      <c r="C1914" s="32"/>
      <c r="D1914" s="32"/>
      <c r="E1914" s="33"/>
      <c r="F1914" s="32"/>
      <c r="G1914" s="32"/>
      <c r="H1914" s="32"/>
      <c r="I1914" s="32"/>
      <c r="J1914" s="32"/>
      <c r="K1914" s="32"/>
      <c r="L1914" s="32"/>
      <c r="M1914" s="30"/>
      <c r="N1914" s="32"/>
      <c r="O1914" s="34"/>
      <c r="P1914" s="32"/>
      <c r="Q1914" s="32"/>
      <c r="R1914" s="32"/>
      <c r="S1914" s="32"/>
      <c r="T1914" s="32"/>
      <c r="U1914" s="32"/>
      <c r="V1914" s="31"/>
      <c r="W1914" s="35" t="str">
        <f aca="true">IF(OR(V1914="",AG1914&gt;=8),"",IF(V1914&lt;TODAY(),"Vencida",IF(V1914=TODAY(),"Hoy","")))</f>
        <v/>
      </c>
      <c r="X1914" s="36" t="str">
        <f aca="false">IF(A1914="","",IF(COUNTIF(Seguimiento!$B$2:$B$5001,A1914)=0,"",_xlfn.MAXIFS(Seguimiento!$A$2:$A$5001,Seguimiento!$B$2:$B$5001,A1914)))</f>
        <v/>
      </c>
      <c r="Y1914" s="37" t="str">
        <f aca="true">IF(B1914="","",TODAY()-B1914)</f>
        <v/>
      </c>
      <c r="Z1914" s="38" t="str">
        <f aca="false">IF(OR(O1914="",G1914=""),"",O1914*IFERROR(INDEX(Listas!$B$2:$B$50,MATCH(G1914,Listas!$A$2:$A$50,0)),0))</f>
        <v/>
      </c>
      <c r="AA1914" s="32"/>
      <c r="AB1914" s="32"/>
      <c r="AC1914" s="32"/>
      <c r="AD1914" s="35" t="str">
        <f aca="false">IF(OR(LEFT(H1914,4)="Meta",LEFT(H1914,6)="Google"),IF(AG1914=3,"Lead calificado",IF(OR(AG1914=4,AG1914=5),"Tasación/visita",IF(OR(AG1914=6,AG1914=7),"Captación/oferta",IF(AG1914=8,"Cierre","")))),"")</f>
        <v/>
      </c>
      <c r="AE1914" s="32"/>
      <c r="AF1914" s="32"/>
      <c r="AG1914" s="37" t="n">
        <f aca="false">IF(R1914="",0,IFERROR(MATCH(R1914,Listas!$L$2:$L$50,0),0))</f>
        <v>0</v>
      </c>
    </row>
    <row r="1915" customFormat="false" ht="15" hidden="false" customHeight="false" outlineLevel="0" collapsed="false">
      <c r="A1915" s="30"/>
      <c r="B1915" s="31"/>
      <c r="C1915" s="32"/>
      <c r="D1915" s="32"/>
      <c r="E1915" s="33"/>
      <c r="F1915" s="32"/>
      <c r="G1915" s="32"/>
      <c r="H1915" s="32"/>
      <c r="I1915" s="32"/>
      <c r="J1915" s="32"/>
      <c r="K1915" s="32"/>
      <c r="L1915" s="32"/>
      <c r="M1915" s="30"/>
      <c r="N1915" s="32"/>
      <c r="O1915" s="34"/>
      <c r="P1915" s="32"/>
      <c r="Q1915" s="32"/>
      <c r="R1915" s="32"/>
      <c r="S1915" s="32"/>
      <c r="T1915" s="32"/>
      <c r="U1915" s="32"/>
      <c r="V1915" s="31"/>
      <c r="W1915" s="35" t="str">
        <f aca="true">IF(OR(V1915="",AG1915&gt;=8),"",IF(V1915&lt;TODAY(),"Vencida",IF(V1915=TODAY(),"Hoy","")))</f>
        <v/>
      </c>
      <c r="X1915" s="36" t="str">
        <f aca="false">IF(A1915="","",IF(COUNTIF(Seguimiento!$B$2:$B$5001,A1915)=0,"",_xlfn.MAXIFS(Seguimiento!$A$2:$A$5001,Seguimiento!$B$2:$B$5001,A1915)))</f>
        <v/>
      </c>
      <c r="Y1915" s="37" t="str">
        <f aca="true">IF(B1915="","",TODAY()-B1915)</f>
        <v/>
      </c>
      <c r="Z1915" s="38" t="str">
        <f aca="false">IF(OR(O1915="",G1915=""),"",O1915*IFERROR(INDEX(Listas!$B$2:$B$50,MATCH(G1915,Listas!$A$2:$A$50,0)),0))</f>
        <v/>
      </c>
      <c r="AA1915" s="32"/>
      <c r="AB1915" s="32"/>
      <c r="AC1915" s="32"/>
      <c r="AD1915" s="35" t="str">
        <f aca="false">IF(OR(LEFT(H1915,4)="Meta",LEFT(H1915,6)="Google"),IF(AG1915=3,"Lead calificado",IF(OR(AG1915=4,AG1915=5),"Tasación/visita",IF(OR(AG1915=6,AG1915=7),"Captación/oferta",IF(AG1915=8,"Cierre","")))),"")</f>
        <v/>
      </c>
      <c r="AE1915" s="32"/>
      <c r="AF1915" s="32"/>
      <c r="AG1915" s="37" t="n">
        <f aca="false">IF(R1915="",0,IFERROR(MATCH(R1915,Listas!$L$2:$L$50,0),0))</f>
        <v>0</v>
      </c>
    </row>
    <row r="1916" customFormat="false" ht="15" hidden="false" customHeight="false" outlineLevel="0" collapsed="false">
      <c r="A1916" s="30"/>
      <c r="B1916" s="31"/>
      <c r="C1916" s="32"/>
      <c r="D1916" s="32"/>
      <c r="E1916" s="33"/>
      <c r="F1916" s="32"/>
      <c r="G1916" s="32"/>
      <c r="H1916" s="32"/>
      <c r="I1916" s="32"/>
      <c r="J1916" s="32"/>
      <c r="K1916" s="32"/>
      <c r="L1916" s="32"/>
      <c r="M1916" s="30"/>
      <c r="N1916" s="32"/>
      <c r="O1916" s="34"/>
      <c r="P1916" s="32"/>
      <c r="Q1916" s="32"/>
      <c r="R1916" s="32"/>
      <c r="S1916" s="32"/>
      <c r="T1916" s="32"/>
      <c r="U1916" s="32"/>
      <c r="V1916" s="31"/>
      <c r="W1916" s="35" t="str">
        <f aca="true">IF(OR(V1916="",AG1916&gt;=8),"",IF(V1916&lt;TODAY(),"Vencida",IF(V1916=TODAY(),"Hoy","")))</f>
        <v/>
      </c>
      <c r="X1916" s="36" t="str">
        <f aca="false">IF(A1916="","",IF(COUNTIF(Seguimiento!$B$2:$B$5001,A1916)=0,"",_xlfn.MAXIFS(Seguimiento!$A$2:$A$5001,Seguimiento!$B$2:$B$5001,A1916)))</f>
        <v/>
      </c>
      <c r="Y1916" s="37" t="str">
        <f aca="true">IF(B1916="","",TODAY()-B1916)</f>
        <v/>
      </c>
      <c r="Z1916" s="38" t="str">
        <f aca="false">IF(OR(O1916="",G1916=""),"",O1916*IFERROR(INDEX(Listas!$B$2:$B$50,MATCH(G1916,Listas!$A$2:$A$50,0)),0))</f>
        <v/>
      </c>
      <c r="AA1916" s="32"/>
      <c r="AB1916" s="32"/>
      <c r="AC1916" s="32"/>
      <c r="AD1916" s="35" t="str">
        <f aca="false">IF(OR(LEFT(H1916,4)="Meta",LEFT(H1916,6)="Google"),IF(AG1916=3,"Lead calificado",IF(OR(AG1916=4,AG1916=5),"Tasación/visita",IF(OR(AG1916=6,AG1916=7),"Captación/oferta",IF(AG1916=8,"Cierre","")))),"")</f>
        <v/>
      </c>
      <c r="AE1916" s="32"/>
      <c r="AF1916" s="32"/>
      <c r="AG1916" s="37" t="n">
        <f aca="false">IF(R1916="",0,IFERROR(MATCH(R1916,Listas!$L$2:$L$50,0),0))</f>
        <v>0</v>
      </c>
    </row>
    <row r="1917" customFormat="false" ht="15" hidden="false" customHeight="false" outlineLevel="0" collapsed="false">
      <c r="A1917" s="30"/>
      <c r="B1917" s="31"/>
      <c r="C1917" s="32"/>
      <c r="D1917" s="32"/>
      <c r="E1917" s="33"/>
      <c r="F1917" s="32"/>
      <c r="G1917" s="32"/>
      <c r="H1917" s="32"/>
      <c r="I1917" s="32"/>
      <c r="J1917" s="32"/>
      <c r="K1917" s="32"/>
      <c r="L1917" s="32"/>
      <c r="M1917" s="30"/>
      <c r="N1917" s="32"/>
      <c r="O1917" s="34"/>
      <c r="P1917" s="32"/>
      <c r="Q1917" s="32"/>
      <c r="R1917" s="32"/>
      <c r="S1917" s="32"/>
      <c r="T1917" s="32"/>
      <c r="U1917" s="32"/>
      <c r="V1917" s="31"/>
      <c r="W1917" s="35" t="str">
        <f aca="true">IF(OR(V1917="",AG1917&gt;=8),"",IF(V1917&lt;TODAY(),"Vencida",IF(V1917=TODAY(),"Hoy","")))</f>
        <v/>
      </c>
      <c r="X1917" s="36" t="str">
        <f aca="false">IF(A1917="","",IF(COUNTIF(Seguimiento!$B$2:$B$5001,A1917)=0,"",_xlfn.MAXIFS(Seguimiento!$A$2:$A$5001,Seguimiento!$B$2:$B$5001,A1917)))</f>
        <v/>
      </c>
      <c r="Y1917" s="37" t="str">
        <f aca="true">IF(B1917="","",TODAY()-B1917)</f>
        <v/>
      </c>
      <c r="Z1917" s="38" t="str">
        <f aca="false">IF(OR(O1917="",G1917=""),"",O1917*IFERROR(INDEX(Listas!$B$2:$B$50,MATCH(G1917,Listas!$A$2:$A$50,0)),0))</f>
        <v/>
      </c>
      <c r="AA1917" s="32"/>
      <c r="AB1917" s="32"/>
      <c r="AC1917" s="32"/>
      <c r="AD1917" s="35" t="str">
        <f aca="false">IF(OR(LEFT(H1917,4)="Meta",LEFT(H1917,6)="Google"),IF(AG1917=3,"Lead calificado",IF(OR(AG1917=4,AG1917=5),"Tasación/visita",IF(OR(AG1917=6,AG1917=7),"Captación/oferta",IF(AG1917=8,"Cierre","")))),"")</f>
        <v/>
      </c>
      <c r="AE1917" s="32"/>
      <c r="AF1917" s="32"/>
      <c r="AG1917" s="37" t="n">
        <f aca="false">IF(R1917="",0,IFERROR(MATCH(R1917,Listas!$L$2:$L$50,0),0))</f>
        <v>0</v>
      </c>
    </row>
    <row r="1918" customFormat="false" ht="15" hidden="false" customHeight="false" outlineLevel="0" collapsed="false">
      <c r="A1918" s="30"/>
      <c r="B1918" s="31"/>
      <c r="C1918" s="32"/>
      <c r="D1918" s="32"/>
      <c r="E1918" s="33"/>
      <c r="F1918" s="32"/>
      <c r="G1918" s="32"/>
      <c r="H1918" s="32"/>
      <c r="I1918" s="32"/>
      <c r="J1918" s="32"/>
      <c r="K1918" s="32"/>
      <c r="L1918" s="32"/>
      <c r="M1918" s="30"/>
      <c r="N1918" s="32"/>
      <c r="O1918" s="34"/>
      <c r="P1918" s="32"/>
      <c r="Q1918" s="32"/>
      <c r="R1918" s="32"/>
      <c r="S1918" s="32"/>
      <c r="T1918" s="32"/>
      <c r="U1918" s="32"/>
      <c r="V1918" s="31"/>
      <c r="W1918" s="35" t="str">
        <f aca="true">IF(OR(V1918="",AG1918&gt;=8),"",IF(V1918&lt;TODAY(),"Vencida",IF(V1918=TODAY(),"Hoy","")))</f>
        <v/>
      </c>
      <c r="X1918" s="36" t="str">
        <f aca="false">IF(A1918="","",IF(COUNTIF(Seguimiento!$B$2:$B$5001,A1918)=0,"",_xlfn.MAXIFS(Seguimiento!$A$2:$A$5001,Seguimiento!$B$2:$B$5001,A1918)))</f>
        <v/>
      </c>
      <c r="Y1918" s="37" t="str">
        <f aca="true">IF(B1918="","",TODAY()-B1918)</f>
        <v/>
      </c>
      <c r="Z1918" s="38" t="str">
        <f aca="false">IF(OR(O1918="",G1918=""),"",O1918*IFERROR(INDEX(Listas!$B$2:$B$50,MATCH(G1918,Listas!$A$2:$A$50,0)),0))</f>
        <v/>
      </c>
      <c r="AA1918" s="32"/>
      <c r="AB1918" s="32"/>
      <c r="AC1918" s="32"/>
      <c r="AD1918" s="35" t="str">
        <f aca="false">IF(OR(LEFT(H1918,4)="Meta",LEFT(H1918,6)="Google"),IF(AG1918=3,"Lead calificado",IF(OR(AG1918=4,AG1918=5),"Tasación/visita",IF(OR(AG1918=6,AG1918=7),"Captación/oferta",IF(AG1918=8,"Cierre","")))),"")</f>
        <v/>
      </c>
      <c r="AE1918" s="32"/>
      <c r="AF1918" s="32"/>
      <c r="AG1918" s="37" t="n">
        <f aca="false">IF(R1918="",0,IFERROR(MATCH(R1918,Listas!$L$2:$L$50,0),0))</f>
        <v>0</v>
      </c>
    </row>
    <row r="1919" customFormat="false" ht="15" hidden="false" customHeight="false" outlineLevel="0" collapsed="false">
      <c r="A1919" s="30"/>
      <c r="B1919" s="31"/>
      <c r="C1919" s="32"/>
      <c r="D1919" s="32"/>
      <c r="E1919" s="33"/>
      <c r="F1919" s="32"/>
      <c r="G1919" s="32"/>
      <c r="H1919" s="32"/>
      <c r="I1919" s="32"/>
      <c r="J1919" s="32"/>
      <c r="K1919" s="32"/>
      <c r="L1919" s="32"/>
      <c r="M1919" s="30"/>
      <c r="N1919" s="32"/>
      <c r="O1919" s="34"/>
      <c r="P1919" s="32"/>
      <c r="Q1919" s="32"/>
      <c r="R1919" s="32"/>
      <c r="S1919" s="32"/>
      <c r="T1919" s="32"/>
      <c r="U1919" s="32"/>
      <c r="V1919" s="31"/>
      <c r="W1919" s="35" t="str">
        <f aca="true">IF(OR(V1919="",AG1919&gt;=8),"",IF(V1919&lt;TODAY(),"Vencida",IF(V1919=TODAY(),"Hoy","")))</f>
        <v/>
      </c>
      <c r="X1919" s="36" t="str">
        <f aca="false">IF(A1919="","",IF(COUNTIF(Seguimiento!$B$2:$B$5001,A1919)=0,"",_xlfn.MAXIFS(Seguimiento!$A$2:$A$5001,Seguimiento!$B$2:$B$5001,A1919)))</f>
        <v/>
      </c>
      <c r="Y1919" s="37" t="str">
        <f aca="true">IF(B1919="","",TODAY()-B1919)</f>
        <v/>
      </c>
      <c r="Z1919" s="38" t="str">
        <f aca="false">IF(OR(O1919="",G1919=""),"",O1919*IFERROR(INDEX(Listas!$B$2:$B$50,MATCH(G1919,Listas!$A$2:$A$50,0)),0))</f>
        <v/>
      </c>
      <c r="AA1919" s="32"/>
      <c r="AB1919" s="32"/>
      <c r="AC1919" s="32"/>
      <c r="AD1919" s="35" t="str">
        <f aca="false">IF(OR(LEFT(H1919,4)="Meta",LEFT(H1919,6)="Google"),IF(AG1919=3,"Lead calificado",IF(OR(AG1919=4,AG1919=5),"Tasación/visita",IF(OR(AG1919=6,AG1919=7),"Captación/oferta",IF(AG1919=8,"Cierre","")))),"")</f>
        <v/>
      </c>
      <c r="AE1919" s="32"/>
      <c r="AF1919" s="32"/>
      <c r="AG1919" s="37" t="n">
        <f aca="false">IF(R1919="",0,IFERROR(MATCH(R1919,Listas!$L$2:$L$50,0),0))</f>
        <v>0</v>
      </c>
    </row>
    <row r="1920" customFormat="false" ht="15" hidden="false" customHeight="false" outlineLevel="0" collapsed="false">
      <c r="A1920" s="30"/>
      <c r="B1920" s="31"/>
      <c r="C1920" s="32"/>
      <c r="D1920" s="32"/>
      <c r="E1920" s="33"/>
      <c r="F1920" s="32"/>
      <c r="G1920" s="32"/>
      <c r="H1920" s="32"/>
      <c r="I1920" s="32"/>
      <c r="J1920" s="32"/>
      <c r="K1920" s="32"/>
      <c r="L1920" s="32"/>
      <c r="M1920" s="30"/>
      <c r="N1920" s="32"/>
      <c r="O1920" s="34"/>
      <c r="P1920" s="32"/>
      <c r="Q1920" s="32"/>
      <c r="R1920" s="32"/>
      <c r="S1920" s="32"/>
      <c r="T1920" s="32"/>
      <c r="U1920" s="32"/>
      <c r="V1920" s="31"/>
      <c r="W1920" s="35" t="str">
        <f aca="true">IF(OR(V1920="",AG1920&gt;=8),"",IF(V1920&lt;TODAY(),"Vencida",IF(V1920=TODAY(),"Hoy","")))</f>
        <v/>
      </c>
      <c r="X1920" s="36" t="str">
        <f aca="false">IF(A1920="","",IF(COUNTIF(Seguimiento!$B$2:$B$5001,A1920)=0,"",_xlfn.MAXIFS(Seguimiento!$A$2:$A$5001,Seguimiento!$B$2:$B$5001,A1920)))</f>
        <v/>
      </c>
      <c r="Y1920" s="37" t="str">
        <f aca="true">IF(B1920="","",TODAY()-B1920)</f>
        <v/>
      </c>
      <c r="Z1920" s="38" t="str">
        <f aca="false">IF(OR(O1920="",G1920=""),"",O1920*IFERROR(INDEX(Listas!$B$2:$B$50,MATCH(G1920,Listas!$A$2:$A$50,0)),0))</f>
        <v/>
      </c>
      <c r="AA1920" s="32"/>
      <c r="AB1920" s="32"/>
      <c r="AC1920" s="32"/>
      <c r="AD1920" s="35" t="str">
        <f aca="false">IF(OR(LEFT(H1920,4)="Meta",LEFT(H1920,6)="Google"),IF(AG1920=3,"Lead calificado",IF(OR(AG1920=4,AG1920=5),"Tasación/visita",IF(OR(AG1920=6,AG1920=7),"Captación/oferta",IF(AG1920=8,"Cierre","")))),"")</f>
        <v/>
      </c>
      <c r="AE1920" s="32"/>
      <c r="AF1920" s="32"/>
      <c r="AG1920" s="37" t="n">
        <f aca="false">IF(R1920="",0,IFERROR(MATCH(R1920,Listas!$L$2:$L$50,0),0))</f>
        <v>0</v>
      </c>
    </row>
    <row r="1921" customFormat="false" ht="15" hidden="false" customHeight="false" outlineLevel="0" collapsed="false">
      <c r="A1921" s="30"/>
      <c r="B1921" s="31"/>
      <c r="C1921" s="32"/>
      <c r="D1921" s="32"/>
      <c r="E1921" s="33"/>
      <c r="F1921" s="32"/>
      <c r="G1921" s="32"/>
      <c r="H1921" s="32"/>
      <c r="I1921" s="32"/>
      <c r="J1921" s="32"/>
      <c r="K1921" s="32"/>
      <c r="L1921" s="32"/>
      <c r="M1921" s="30"/>
      <c r="N1921" s="32"/>
      <c r="O1921" s="34"/>
      <c r="P1921" s="32"/>
      <c r="Q1921" s="32"/>
      <c r="R1921" s="32"/>
      <c r="S1921" s="32"/>
      <c r="T1921" s="32"/>
      <c r="U1921" s="32"/>
      <c r="V1921" s="31"/>
      <c r="W1921" s="35" t="str">
        <f aca="true">IF(OR(V1921="",AG1921&gt;=8),"",IF(V1921&lt;TODAY(),"Vencida",IF(V1921=TODAY(),"Hoy","")))</f>
        <v/>
      </c>
      <c r="X1921" s="36" t="str">
        <f aca="false">IF(A1921="","",IF(COUNTIF(Seguimiento!$B$2:$B$5001,A1921)=0,"",_xlfn.MAXIFS(Seguimiento!$A$2:$A$5001,Seguimiento!$B$2:$B$5001,A1921)))</f>
        <v/>
      </c>
      <c r="Y1921" s="37" t="str">
        <f aca="true">IF(B1921="","",TODAY()-B1921)</f>
        <v/>
      </c>
      <c r="Z1921" s="38" t="str">
        <f aca="false">IF(OR(O1921="",G1921=""),"",O1921*IFERROR(INDEX(Listas!$B$2:$B$50,MATCH(G1921,Listas!$A$2:$A$50,0)),0))</f>
        <v/>
      </c>
      <c r="AA1921" s="32"/>
      <c r="AB1921" s="32"/>
      <c r="AC1921" s="32"/>
      <c r="AD1921" s="35" t="str">
        <f aca="false">IF(OR(LEFT(H1921,4)="Meta",LEFT(H1921,6)="Google"),IF(AG1921=3,"Lead calificado",IF(OR(AG1921=4,AG1921=5),"Tasación/visita",IF(OR(AG1921=6,AG1921=7),"Captación/oferta",IF(AG1921=8,"Cierre","")))),"")</f>
        <v/>
      </c>
      <c r="AE1921" s="32"/>
      <c r="AF1921" s="32"/>
      <c r="AG1921" s="37" t="n">
        <f aca="false">IF(R1921="",0,IFERROR(MATCH(R1921,Listas!$L$2:$L$50,0),0))</f>
        <v>0</v>
      </c>
    </row>
    <row r="1922" customFormat="false" ht="15" hidden="false" customHeight="false" outlineLevel="0" collapsed="false">
      <c r="A1922" s="30"/>
      <c r="B1922" s="31"/>
      <c r="C1922" s="32"/>
      <c r="D1922" s="32"/>
      <c r="E1922" s="33"/>
      <c r="F1922" s="32"/>
      <c r="G1922" s="32"/>
      <c r="H1922" s="32"/>
      <c r="I1922" s="32"/>
      <c r="J1922" s="32"/>
      <c r="K1922" s="32"/>
      <c r="L1922" s="32"/>
      <c r="M1922" s="30"/>
      <c r="N1922" s="32"/>
      <c r="O1922" s="34"/>
      <c r="P1922" s="32"/>
      <c r="Q1922" s="32"/>
      <c r="R1922" s="32"/>
      <c r="S1922" s="32"/>
      <c r="T1922" s="32"/>
      <c r="U1922" s="32"/>
      <c r="V1922" s="31"/>
      <c r="W1922" s="35" t="str">
        <f aca="true">IF(OR(V1922="",AG1922&gt;=8),"",IF(V1922&lt;TODAY(),"Vencida",IF(V1922=TODAY(),"Hoy","")))</f>
        <v/>
      </c>
      <c r="X1922" s="36" t="str">
        <f aca="false">IF(A1922="","",IF(COUNTIF(Seguimiento!$B$2:$B$5001,A1922)=0,"",_xlfn.MAXIFS(Seguimiento!$A$2:$A$5001,Seguimiento!$B$2:$B$5001,A1922)))</f>
        <v/>
      </c>
      <c r="Y1922" s="37" t="str">
        <f aca="true">IF(B1922="","",TODAY()-B1922)</f>
        <v/>
      </c>
      <c r="Z1922" s="38" t="str">
        <f aca="false">IF(OR(O1922="",G1922=""),"",O1922*IFERROR(INDEX(Listas!$B$2:$B$50,MATCH(G1922,Listas!$A$2:$A$50,0)),0))</f>
        <v/>
      </c>
      <c r="AA1922" s="32"/>
      <c r="AB1922" s="32"/>
      <c r="AC1922" s="32"/>
      <c r="AD1922" s="35" t="str">
        <f aca="false">IF(OR(LEFT(H1922,4)="Meta",LEFT(H1922,6)="Google"),IF(AG1922=3,"Lead calificado",IF(OR(AG1922=4,AG1922=5),"Tasación/visita",IF(OR(AG1922=6,AG1922=7),"Captación/oferta",IF(AG1922=8,"Cierre","")))),"")</f>
        <v/>
      </c>
      <c r="AE1922" s="32"/>
      <c r="AF1922" s="32"/>
      <c r="AG1922" s="37" t="n">
        <f aca="false">IF(R1922="",0,IFERROR(MATCH(R1922,Listas!$L$2:$L$50,0),0))</f>
        <v>0</v>
      </c>
    </row>
    <row r="1923" customFormat="false" ht="15" hidden="false" customHeight="false" outlineLevel="0" collapsed="false">
      <c r="A1923" s="30"/>
      <c r="B1923" s="31"/>
      <c r="C1923" s="32"/>
      <c r="D1923" s="32"/>
      <c r="E1923" s="33"/>
      <c r="F1923" s="32"/>
      <c r="G1923" s="32"/>
      <c r="H1923" s="32"/>
      <c r="I1923" s="32"/>
      <c r="J1923" s="32"/>
      <c r="K1923" s="32"/>
      <c r="L1923" s="32"/>
      <c r="M1923" s="30"/>
      <c r="N1923" s="32"/>
      <c r="O1923" s="34"/>
      <c r="P1923" s="32"/>
      <c r="Q1923" s="32"/>
      <c r="R1923" s="32"/>
      <c r="S1923" s="32"/>
      <c r="T1923" s="32"/>
      <c r="U1923" s="32"/>
      <c r="V1923" s="31"/>
      <c r="W1923" s="35" t="str">
        <f aca="true">IF(OR(V1923="",AG1923&gt;=8),"",IF(V1923&lt;TODAY(),"Vencida",IF(V1923=TODAY(),"Hoy","")))</f>
        <v/>
      </c>
      <c r="X1923" s="36" t="str">
        <f aca="false">IF(A1923="","",IF(COUNTIF(Seguimiento!$B$2:$B$5001,A1923)=0,"",_xlfn.MAXIFS(Seguimiento!$A$2:$A$5001,Seguimiento!$B$2:$B$5001,A1923)))</f>
        <v/>
      </c>
      <c r="Y1923" s="37" t="str">
        <f aca="true">IF(B1923="","",TODAY()-B1923)</f>
        <v/>
      </c>
      <c r="Z1923" s="38" t="str">
        <f aca="false">IF(OR(O1923="",G1923=""),"",O1923*IFERROR(INDEX(Listas!$B$2:$B$50,MATCH(G1923,Listas!$A$2:$A$50,0)),0))</f>
        <v/>
      </c>
      <c r="AA1923" s="32"/>
      <c r="AB1923" s="32"/>
      <c r="AC1923" s="32"/>
      <c r="AD1923" s="35" t="str">
        <f aca="false">IF(OR(LEFT(H1923,4)="Meta",LEFT(H1923,6)="Google"),IF(AG1923=3,"Lead calificado",IF(OR(AG1923=4,AG1923=5),"Tasación/visita",IF(OR(AG1923=6,AG1923=7),"Captación/oferta",IF(AG1923=8,"Cierre","")))),"")</f>
        <v/>
      </c>
      <c r="AE1923" s="32"/>
      <c r="AF1923" s="32"/>
      <c r="AG1923" s="37" t="n">
        <f aca="false">IF(R1923="",0,IFERROR(MATCH(R1923,Listas!$L$2:$L$50,0),0))</f>
        <v>0</v>
      </c>
    </row>
    <row r="1924" customFormat="false" ht="15" hidden="false" customHeight="false" outlineLevel="0" collapsed="false">
      <c r="A1924" s="30"/>
      <c r="B1924" s="31"/>
      <c r="C1924" s="32"/>
      <c r="D1924" s="32"/>
      <c r="E1924" s="33"/>
      <c r="F1924" s="32"/>
      <c r="G1924" s="32"/>
      <c r="H1924" s="32"/>
      <c r="I1924" s="32"/>
      <c r="J1924" s="32"/>
      <c r="K1924" s="32"/>
      <c r="L1924" s="32"/>
      <c r="M1924" s="30"/>
      <c r="N1924" s="32"/>
      <c r="O1924" s="34"/>
      <c r="P1924" s="32"/>
      <c r="Q1924" s="32"/>
      <c r="R1924" s="32"/>
      <c r="S1924" s="32"/>
      <c r="T1924" s="32"/>
      <c r="U1924" s="32"/>
      <c r="V1924" s="31"/>
      <c r="W1924" s="35" t="str">
        <f aca="true">IF(OR(V1924="",AG1924&gt;=8),"",IF(V1924&lt;TODAY(),"Vencida",IF(V1924=TODAY(),"Hoy","")))</f>
        <v/>
      </c>
      <c r="X1924" s="36" t="str">
        <f aca="false">IF(A1924="","",IF(COUNTIF(Seguimiento!$B$2:$B$5001,A1924)=0,"",_xlfn.MAXIFS(Seguimiento!$A$2:$A$5001,Seguimiento!$B$2:$B$5001,A1924)))</f>
        <v/>
      </c>
      <c r="Y1924" s="37" t="str">
        <f aca="true">IF(B1924="","",TODAY()-B1924)</f>
        <v/>
      </c>
      <c r="Z1924" s="38" t="str">
        <f aca="false">IF(OR(O1924="",G1924=""),"",O1924*IFERROR(INDEX(Listas!$B$2:$B$50,MATCH(G1924,Listas!$A$2:$A$50,0)),0))</f>
        <v/>
      </c>
      <c r="AA1924" s="32"/>
      <c r="AB1924" s="32"/>
      <c r="AC1924" s="32"/>
      <c r="AD1924" s="35" t="str">
        <f aca="false">IF(OR(LEFT(H1924,4)="Meta",LEFT(H1924,6)="Google"),IF(AG1924=3,"Lead calificado",IF(OR(AG1924=4,AG1924=5),"Tasación/visita",IF(OR(AG1924=6,AG1924=7),"Captación/oferta",IF(AG1924=8,"Cierre","")))),"")</f>
        <v/>
      </c>
      <c r="AE1924" s="32"/>
      <c r="AF1924" s="32"/>
      <c r="AG1924" s="37" t="n">
        <f aca="false">IF(R1924="",0,IFERROR(MATCH(R1924,Listas!$L$2:$L$50,0),0))</f>
        <v>0</v>
      </c>
    </row>
    <row r="1925" customFormat="false" ht="15" hidden="false" customHeight="false" outlineLevel="0" collapsed="false">
      <c r="A1925" s="30"/>
      <c r="B1925" s="31"/>
      <c r="C1925" s="32"/>
      <c r="D1925" s="32"/>
      <c r="E1925" s="33"/>
      <c r="F1925" s="32"/>
      <c r="G1925" s="32"/>
      <c r="H1925" s="32"/>
      <c r="I1925" s="32"/>
      <c r="J1925" s="32"/>
      <c r="K1925" s="32"/>
      <c r="L1925" s="32"/>
      <c r="M1925" s="30"/>
      <c r="N1925" s="32"/>
      <c r="O1925" s="34"/>
      <c r="P1925" s="32"/>
      <c r="Q1925" s="32"/>
      <c r="R1925" s="32"/>
      <c r="S1925" s="32"/>
      <c r="T1925" s="32"/>
      <c r="U1925" s="32"/>
      <c r="V1925" s="31"/>
      <c r="W1925" s="35" t="str">
        <f aca="true">IF(OR(V1925="",AG1925&gt;=8),"",IF(V1925&lt;TODAY(),"Vencida",IF(V1925=TODAY(),"Hoy","")))</f>
        <v/>
      </c>
      <c r="X1925" s="36" t="str">
        <f aca="false">IF(A1925="","",IF(COUNTIF(Seguimiento!$B$2:$B$5001,A1925)=0,"",_xlfn.MAXIFS(Seguimiento!$A$2:$A$5001,Seguimiento!$B$2:$B$5001,A1925)))</f>
        <v/>
      </c>
      <c r="Y1925" s="37" t="str">
        <f aca="true">IF(B1925="","",TODAY()-B1925)</f>
        <v/>
      </c>
      <c r="Z1925" s="38" t="str">
        <f aca="false">IF(OR(O1925="",G1925=""),"",O1925*IFERROR(INDEX(Listas!$B$2:$B$50,MATCH(G1925,Listas!$A$2:$A$50,0)),0))</f>
        <v/>
      </c>
      <c r="AA1925" s="32"/>
      <c r="AB1925" s="32"/>
      <c r="AC1925" s="32"/>
      <c r="AD1925" s="35" t="str">
        <f aca="false">IF(OR(LEFT(H1925,4)="Meta",LEFT(H1925,6)="Google"),IF(AG1925=3,"Lead calificado",IF(OR(AG1925=4,AG1925=5),"Tasación/visita",IF(OR(AG1925=6,AG1925=7),"Captación/oferta",IF(AG1925=8,"Cierre","")))),"")</f>
        <v/>
      </c>
      <c r="AE1925" s="32"/>
      <c r="AF1925" s="32"/>
      <c r="AG1925" s="37" t="n">
        <f aca="false">IF(R1925="",0,IFERROR(MATCH(R1925,Listas!$L$2:$L$50,0),0))</f>
        <v>0</v>
      </c>
    </row>
    <row r="1926" customFormat="false" ht="15" hidden="false" customHeight="false" outlineLevel="0" collapsed="false">
      <c r="A1926" s="30"/>
      <c r="B1926" s="31"/>
      <c r="C1926" s="32"/>
      <c r="D1926" s="32"/>
      <c r="E1926" s="33"/>
      <c r="F1926" s="32"/>
      <c r="G1926" s="32"/>
      <c r="H1926" s="32"/>
      <c r="I1926" s="32"/>
      <c r="J1926" s="32"/>
      <c r="K1926" s="32"/>
      <c r="L1926" s="32"/>
      <c r="M1926" s="30"/>
      <c r="N1926" s="32"/>
      <c r="O1926" s="34"/>
      <c r="P1926" s="32"/>
      <c r="Q1926" s="32"/>
      <c r="R1926" s="32"/>
      <c r="S1926" s="32"/>
      <c r="T1926" s="32"/>
      <c r="U1926" s="32"/>
      <c r="V1926" s="31"/>
      <c r="W1926" s="35" t="str">
        <f aca="true">IF(OR(V1926="",AG1926&gt;=8),"",IF(V1926&lt;TODAY(),"Vencida",IF(V1926=TODAY(),"Hoy","")))</f>
        <v/>
      </c>
      <c r="X1926" s="36" t="str">
        <f aca="false">IF(A1926="","",IF(COUNTIF(Seguimiento!$B$2:$B$5001,A1926)=0,"",_xlfn.MAXIFS(Seguimiento!$A$2:$A$5001,Seguimiento!$B$2:$B$5001,A1926)))</f>
        <v/>
      </c>
      <c r="Y1926" s="37" t="str">
        <f aca="true">IF(B1926="","",TODAY()-B1926)</f>
        <v/>
      </c>
      <c r="Z1926" s="38" t="str">
        <f aca="false">IF(OR(O1926="",G1926=""),"",O1926*IFERROR(INDEX(Listas!$B$2:$B$50,MATCH(G1926,Listas!$A$2:$A$50,0)),0))</f>
        <v/>
      </c>
      <c r="AA1926" s="32"/>
      <c r="AB1926" s="32"/>
      <c r="AC1926" s="32"/>
      <c r="AD1926" s="35" t="str">
        <f aca="false">IF(OR(LEFT(H1926,4)="Meta",LEFT(H1926,6)="Google"),IF(AG1926=3,"Lead calificado",IF(OR(AG1926=4,AG1926=5),"Tasación/visita",IF(OR(AG1926=6,AG1926=7),"Captación/oferta",IF(AG1926=8,"Cierre","")))),"")</f>
        <v/>
      </c>
      <c r="AE1926" s="32"/>
      <c r="AF1926" s="32"/>
      <c r="AG1926" s="37" t="n">
        <f aca="false">IF(R1926="",0,IFERROR(MATCH(R1926,Listas!$L$2:$L$50,0),0))</f>
        <v>0</v>
      </c>
    </row>
    <row r="1927" customFormat="false" ht="15" hidden="false" customHeight="false" outlineLevel="0" collapsed="false">
      <c r="A1927" s="30"/>
      <c r="B1927" s="31"/>
      <c r="C1927" s="32"/>
      <c r="D1927" s="32"/>
      <c r="E1927" s="33"/>
      <c r="F1927" s="32"/>
      <c r="G1927" s="32"/>
      <c r="H1927" s="32"/>
      <c r="I1927" s="32"/>
      <c r="J1927" s="32"/>
      <c r="K1927" s="32"/>
      <c r="L1927" s="32"/>
      <c r="M1927" s="30"/>
      <c r="N1927" s="32"/>
      <c r="O1927" s="34"/>
      <c r="P1927" s="32"/>
      <c r="Q1927" s="32"/>
      <c r="R1927" s="32"/>
      <c r="S1927" s="32"/>
      <c r="T1927" s="32"/>
      <c r="U1927" s="32"/>
      <c r="V1927" s="31"/>
      <c r="W1927" s="35" t="str">
        <f aca="true">IF(OR(V1927="",AG1927&gt;=8),"",IF(V1927&lt;TODAY(),"Vencida",IF(V1927=TODAY(),"Hoy","")))</f>
        <v/>
      </c>
      <c r="X1927" s="36" t="str">
        <f aca="false">IF(A1927="","",IF(COUNTIF(Seguimiento!$B$2:$B$5001,A1927)=0,"",_xlfn.MAXIFS(Seguimiento!$A$2:$A$5001,Seguimiento!$B$2:$B$5001,A1927)))</f>
        <v/>
      </c>
      <c r="Y1927" s="37" t="str">
        <f aca="true">IF(B1927="","",TODAY()-B1927)</f>
        <v/>
      </c>
      <c r="Z1927" s="38" t="str">
        <f aca="false">IF(OR(O1927="",G1927=""),"",O1927*IFERROR(INDEX(Listas!$B$2:$B$50,MATCH(G1927,Listas!$A$2:$A$50,0)),0))</f>
        <v/>
      </c>
      <c r="AA1927" s="32"/>
      <c r="AB1927" s="32"/>
      <c r="AC1927" s="32"/>
      <c r="AD1927" s="35" t="str">
        <f aca="false">IF(OR(LEFT(H1927,4)="Meta",LEFT(H1927,6)="Google"),IF(AG1927=3,"Lead calificado",IF(OR(AG1927=4,AG1927=5),"Tasación/visita",IF(OR(AG1927=6,AG1927=7),"Captación/oferta",IF(AG1927=8,"Cierre","")))),"")</f>
        <v/>
      </c>
      <c r="AE1927" s="32"/>
      <c r="AF1927" s="32"/>
      <c r="AG1927" s="37" t="n">
        <f aca="false">IF(R1927="",0,IFERROR(MATCH(R1927,Listas!$L$2:$L$50,0),0))</f>
        <v>0</v>
      </c>
    </row>
    <row r="1928" customFormat="false" ht="15" hidden="false" customHeight="false" outlineLevel="0" collapsed="false">
      <c r="A1928" s="30"/>
      <c r="B1928" s="31"/>
      <c r="C1928" s="32"/>
      <c r="D1928" s="32"/>
      <c r="E1928" s="33"/>
      <c r="F1928" s="32"/>
      <c r="G1928" s="32"/>
      <c r="H1928" s="32"/>
      <c r="I1928" s="32"/>
      <c r="J1928" s="32"/>
      <c r="K1928" s="32"/>
      <c r="L1928" s="32"/>
      <c r="M1928" s="30"/>
      <c r="N1928" s="32"/>
      <c r="O1928" s="34"/>
      <c r="P1928" s="32"/>
      <c r="Q1928" s="32"/>
      <c r="R1928" s="32"/>
      <c r="S1928" s="32"/>
      <c r="T1928" s="32"/>
      <c r="U1928" s="32"/>
      <c r="V1928" s="31"/>
      <c r="W1928" s="35" t="str">
        <f aca="true">IF(OR(V1928="",AG1928&gt;=8),"",IF(V1928&lt;TODAY(),"Vencida",IF(V1928=TODAY(),"Hoy","")))</f>
        <v/>
      </c>
      <c r="X1928" s="36" t="str">
        <f aca="false">IF(A1928="","",IF(COUNTIF(Seguimiento!$B$2:$B$5001,A1928)=0,"",_xlfn.MAXIFS(Seguimiento!$A$2:$A$5001,Seguimiento!$B$2:$B$5001,A1928)))</f>
        <v/>
      </c>
      <c r="Y1928" s="37" t="str">
        <f aca="true">IF(B1928="","",TODAY()-B1928)</f>
        <v/>
      </c>
      <c r="Z1928" s="38" t="str">
        <f aca="false">IF(OR(O1928="",G1928=""),"",O1928*IFERROR(INDEX(Listas!$B$2:$B$50,MATCH(G1928,Listas!$A$2:$A$50,0)),0))</f>
        <v/>
      </c>
      <c r="AA1928" s="32"/>
      <c r="AB1928" s="32"/>
      <c r="AC1928" s="32"/>
      <c r="AD1928" s="35" t="str">
        <f aca="false">IF(OR(LEFT(H1928,4)="Meta",LEFT(H1928,6)="Google"),IF(AG1928=3,"Lead calificado",IF(OR(AG1928=4,AG1928=5),"Tasación/visita",IF(OR(AG1928=6,AG1928=7),"Captación/oferta",IF(AG1928=8,"Cierre","")))),"")</f>
        <v/>
      </c>
      <c r="AE1928" s="32"/>
      <c r="AF1928" s="32"/>
      <c r="AG1928" s="37" t="n">
        <f aca="false">IF(R1928="",0,IFERROR(MATCH(R1928,Listas!$L$2:$L$50,0),0))</f>
        <v>0</v>
      </c>
    </row>
    <row r="1929" customFormat="false" ht="15" hidden="false" customHeight="false" outlineLevel="0" collapsed="false">
      <c r="A1929" s="30"/>
      <c r="B1929" s="31"/>
      <c r="C1929" s="32"/>
      <c r="D1929" s="32"/>
      <c r="E1929" s="33"/>
      <c r="F1929" s="32"/>
      <c r="G1929" s="32"/>
      <c r="H1929" s="32"/>
      <c r="I1929" s="32"/>
      <c r="J1929" s="32"/>
      <c r="K1929" s="32"/>
      <c r="L1929" s="32"/>
      <c r="M1929" s="30"/>
      <c r="N1929" s="32"/>
      <c r="O1929" s="34"/>
      <c r="P1929" s="32"/>
      <c r="Q1929" s="32"/>
      <c r="R1929" s="32"/>
      <c r="S1929" s="32"/>
      <c r="T1929" s="32"/>
      <c r="U1929" s="32"/>
      <c r="V1929" s="31"/>
      <c r="W1929" s="35" t="str">
        <f aca="true">IF(OR(V1929="",AG1929&gt;=8),"",IF(V1929&lt;TODAY(),"Vencida",IF(V1929=TODAY(),"Hoy","")))</f>
        <v/>
      </c>
      <c r="X1929" s="36" t="str">
        <f aca="false">IF(A1929="","",IF(COUNTIF(Seguimiento!$B$2:$B$5001,A1929)=0,"",_xlfn.MAXIFS(Seguimiento!$A$2:$A$5001,Seguimiento!$B$2:$B$5001,A1929)))</f>
        <v/>
      </c>
      <c r="Y1929" s="37" t="str">
        <f aca="true">IF(B1929="","",TODAY()-B1929)</f>
        <v/>
      </c>
      <c r="Z1929" s="38" t="str">
        <f aca="false">IF(OR(O1929="",G1929=""),"",O1929*IFERROR(INDEX(Listas!$B$2:$B$50,MATCH(G1929,Listas!$A$2:$A$50,0)),0))</f>
        <v/>
      </c>
      <c r="AA1929" s="32"/>
      <c r="AB1929" s="32"/>
      <c r="AC1929" s="32"/>
      <c r="AD1929" s="35" t="str">
        <f aca="false">IF(OR(LEFT(H1929,4)="Meta",LEFT(H1929,6)="Google"),IF(AG1929=3,"Lead calificado",IF(OR(AG1929=4,AG1929=5),"Tasación/visita",IF(OR(AG1929=6,AG1929=7),"Captación/oferta",IF(AG1929=8,"Cierre","")))),"")</f>
        <v/>
      </c>
      <c r="AE1929" s="32"/>
      <c r="AF1929" s="32"/>
      <c r="AG1929" s="37" t="n">
        <f aca="false">IF(R1929="",0,IFERROR(MATCH(R1929,Listas!$L$2:$L$50,0),0))</f>
        <v>0</v>
      </c>
    </row>
    <row r="1930" customFormat="false" ht="15" hidden="false" customHeight="false" outlineLevel="0" collapsed="false">
      <c r="A1930" s="30"/>
      <c r="B1930" s="31"/>
      <c r="C1930" s="32"/>
      <c r="D1930" s="32"/>
      <c r="E1930" s="33"/>
      <c r="F1930" s="32"/>
      <c r="G1930" s="32"/>
      <c r="H1930" s="32"/>
      <c r="I1930" s="32"/>
      <c r="J1930" s="32"/>
      <c r="K1930" s="32"/>
      <c r="L1930" s="32"/>
      <c r="M1930" s="30"/>
      <c r="N1930" s="32"/>
      <c r="O1930" s="34"/>
      <c r="P1930" s="32"/>
      <c r="Q1930" s="32"/>
      <c r="R1930" s="32"/>
      <c r="S1930" s="32"/>
      <c r="T1930" s="32"/>
      <c r="U1930" s="32"/>
      <c r="V1930" s="31"/>
      <c r="W1930" s="35" t="str">
        <f aca="true">IF(OR(V1930="",AG1930&gt;=8),"",IF(V1930&lt;TODAY(),"Vencida",IF(V1930=TODAY(),"Hoy","")))</f>
        <v/>
      </c>
      <c r="X1930" s="36" t="str">
        <f aca="false">IF(A1930="","",IF(COUNTIF(Seguimiento!$B$2:$B$5001,A1930)=0,"",_xlfn.MAXIFS(Seguimiento!$A$2:$A$5001,Seguimiento!$B$2:$B$5001,A1930)))</f>
        <v/>
      </c>
      <c r="Y1930" s="37" t="str">
        <f aca="true">IF(B1930="","",TODAY()-B1930)</f>
        <v/>
      </c>
      <c r="Z1930" s="38" t="str">
        <f aca="false">IF(OR(O1930="",G1930=""),"",O1930*IFERROR(INDEX(Listas!$B$2:$B$50,MATCH(G1930,Listas!$A$2:$A$50,0)),0))</f>
        <v/>
      </c>
      <c r="AA1930" s="32"/>
      <c r="AB1930" s="32"/>
      <c r="AC1930" s="32"/>
      <c r="AD1930" s="35" t="str">
        <f aca="false">IF(OR(LEFT(H1930,4)="Meta",LEFT(H1930,6)="Google"),IF(AG1930=3,"Lead calificado",IF(OR(AG1930=4,AG1930=5),"Tasación/visita",IF(OR(AG1930=6,AG1930=7),"Captación/oferta",IF(AG1930=8,"Cierre","")))),"")</f>
        <v/>
      </c>
      <c r="AE1930" s="32"/>
      <c r="AF1930" s="32"/>
      <c r="AG1930" s="37" t="n">
        <f aca="false">IF(R1930="",0,IFERROR(MATCH(R1930,Listas!$L$2:$L$50,0),0))</f>
        <v>0</v>
      </c>
    </row>
    <row r="1931" customFormat="false" ht="15" hidden="false" customHeight="false" outlineLevel="0" collapsed="false">
      <c r="A1931" s="30"/>
      <c r="B1931" s="31"/>
      <c r="C1931" s="32"/>
      <c r="D1931" s="32"/>
      <c r="E1931" s="33"/>
      <c r="F1931" s="32"/>
      <c r="G1931" s="32"/>
      <c r="H1931" s="32"/>
      <c r="I1931" s="32"/>
      <c r="J1931" s="32"/>
      <c r="K1931" s="32"/>
      <c r="L1931" s="32"/>
      <c r="M1931" s="30"/>
      <c r="N1931" s="32"/>
      <c r="O1931" s="34"/>
      <c r="P1931" s="32"/>
      <c r="Q1931" s="32"/>
      <c r="R1931" s="32"/>
      <c r="S1931" s="32"/>
      <c r="T1931" s="32"/>
      <c r="U1931" s="32"/>
      <c r="V1931" s="31"/>
      <c r="W1931" s="35" t="str">
        <f aca="true">IF(OR(V1931="",AG1931&gt;=8),"",IF(V1931&lt;TODAY(),"Vencida",IF(V1931=TODAY(),"Hoy","")))</f>
        <v/>
      </c>
      <c r="X1931" s="36" t="str">
        <f aca="false">IF(A1931="","",IF(COUNTIF(Seguimiento!$B$2:$B$5001,A1931)=0,"",_xlfn.MAXIFS(Seguimiento!$A$2:$A$5001,Seguimiento!$B$2:$B$5001,A1931)))</f>
        <v/>
      </c>
      <c r="Y1931" s="37" t="str">
        <f aca="true">IF(B1931="","",TODAY()-B1931)</f>
        <v/>
      </c>
      <c r="Z1931" s="38" t="str">
        <f aca="false">IF(OR(O1931="",G1931=""),"",O1931*IFERROR(INDEX(Listas!$B$2:$B$50,MATCH(G1931,Listas!$A$2:$A$50,0)),0))</f>
        <v/>
      </c>
      <c r="AA1931" s="32"/>
      <c r="AB1931" s="32"/>
      <c r="AC1931" s="32"/>
      <c r="AD1931" s="35" t="str">
        <f aca="false">IF(OR(LEFT(H1931,4)="Meta",LEFT(H1931,6)="Google"),IF(AG1931=3,"Lead calificado",IF(OR(AG1931=4,AG1931=5),"Tasación/visita",IF(OR(AG1931=6,AG1931=7),"Captación/oferta",IF(AG1931=8,"Cierre","")))),"")</f>
        <v/>
      </c>
      <c r="AE1931" s="32"/>
      <c r="AF1931" s="32"/>
      <c r="AG1931" s="37" t="n">
        <f aca="false">IF(R1931="",0,IFERROR(MATCH(R1931,Listas!$L$2:$L$50,0),0))</f>
        <v>0</v>
      </c>
    </row>
    <row r="1932" customFormat="false" ht="15" hidden="false" customHeight="false" outlineLevel="0" collapsed="false">
      <c r="A1932" s="30"/>
      <c r="B1932" s="31"/>
      <c r="C1932" s="32"/>
      <c r="D1932" s="32"/>
      <c r="E1932" s="33"/>
      <c r="F1932" s="32"/>
      <c r="G1932" s="32"/>
      <c r="H1932" s="32"/>
      <c r="I1932" s="32"/>
      <c r="J1932" s="32"/>
      <c r="K1932" s="32"/>
      <c r="L1932" s="32"/>
      <c r="M1932" s="30"/>
      <c r="N1932" s="32"/>
      <c r="O1932" s="34"/>
      <c r="P1932" s="32"/>
      <c r="Q1932" s="32"/>
      <c r="R1932" s="32"/>
      <c r="S1932" s="32"/>
      <c r="T1932" s="32"/>
      <c r="U1932" s="32"/>
      <c r="V1932" s="31"/>
      <c r="W1932" s="35" t="str">
        <f aca="true">IF(OR(V1932="",AG1932&gt;=8),"",IF(V1932&lt;TODAY(),"Vencida",IF(V1932=TODAY(),"Hoy","")))</f>
        <v/>
      </c>
      <c r="X1932" s="36" t="str">
        <f aca="false">IF(A1932="","",IF(COUNTIF(Seguimiento!$B$2:$B$5001,A1932)=0,"",_xlfn.MAXIFS(Seguimiento!$A$2:$A$5001,Seguimiento!$B$2:$B$5001,A1932)))</f>
        <v/>
      </c>
      <c r="Y1932" s="37" t="str">
        <f aca="true">IF(B1932="","",TODAY()-B1932)</f>
        <v/>
      </c>
      <c r="Z1932" s="38" t="str">
        <f aca="false">IF(OR(O1932="",G1932=""),"",O1932*IFERROR(INDEX(Listas!$B$2:$B$50,MATCH(G1932,Listas!$A$2:$A$50,0)),0))</f>
        <v/>
      </c>
      <c r="AA1932" s="32"/>
      <c r="AB1932" s="32"/>
      <c r="AC1932" s="32"/>
      <c r="AD1932" s="35" t="str">
        <f aca="false">IF(OR(LEFT(H1932,4)="Meta",LEFT(H1932,6)="Google"),IF(AG1932=3,"Lead calificado",IF(OR(AG1932=4,AG1932=5),"Tasación/visita",IF(OR(AG1932=6,AG1932=7),"Captación/oferta",IF(AG1932=8,"Cierre","")))),"")</f>
        <v/>
      </c>
      <c r="AE1932" s="32"/>
      <c r="AF1932" s="32"/>
      <c r="AG1932" s="37" t="n">
        <f aca="false">IF(R1932="",0,IFERROR(MATCH(R1932,Listas!$L$2:$L$50,0),0))</f>
        <v>0</v>
      </c>
    </row>
    <row r="1933" customFormat="false" ht="15" hidden="false" customHeight="false" outlineLevel="0" collapsed="false">
      <c r="A1933" s="30"/>
      <c r="B1933" s="31"/>
      <c r="C1933" s="32"/>
      <c r="D1933" s="32"/>
      <c r="E1933" s="33"/>
      <c r="F1933" s="32"/>
      <c r="G1933" s="32"/>
      <c r="H1933" s="32"/>
      <c r="I1933" s="32"/>
      <c r="J1933" s="32"/>
      <c r="K1933" s="32"/>
      <c r="L1933" s="32"/>
      <c r="M1933" s="30"/>
      <c r="N1933" s="32"/>
      <c r="O1933" s="34"/>
      <c r="P1933" s="32"/>
      <c r="Q1933" s="32"/>
      <c r="R1933" s="32"/>
      <c r="S1933" s="32"/>
      <c r="T1933" s="32"/>
      <c r="U1933" s="32"/>
      <c r="V1933" s="31"/>
      <c r="W1933" s="35" t="str">
        <f aca="true">IF(OR(V1933="",AG1933&gt;=8),"",IF(V1933&lt;TODAY(),"Vencida",IF(V1933=TODAY(),"Hoy","")))</f>
        <v/>
      </c>
      <c r="X1933" s="36" t="str">
        <f aca="false">IF(A1933="","",IF(COUNTIF(Seguimiento!$B$2:$B$5001,A1933)=0,"",_xlfn.MAXIFS(Seguimiento!$A$2:$A$5001,Seguimiento!$B$2:$B$5001,A1933)))</f>
        <v/>
      </c>
      <c r="Y1933" s="37" t="str">
        <f aca="true">IF(B1933="","",TODAY()-B1933)</f>
        <v/>
      </c>
      <c r="Z1933" s="38" t="str">
        <f aca="false">IF(OR(O1933="",G1933=""),"",O1933*IFERROR(INDEX(Listas!$B$2:$B$50,MATCH(G1933,Listas!$A$2:$A$50,0)),0))</f>
        <v/>
      </c>
      <c r="AA1933" s="32"/>
      <c r="AB1933" s="32"/>
      <c r="AC1933" s="32"/>
      <c r="AD1933" s="35" t="str">
        <f aca="false">IF(OR(LEFT(H1933,4)="Meta",LEFT(H1933,6)="Google"),IF(AG1933=3,"Lead calificado",IF(OR(AG1933=4,AG1933=5),"Tasación/visita",IF(OR(AG1933=6,AG1933=7),"Captación/oferta",IF(AG1933=8,"Cierre","")))),"")</f>
        <v/>
      </c>
      <c r="AE1933" s="32"/>
      <c r="AF1933" s="32"/>
      <c r="AG1933" s="37" t="n">
        <f aca="false">IF(R1933="",0,IFERROR(MATCH(R1933,Listas!$L$2:$L$50,0),0))</f>
        <v>0</v>
      </c>
    </row>
    <row r="1934" customFormat="false" ht="15" hidden="false" customHeight="false" outlineLevel="0" collapsed="false">
      <c r="A1934" s="30"/>
      <c r="B1934" s="31"/>
      <c r="C1934" s="32"/>
      <c r="D1934" s="32"/>
      <c r="E1934" s="33"/>
      <c r="F1934" s="32"/>
      <c r="G1934" s="32"/>
      <c r="H1934" s="32"/>
      <c r="I1934" s="32"/>
      <c r="J1934" s="32"/>
      <c r="K1934" s="32"/>
      <c r="L1934" s="32"/>
      <c r="M1934" s="30"/>
      <c r="N1934" s="32"/>
      <c r="O1934" s="34"/>
      <c r="P1934" s="32"/>
      <c r="Q1934" s="32"/>
      <c r="R1934" s="32"/>
      <c r="S1934" s="32"/>
      <c r="T1934" s="32"/>
      <c r="U1934" s="32"/>
      <c r="V1934" s="31"/>
      <c r="W1934" s="35" t="str">
        <f aca="true">IF(OR(V1934="",AG1934&gt;=8),"",IF(V1934&lt;TODAY(),"Vencida",IF(V1934=TODAY(),"Hoy","")))</f>
        <v/>
      </c>
      <c r="X1934" s="36" t="str">
        <f aca="false">IF(A1934="","",IF(COUNTIF(Seguimiento!$B$2:$B$5001,A1934)=0,"",_xlfn.MAXIFS(Seguimiento!$A$2:$A$5001,Seguimiento!$B$2:$B$5001,A1934)))</f>
        <v/>
      </c>
      <c r="Y1934" s="37" t="str">
        <f aca="true">IF(B1934="","",TODAY()-B1934)</f>
        <v/>
      </c>
      <c r="Z1934" s="38" t="str">
        <f aca="false">IF(OR(O1934="",G1934=""),"",O1934*IFERROR(INDEX(Listas!$B$2:$B$50,MATCH(G1934,Listas!$A$2:$A$50,0)),0))</f>
        <v/>
      </c>
      <c r="AA1934" s="32"/>
      <c r="AB1934" s="32"/>
      <c r="AC1934" s="32"/>
      <c r="AD1934" s="35" t="str">
        <f aca="false">IF(OR(LEFT(H1934,4)="Meta",LEFT(H1934,6)="Google"),IF(AG1934=3,"Lead calificado",IF(OR(AG1934=4,AG1934=5),"Tasación/visita",IF(OR(AG1934=6,AG1934=7),"Captación/oferta",IF(AG1934=8,"Cierre","")))),"")</f>
        <v/>
      </c>
      <c r="AE1934" s="32"/>
      <c r="AF1934" s="32"/>
      <c r="AG1934" s="37" t="n">
        <f aca="false">IF(R1934="",0,IFERROR(MATCH(R1934,Listas!$L$2:$L$50,0),0))</f>
        <v>0</v>
      </c>
    </row>
    <row r="1935" customFormat="false" ht="15" hidden="false" customHeight="false" outlineLevel="0" collapsed="false">
      <c r="A1935" s="30"/>
      <c r="B1935" s="31"/>
      <c r="C1935" s="32"/>
      <c r="D1935" s="32"/>
      <c r="E1935" s="33"/>
      <c r="F1935" s="32"/>
      <c r="G1935" s="32"/>
      <c r="H1935" s="32"/>
      <c r="I1935" s="32"/>
      <c r="J1935" s="32"/>
      <c r="K1935" s="32"/>
      <c r="L1935" s="32"/>
      <c r="M1935" s="30"/>
      <c r="N1935" s="32"/>
      <c r="O1935" s="34"/>
      <c r="P1935" s="32"/>
      <c r="Q1935" s="32"/>
      <c r="R1935" s="32"/>
      <c r="S1935" s="32"/>
      <c r="T1935" s="32"/>
      <c r="U1935" s="32"/>
      <c r="V1935" s="31"/>
      <c r="W1935" s="35" t="str">
        <f aca="true">IF(OR(V1935="",AG1935&gt;=8),"",IF(V1935&lt;TODAY(),"Vencida",IF(V1935=TODAY(),"Hoy","")))</f>
        <v/>
      </c>
      <c r="X1935" s="36" t="str">
        <f aca="false">IF(A1935="","",IF(COUNTIF(Seguimiento!$B$2:$B$5001,A1935)=0,"",_xlfn.MAXIFS(Seguimiento!$A$2:$A$5001,Seguimiento!$B$2:$B$5001,A1935)))</f>
        <v/>
      </c>
      <c r="Y1935" s="37" t="str">
        <f aca="true">IF(B1935="","",TODAY()-B1935)</f>
        <v/>
      </c>
      <c r="Z1935" s="38" t="str">
        <f aca="false">IF(OR(O1935="",G1935=""),"",O1935*IFERROR(INDEX(Listas!$B$2:$B$50,MATCH(G1935,Listas!$A$2:$A$50,0)),0))</f>
        <v/>
      </c>
      <c r="AA1935" s="32"/>
      <c r="AB1935" s="32"/>
      <c r="AC1935" s="32"/>
      <c r="AD1935" s="35" t="str">
        <f aca="false">IF(OR(LEFT(H1935,4)="Meta",LEFT(H1935,6)="Google"),IF(AG1935=3,"Lead calificado",IF(OR(AG1935=4,AG1935=5),"Tasación/visita",IF(OR(AG1935=6,AG1935=7),"Captación/oferta",IF(AG1935=8,"Cierre","")))),"")</f>
        <v/>
      </c>
      <c r="AE1935" s="32"/>
      <c r="AF1935" s="32"/>
      <c r="AG1935" s="37" t="n">
        <f aca="false">IF(R1935="",0,IFERROR(MATCH(R1935,Listas!$L$2:$L$50,0),0))</f>
        <v>0</v>
      </c>
    </row>
    <row r="1936" customFormat="false" ht="15" hidden="false" customHeight="false" outlineLevel="0" collapsed="false">
      <c r="A1936" s="30"/>
      <c r="B1936" s="31"/>
      <c r="C1936" s="32"/>
      <c r="D1936" s="32"/>
      <c r="E1936" s="33"/>
      <c r="F1936" s="32"/>
      <c r="G1936" s="32"/>
      <c r="H1936" s="32"/>
      <c r="I1936" s="32"/>
      <c r="J1936" s="32"/>
      <c r="K1936" s="32"/>
      <c r="L1936" s="32"/>
      <c r="M1936" s="30"/>
      <c r="N1936" s="32"/>
      <c r="O1936" s="34"/>
      <c r="P1936" s="32"/>
      <c r="Q1936" s="32"/>
      <c r="R1936" s="32"/>
      <c r="S1936" s="32"/>
      <c r="T1936" s="32"/>
      <c r="U1936" s="32"/>
      <c r="V1936" s="31"/>
      <c r="W1936" s="35" t="str">
        <f aca="true">IF(OR(V1936="",AG1936&gt;=8),"",IF(V1936&lt;TODAY(),"Vencida",IF(V1936=TODAY(),"Hoy","")))</f>
        <v/>
      </c>
      <c r="X1936" s="36" t="str">
        <f aca="false">IF(A1936="","",IF(COUNTIF(Seguimiento!$B$2:$B$5001,A1936)=0,"",_xlfn.MAXIFS(Seguimiento!$A$2:$A$5001,Seguimiento!$B$2:$B$5001,A1936)))</f>
        <v/>
      </c>
      <c r="Y1936" s="37" t="str">
        <f aca="true">IF(B1936="","",TODAY()-B1936)</f>
        <v/>
      </c>
      <c r="Z1936" s="38" t="str">
        <f aca="false">IF(OR(O1936="",G1936=""),"",O1936*IFERROR(INDEX(Listas!$B$2:$B$50,MATCH(G1936,Listas!$A$2:$A$50,0)),0))</f>
        <v/>
      </c>
      <c r="AA1936" s="32"/>
      <c r="AB1936" s="32"/>
      <c r="AC1936" s="32"/>
      <c r="AD1936" s="35" t="str">
        <f aca="false">IF(OR(LEFT(H1936,4)="Meta",LEFT(H1936,6)="Google"),IF(AG1936=3,"Lead calificado",IF(OR(AG1936=4,AG1936=5),"Tasación/visita",IF(OR(AG1936=6,AG1936=7),"Captación/oferta",IF(AG1936=8,"Cierre","")))),"")</f>
        <v/>
      </c>
      <c r="AE1936" s="32"/>
      <c r="AF1936" s="32"/>
      <c r="AG1936" s="37" t="n">
        <f aca="false">IF(R1936="",0,IFERROR(MATCH(R1936,Listas!$L$2:$L$50,0),0))</f>
        <v>0</v>
      </c>
    </row>
    <row r="1937" customFormat="false" ht="15" hidden="false" customHeight="false" outlineLevel="0" collapsed="false">
      <c r="A1937" s="30"/>
      <c r="B1937" s="31"/>
      <c r="C1937" s="32"/>
      <c r="D1937" s="32"/>
      <c r="E1937" s="33"/>
      <c r="F1937" s="32"/>
      <c r="G1937" s="32"/>
      <c r="H1937" s="32"/>
      <c r="I1937" s="32"/>
      <c r="J1937" s="32"/>
      <c r="K1937" s="32"/>
      <c r="L1937" s="32"/>
      <c r="M1937" s="30"/>
      <c r="N1937" s="32"/>
      <c r="O1937" s="34"/>
      <c r="P1937" s="32"/>
      <c r="Q1937" s="32"/>
      <c r="R1937" s="32"/>
      <c r="S1937" s="32"/>
      <c r="T1937" s="32"/>
      <c r="U1937" s="32"/>
      <c r="V1937" s="31"/>
      <c r="W1937" s="35" t="str">
        <f aca="true">IF(OR(V1937="",AG1937&gt;=8),"",IF(V1937&lt;TODAY(),"Vencida",IF(V1937=TODAY(),"Hoy","")))</f>
        <v/>
      </c>
      <c r="X1937" s="36" t="str">
        <f aca="false">IF(A1937="","",IF(COUNTIF(Seguimiento!$B$2:$B$5001,A1937)=0,"",_xlfn.MAXIFS(Seguimiento!$A$2:$A$5001,Seguimiento!$B$2:$B$5001,A1937)))</f>
        <v/>
      </c>
      <c r="Y1937" s="37" t="str">
        <f aca="true">IF(B1937="","",TODAY()-B1937)</f>
        <v/>
      </c>
      <c r="Z1937" s="38" t="str">
        <f aca="false">IF(OR(O1937="",G1937=""),"",O1937*IFERROR(INDEX(Listas!$B$2:$B$50,MATCH(G1937,Listas!$A$2:$A$50,0)),0))</f>
        <v/>
      </c>
      <c r="AA1937" s="32"/>
      <c r="AB1937" s="32"/>
      <c r="AC1937" s="32"/>
      <c r="AD1937" s="35" t="str">
        <f aca="false">IF(OR(LEFT(H1937,4)="Meta",LEFT(H1937,6)="Google"),IF(AG1937=3,"Lead calificado",IF(OR(AG1937=4,AG1937=5),"Tasación/visita",IF(OR(AG1937=6,AG1937=7),"Captación/oferta",IF(AG1937=8,"Cierre","")))),"")</f>
        <v/>
      </c>
      <c r="AE1937" s="32"/>
      <c r="AF1937" s="32"/>
      <c r="AG1937" s="37" t="n">
        <f aca="false">IF(R1937="",0,IFERROR(MATCH(R1937,Listas!$L$2:$L$50,0),0))</f>
        <v>0</v>
      </c>
    </row>
    <row r="1938" customFormat="false" ht="15" hidden="false" customHeight="false" outlineLevel="0" collapsed="false">
      <c r="A1938" s="30"/>
      <c r="B1938" s="31"/>
      <c r="C1938" s="32"/>
      <c r="D1938" s="32"/>
      <c r="E1938" s="33"/>
      <c r="F1938" s="32"/>
      <c r="G1938" s="32"/>
      <c r="H1938" s="32"/>
      <c r="I1938" s="32"/>
      <c r="J1938" s="32"/>
      <c r="K1938" s="32"/>
      <c r="L1938" s="32"/>
      <c r="M1938" s="30"/>
      <c r="N1938" s="32"/>
      <c r="O1938" s="34"/>
      <c r="P1938" s="32"/>
      <c r="Q1938" s="32"/>
      <c r="R1938" s="32"/>
      <c r="S1938" s="32"/>
      <c r="T1938" s="32"/>
      <c r="U1938" s="32"/>
      <c r="V1938" s="31"/>
      <c r="W1938" s="35" t="str">
        <f aca="true">IF(OR(V1938="",AG1938&gt;=8),"",IF(V1938&lt;TODAY(),"Vencida",IF(V1938=TODAY(),"Hoy","")))</f>
        <v/>
      </c>
      <c r="X1938" s="36" t="str">
        <f aca="false">IF(A1938="","",IF(COUNTIF(Seguimiento!$B$2:$B$5001,A1938)=0,"",_xlfn.MAXIFS(Seguimiento!$A$2:$A$5001,Seguimiento!$B$2:$B$5001,A1938)))</f>
        <v/>
      </c>
      <c r="Y1938" s="37" t="str">
        <f aca="true">IF(B1938="","",TODAY()-B1938)</f>
        <v/>
      </c>
      <c r="Z1938" s="38" t="str">
        <f aca="false">IF(OR(O1938="",G1938=""),"",O1938*IFERROR(INDEX(Listas!$B$2:$B$50,MATCH(G1938,Listas!$A$2:$A$50,0)),0))</f>
        <v/>
      </c>
      <c r="AA1938" s="32"/>
      <c r="AB1938" s="32"/>
      <c r="AC1938" s="32"/>
      <c r="AD1938" s="35" t="str">
        <f aca="false">IF(OR(LEFT(H1938,4)="Meta",LEFT(H1938,6)="Google"),IF(AG1938=3,"Lead calificado",IF(OR(AG1938=4,AG1938=5),"Tasación/visita",IF(OR(AG1938=6,AG1938=7),"Captación/oferta",IF(AG1938=8,"Cierre","")))),"")</f>
        <v/>
      </c>
      <c r="AE1938" s="32"/>
      <c r="AF1938" s="32"/>
      <c r="AG1938" s="37" t="n">
        <f aca="false">IF(R1938="",0,IFERROR(MATCH(R1938,Listas!$L$2:$L$50,0),0))</f>
        <v>0</v>
      </c>
    </row>
    <row r="1939" customFormat="false" ht="15" hidden="false" customHeight="false" outlineLevel="0" collapsed="false">
      <c r="A1939" s="30"/>
      <c r="B1939" s="31"/>
      <c r="C1939" s="32"/>
      <c r="D1939" s="32"/>
      <c r="E1939" s="33"/>
      <c r="F1939" s="32"/>
      <c r="G1939" s="32"/>
      <c r="H1939" s="32"/>
      <c r="I1939" s="32"/>
      <c r="J1939" s="32"/>
      <c r="K1939" s="32"/>
      <c r="L1939" s="32"/>
      <c r="M1939" s="30"/>
      <c r="N1939" s="32"/>
      <c r="O1939" s="34"/>
      <c r="P1939" s="32"/>
      <c r="Q1939" s="32"/>
      <c r="R1939" s="32"/>
      <c r="S1939" s="32"/>
      <c r="T1939" s="32"/>
      <c r="U1939" s="32"/>
      <c r="V1939" s="31"/>
      <c r="W1939" s="35" t="str">
        <f aca="true">IF(OR(V1939="",AG1939&gt;=8),"",IF(V1939&lt;TODAY(),"Vencida",IF(V1939=TODAY(),"Hoy","")))</f>
        <v/>
      </c>
      <c r="X1939" s="36" t="str">
        <f aca="false">IF(A1939="","",IF(COUNTIF(Seguimiento!$B$2:$B$5001,A1939)=0,"",_xlfn.MAXIFS(Seguimiento!$A$2:$A$5001,Seguimiento!$B$2:$B$5001,A1939)))</f>
        <v/>
      </c>
      <c r="Y1939" s="37" t="str">
        <f aca="true">IF(B1939="","",TODAY()-B1939)</f>
        <v/>
      </c>
      <c r="Z1939" s="38" t="str">
        <f aca="false">IF(OR(O1939="",G1939=""),"",O1939*IFERROR(INDEX(Listas!$B$2:$B$50,MATCH(G1939,Listas!$A$2:$A$50,0)),0))</f>
        <v/>
      </c>
      <c r="AA1939" s="32"/>
      <c r="AB1939" s="32"/>
      <c r="AC1939" s="32"/>
      <c r="AD1939" s="35" t="str">
        <f aca="false">IF(OR(LEFT(H1939,4)="Meta",LEFT(H1939,6)="Google"),IF(AG1939=3,"Lead calificado",IF(OR(AG1939=4,AG1939=5),"Tasación/visita",IF(OR(AG1939=6,AG1939=7),"Captación/oferta",IF(AG1939=8,"Cierre","")))),"")</f>
        <v/>
      </c>
      <c r="AE1939" s="32"/>
      <c r="AF1939" s="32"/>
      <c r="AG1939" s="37" t="n">
        <f aca="false">IF(R1939="",0,IFERROR(MATCH(R1939,Listas!$L$2:$L$50,0),0))</f>
        <v>0</v>
      </c>
    </row>
    <row r="1940" customFormat="false" ht="15" hidden="false" customHeight="false" outlineLevel="0" collapsed="false">
      <c r="A1940" s="30"/>
      <c r="B1940" s="31"/>
      <c r="C1940" s="32"/>
      <c r="D1940" s="32"/>
      <c r="E1940" s="33"/>
      <c r="F1940" s="32"/>
      <c r="G1940" s="32"/>
      <c r="H1940" s="32"/>
      <c r="I1940" s="32"/>
      <c r="J1940" s="32"/>
      <c r="K1940" s="32"/>
      <c r="L1940" s="32"/>
      <c r="M1940" s="30"/>
      <c r="N1940" s="32"/>
      <c r="O1940" s="34"/>
      <c r="P1940" s="32"/>
      <c r="Q1940" s="32"/>
      <c r="R1940" s="32"/>
      <c r="S1940" s="32"/>
      <c r="T1940" s="32"/>
      <c r="U1940" s="32"/>
      <c r="V1940" s="31"/>
      <c r="W1940" s="35" t="str">
        <f aca="true">IF(OR(V1940="",AG1940&gt;=8),"",IF(V1940&lt;TODAY(),"Vencida",IF(V1940=TODAY(),"Hoy","")))</f>
        <v/>
      </c>
      <c r="X1940" s="36" t="str">
        <f aca="false">IF(A1940="","",IF(COUNTIF(Seguimiento!$B$2:$B$5001,A1940)=0,"",_xlfn.MAXIFS(Seguimiento!$A$2:$A$5001,Seguimiento!$B$2:$B$5001,A1940)))</f>
        <v/>
      </c>
      <c r="Y1940" s="37" t="str">
        <f aca="true">IF(B1940="","",TODAY()-B1940)</f>
        <v/>
      </c>
      <c r="Z1940" s="38" t="str">
        <f aca="false">IF(OR(O1940="",G1940=""),"",O1940*IFERROR(INDEX(Listas!$B$2:$B$50,MATCH(G1940,Listas!$A$2:$A$50,0)),0))</f>
        <v/>
      </c>
      <c r="AA1940" s="32"/>
      <c r="AB1940" s="32"/>
      <c r="AC1940" s="32"/>
      <c r="AD1940" s="35" t="str">
        <f aca="false">IF(OR(LEFT(H1940,4)="Meta",LEFT(H1940,6)="Google"),IF(AG1940=3,"Lead calificado",IF(OR(AG1940=4,AG1940=5),"Tasación/visita",IF(OR(AG1940=6,AG1940=7),"Captación/oferta",IF(AG1940=8,"Cierre","")))),"")</f>
        <v/>
      </c>
      <c r="AE1940" s="32"/>
      <c r="AF1940" s="32"/>
      <c r="AG1940" s="37" t="n">
        <f aca="false">IF(R1940="",0,IFERROR(MATCH(R1940,Listas!$L$2:$L$50,0),0))</f>
        <v>0</v>
      </c>
    </row>
    <row r="1941" customFormat="false" ht="15" hidden="false" customHeight="false" outlineLevel="0" collapsed="false">
      <c r="A1941" s="30"/>
      <c r="B1941" s="31"/>
      <c r="C1941" s="32"/>
      <c r="D1941" s="32"/>
      <c r="E1941" s="33"/>
      <c r="F1941" s="32"/>
      <c r="G1941" s="32"/>
      <c r="H1941" s="32"/>
      <c r="I1941" s="32"/>
      <c r="J1941" s="32"/>
      <c r="K1941" s="32"/>
      <c r="L1941" s="32"/>
      <c r="M1941" s="30"/>
      <c r="N1941" s="32"/>
      <c r="O1941" s="34"/>
      <c r="P1941" s="32"/>
      <c r="Q1941" s="32"/>
      <c r="R1941" s="32"/>
      <c r="S1941" s="32"/>
      <c r="T1941" s="32"/>
      <c r="U1941" s="32"/>
      <c r="V1941" s="31"/>
      <c r="W1941" s="35" t="str">
        <f aca="true">IF(OR(V1941="",AG1941&gt;=8),"",IF(V1941&lt;TODAY(),"Vencida",IF(V1941=TODAY(),"Hoy","")))</f>
        <v/>
      </c>
      <c r="X1941" s="36" t="str">
        <f aca="false">IF(A1941="","",IF(COUNTIF(Seguimiento!$B$2:$B$5001,A1941)=0,"",_xlfn.MAXIFS(Seguimiento!$A$2:$A$5001,Seguimiento!$B$2:$B$5001,A1941)))</f>
        <v/>
      </c>
      <c r="Y1941" s="37" t="str">
        <f aca="true">IF(B1941="","",TODAY()-B1941)</f>
        <v/>
      </c>
      <c r="Z1941" s="38" t="str">
        <f aca="false">IF(OR(O1941="",G1941=""),"",O1941*IFERROR(INDEX(Listas!$B$2:$B$50,MATCH(G1941,Listas!$A$2:$A$50,0)),0))</f>
        <v/>
      </c>
      <c r="AA1941" s="32"/>
      <c r="AB1941" s="32"/>
      <c r="AC1941" s="32"/>
      <c r="AD1941" s="35" t="str">
        <f aca="false">IF(OR(LEFT(H1941,4)="Meta",LEFT(H1941,6)="Google"),IF(AG1941=3,"Lead calificado",IF(OR(AG1941=4,AG1941=5),"Tasación/visita",IF(OR(AG1941=6,AG1941=7),"Captación/oferta",IF(AG1941=8,"Cierre","")))),"")</f>
        <v/>
      </c>
      <c r="AE1941" s="32"/>
      <c r="AF1941" s="32"/>
      <c r="AG1941" s="37" t="n">
        <f aca="false">IF(R1941="",0,IFERROR(MATCH(R1941,Listas!$L$2:$L$50,0),0))</f>
        <v>0</v>
      </c>
    </row>
    <row r="1942" customFormat="false" ht="15" hidden="false" customHeight="false" outlineLevel="0" collapsed="false">
      <c r="A1942" s="30"/>
      <c r="B1942" s="31"/>
      <c r="C1942" s="32"/>
      <c r="D1942" s="32"/>
      <c r="E1942" s="33"/>
      <c r="F1942" s="32"/>
      <c r="G1942" s="32"/>
      <c r="H1942" s="32"/>
      <c r="I1942" s="32"/>
      <c r="J1942" s="32"/>
      <c r="K1942" s="32"/>
      <c r="L1942" s="32"/>
      <c r="M1942" s="30"/>
      <c r="N1942" s="32"/>
      <c r="O1942" s="34"/>
      <c r="P1942" s="32"/>
      <c r="Q1942" s="32"/>
      <c r="R1942" s="32"/>
      <c r="S1942" s="32"/>
      <c r="T1942" s="32"/>
      <c r="U1942" s="32"/>
      <c r="V1942" s="31"/>
      <c r="W1942" s="35" t="str">
        <f aca="true">IF(OR(V1942="",AG1942&gt;=8),"",IF(V1942&lt;TODAY(),"Vencida",IF(V1942=TODAY(),"Hoy","")))</f>
        <v/>
      </c>
      <c r="X1942" s="36" t="str">
        <f aca="false">IF(A1942="","",IF(COUNTIF(Seguimiento!$B$2:$B$5001,A1942)=0,"",_xlfn.MAXIFS(Seguimiento!$A$2:$A$5001,Seguimiento!$B$2:$B$5001,A1942)))</f>
        <v/>
      </c>
      <c r="Y1942" s="37" t="str">
        <f aca="true">IF(B1942="","",TODAY()-B1942)</f>
        <v/>
      </c>
      <c r="Z1942" s="38" t="str">
        <f aca="false">IF(OR(O1942="",G1942=""),"",O1942*IFERROR(INDEX(Listas!$B$2:$B$50,MATCH(G1942,Listas!$A$2:$A$50,0)),0))</f>
        <v/>
      </c>
      <c r="AA1942" s="32"/>
      <c r="AB1942" s="32"/>
      <c r="AC1942" s="32"/>
      <c r="AD1942" s="35" t="str">
        <f aca="false">IF(OR(LEFT(H1942,4)="Meta",LEFT(H1942,6)="Google"),IF(AG1942=3,"Lead calificado",IF(OR(AG1942=4,AG1942=5),"Tasación/visita",IF(OR(AG1942=6,AG1942=7),"Captación/oferta",IF(AG1942=8,"Cierre","")))),"")</f>
        <v/>
      </c>
      <c r="AE1942" s="32"/>
      <c r="AF1942" s="32"/>
      <c r="AG1942" s="37" t="n">
        <f aca="false">IF(R1942="",0,IFERROR(MATCH(R1942,Listas!$L$2:$L$50,0),0))</f>
        <v>0</v>
      </c>
    </row>
    <row r="1943" customFormat="false" ht="15" hidden="false" customHeight="false" outlineLevel="0" collapsed="false">
      <c r="A1943" s="30"/>
      <c r="B1943" s="31"/>
      <c r="C1943" s="32"/>
      <c r="D1943" s="32"/>
      <c r="E1943" s="33"/>
      <c r="F1943" s="32"/>
      <c r="G1943" s="32"/>
      <c r="H1943" s="32"/>
      <c r="I1943" s="32"/>
      <c r="J1943" s="32"/>
      <c r="K1943" s="32"/>
      <c r="L1943" s="32"/>
      <c r="M1943" s="30"/>
      <c r="N1943" s="32"/>
      <c r="O1943" s="34"/>
      <c r="P1943" s="32"/>
      <c r="Q1943" s="32"/>
      <c r="R1943" s="32"/>
      <c r="S1943" s="32"/>
      <c r="T1943" s="32"/>
      <c r="U1943" s="32"/>
      <c r="V1943" s="31"/>
      <c r="W1943" s="35" t="str">
        <f aca="true">IF(OR(V1943="",AG1943&gt;=8),"",IF(V1943&lt;TODAY(),"Vencida",IF(V1943=TODAY(),"Hoy","")))</f>
        <v/>
      </c>
      <c r="X1943" s="36" t="str">
        <f aca="false">IF(A1943="","",IF(COUNTIF(Seguimiento!$B$2:$B$5001,A1943)=0,"",_xlfn.MAXIFS(Seguimiento!$A$2:$A$5001,Seguimiento!$B$2:$B$5001,A1943)))</f>
        <v/>
      </c>
      <c r="Y1943" s="37" t="str">
        <f aca="true">IF(B1943="","",TODAY()-B1943)</f>
        <v/>
      </c>
      <c r="Z1943" s="38" t="str">
        <f aca="false">IF(OR(O1943="",G1943=""),"",O1943*IFERROR(INDEX(Listas!$B$2:$B$50,MATCH(G1943,Listas!$A$2:$A$50,0)),0))</f>
        <v/>
      </c>
      <c r="AA1943" s="32"/>
      <c r="AB1943" s="32"/>
      <c r="AC1943" s="32"/>
      <c r="AD1943" s="35" t="str">
        <f aca="false">IF(OR(LEFT(H1943,4)="Meta",LEFT(H1943,6)="Google"),IF(AG1943=3,"Lead calificado",IF(OR(AG1943=4,AG1943=5),"Tasación/visita",IF(OR(AG1943=6,AG1943=7),"Captación/oferta",IF(AG1943=8,"Cierre","")))),"")</f>
        <v/>
      </c>
      <c r="AE1943" s="32"/>
      <c r="AF1943" s="32"/>
      <c r="AG1943" s="37" t="n">
        <f aca="false">IF(R1943="",0,IFERROR(MATCH(R1943,Listas!$L$2:$L$50,0),0))</f>
        <v>0</v>
      </c>
    </row>
    <row r="1944" customFormat="false" ht="15" hidden="false" customHeight="false" outlineLevel="0" collapsed="false">
      <c r="A1944" s="30"/>
      <c r="B1944" s="31"/>
      <c r="C1944" s="32"/>
      <c r="D1944" s="32"/>
      <c r="E1944" s="33"/>
      <c r="F1944" s="32"/>
      <c r="G1944" s="32"/>
      <c r="H1944" s="32"/>
      <c r="I1944" s="32"/>
      <c r="J1944" s="32"/>
      <c r="K1944" s="32"/>
      <c r="L1944" s="32"/>
      <c r="M1944" s="30"/>
      <c r="N1944" s="32"/>
      <c r="O1944" s="34"/>
      <c r="P1944" s="32"/>
      <c r="Q1944" s="32"/>
      <c r="R1944" s="32"/>
      <c r="S1944" s="32"/>
      <c r="T1944" s="32"/>
      <c r="U1944" s="32"/>
      <c r="V1944" s="31"/>
      <c r="W1944" s="35" t="str">
        <f aca="true">IF(OR(V1944="",AG1944&gt;=8),"",IF(V1944&lt;TODAY(),"Vencida",IF(V1944=TODAY(),"Hoy","")))</f>
        <v/>
      </c>
      <c r="X1944" s="36" t="str">
        <f aca="false">IF(A1944="","",IF(COUNTIF(Seguimiento!$B$2:$B$5001,A1944)=0,"",_xlfn.MAXIFS(Seguimiento!$A$2:$A$5001,Seguimiento!$B$2:$B$5001,A1944)))</f>
        <v/>
      </c>
      <c r="Y1944" s="37" t="str">
        <f aca="true">IF(B1944="","",TODAY()-B1944)</f>
        <v/>
      </c>
      <c r="Z1944" s="38" t="str">
        <f aca="false">IF(OR(O1944="",G1944=""),"",O1944*IFERROR(INDEX(Listas!$B$2:$B$50,MATCH(G1944,Listas!$A$2:$A$50,0)),0))</f>
        <v/>
      </c>
      <c r="AA1944" s="32"/>
      <c r="AB1944" s="32"/>
      <c r="AC1944" s="32"/>
      <c r="AD1944" s="35" t="str">
        <f aca="false">IF(OR(LEFT(H1944,4)="Meta",LEFT(H1944,6)="Google"),IF(AG1944=3,"Lead calificado",IF(OR(AG1944=4,AG1944=5),"Tasación/visita",IF(OR(AG1944=6,AG1944=7),"Captación/oferta",IF(AG1944=8,"Cierre","")))),"")</f>
        <v/>
      </c>
      <c r="AE1944" s="32"/>
      <c r="AF1944" s="32"/>
      <c r="AG1944" s="37" t="n">
        <f aca="false">IF(R1944="",0,IFERROR(MATCH(R1944,Listas!$L$2:$L$50,0),0))</f>
        <v>0</v>
      </c>
    </row>
    <row r="1945" customFormat="false" ht="15" hidden="false" customHeight="false" outlineLevel="0" collapsed="false">
      <c r="A1945" s="30"/>
      <c r="B1945" s="31"/>
      <c r="C1945" s="32"/>
      <c r="D1945" s="32"/>
      <c r="E1945" s="33"/>
      <c r="F1945" s="32"/>
      <c r="G1945" s="32"/>
      <c r="H1945" s="32"/>
      <c r="I1945" s="32"/>
      <c r="J1945" s="32"/>
      <c r="K1945" s="32"/>
      <c r="L1945" s="32"/>
      <c r="M1945" s="30"/>
      <c r="N1945" s="32"/>
      <c r="O1945" s="34"/>
      <c r="P1945" s="32"/>
      <c r="Q1945" s="32"/>
      <c r="R1945" s="32"/>
      <c r="S1945" s="32"/>
      <c r="T1945" s="32"/>
      <c r="U1945" s="32"/>
      <c r="V1945" s="31"/>
      <c r="W1945" s="35" t="str">
        <f aca="true">IF(OR(V1945="",AG1945&gt;=8),"",IF(V1945&lt;TODAY(),"Vencida",IF(V1945=TODAY(),"Hoy","")))</f>
        <v/>
      </c>
      <c r="X1945" s="36" t="str">
        <f aca="false">IF(A1945="","",IF(COUNTIF(Seguimiento!$B$2:$B$5001,A1945)=0,"",_xlfn.MAXIFS(Seguimiento!$A$2:$A$5001,Seguimiento!$B$2:$B$5001,A1945)))</f>
        <v/>
      </c>
      <c r="Y1945" s="37" t="str">
        <f aca="true">IF(B1945="","",TODAY()-B1945)</f>
        <v/>
      </c>
      <c r="Z1945" s="38" t="str">
        <f aca="false">IF(OR(O1945="",G1945=""),"",O1945*IFERROR(INDEX(Listas!$B$2:$B$50,MATCH(G1945,Listas!$A$2:$A$50,0)),0))</f>
        <v/>
      </c>
      <c r="AA1945" s="32"/>
      <c r="AB1945" s="32"/>
      <c r="AC1945" s="32"/>
      <c r="AD1945" s="35" t="str">
        <f aca="false">IF(OR(LEFT(H1945,4)="Meta",LEFT(H1945,6)="Google"),IF(AG1945=3,"Lead calificado",IF(OR(AG1945=4,AG1945=5),"Tasación/visita",IF(OR(AG1945=6,AG1945=7),"Captación/oferta",IF(AG1945=8,"Cierre","")))),"")</f>
        <v/>
      </c>
      <c r="AE1945" s="32"/>
      <c r="AF1945" s="32"/>
      <c r="AG1945" s="37" t="n">
        <f aca="false">IF(R1945="",0,IFERROR(MATCH(R1945,Listas!$L$2:$L$50,0),0))</f>
        <v>0</v>
      </c>
    </row>
    <row r="1946" customFormat="false" ht="15" hidden="false" customHeight="false" outlineLevel="0" collapsed="false">
      <c r="A1946" s="30"/>
      <c r="B1946" s="31"/>
      <c r="C1946" s="32"/>
      <c r="D1946" s="32"/>
      <c r="E1946" s="33"/>
      <c r="F1946" s="32"/>
      <c r="G1946" s="32"/>
      <c r="H1946" s="32"/>
      <c r="I1946" s="32"/>
      <c r="J1946" s="32"/>
      <c r="K1946" s="32"/>
      <c r="L1946" s="32"/>
      <c r="M1946" s="30"/>
      <c r="N1946" s="32"/>
      <c r="O1946" s="34"/>
      <c r="P1946" s="32"/>
      <c r="Q1946" s="32"/>
      <c r="R1946" s="32"/>
      <c r="S1946" s="32"/>
      <c r="T1946" s="32"/>
      <c r="U1946" s="32"/>
      <c r="V1946" s="31"/>
      <c r="W1946" s="35" t="str">
        <f aca="true">IF(OR(V1946="",AG1946&gt;=8),"",IF(V1946&lt;TODAY(),"Vencida",IF(V1946=TODAY(),"Hoy","")))</f>
        <v/>
      </c>
      <c r="X1946" s="36" t="str">
        <f aca="false">IF(A1946="","",IF(COUNTIF(Seguimiento!$B$2:$B$5001,A1946)=0,"",_xlfn.MAXIFS(Seguimiento!$A$2:$A$5001,Seguimiento!$B$2:$B$5001,A1946)))</f>
        <v/>
      </c>
      <c r="Y1946" s="37" t="str">
        <f aca="true">IF(B1946="","",TODAY()-B1946)</f>
        <v/>
      </c>
      <c r="Z1946" s="38" t="str">
        <f aca="false">IF(OR(O1946="",G1946=""),"",O1946*IFERROR(INDEX(Listas!$B$2:$B$50,MATCH(G1946,Listas!$A$2:$A$50,0)),0))</f>
        <v/>
      </c>
      <c r="AA1946" s="32"/>
      <c r="AB1946" s="32"/>
      <c r="AC1946" s="32"/>
      <c r="AD1946" s="35" t="str">
        <f aca="false">IF(OR(LEFT(H1946,4)="Meta",LEFT(H1946,6)="Google"),IF(AG1946=3,"Lead calificado",IF(OR(AG1946=4,AG1946=5),"Tasación/visita",IF(OR(AG1946=6,AG1946=7),"Captación/oferta",IF(AG1946=8,"Cierre","")))),"")</f>
        <v/>
      </c>
      <c r="AE1946" s="32"/>
      <c r="AF1946" s="32"/>
      <c r="AG1946" s="37" t="n">
        <f aca="false">IF(R1946="",0,IFERROR(MATCH(R1946,Listas!$L$2:$L$50,0),0))</f>
        <v>0</v>
      </c>
    </row>
    <row r="1947" customFormat="false" ht="15" hidden="false" customHeight="false" outlineLevel="0" collapsed="false">
      <c r="A1947" s="30"/>
      <c r="B1947" s="31"/>
      <c r="C1947" s="32"/>
      <c r="D1947" s="32"/>
      <c r="E1947" s="33"/>
      <c r="F1947" s="32"/>
      <c r="G1947" s="32"/>
      <c r="H1947" s="32"/>
      <c r="I1947" s="32"/>
      <c r="J1947" s="32"/>
      <c r="K1947" s="32"/>
      <c r="L1947" s="32"/>
      <c r="M1947" s="30"/>
      <c r="N1947" s="32"/>
      <c r="O1947" s="34"/>
      <c r="P1947" s="32"/>
      <c r="Q1947" s="32"/>
      <c r="R1947" s="32"/>
      <c r="S1947" s="32"/>
      <c r="T1947" s="32"/>
      <c r="U1947" s="32"/>
      <c r="V1947" s="31"/>
      <c r="W1947" s="35" t="str">
        <f aca="true">IF(OR(V1947="",AG1947&gt;=8),"",IF(V1947&lt;TODAY(),"Vencida",IF(V1947=TODAY(),"Hoy","")))</f>
        <v/>
      </c>
      <c r="X1947" s="36" t="str">
        <f aca="false">IF(A1947="","",IF(COUNTIF(Seguimiento!$B$2:$B$5001,A1947)=0,"",_xlfn.MAXIFS(Seguimiento!$A$2:$A$5001,Seguimiento!$B$2:$B$5001,A1947)))</f>
        <v/>
      </c>
      <c r="Y1947" s="37" t="str">
        <f aca="true">IF(B1947="","",TODAY()-B1947)</f>
        <v/>
      </c>
      <c r="Z1947" s="38" t="str">
        <f aca="false">IF(OR(O1947="",G1947=""),"",O1947*IFERROR(INDEX(Listas!$B$2:$B$50,MATCH(G1947,Listas!$A$2:$A$50,0)),0))</f>
        <v/>
      </c>
      <c r="AA1947" s="32"/>
      <c r="AB1947" s="32"/>
      <c r="AC1947" s="32"/>
      <c r="AD1947" s="35" t="str">
        <f aca="false">IF(OR(LEFT(H1947,4)="Meta",LEFT(H1947,6)="Google"),IF(AG1947=3,"Lead calificado",IF(OR(AG1947=4,AG1947=5),"Tasación/visita",IF(OR(AG1947=6,AG1947=7),"Captación/oferta",IF(AG1947=8,"Cierre","")))),"")</f>
        <v/>
      </c>
      <c r="AE1947" s="32"/>
      <c r="AF1947" s="32"/>
      <c r="AG1947" s="37" t="n">
        <f aca="false">IF(R1947="",0,IFERROR(MATCH(R1947,Listas!$L$2:$L$50,0),0))</f>
        <v>0</v>
      </c>
    </row>
    <row r="1948" customFormat="false" ht="15" hidden="false" customHeight="false" outlineLevel="0" collapsed="false">
      <c r="A1948" s="30"/>
      <c r="B1948" s="31"/>
      <c r="C1948" s="32"/>
      <c r="D1948" s="32"/>
      <c r="E1948" s="33"/>
      <c r="F1948" s="32"/>
      <c r="G1948" s="32"/>
      <c r="H1948" s="32"/>
      <c r="I1948" s="32"/>
      <c r="J1948" s="32"/>
      <c r="K1948" s="32"/>
      <c r="L1948" s="32"/>
      <c r="M1948" s="30"/>
      <c r="N1948" s="32"/>
      <c r="O1948" s="34"/>
      <c r="P1948" s="32"/>
      <c r="Q1948" s="32"/>
      <c r="R1948" s="32"/>
      <c r="S1948" s="32"/>
      <c r="T1948" s="32"/>
      <c r="U1948" s="32"/>
      <c r="V1948" s="31"/>
      <c r="W1948" s="35" t="str">
        <f aca="true">IF(OR(V1948="",AG1948&gt;=8),"",IF(V1948&lt;TODAY(),"Vencida",IF(V1948=TODAY(),"Hoy","")))</f>
        <v/>
      </c>
      <c r="X1948" s="36" t="str">
        <f aca="false">IF(A1948="","",IF(COUNTIF(Seguimiento!$B$2:$B$5001,A1948)=0,"",_xlfn.MAXIFS(Seguimiento!$A$2:$A$5001,Seguimiento!$B$2:$B$5001,A1948)))</f>
        <v/>
      </c>
      <c r="Y1948" s="37" t="str">
        <f aca="true">IF(B1948="","",TODAY()-B1948)</f>
        <v/>
      </c>
      <c r="Z1948" s="38" t="str">
        <f aca="false">IF(OR(O1948="",G1948=""),"",O1948*IFERROR(INDEX(Listas!$B$2:$B$50,MATCH(G1948,Listas!$A$2:$A$50,0)),0))</f>
        <v/>
      </c>
      <c r="AA1948" s="32"/>
      <c r="AB1948" s="32"/>
      <c r="AC1948" s="32"/>
      <c r="AD1948" s="35" t="str">
        <f aca="false">IF(OR(LEFT(H1948,4)="Meta",LEFT(H1948,6)="Google"),IF(AG1948=3,"Lead calificado",IF(OR(AG1948=4,AG1948=5),"Tasación/visita",IF(OR(AG1948=6,AG1948=7),"Captación/oferta",IF(AG1948=8,"Cierre","")))),"")</f>
        <v/>
      </c>
      <c r="AE1948" s="32"/>
      <c r="AF1948" s="32"/>
      <c r="AG1948" s="37" t="n">
        <f aca="false">IF(R1948="",0,IFERROR(MATCH(R1948,Listas!$L$2:$L$50,0),0))</f>
        <v>0</v>
      </c>
    </row>
    <row r="1949" customFormat="false" ht="15" hidden="false" customHeight="false" outlineLevel="0" collapsed="false">
      <c r="A1949" s="30"/>
      <c r="B1949" s="31"/>
      <c r="C1949" s="32"/>
      <c r="D1949" s="32"/>
      <c r="E1949" s="33"/>
      <c r="F1949" s="32"/>
      <c r="G1949" s="32"/>
      <c r="H1949" s="32"/>
      <c r="I1949" s="32"/>
      <c r="J1949" s="32"/>
      <c r="K1949" s="32"/>
      <c r="L1949" s="32"/>
      <c r="M1949" s="30"/>
      <c r="N1949" s="32"/>
      <c r="O1949" s="34"/>
      <c r="P1949" s="32"/>
      <c r="Q1949" s="32"/>
      <c r="R1949" s="32"/>
      <c r="S1949" s="32"/>
      <c r="T1949" s="32"/>
      <c r="U1949" s="32"/>
      <c r="V1949" s="31"/>
      <c r="W1949" s="35" t="str">
        <f aca="true">IF(OR(V1949="",AG1949&gt;=8),"",IF(V1949&lt;TODAY(),"Vencida",IF(V1949=TODAY(),"Hoy","")))</f>
        <v/>
      </c>
      <c r="X1949" s="36" t="str">
        <f aca="false">IF(A1949="","",IF(COUNTIF(Seguimiento!$B$2:$B$5001,A1949)=0,"",_xlfn.MAXIFS(Seguimiento!$A$2:$A$5001,Seguimiento!$B$2:$B$5001,A1949)))</f>
        <v/>
      </c>
      <c r="Y1949" s="37" t="str">
        <f aca="true">IF(B1949="","",TODAY()-B1949)</f>
        <v/>
      </c>
      <c r="Z1949" s="38" t="str">
        <f aca="false">IF(OR(O1949="",G1949=""),"",O1949*IFERROR(INDEX(Listas!$B$2:$B$50,MATCH(G1949,Listas!$A$2:$A$50,0)),0))</f>
        <v/>
      </c>
      <c r="AA1949" s="32"/>
      <c r="AB1949" s="32"/>
      <c r="AC1949" s="32"/>
      <c r="AD1949" s="35" t="str">
        <f aca="false">IF(OR(LEFT(H1949,4)="Meta",LEFT(H1949,6)="Google"),IF(AG1949=3,"Lead calificado",IF(OR(AG1949=4,AG1949=5),"Tasación/visita",IF(OR(AG1949=6,AG1949=7),"Captación/oferta",IF(AG1949=8,"Cierre","")))),"")</f>
        <v/>
      </c>
      <c r="AE1949" s="32"/>
      <c r="AF1949" s="32"/>
      <c r="AG1949" s="37" t="n">
        <f aca="false">IF(R1949="",0,IFERROR(MATCH(R1949,Listas!$L$2:$L$50,0),0))</f>
        <v>0</v>
      </c>
    </row>
    <row r="1950" customFormat="false" ht="15" hidden="false" customHeight="false" outlineLevel="0" collapsed="false">
      <c r="A1950" s="30"/>
      <c r="B1950" s="31"/>
      <c r="C1950" s="32"/>
      <c r="D1950" s="32"/>
      <c r="E1950" s="33"/>
      <c r="F1950" s="32"/>
      <c r="G1950" s="32"/>
      <c r="H1950" s="32"/>
      <c r="I1950" s="32"/>
      <c r="J1950" s="32"/>
      <c r="K1950" s="32"/>
      <c r="L1950" s="32"/>
      <c r="M1950" s="30"/>
      <c r="N1950" s="32"/>
      <c r="O1950" s="34"/>
      <c r="P1950" s="32"/>
      <c r="Q1950" s="32"/>
      <c r="R1950" s="32"/>
      <c r="S1950" s="32"/>
      <c r="T1950" s="32"/>
      <c r="U1950" s="32"/>
      <c r="V1950" s="31"/>
      <c r="W1950" s="35" t="str">
        <f aca="true">IF(OR(V1950="",AG1950&gt;=8),"",IF(V1950&lt;TODAY(),"Vencida",IF(V1950=TODAY(),"Hoy","")))</f>
        <v/>
      </c>
      <c r="X1950" s="36" t="str">
        <f aca="false">IF(A1950="","",IF(COUNTIF(Seguimiento!$B$2:$B$5001,A1950)=0,"",_xlfn.MAXIFS(Seguimiento!$A$2:$A$5001,Seguimiento!$B$2:$B$5001,A1950)))</f>
        <v/>
      </c>
      <c r="Y1950" s="37" t="str">
        <f aca="true">IF(B1950="","",TODAY()-B1950)</f>
        <v/>
      </c>
      <c r="Z1950" s="38" t="str">
        <f aca="false">IF(OR(O1950="",G1950=""),"",O1950*IFERROR(INDEX(Listas!$B$2:$B$50,MATCH(G1950,Listas!$A$2:$A$50,0)),0))</f>
        <v/>
      </c>
      <c r="AA1950" s="32"/>
      <c r="AB1950" s="32"/>
      <c r="AC1950" s="32"/>
      <c r="AD1950" s="35" t="str">
        <f aca="false">IF(OR(LEFT(H1950,4)="Meta",LEFT(H1950,6)="Google"),IF(AG1950=3,"Lead calificado",IF(OR(AG1950=4,AG1950=5),"Tasación/visita",IF(OR(AG1950=6,AG1950=7),"Captación/oferta",IF(AG1950=8,"Cierre","")))),"")</f>
        <v/>
      </c>
      <c r="AE1950" s="32"/>
      <c r="AF1950" s="32"/>
      <c r="AG1950" s="37" t="n">
        <f aca="false">IF(R1950="",0,IFERROR(MATCH(R1950,Listas!$L$2:$L$50,0),0))</f>
        <v>0</v>
      </c>
    </row>
    <row r="1951" customFormat="false" ht="15" hidden="false" customHeight="false" outlineLevel="0" collapsed="false">
      <c r="A1951" s="30"/>
      <c r="B1951" s="31"/>
      <c r="C1951" s="32"/>
      <c r="D1951" s="32"/>
      <c r="E1951" s="33"/>
      <c r="F1951" s="32"/>
      <c r="G1951" s="32"/>
      <c r="H1951" s="32"/>
      <c r="I1951" s="32"/>
      <c r="J1951" s="32"/>
      <c r="K1951" s="32"/>
      <c r="L1951" s="32"/>
      <c r="M1951" s="30"/>
      <c r="N1951" s="32"/>
      <c r="O1951" s="34"/>
      <c r="P1951" s="32"/>
      <c r="Q1951" s="32"/>
      <c r="R1951" s="32"/>
      <c r="S1951" s="32"/>
      <c r="T1951" s="32"/>
      <c r="U1951" s="32"/>
      <c r="V1951" s="31"/>
      <c r="W1951" s="35" t="str">
        <f aca="true">IF(OR(V1951="",AG1951&gt;=8),"",IF(V1951&lt;TODAY(),"Vencida",IF(V1951=TODAY(),"Hoy","")))</f>
        <v/>
      </c>
      <c r="X1951" s="36" t="str">
        <f aca="false">IF(A1951="","",IF(COUNTIF(Seguimiento!$B$2:$B$5001,A1951)=0,"",_xlfn.MAXIFS(Seguimiento!$A$2:$A$5001,Seguimiento!$B$2:$B$5001,A1951)))</f>
        <v/>
      </c>
      <c r="Y1951" s="37" t="str">
        <f aca="true">IF(B1951="","",TODAY()-B1951)</f>
        <v/>
      </c>
      <c r="Z1951" s="38" t="str">
        <f aca="false">IF(OR(O1951="",G1951=""),"",O1951*IFERROR(INDEX(Listas!$B$2:$B$50,MATCH(G1951,Listas!$A$2:$A$50,0)),0))</f>
        <v/>
      </c>
      <c r="AA1951" s="32"/>
      <c r="AB1951" s="32"/>
      <c r="AC1951" s="32"/>
      <c r="AD1951" s="35" t="str">
        <f aca="false">IF(OR(LEFT(H1951,4)="Meta",LEFT(H1951,6)="Google"),IF(AG1951=3,"Lead calificado",IF(OR(AG1951=4,AG1951=5),"Tasación/visita",IF(OR(AG1951=6,AG1951=7),"Captación/oferta",IF(AG1951=8,"Cierre","")))),"")</f>
        <v/>
      </c>
      <c r="AE1951" s="32"/>
      <c r="AF1951" s="32"/>
      <c r="AG1951" s="37" t="n">
        <f aca="false">IF(R1951="",0,IFERROR(MATCH(R1951,Listas!$L$2:$L$50,0),0))</f>
        <v>0</v>
      </c>
    </row>
    <row r="1952" customFormat="false" ht="15" hidden="false" customHeight="false" outlineLevel="0" collapsed="false">
      <c r="A1952" s="30"/>
      <c r="B1952" s="31"/>
      <c r="C1952" s="32"/>
      <c r="D1952" s="32"/>
      <c r="E1952" s="33"/>
      <c r="F1952" s="32"/>
      <c r="G1952" s="32"/>
      <c r="H1952" s="32"/>
      <c r="I1952" s="32"/>
      <c r="J1952" s="32"/>
      <c r="K1952" s="32"/>
      <c r="L1952" s="32"/>
      <c r="M1952" s="30"/>
      <c r="N1952" s="32"/>
      <c r="O1952" s="34"/>
      <c r="P1952" s="32"/>
      <c r="Q1952" s="32"/>
      <c r="R1952" s="32"/>
      <c r="S1952" s="32"/>
      <c r="T1952" s="32"/>
      <c r="U1952" s="32"/>
      <c r="V1952" s="31"/>
      <c r="W1952" s="35" t="str">
        <f aca="true">IF(OR(V1952="",AG1952&gt;=8),"",IF(V1952&lt;TODAY(),"Vencida",IF(V1952=TODAY(),"Hoy","")))</f>
        <v/>
      </c>
      <c r="X1952" s="36" t="str">
        <f aca="false">IF(A1952="","",IF(COUNTIF(Seguimiento!$B$2:$B$5001,A1952)=0,"",_xlfn.MAXIFS(Seguimiento!$A$2:$A$5001,Seguimiento!$B$2:$B$5001,A1952)))</f>
        <v/>
      </c>
      <c r="Y1952" s="37" t="str">
        <f aca="true">IF(B1952="","",TODAY()-B1952)</f>
        <v/>
      </c>
      <c r="Z1952" s="38" t="str">
        <f aca="false">IF(OR(O1952="",G1952=""),"",O1952*IFERROR(INDEX(Listas!$B$2:$B$50,MATCH(G1952,Listas!$A$2:$A$50,0)),0))</f>
        <v/>
      </c>
      <c r="AA1952" s="32"/>
      <c r="AB1952" s="32"/>
      <c r="AC1952" s="32"/>
      <c r="AD1952" s="35" t="str">
        <f aca="false">IF(OR(LEFT(H1952,4)="Meta",LEFT(H1952,6)="Google"),IF(AG1952=3,"Lead calificado",IF(OR(AG1952=4,AG1952=5),"Tasación/visita",IF(OR(AG1952=6,AG1952=7),"Captación/oferta",IF(AG1952=8,"Cierre","")))),"")</f>
        <v/>
      </c>
      <c r="AE1952" s="32"/>
      <c r="AF1952" s="32"/>
      <c r="AG1952" s="37" t="n">
        <f aca="false">IF(R1952="",0,IFERROR(MATCH(R1952,Listas!$L$2:$L$50,0),0))</f>
        <v>0</v>
      </c>
    </row>
    <row r="1953" customFormat="false" ht="15" hidden="false" customHeight="false" outlineLevel="0" collapsed="false">
      <c r="A1953" s="30"/>
      <c r="B1953" s="31"/>
      <c r="C1953" s="32"/>
      <c r="D1953" s="32"/>
      <c r="E1953" s="33"/>
      <c r="F1953" s="32"/>
      <c r="G1953" s="32"/>
      <c r="H1953" s="32"/>
      <c r="I1953" s="32"/>
      <c r="J1953" s="32"/>
      <c r="K1953" s="32"/>
      <c r="L1953" s="32"/>
      <c r="M1953" s="30"/>
      <c r="N1953" s="32"/>
      <c r="O1953" s="34"/>
      <c r="P1953" s="32"/>
      <c r="Q1953" s="32"/>
      <c r="R1953" s="32"/>
      <c r="S1953" s="32"/>
      <c r="T1953" s="32"/>
      <c r="U1953" s="32"/>
      <c r="V1953" s="31"/>
      <c r="W1953" s="35" t="str">
        <f aca="true">IF(OR(V1953="",AG1953&gt;=8),"",IF(V1953&lt;TODAY(),"Vencida",IF(V1953=TODAY(),"Hoy","")))</f>
        <v/>
      </c>
      <c r="X1953" s="36" t="str">
        <f aca="false">IF(A1953="","",IF(COUNTIF(Seguimiento!$B$2:$B$5001,A1953)=0,"",_xlfn.MAXIFS(Seguimiento!$A$2:$A$5001,Seguimiento!$B$2:$B$5001,A1953)))</f>
        <v/>
      </c>
      <c r="Y1953" s="37" t="str">
        <f aca="true">IF(B1953="","",TODAY()-B1953)</f>
        <v/>
      </c>
      <c r="Z1953" s="38" t="str">
        <f aca="false">IF(OR(O1953="",G1953=""),"",O1953*IFERROR(INDEX(Listas!$B$2:$B$50,MATCH(G1953,Listas!$A$2:$A$50,0)),0))</f>
        <v/>
      </c>
      <c r="AA1953" s="32"/>
      <c r="AB1953" s="32"/>
      <c r="AC1953" s="32"/>
      <c r="AD1953" s="35" t="str">
        <f aca="false">IF(OR(LEFT(H1953,4)="Meta",LEFT(H1953,6)="Google"),IF(AG1953=3,"Lead calificado",IF(OR(AG1953=4,AG1953=5),"Tasación/visita",IF(OR(AG1953=6,AG1953=7),"Captación/oferta",IF(AG1953=8,"Cierre","")))),"")</f>
        <v/>
      </c>
      <c r="AE1953" s="32"/>
      <c r="AF1953" s="32"/>
      <c r="AG1953" s="37" t="n">
        <f aca="false">IF(R1953="",0,IFERROR(MATCH(R1953,Listas!$L$2:$L$50,0),0))</f>
        <v>0</v>
      </c>
    </row>
    <row r="1954" customFormat="false" ht="15" hidden="false" customHeight="false" outlineLevel="0" collapsed="false">
      <c r="A1954" s="30"/>
      <c r="B1954" s="31"/>
      <c r="C1954" s="32"/>
      <c r="D1954" s="32"/>
      <c r="E1954" s="33"/>
      <c r="F1954" s="32"/>
      <c r="G1954" s="32"/>
      <c r="H1954" s="32"/>
      <c r="I1954" s="32"/>
      <c r="J1954" s="32"/>
      <c r="K1954" s="32"/>
      <c r="L1954" s="32"/>
      <c r="M1954" s="30"/>
      <c r="N1954" s="32"/>
      <c r="O1954" s="34"/>
      <c r="P1954" s="32"/>
      <c r="Q1954" s="32"/>
      <c r="R1954" s="32"/>
      <c r="S1954" s="32"/>
      <c r="T1954" s="32"/>
      <c r="U1954" s="32"/>
      <c r="V1954" s="31"/>
      <c r="W1954" s="35" t="str">
        <f aca="true">IF(OR(V1954="",AG1954&gt;=8),"",IF(V1954&lt;TODAY(),"Vencida",IF(V1954=TODAY(),"Hoy","")))</f>
        <v/>
      </c>
      <c r="X1954" s="36" t="str">
        <f aca="false">IF(A1954="","",IF(COUNTIF(Seguimiento!$B$2:$B$5001,A1954)=0,"",_xlfn.MAXIFS(Seguimiento!$A$2:$A$5001,Seguimiento!$B$2:$B$5001,A1954)))</f>
        <v/>
      </c>
      <c r="Y1954" s="37" t="str">
        <f aca="true">IF(B1954="","",TODAY()-B1954)</f>
        <v/>
      </c>
      <c r="Z1954" s="38" t="str">
        <f aca="false">IF(OR(O1954="",G1954=""),"",O1954*IFERROR(INDEX(Listas!$B$2:$B$50,MATCH(G1954,Listas!$A$2:$A$50,0)),0))</f>
        <v/>
      </c>
      <c r="AA1954" s="32"/>
      <c r="AB1954" s="32"/>
      <c r="AC1954" s="32"/>
      <c r="AD1954" s="35" t="str">
        <f aca="false">IF(OR(LEFT(H1954,4)="Meta",LEFT(H1954,6)="Google"),IF(AG1954=3,"Lead calificado",IF(OR(AG1954=4,AG1954=5),"Tasación/visita",IF(OR(AG1954=6,AG1954=7),"Captación/oferta",IF(AG1954=8,"Cierre","")))),"")</f>
        <v/>
      </c>
      <c r="AE1954" s="32"/>
      <c r="AF1954" s="32"/>
      <c r="AG1954" s="37" t="n">
        <f aca="false">IF(R1954="",0,IFERROR(MATCH(R1954,Listas!$L$2:$L$50,0),0))</f>
        <v>0</v>
      </c>
    </row>
    <row r="1955" customFormat="false" ht="15" hidden="false" customHeight="false" outlineLevel="0" collapsed="false">
      <c r="A1955" s="30"/>
      <c r="B1955" s="31"/>
      <c r="C1955" s="32"/>
      <c r="D1955" s="32"/>
      <c r="E1955" s="33"/>
      <c r="F1955" s="32"/>
      <c r="G1955" s="32"/>
      <c r="H1955" s="32"/>
      <c r="I1955" s="32"/>
      <c r="J1955" s="32"/>
      <c r="K1955" s="32"/>
      <c r="L1955" s="32"/>
      <c r="M1955" s="30"/>
      <c r="N1955" s="32"/>
      <c r="O1955" s="34"/>
      <c r="P1955" s="32"/>
      <c r="Q1955" s="32"/>
      <c r="R1955" s="32"/>
      <c r="S1955" s="32"/>
      <c r="T1955" s="32"/>
      <c r="U1955" s="32"/>
      <c r="V1955" s="31"/>
      <c r="W1955" s="35" t="str">
        <f aca="true">IF(OR(V1955="",AG1955&gt;=8),"",IF(V1955&lt;TODAY(),"Vencida",IF(V1955=TODAY(),"Hoy","")))</f>
        <v/>
      </c>
      <c r="X1955" s="36" t="str">
        <f aca="false">IF(A1955="","",IF(COUNTIF(Seguimiento!$B$2:$B$5001,A1955)=0,"",_xlfn.MAXIFS(Seguimiento!$A$2:$A$5001,Seguimiento!$B$2:$B$5001,A1955)))</f>
        <v/>
      </c>
      <c r="Y1955" s="37" t="str">
        <f aca="true">IF(B1955="","",TODAY()-B1955)</f>
        <v/>
      </c>
      <c r="Z1955" s="38" t="str">
        <f aca="false">IF(OR(O1955="",G1955=""),"",O1955*IFERROR(INDEX(Listas!$B$2:$B$50,MATCH(G1955,Listas!$A$2:$A$50,0)),0))</f>
        <v/>
      </c>
      <c r="AA1955" s="32"/>
      <c r="AB1955" s="32"/>
      <c r="AC1955" s="32"/>
      <c r="AD1955" s="35" t="str">
        <f aca="false">IF(OR(LEFT(H1955,4)="Meta",LEFT(H1955,6)="Google"),IF(AG1955=3,"Lead calificado",IF(OR(AG1955=4,AG1955=5),"Tasación/visita",IF(OR(AG1955=6,AG1955=7),"Captación/oferta",IF(AG1955=8,"Cierre","")))),"")</f>
        <v/>
      </c>
      <c r="AE1955" s="32"/>
      <c r="AF1955" s="32"/>
      <c r="AG1955" s="37" t="n">
        <f aca="false">IF(R1955="",0,IFERROR(MATCH(R1955,Listas!$L$2:$L$50,0),0))</f>
        <v>0</v>
      </c>
    </row>
    <row r="1956" customFormat="false" ht="15" hidden="false" customHeight="false" outlineLevel="0" collapsed="false">
      <c r="A1956" s="30"/>
      <c r="B1956" s="31"/>
      <c r="C1956" s="32"/>
      <c r="D1956" s="32"/>
      <c r="E1956" s="33"/>
      <c r="F1956" s="32"/>
      <c r="G1956" s="32"/>
      <c r="H1956" s="32"/>
      <c r="I1956" s="32"/>
      <c r="J1956" s="32"/>
      <c r="K1956" s="32"/>
      <c r="L1956" s="32"/>
      <c r="M1956" s="30"/>
      <c r="N1956" s="32"/>
      <c r="O1956" s="34"/>
      <c r="P1956" s="32"/>
      <c r="Q1956" s="32"/>
      <c r="R1956" s="32"/>
      <c r="S1956" s="32"/>
      <c r="T1956" s="32"/>
      <c r="U1956" s="32"/>
      <c r="V1956" s="31"/>
      <c r="W1956" s="35" t="str">
        <f aca="true">IF(OR(V1956="",AG1956&gt;=8),"",IF(V1956&lt;TODAY(),"Vencida",IF(V1956=TODAY(),"Hoy","")))</f>
        <v/>
      </c>
      <c r="X1956" s="36" t="str">
        <f aca="false">IF(A1956="","",IF(COUNTIF(Seguimiento!$B$2:$B$5001,A1956)=0,"",_xlfn.MAXIFS(Seguimiento!$A$2:$A$5001,Seguimiento!$B$2:$B$5001,A1956)))</f>
        <v/>
      </c>
      <c r="Y1956" s="37" t="str">
        <f aca="true">IF(B1956="","",TODAY()-B1956)</f>
        <v/>
      </c>
      <c r="Z1956" s="38" t="str">
        <f aca="false">IF(OR(O1956="",G1956=""),"",O1956*IFERROR(INDEX(Listas!$B$2:$B$50,MATCH(G1956,Listas!$A$2:$A$50,0)),0))</f>
        <v/>
      </c>
      <c r="AA1956" s="32"/>
      <c r="AB1956" s="32"/>
      <c r="AC1956" s="32"/>
      <c r="AD1956" s="35" t="str">
        <f aca="false">IF(OR(LEFT(H1956,4)="Meta",LEFT(H1956,6)="Google"),IF(AG1956=3,"Lead calificado",IF(OR(AG1956=4,AG1956=5),"Tasación/visita",IF(OR(AG1956=6,AG1956=7),"Captación/oferta",IF(AG1956=8,"Cierre","")))),"")</f>
        <v/>
      </c>
      <c r="AE1956" s="32"/>
      <c r="AF1956" s="32"/>
      <c r="AG1956" s="37" t="n">
        <f aca="false">IF(R1956="",0,IFERROR(MATCH(R1956,Listas!$L$2:$L$50,0),0))</f>
        <v>0</v>
      </c>
    </row>
    <row r="1957" customFormat="false" ht="15" hidden="false" customHeight="false" outlineLevel="0" collapsed="false">
      <c r="A1957" s="30"/>
      <c r="B1957" s="31"/>
      <c r="C1957" s="32"/>
      <c r="D1957" s="32"/>
      <c r="E1957" s="33"/>
      <c r="F1957" s="32"/>
      <c r="G1957" s="32"/>
      <c r="H1957" s="32"/>
      <c r="I1957" s="32"/>
      <c r="J1957" s="32"/>
      <c r="K1957" s="32"/>
      <c r="L1957" s="32"/>
      <c r="M1957" s="30"/>
      <c r="N1957" s="32"/>
      <c r="O1957" s="34"/>
      <c r="P1957" s="32"/>
      <c r="Q1957" s="32"/>
      <c r="R1957" s="32"/>
      <c r="S1957" s="32"/>
      <c r="T1957" s="32"/>
      <c r="U1957" s="32"/>
      <c r="V1957" s="31"/>
      <c r="W1957" s="35" t="str">
        <f aca="true">IF(OR(V1957="",AG1957&gt;=8),"",IF(V1957&lt;TODAY(),"Vencida",IF(V1957=TODAY(),"Hoy","")))</f>
        <v/>
      </c>
      <c r="X1957" s="36" t="str">
        <f aca="false">IF(A1957="","",IF(COUNTIF(Seguimiento!$B$2:$B$5001,A1957)=0,"",_xlfn.MAXIFS(Seguimiento!$A$2:$A$5001,Seguimiento!$B$2:$B$5001,A1957)))</f>
        <v/>
      </c>
      <c r="Y1957" s="37" t="str">
        <f aca="true">IF(B1957="","",TODAY()-B1957)</f>
        <v/>
      </c>
      <c r="Z1957" s="38" t="str">
        <f aca="false">IF(OR(O1957="",G1957=""),"",O1957*IFERROR(INDEX(Listas!$B$2:$B$50,MATCH(G1957,Listas!$A$2:$A$50,0)),0))</f>
        <v/>
      </c>
      <c r="AA1957" s="32"/>
      <c r="AB1957" s="32"/>
      <c r="AC1957" s="32"/>
      <c r="AD1957" s="35" t="str">
        <f aca="false">IF(OR(LEFT(H1957,4)="Meta",LEFT(H1957,6)="Google"),IF(AG1957=3,"Lead calificado",IF(OR(AG1957=4,AG1957=5),"Tasación/visita",IF(OR(AG1957=6,AG1957=7),"Captación/oferta",IF(AG1957=8,"Cierre","")))),"")</f>
        <v/>
      </c>
      <c r="AE1957" s="32"/>
      <c r="AF1957" s="32"/>
      <c r="AG1957" s="37" t="n">
        <f aca="false">IF(R1957="",0,IFERROR(MATCH(R1957,Listas!$L$2:$L$50,0),0))</f>
        <v>0</v>
      </c>
    </row>
    <row r="1958" customFormat="false" ht="15" hidden="false" customHeight="false" outlineLevel="0" collapsed="false">
      <c r="A1958" s="30"/>
      <c r="B1958" s="31"/>
      <c r="C1958" s="32"/>
      <c r="D1958" s="32"/>
      <c r="E1958" s="33"/>
      <c r="F1958" s="32"/>
      <c r="G1958" s="32"/>
      <c r="H1958" s="32"/>
      <c r="I1958" s="32"/>
      <c r="J1958" s="32"/>
      <c r="K1958" s="32"/>
      <c r="L1958" s="32"/>
      <c r="M1958" s="30"/>
      <c r="N1958" s="32"/>
      <c r="O1958" s="34"/>
      <c r="P1958" s="32"/>
      <c r="Q1958" s="32"/>
      <c r="R1958" s="32"/>
      <c r="S1958" s="32"/>
      <c r="T1958" s="32"/>
      <c r="U1958" s="32"/>
      <c r="V1958" s="31"/>
      <c r="W1958" s="35" t="str">
        <f aca="true">IF(OR(V1958="",AG1958&gt;=8),"",IF(V1958&lt;TODAY(),"Vencida",IF(V1958=TODAY(),"Hoy","")))</f>
        <v/>
      </c>
      <c r="X1958" s="36" t="str">
        <f aca="false">IF(A1958="","",IF(COUNTIF(Seguimiento!$B$2:$B$5001,A1958)=0,"",_xlfn.MAXIFS(Seguimiento!$A$2:$A$5001,Seguimiento!$B$2:$B$5001,A1958)))</f>
        <v/>
      </c>
      <c r="Y1958" s="37" t="str">
        <f aca="true">IF(B1958="","",TODAY()-B1958)</f>
        <v/>
      </c>
      <c r="Z1958" s="38" t="str">
        <f aca="false">IF(OR(O1958="",G1958=""),"",O1958*IFERROR(INDEX(Listas!$B$2:$B$50,MATCH(G1958,Listas!$A$2:$A$50,0)),0))</f>
        <v/>
      </c>
      <c r="AA1958" s="32"/>
      <c r="AB1958" s="32"/>
      <c r="AC1958" s="32"/>
      <c r="AD1958" s="35" t="str">
        <f aca="false">IF(OR(LEFT(H1958,4)="Meta",LEFT(H1958,6)="Google"),IF(AG1958=3,"Lead calificado",IF(OR(AG1958=4,AG1958=5),"Tasación/visita",IF(OR(AG1958=6,AG1958=7),"Captación/oferta",IF(AG1958=8,"Cierre","")))),"")</f>
        <v/>
      </c>
      <c r="AE1958" s="32"/>
      <c r="AF1958" s="32"/>
      <c r="AG1958" s="37" t="n">
        <f aca="false">IF(R1958="",0,IFERROR(MATCH(R1958,Listas!$L$2:$L$50,0),0))</f>
        <v>0</v>
      </c>
    </row>
    <row r="1959" customFormat="false" ht="15" hidden="false" customHeight="false" outlineLevel="0" collapsed="false">
      <c r="A1959" s="30"/>
      <c r="B1959" s="31"/>
      <c r="C1959" s="32"/>
      <c r="D1959" s="32"/>
      <c r="E1959" s="33"/>
      <c r="F1959" s="32"/>
      <c r="G1959" s="32"/>
      <c r="H1959" s="32"/>
      <c r="I1959" s="32"/>
      <c r="J1959" s="32"/>
      <c r="K1959" s="32"/>
      <c r="L1959" s="32"/>
      <c r="M1959" s="30"/>
      <c r="N1959" s="32"/>
      <c r="O1959" s="34"/>
      <c r="P1959" s="32"/>
      <c r="Q1959" s="32"/>
      <c r="R1959" s="32"/>
      <c r="S1959" s="32"/>
      <c r="T1959" s="32"/>
      <c r="U1959" s="32"/>
      <c r="V1959" s="31"/>
      <c r="W1959" s="35" t="str">
        <f aca="true">IF(OR(V1959="",AG1959&gt;=8),"",IF(V1959&lt;TODAY(),"Vencida",IF(V1959=TODAY(),"Hoy","")))</f>
        <v/>
      </c>
      <c r="X1959" s="36" t="str">
        <f aca="false">IF(A1959="","",IF(COUNTIF(Seguimiento!$B$2:$B$5001,A1959)=0,"",_xlfn.MAXIFS(Seguimiento!$A$2:$A$5001,Seguimiento!$B$2:$B$5001,A1959)))</f>
        <v/>
      </c>
      <c r="Y1959" s="37" t="str">
        <f aca="true">IF(B1959="","",TODAY()-B1959)</f>
        <v/>
      </c>
      <c r="Z1959" s="38" t="str">
        <f aca="false">IF(OR(O1959="",G1959=""),"",O1959*IFERROR(INDEX(Listas!$B$2:$B$50,MATCH(G1959,Listas!$A$2:$A$50,0)),0))</f>
        <v/>
      </c>
      <c r="AA1959" s="32"/>
      <c r="AB1959" s="32"/>
      <c r="AC1959" s="32"/>
      <c r="AD1959" s="35" t="str">
        <f aca="false">IF(OR(LEFT(H1959,4)="Meta",LEFT(H1959,6)="Google"),IF(AG1959=3,"Lead calificado",IF(OR(AG1959=4,AG1959=5),"Tasación/visita",IF(OR(AG1959=6,AG1959=7),"Captación/oferta",IF(AG1959=8,"Cierre","")))),"")</f>
        <v/>
      </c>
      <c r="AE1959" s="32"/>
      <c r="AF1959" s="32"/>
      <c r="AG1959" s="37" t="n">
        <f aca="false">IF(R1959="",0,IFERROR(MATCH(R1959,Listas!$L$2:$L$50,0),0))</f>
        <v>0</v>
      </c>
    </row>
    <row r="1960" customFormat="false" ht="15" hidden="false" customHeight="false" outlineLevel="0" collapsed="false">
      <c r="A1960" s="30"/>
      <c r="B1960" s="31"/>
      <c r="C1960" s="32"/>
      <c r="D1960" s="32"/>
      <c r="E1960" s="33"/>
      <c r="F1960" s="32"/>
      <c r="G1960" s="32"/>
      <c r="H1960" s="32"/>
      <c r="I1960" s="32"/>
      <c r="J1960" s="32"/>
      <c r="K1960" s="32"/>
      <c r="L1960" s="32"/>
      <c r="M1960" s="30"/>
      <c r="N1960" s="32"/>
      <c r="O1960" s="34"/>
      <c r="P1960" s="32"/>
      <c r="Q1960" s="32"/>
      <c r="R1960" s="32"/>
      <c r="S1960" s="32"/>
      <c r="T1960" s="32"/>
      <c r="U1960" s="32"/>
      <c r="V1960" s="31"/>
      <c r="W1960" s="35" t="str">
        <f aca="true">IF(OR(V1960="",AG1960&gt;=8),"",IF(V1960&lt;TODAY(),"Vencida",IF(V1960=TODAY(),"Hoy","")))</f>
        <v/>
      </c>
      <c r="X1960" s="36" t="str">
        <f aca="false">IF(A1960="","",IF(COUNTIF(Seguimiento!$B$2:$B$5001,A1960)=0,"",_xlfn.MAXIFS(Seguimiento!$A$2:$A$5001,Seguimiento!$B$2:$B$5001,A1960)))</f>
        <v/>
      </c>
      <c r="Y1960" s="37" t="str">
        <f aca="true">IF(B1960="","",TODAY()-B1960)</f>
        <v/>
      </c>
      <c r="Z1960" s="38" t="str">
        <f aca="false">IF(OR(O1960="",G1960=""),"",O1960*IFERROR(INDEX(Listas!$B$2:$B$50,MATCH(G1960,Listas!$A$2:$A$50,0)),0))</f>
        <v/>
      </c>
      <c r="AA1960" s="32"/>
      <c r="AB1960" s="32"/>
      <c r="AC1960" s="32"/>
      <c r="AD1960" s="35" t="str">
        <f aca="false">IF(OR(LEFT(H1960,4)="Meta",LEFT(H1960,6)="Google"),IF(AG1960=3,"Lead calificado",IF(OR(AG1960=4,AG1960=5),"Tasación/visita",IF(OR(AG1960=6,AG1960=7),"Captación/oferta",IF(AG1960=8,"Cierre","")))),"")</f>
        <v/>
      </c>
      <c r="AE1960" s="32"/>
      <c r="AF1960" s="32"/>
      <c r="AG1960" s="37" t="n">
        <f aca="false">IF(R1960="",0,IFERROR(MATCH(R1960,Listas!$L$2:$L$50,0),0))</f>
        <v>0</v>
      </c>
    </row>
    <row r="1961" customFormat="false" ht="15" hidden="false" customHeight="false" outlineLevel="0" collapsed="false">
      <c r="A1961" s="30"/>
      <c r="B1961" s="31"/>
      <c r="C1961" s="32"/>
      <c r="D1961" s="32"/>
      <c r="E1961" s="33"/>
      <c r="F1961" s="32"/>
      <c r="G1961" s="32"/>
      <c r="H1961" s="32"/>
      <c r="I1961" s="32"/>
      <c r="J1961" s="32"/>
      <c r="K1961" s="32"/>
      <c r="L1961" s="32"/>
      <c r="M1961" s="30"/>
      <c r="N1961" s="32"/>
      <c r="O1961" s="34"/>
      <c r="P1961" s="32"/>
      <c r="Q1961" s="32"/>
      <c r="R1961" s="32"/>
      <c r="S1961" s="32"/>
      <c r="T1961" s="32"/>
      <c r="U1961" s="32"/>
      <c r="V1961" s="31"/>
      <c r="W1961" s="35" t="str">
        <f aca="true">IF(OR(V1961="",AG1961&gt;=8),"",IF(V1961&lt;TODAY(),"Vencida",IF(V1961=TODAY(),"Hoy","")))</f>
        <v/>
      </c>
      <c r="X1961" s="36" t="str">
        <f aca="false">IF(A1961="","",IF(COUNTIF(Seguimiento!$B$2:$B$5001,A1961)=0,"",_xlfn.MAXIFS(Seguimiento!$A$2:$A$5001,Seguimiento!$B$2:$B$5001,A1961)))</f>
        <v/>
      </c>
      <c r="Y1961" s="37" t="str">
        <f aca="true">IF(B1961="","",TODAY()-B1961)</f>
        <v/>
      </c>
      <c r="Z1961" s="38" t="str">
        <f aca="false">IF(OR(O1961="",G1961=""),"",O1961*IFERROR(INDEX(Listas!$B$2:$B$50,MATCH(G1961,Listas!$A$2:$A$50,0)),0))</f>
        <v/>
      </c>
      <c r="AA1961" s="32"/>
      <c r="AB1961" s="32"/>
      <c r="AC1961" s="32"/>
      <c r="AD1961" s="35" t="str">
        <f aca="false">IF(OR(LEFT(H1961,4)="Meta",LEFT(H1961,6)="Google"),IF(AG1961=3,"Lead calificado",IF(OR(AG1961=4,AG1961=5),"Tasación/visita",IF(OR(AG1961=6,AG1961=7),"Captación/oferta",IF(AG1961=8,"Cierre","")))),"")</f>
        <v/>
      </c>
      <c r="AE1961" s="32"/>
      <c r="AF1961" s="32"/>
      <c r="AG1961" s="37" t="n">
        <f aca="false">IF(R1961="",0,IFERROR(MATCH(R1961,Listas!$L$2:$L$50,0),0))</f>
        <v>0</v>
      </c>
    </row>
    <row r="1962" customFormat="false" ht="15" hidden="false" customHeight="false" outlineLevel="0" collapsed="false">
      <c r="A1962" s="30"/>
      <c r="B1962" s="31"/>
      <c r="C1962" s="32"/>
      <c r="D1962" s="32"/>
      <c r="E1962" s="33"/>
      <c r="F1962" s="32"/>
      <c r="G1962" s="32"/>
      <c r="H1962" s="32"/>
      <c r="I1962" s="32"/>
      <c r="J1962" s="32"/>
      <c r="K1962" s="32"/>
      <c r="L1962" s="32"/>
      <c r="M1962" s="30"/>
      <c r="N1962" s="32"/>
      <c r="O1962" s="34"/>
      <c r="P1962" s="32"/>
      <c r="Q1962" s="32"/>
      <c r="R1962" s="32"/>
      <c r="S1962" s="32"/>
      <c r="T1962" s="32"/>
      <c r="U1962" s="32"/>
      <c r="V1962" s="31"/>
      <c r="W1962" s="35" t="str">
        <f aca="true">IF(OR(V1962="",AG1962&gt;=8),"",IF(V1962&lt;TODAY(),"Vencida",IF(V1962=TODAY(),"Hoy","")))</f>
        <v/>
      </c>
      <c r="X1962" s="36" t="str">
        <f aca="false">IF(A1962="","",IF(COUNTIF(Seguimiento!$B$2:$B$5001,A1962)=0,"",_xlfn.MAXIFS(Seguimiento!$A$2:$A$5001,Seguimiento!$B$2:$B$5001,A1962)))</f>
        <v/>
      </c>
      <c r="Y1962" s="37" t="str">
        <f aca="true">IF(B1962="","",TODAY()-B1962)</f>
        <v/>
      </c>
      <c r="Z1962" s="38" t="str">
        <f aca="false">IF(OR(O1962="",G1962=""),"",O1962*IFERROR(INDEX(Listas!$B$2:$B$50,MATCH(G1962,Listas!$A$2:$A$50,0)),0))</f>
        <v/>
      </c>
      <c r="AA1962" s="32"/>
      <c r="AB1962" s="32"/>
      <c r="AC1962" s="32"/>
      <c r="AD1962" s="35" t="str">
        <f aca="false">IF(OR(LEFT(H1962,4)="Meta",LEFT(H1962,6)="Google"),IF(AG1962=3,"Lead calificado",IF(OR(AG1962=4,AG1962=5),"Tasación/visita",IF(OR(AG1962=6,AG1962=7),"Captación/oferta",IF(AG1962=8,"Cierre","")))),"")</f>
        <v/>
      </c>
      <c r="AE1962" s="32"/>
      <c r="AF1962" s="32"/>
      <c r="AG1962" s="37" t="n">
        <f aca="false">IF(R1962="",0,IFERROR(MATCH(R1962,Listas!$L$2:$L$50,0),0))</f>
        <v>0</v>
      </c>
    </row>
    <row r="1963" customFormat="false" ht="15" hidden="false" customHeight="false" outlineLevel="0" collapsed="false">
      <c r="A1963" s="30"/>
      <c r="B1963" s="31"/>
      <c r="C1963" s="32"/>
      <c r="D1963" s="32"/>
      <c r="E1963" s="33"/>
      <c r="F1963" s="32"/>
      <c r="G1963" s="32"/>
      <c r="H1963" s="32"/>
      <c r="I1963" s="32"/>
      <c r="J1963" s="32"/>
      <c r="K1963" s="32"/>
      <c r="L1963" s="32"/>
      <c r="M1963" s="30"/>
      <c r="N1963" s="32"/>
      <c r="O1963" s="34"/>
      <c r="P1963" s="32"/>
      <c r="Q1963" s="32"/>
      <c r="R1963" s="32"/>
      <c r="S1963" s="32"/>
      <c r="T1963" s="32"/>
      <c r="U1963" s="32"/>
      <c r="V1963" s="31"/>
      <c r="W1963" s="35" t="str">
        <f aca="true">IF(OR(V1963="",AG1963&gt;=8),"",IF(V1963&lt;TODAY(),"Vencida",IF(V1963=TODAY(),"Hoy","")))</f>
        <v/>
      </c>
      <c r="X1963" s="36" t="str">
        <f aca="false">IF(A1963="","",IF(COUNTIF(Seguimiento!$B$2:$B$5001,A1963)=0,"",_xlfn.MAXIFS(Seguimiento!$A$2:$A$5001,Seguimiento!$B$2:$B$5001,A1963)))</f>
        <v/>
      </c>
      <c r="Y1963" s="37" t="str">
        <f aca="true">IF(B1963="","",TODAY()-B1963)</f>
        <v/>
      </c>
      <c r="Z1963" s="38" t="str">
        <f aca="false">IF(OR(O1963="",G1963=""),"",O1963*IFERROR(INDEX(Listas!$B$2:$B$50,MATCH(G1963,Listas!$A$2:$A$50,0)),0))</f>
        <v/>
      </c>
      <c r="AA1963" s="32"/>
      <c r="AB1963" s="32"/>
      <c r="AC1963" s="32"/>
      <c r="AD1963" s="35" t="str">
        <f aca="false">IF(OR(LEFT(H1963,4)="Meta",LEFT(H1963,6)="Google"),IF(AG1963=3,"Lead calificado",IF(OR(AG1963=4,AG1963=5),"Tasación/visita",IF(OR(AG1963=6,AG1963=7),"Captación/oferta",IF(AG1963=8,"Cierre","")))),"")</f>
        <v/>
      </c>
      <c r="AE1963" s="32"/>
      <c r="AF1963" s="32"/>
      <c r="AG1963" s="37" t="n">
        <f aca="false">IF(R1963="",0,IFERROR(MATCH(R1963,Listas!$L$2:$L$50,0),0))</f>
        <v>0</v>
      </c>
    </row>
    <row r="1964" customFormat="false" ht="15" hidden="false" customHeight="false" outlineLevel="0" collapsed="false">
      <c r="A1964" s="30"/>
      <c r="B1964" s="31"/>
      <c r="C1964" s="32"/>
      <c r="D1964" s="32"/>
      <c r="E1964" s="33"/>
      <c r="F1964" s="32"/>
      <c r="G1964" s="32"/>
      <c r="H1964" s="32"/>
      <c r="I1964" s="32"/>
      <c r="J1964" s="32"/>
      <c r="K1964" s="32"/>
      <c r="L1964" s="32"/>
      <c r="M1964" s="30"/>
      <c r="N1964" s="32"/>
      <c r="O1964" s="34"/>
      <c r="P1964" s="32"/>
      <c r="Q1964" s="32"/>
      <c r="R1964" s="32"/>
      <c r="S1964" s="32"/>
      <c r="T1964" s="32"/>
      <c r="U1964" s="32"/>
      <c r="V1964" s="31"/>
      <c r="W1964" s="35" t="str">
        <f aca="true">IF(OR(V1964="",AG1964&gt;=8),"",IF(V1964&lt;TODAY(),"Vencida",IF(V1964=TODAY(),"Hoy","")))</f>
        <v/>
      </c>
      <c r="X1964" s="36" t="str">
        <f aca="false">IF(A1964="","",IF(COUNTIF(Seguimiento!$B$2:$B$5001,A1964)=0,"",_xlfn.MAXIFS(Seguimiento!$A$2:$A$5001,Seguimiento!$B$2:$B$5001,A1964)))</f>
        <v/>
      </c>
      <c r="Y1964" s="37" t="str">
        <f aca="true">IF(B1964="","",TODAY()-B1964)</f>
        <v/>
      </c>
      <c r="Z1964" s="38" t="str">
        <f aca="false">IF(OR(O1964="",G1964=""),"",O1964*IFERROR(INDEX(Listas!$B$2:$B$50,MATCH(G1964,Listas!$A$2:$A$50,0)),0))</f>
        <v/>
      </c>
      <c r="AA1964" s="32"/>
      <c r="AB1964" s="32"/>
      <c r="AC1964" s="32"/>
      <c r="AD1964" s="35" t="str">
        <f aca="false">IF(OR(LEFT(H1964,4)="Meta",LEFT(H1964,6)="Google"),IF(AG1964=3,"Lead calificado",IF(OR(AG1964=4,AG1964=5),"Tasación/visita",IF(OR(AG1964=6,AG1964=7),"Captación/oferta",IF(AG1964=8,"Cierre","")))),"")</f>
        <v/>
      </c>
      <c r="AE1964" s="32"/>
      <c r="AF1964" s="32"/>
      <c r="AG1964" s="37" t="n">
        <f aca="false">IF(R1964="",0,IFERROR(MATCH(R1964,Listas!$L$2:$L$50,0),0))</f>
        <v>0</v>
      </c>
    </row>
    <row r="1965" customFormat="false" ht="15" hidden="false" customHeight="false" outlineLevel="0" collapsed="false">
      <c r="A1965" s="30"/>
      <c r="B1965" s="31"/>
      <c r="C1965" s="32"/>
      <c r="D1965" s="32"/>
      <c r="E1965" s="33"/>
      <c r="F1965" s="32"/>
      <c r="G1965" s="32"/>
      <c r="H1965" s="32"/>
      <c r="I1965" s="32"/>
      <c r="J1965" s="32"/>
      <c r="K1965" s="32"/>
      <c r="L1965" s="32"/>
      <c r="M1965" s="30"/>
      <c r="N1965" s="32"/>
      <c r="O1965" s="34"/>
      <c r="P1965" s="32"/>
      <c r="Q1965" s="32"/>
      <c r="R1965" s="32"/>
      <c r="S1965" s="32"/>
      <c r="T1965" s="32"/>
      <c r="U1965" s="32"/>
      <c r="V1965" s="31"/>
      <c r="W1965" s="35" t="str">
        <f aca="true">IF(OR(V1965="",AG1965&gt;=8),"",IF(V1965&lt;TODAY(),"Vencida",IF(V1965=TODAY(),"Hoy","")))</f>
        <v/>
      </c>
      <c r="X1965" s="36" t="str">
        <f aca="false">IF(A1965="","",IF(COUNTIF(Seguimiento!$B$2:$B$5001,A1965)=0,"",_xlfn.MAXIFS(Seguimiento!$A$2:$A$5001,Seguimiento!$B$2:$B$5001,A1965)))</f>
        <v/>
      </c>
      <c r="Y1965" s="37" t="str">
        <f aca="true">IF(B1965="","",TODAY()-B1965)</f>
        <v/>
      </c>
      <c r="Z1965" s="38" t="str">
        <f aca="false">IF(OR(O1965="",G1965=""),"",O1965*IFERROR(INDEX(Listas!$B$2:$B$50,MATCH(G1965,Listas!$A$2:$A$50,0)),0))</f>
        <v/>
      </c>
      <c r="AA1965" s="32"/>
      <c r="AB1965" s="32"/>
      <c r="AC1965" s="32"/>
      <c r="AD1965" s="35" t="str">
        <f aca="false">IF(OR(LEFT(H1965,4)="Meta",LEFT(H1965,6)="Google"),IF(AG1965=3,"Lead calificado",IF(OR(AG1965=4,AG1965=5),"Tasación/visita",IF(OR(AG1965=6,AG1965=7),"Captación/oferta",IF(AG1965=8,"Cierre","")))),"")</f>
        <v/>
      </c>
      <c r="AE1965" s="32"/>
      <c r="AF1965" s="32"/>
      <c r="AG1965" s="37" t="n">
        <f aca="false">IF(R1965="",0,IFERROR(MATCH(R1965,Listas!$L$2:$L$50,0),0))</f>
        <v>0</v>
      </c>
    </row>
    <row r="1966" customFormat="false" ht="15" hidden="false" customHeight="false" outlineLevel="0" collapsed="false">
      <c r="A1966" s="30"/>
      <c r="B1966" s="31"/>
      <c r="C1966" s="32"/>
      <c r="D1966" s="32"/>
      <c r="E1966" s="33"/>
      <c r="F1966" s="32"/>
      <c r="G1966" s="32"/>
      <c r="H1966" s="32"/>
      <c r="I1966" s="32"/>
      <c r="J1966" s="32"/>
      <c r="K1966" s="32"/>
      <c r="L1966" s="32"/>
      <c r="M1966" s="30"/>
      <c r="N1966" s="32"/>
      <c r="O1966" s="34"/>
      <c r="P1966" s="32"/>
      <c r="Q1966" s="32"/>
      <c r="R1966" s="32"/>
      <c r="S1966" s="32"/>
      <c r="T1966" s="32"/>
      <c r="U1966" s="32"/>
      <c r="V1966" s="31"/>
      <c r="W1966" s="35" t="str">
        <f aca="true">IF(OR(V1966="",AG1966&gt;=8),"",IF(V1966&lt;TODAY(),"Vencida",IF(V1966=TODAY(),"Hoy","")))</f>
        <v/>
      </c>
      <c r="X1966" s="36" t="str">
        <f aca="false">IF(A1966="","",IF(COUNTIF(Seguimiento!$B$2:$B$5001,A1966)=0,"",_xlfn.MAXIFS(Seguimiento!$A$2:$A$5001,Seguimiento!$B$2:$B$5001,A1966)))</f>
        <v/>
      </c>
      <c r="Y1966" s="37" t="str">
        <f aca="true">IF(B1966="","",TODAY()-B1966)</f>
        <v/>
      </c>
      <c r="Z1966" s="38" t="str">
        <f aca="false">IF(OR(O1966="",G1966=""),"",O1966*IFERROR(INDEX(Listas!$B$2:$B$50,MATCH(G1966,Listas!$A$2:$A$50,0)),0))</f>
        <v/>
      </c>
      <c r="AA1966" s="32"/>
      <c r="AB1966" s="32"/>
      <c r="AC1966" s="32"/>
      <c r="AD1966" s="35" t="str">
        <f aca="false">IF(OR(LEFT(H1966,4)="Meta",LEFT(H1966,6)="Google"),IF(AG1966=3,"Lead calificado",IF(OR(AG1966=4,AG1966=5),"Tasación/visita",IF(OR(AG1966=6,AG1966=7),"Captación/oferta",IF(AG1966=8,"Cierre","")))),"")</f>
        <v/>
      </c>
      <c r="AE1966" s="32"/>
      <c r="AF1966" s="32"/>
      <c r="AG1966" s="37" t="n">
        <f aca="false">IF(R1966="",0,IFERROR(MATCH(R1966,Listas!$L$2:$L$50,0),0))</f>
        <v>0</v>
      </c>
    </row>
    <row r="1967" customFormat="false" ht="15" hidden="false" customHeight="false" outlineLevel="0" collapsed="false">
      <c r="A1967" s="30"/>
      <c r="B1967" s="31"/>
      <c r="C1967" s="32"/>
      <c r="D1967" s="32"/>
      <c r="E1967" s="33"/>
      <c r="F1967" s="32"/>
      <c r="G1967" s="32"/>
      <c r="H1967" s="32"/>
      <c r="I1967" s="32"/>
      <c r="J1967" s="32"/>
      <c r="K1967" s="32"/>
      <c r="L1967" s="32"/>
      <c r="M1967" s="30"/>
      <c r="N1967" s="32"/>
      <c r="O1967" s="34"/>
      <c r="P1967" s="32"/>
      <c r="Q1967" s="32"/>
      <c r="R1967" s="32"/>
      <c r="S1967" s="32"/>
      <c r="T1967" s="32"/>
      <c r="U1967" s="32"/>
      <c r="V1967" s="31"/>
      <c r="W1967" s="35" t="str">
        <f aca="true">IF(OR(V1967="",AG1967&gt;=8),"",IF(V1967&lt;TODAY(),"Vencida",IF(V1967=TODAY(),"Hoy","")))</f>
        <v/>
      </c>
      <c r="X1967" s="36" t="str">
        <f aca="false">IF(A1967="","",IF(COUNTIF(Seguimiento!$B$2:$B$5001,A1967)=0,"",_xlfn.MAXIFS(Seguimiento!$A$2:$A$5001,Seguimiento!$B$2:$B$5001,A1967)))</f>
        <v/>
      </c>
      <c r="Y1967" s="37" t="str">
        <f aca="true">IF(B1967="","",TODAY()-B1967)</f>
        <v/>
      </c>
      <c r="Z1967" s="38" t="str">
        <f aca="false">IF(OR(O1967="",G1967=""),"",O1967*IFERROR(INDEX(Listas!$B$2:$B$50,MATCH(G1967,Listas!$A$2:$A$50,0)),0))</f>
        <v/>
      </c>
      <c r="AA1967" s="32"/>
      <c r="AB1967" s="32"/>
      <c r="AC1967" s="32"/>
      <c r="AD1967" s="35" t="str">
        <f aca="false">IF(OR(LEFT(H1967,4)="Meta",LEFT(H1967,6)="Google"),IF(AG1967=3,"Lead calificado",IF(OR(AG1967=4,AG1967=5),"Tasación/visita",IF(OR(AG1967=6,AG1967=7),"Captación/oferta",IF(AG1967=8,"Cierre","")))),"")</f>
        <v/>
      </c>
      <c r="AE1967" s="32"/>
      <c r="AF1967" s="32"/>
      <c r="AG1967" s="37" t="n">
        <f aca="false">IF(R1967="",0,IFERROR(MATCH(R1967,Listas!$L$2:$L$50,0),0))</f>
        <v>0</v>
      </c>
    </row>
    <row r="1968" customFormat="false" ht="15" hidden="false" customHeight="false" outlineLevel="0" collapsed="false">
      <c r="A1968" s="30"/>
      <c r="B1968" s="31"/>
      <c r="C1968" s="32"/>
      <c r="D1968" s="32"/>
      <c r="E1968" s="33"/>
      <c r="F1968" s="32"/>
      <c r="G1968" s="32"/>
      <c r="H1968" s="32"/>
      <c r="I1968" s="32"/>
      <c r="J1968" s="32"/>
      <c r="K1968" s="32"/>
      <c r="L1968" s="32"/>
      <c r="M1968" s="30"/>
      <c r="N1968" s="32"/>
      <c r="O1968" s="34"/>
      <c r="P1968" s="32"/>
      <c r="Q1968" s="32"/>
      <c r="R1968" s="32"/>
      <c r="S1968" s="32"/>
      <c r="T1968" s="32"/>
      <c r="U1968" s="32"/>
      <c r="V1968" s="31"/>
      <c r="W1968" s="35" t="str">
        <f aca="true">IF(OR(V1968="",AG1968&gt;=8),"",IF(V1968&lt;TODAY(),"Vencida",IF(V1968=TODAY(),"Hoy","")))</f>
        <v/>
      </c>
      <c r="X1968" s="36" t="str">
        <f aca="false">IF(A1968="","",IF(COUNTIF(Seguimiento!$B$2:$B$5001,A1968)=0,"",_xlfn.MAXIFS(Seguimiento!$A$2:$A$5001,Seguimiento!$B$2:$B$5001,A1968)))</f>
        <v/>
      </c>
      <c r="Y1968" s="37" t="str">
        <f aca="true">IF(B1968="","",TODAY()-B1968)</f>
        <v/>
      </c>
      <c r="Z1968" s="38" t="str">
        <f aca="false">IF(OR(O1968="",G1968=""),"",O1968*IFERROR(INDEX(Listas!$B$2:$B$50,MATCH(G1968,Listas!$A$2:$A$50,0)),0))</f>
        <v/>
      </c>
      <c r="AA1968" s="32"/>
      <c r="AB1968" s="32"/>
      <c r="AC1968" s="32"/>
      <c r="AD1968" s="35" t="str">
        <f aca="false">IF(OR(LEFT(H1968,4)="Meta",LEFT(H1968,6)="Google"),IF(AG1968=3,"Lead calificado",IF(OR(AG1968=4,AG1968=5),"Tasación/visita",IF(OR(AG1968=6,AG1968=7),"Captación/oferta",IF(AG1968=8,"Cierre","")))),"")</f>
        <v/>
      </c>
      <c r="AE1968" s="32"/>
      <c r="AF1968" s="32"/>
      <c r="AG1968" s="37" t="n">
        <f aca="false">IF(R1968="",0,IFERROR(MATCH(R1968,Listas!$L$2:$L$50,0),0))</f>
        <v>0</v>
      </c>
    </row>
    <row r="1969" customFormat="false" ht="15" hidden="false" customHeight="false" outlineLevel="0" collapsed="false">
      <c r="A1969" s="30"/>
      <c r="B1969" s="31"/>
      <c r="C1969" s="32"/>
      <c r="D1969" s="32"/>
      <c r="E1969" s="33"/>
      <c r="F1969" s="32"/>
      <c r="G1969" s="32"/>
      <c r="H1969" s="32"/>
      <c r="I1969" s="32"/>
      <c r="J1969" s="32"/>
      <c r="K1969" s="32"/>
      <c r="L1969" s="32"/>
      <c r="M1969" s="30"/>
      <c r="N1969" s="32"/>
      <c r="O1969" s="34"/>
      <c r="P1969" s="32"/>
      <c r="Q1969" s="32"/>
      <c r="R1969" s="32"/>
      <c r="S1969" s="32"/>
      <c r="T1969" s="32"/>
      <c r="U1969" s="32"/>
      <c r="V1969" s="31"/>
      <c r="W1969" s="35" t="str">
        <f aca="true">IF(OR(V1969="",AG1969&gt;=8),"",IF(V1969&lt;TODAY(),"Vencida",IF(V1969=TODAY(),"Hoy","")))</f>
        <v/>
      </c>
      <c r="X1969" s="36" t="str">
        <f aca="false">IF(A1969="","",IF(COUNTIF(Seguimiento!$B$2:$B$5001,A1969)=0,"",_xlfn.MAXIFS(Seguimiento!$A$2:$A$5001,Seguimiento!$B$2:$B$5001,A1969)))</f>
        <v/>
      </c>
      <c r="Y1969" s="37" t="str">
        <f aca="true">IF(B1969="","",TODAY()-B1969)</f>
        <v/>
      </c>
      <c r="Z1969" s="38" t="str">
        <f aca="false">IF(OR(O1969="",G1969=""),"",O1969*IFERROR(INDEX(Listas!$B$2:$B$50,MATCH(G1969,Listas!$A$2:$A$50,0)),0))</f>
        <v/>
      </c>
      <c r="AA1969" s="32"/>
      <c r="AB1969" s="32"/>
      <c r="AC1969" s="32"/>
      <c r="AD1969" s="35" t="str">
        <f aca="false">IF(OR(LEFT(H1969,4)="Meta",LEFT(H1969,6)="Google"),IF(AG1969=3,"Lead calificado",IF(OR(AG1969=4,AG1969=5),"Tasación/visita",IF(OR(AG1969=6,AG1969=7),"Captación/oferta",IF(AG1969=8,"Cierre","")))),"")</f>
        <v/>
      </c>
      <c r="AE1969" s="32"/>
      <c r="AF1969" s="32"/>
      <c r="AG1969" s="37" t="n">
        <f aca="false">IF(R1969="",0,IFERROR(MATCH(R1969,Listas!$L$2:$L$50,0),0))</f>
        <v>0</v>
      </c>
    </row>
    <row r="1970" customFormat="false" ht="15" hidden="false" customHeight="false" outlineLevel="0" collapsed="false">
      <c r="A1970" s="30"/>
      <c r="B1970" s="31"/>
      <c r="C1970" s="32"/>
      <c r="D1970" s="32"/>
      <c r="E1970" s="33"/>
      <c r="F1970" s="32"/>
      <c r="G1970" s="32"/>
      <c r="H1970" s="32"/>
      <c r="I1970" s="32"/>
      <c r="J1970" s="32"/>
      <c r="K1970" s="32"/>
      <c r="L1970" s="32"/>
      <c r="M1970" s="30"/>
      <c r="N1970" s="32"/>
      <c r="O1970" s="34"/>
      <c r="P1970" s="32"/>
      <c r="Q1970" s="32"/>
      <c r="R1970" s="32"/>
      <c r="S1970" s="32"/>
      <c r="T1970" s="32"/>
      <c r="U1970" s="32"/>
      <c r="V1970" s="31"/>
      <c r="W1970" s="35" t="str">
        <f aca="true">IF(OR(V1970="",AG1970&gt;=8),"",IF(V1970&lt;TODAY(),"Vencida",IF(V1970=TODAY(),"Hoy","")))</f>
        <v/>
      </c>
      <c r="X1970" s="36" t="str">
        <f aca="false">IF(A1970="","",IF(COUNTIF(Seguimiento!$B$2:$B$5001,A1970)=0,"",_xlfn.MAXIFS(Seguimiento!$A$2:$A$5001,Seguimiento!$B$2:$B$5001,A1970)))</f>
        <v/>
      </c>
      <c r="Y1970" s="37" t="str">
        <f aca="true">IF(B1970="","",TODAY()-B1970)</f>
        <v/>
      </c>
      <c r="Z1970" s="38" t="str">
        <f aca="false">IF(OR(O1970="",G1970=""),"",O1970*IFERROR(INDEX(Listas!$B$2:$B$50,MATCH(G1970,Listas!$A$2:$A$50,0)),0))</f>
        <v/>
      </c>
      <c r="AA1970" s="32"/>
      <c r="AB1970" s="32"/>
      <c r="AC1970" s="32"/>
      <c r="AD1970" s="35" t="str">
        <f aca="false">IF(OR(LEFT(H1970,4)="Meta",LEFT(H1970,6)="Google"),IF(AG1970=3,"Lead calificado",IF(OR(AG1970=4,AG1970=5),"Tasación/visita",IF(OR(AG1970=6,AG1970=7),"Captación/oferta",IF(AG1970=8,"Cierre","")))),"")</f>
        <v/>
      </c>
      <c r="AE1970" s="32"/>
      <c r="AF1970" s="32"/>
      <c r="AG1970" s="37" t="n">
        <f aca="false">IF(R1970="",0,IFERROR(MATCH(R1970,Listas!$L$2:$L$50,0),0))</f>
        <v>0</v>
      </c>
    </row>
    <row r="1971" customFormat="false" ht="15" hidden="false" customHeight="false" outlineLevel="0" collapsed="false">
      <c r="A1971" s="30"/>
      <c r="B1971" s="31"/>
      <c r="C1971" s="32"/>
      <c r="D1971" s="32"/>
      <c r="E1971" s="33"/>
      <c r="F1971" s="32"/>
      <c r="G1971" s="32"/>
      <c r="H1971" s="32"/>
      <c r="I1971" s="32"/>
      <c r="J1971" s="32"/>
      <c r="K1971" s="32"/>
      <c r="L1971" s="32"/>
      <c r="M1971" s="30"/>
      <c r="N1971" s="32"/>
      <c r="O1971" s="34"/>
      <c r="P1971" s="32"/>
      <c r="Q1971" s="32"/>
      <c r="R1971" s="32"/>
      <c r="S1971" s="32"/>
      <c r="T1971" s="32"/>
      <c r="U1971" s="32"/>
      <c r="V1971" s="31"/>
      <c r="W1971" s="35" t="str">
        <f aca="true">IF(OR(V1971="",AG1971&gt;=8),"",IF(V1971&lt;TODAY(),"Vencida",IF(V1971=TODAY(),"Hoy","")))</f>
        <v/>
      </c>
      <c r="X1971" s="36" t="str">
        <f aca="false">IF(A1971="","",IF(COUNTIF(Seguimiento!$B$2:$B$5001,A1971)=0,"",_xlfn.MAXIFS(Seguimiento!$A$2:$A$5001,Seguimiento!$B$2:$B$5001,A1971)))</f>
        <v/>
      </c>
      <c r="Y1971" s="37" t="str">
        <f aca="true">IF(B1971="","",TODAY()-B1971)</f>
        <v/>
      </c>
      <c r="Z1971" s="38" t="str">
        <f aca="false">IF(OR(O1971="",G1971=""),"",O1971*IFERROR(INDEX(Listas!$B$2:$B$50,MATCH(G1971,Listas!$A$2:$A$50,0)),0))</f>
        <v/>
      </c>
      <c r="AA1971" s="32"/>
      <c r="AB1971" s="32"/>
      <c r="AC1971" s="32"/>
      <c r="AD1971" s="35" t="str">
        <f aca="false">IF(OR(LEFT(H1971,4)="Meta",LEFT(H1971,6)="Google"),IF(AG1971=3,"Lead calificado",IF(OR(AG1971=4,AG1971=5),"Tasación/visita",IF(OR(AG1971=6,AG1971=7),"Captación/oferta",IF(AG1971=8,"Cierre","")))),"")</f>
        <v/>
      </c>
      <c r="AE1971" s="32"/>
      <c r="AF1971" s="32"/>
      <c r="AG1971" s="37" t="n">
        <f aca="false">IF(R1971="",0,IFERROR(MATCH(R1971,Listas!$L$2:$L$50,0),0))</f>
        <v>0</v>
      </c>
    </row>
    <row r="1972" customFormat="false" ht="15" hidden="false" customHeight="false" outlineLevel="0" collapsed="false">
      <c r="A1972" s="30"/>
      <c r="B1972" s="31"/>
      <c r="C1972" s="32"/>
      <c r="D1972" s="32"/>
      <c r="E1972" s="33"/>
      <c r="F1972" s="32"/>
      <c r="G1972" s="32"/>
      <c r="H1972" s="32"/>
      <c r="I1972" s="32"/>
      <c r="J1972" s="32"/>
      <c r="K1972" s="32"/>
      <c r="L1972" s="32"/>
      <c r="M1972" s="30"/>
      <c r="N1972" s="32"/>
      <c r="O1972" s="34"/>
      <c r="P1972" s="32"/>
      <c r="Q1972" s="32"/>
      <c r="R1972" s="32"/>
      <c r="S1972" s="32"/>
      <c r="T1972" s="32"/>
      <c r="U1972" s="32"/>
      <c r="V1972" s="31"/>
      <c r="W1972" s="35" t="str">
        <f aca="true">IF(OR(V1972="",AG1972&gt;=8),"",IF(V1972&lt;TODAY(),"Vencida",IF(V1972=TODAY(),"Hoy","")))</f>
        <v/>
      </c>
      <c r="X1972" s="36" t="str">
        <f aca="false">IF(A1972="","",IF(COUNTIF(Seguimiento!$B$2:$B$5001,A1972)=0,"",_xlfn.MAXIFS(Seguimiento!$A$2:$A$5001,Seguimiento!$B$2:$B$5001,A1972)))</f>
        <v/>
      </c>
      <c r="Y1972" s="37" t="str">
        <f aca="true">IF(B1972="","",TODAY()-B1972)</f>
        <v/>
      </c>
      <c r="Z1972" s="38" t="str">
        <f aca="false">IF(OR(O1972="",G1972=""),"",O1972*IFERROR(INDEX(Listas!$B$2:$B$50,MATCH(G1972,Listas!$A$2:$A$50,0)),0))</f>
        <v/>
      </c>
      <c r="AA1972" s="32"/>
      <c r="AB1972" s="32"/>
      <c r="AC1972" s="32"/>
      <c r="AD1972" s="35" t="str">
        <f aca="false">IF(OR(LEFT(H1972,4)="Meta",LEFT(H1972,6)="Google"),IF(AG1972=3,"Lead calificado",IF(OR(AG1972=4,AG1972=5),"Tasación/visita",IF(OR(AG1972=6,AG1972=7),"Captación/oferta",IF(AG1972=8,"Cierre","")))),"")</f>
        <v/>
      </c>
      <c r="AE1972" s="32"/>
      <c r="AF1972" s="32"/>
      <c r="AG1972" s="37" t="n">
        <f aca="false">IF(R1972="",0,IFERROR(MATCH(R1972,Listas!$L$2:$L$50,0),0))</f>
        <v>0</v>
      </c>
    </row>
    <row r="1973" customFormat="false" ht="15" hidden="false" customHeight="false" outlineLevel="0" collapsed="false">
      <c r="A1973" s="30"/>
      <c r="B1973" s="31"/>
      <c r="C1973" s="32"/>
      <c r="D1973" s="32"/>
      <c r="E1973" s="33"/>
      <c r="F1973" s="32"/>
      <c r="G1973" s="32"/>
      <c r="H1973" s="32"/>
      <c r="I1973" s="32"/>
      <c r="J1973" s="32"/>
      <c r="K1973" s="32"/>
      <c r="L1973" s="32"/>
      <c r="M1973" s="30"/>
      <c r="N1973" s="32"/>
      <c r="O1973" s="34"/>
      <c r="P1973" s="32"/>
      <c r="Q1973" s="32"/>
      <c r="R1973" s="32"/>
      <c r="S1973" s="32"/>
      <c r="T1973" s="32"/>
      <c r="U1973" s="32"/>
      <c r="V1973" s="31"/>
      <c r="W1973" s="35" t="str">
        <f aca="true">IF(OR(V1973="",AG1973&gt;=8),"",IF(V1973&lt;TODAY(),"Vencida",IF(V1973=TODAY(),"Hoy","")))</f>
        <v/>
      </c>
      <c r="X1973" s="36" t="str">
        <f aca="false">IF(A1973="","",IF(COUNTIF(Seguimiento!$B$2:$B$5001,A1973)=0,"",_xlfn.MAXIFS(Seguimiento!$A$2:$A$5001,Seguimiento!$B$2:$B$5001,A1973)))</f>
        <v/>
      </c>
      <c r="Y1973" s="37" t="str">
        <f aca="true">IF(B1973="","",TODAY()-B1973)</f>
        <v/>
      </c>
      <c r="Z1973" s="38" t="str">
        <f aca="false">IF(OR(O1973="",G1973=""),"",O1973*IFERROR(INDEX(Listas!$B$2:$B$50,MATCH(G1973,Listas!$A$2:$A$50,0)),0))</f>
        <v/>
      </c>
      <c r="AA1973" s="32"/>
      <c r="AB1973" s="32"/>
      <c r="AC1973" s="32"/>
      <c r="AD1973" s="35" t="str">
        <f aca="false">IF(OR(LEFT(H1973,4)="Meta",LEFT(H1973,6)="Google"),IF(AG1973=3,"Lead calificado",IF(OR(AG1973=4,AG1973=5),"Tasación/visita",IF(OR(AG1973=6,AG1973=7),"Captación/oferta",IF(AG1973=8,"Cierre","")))),"")</f>
        <v/>
      </c>
      <c r="AE1973" s="32"/>
      <c r="AF1973" s="32"/>
      <c r="AG1973" s="37" t="n">
        <f aca="false">IF(R1973="",0,IFERROR(MATCH(R1973,Listas!$L$2:$L$50,0),0))</f>
        <v>0</v>
      </c>
    </row>
    <row r="1974" customFormat="false" ht="15" hidden="false" customHeight="false" outlineLevel="0" collapsed="false">
      <c r="A1974" s="30"/>
      <c r="B1974" s="31"/>
      <c r="C1974" s="32"/>
      <c r="D1974" s="32"/>
      <c r="E1974" s="33"/>
      <c r="F1974" s="32"/>
      <c r="G1974" s="32"/>
      <c r="H1974" s="32"/>
      <c r="I1974" s="32"/>
      <c r="J1974" s="32"/>
      <c r="K1974" s="32"/>
      <c r="L1974" s="32"/>
      <c r="M1974" s="30"/>
      <c r="N1974" s="32"/>
      <c r="O1974" s="34"/>
      <c r="P1974" s="32"/>
      <c r="Q1974" s="32"/>
      <c r="R1974" s="32"/>
      <c r="S1974" s="32"/>
      <c r="T1974" s="32"/>
      <c r="U1974" s="32"/>
      <c r="V1974" s="31"/>
      <c r="W1974" s="35" t="str">
        <f aca="true">IF(OR(V1974="",AG1974&gt;=8),"",IF(V1974&lt;TODAY(),"Vencida",IF(V1974=TODAY(),"Hoy","")))</f>
        <v/>
      </c>
      <c r="X1974" s="36" t="str">
        <f aca="false">IF(A1974="","",IF(COUNTIF(Seguimiento!$B$2:$B$5001,A1974)=0,"",_xlfn.MAXIFS(Seguimiento!$A$2:$A$5001,Seguimiento!$B$2:$B$5001,A1974)))</f>
        <v/>
      </c>
      <c r="Y1974" s="37" t="str">
        <f aca="true">IF(B1974="","",TODAY()-B1974)</f>
        <v/>
      </c>
      <c r="Z1974" s="38" t="str">
        <f aca="false">IF(OR(O1974="",G1974=""),"",O1974*IFERROR(INDEX(Listas!$B$2:$B$50,MATCH(G1974,Listas!$A$2:$A$50,0)),0))</f>
        <v/>
      </c>
      <c r="AA1974" s="32"/>
      <c r="AB1974" s="32"/>
      <c r="AC1974" s="32"/>
      <c r="AD1974" s="35" t="str">
        <f aca="false">IF(OR(LEFT(H1974,4)="Meta",LEFT(H1974,6)="Google"),IF(AG1974=3,"Lead calificado",IF(OR(AG1974=4,AG1974=5),"Tasación/visita",IF(OR(AG1974=6,AG1974=7),"Captación/oferta",IF(AG1974=8,"Cierre","")))),"")</f>
        <v/>
      </c>
      <c r="AE1974" s="32"/>
      <c r="AF1974" s="32"/>
      <c r="AG1974" s="37" t="n">
        <f aca="false">IF(R1974="",0,IFERROR(MATCH(R1974,Listas!$L$2:$L$50,0),0))</f>
        <v>0</v>
      </c>
    </row>
    <row r="1975" customFormat="false" ht="15" hidden="false" customHeight="false" outlineLevel="0" collapsed="false">
      <c r="A1975" s="30"/>
      <c r="B1975" s="31"/>
      <c r="C1975" s="32"/>
      <c r="D1975" s="32"/>
      <c r="E1975" s="33"/>
      <c r="F1975" s="32"/>
      <c r="G1975" s="32"/>
      <c r="H1975" s="32"/>
      <c r="I1975" s="32"/>
      <c r="J1975" s="32"/>
      <c r="K1975" s="32"/>
      <c r="L1975" s="32"/>
      <c r="M1975" s="30"/>
      <c r="N1975" s="32"/>
      <c r="O1975" s="34"/>
      <c r="P1975" s="32"/>
      <c r="Q1975" s="32"/>
      <c r="R1975" s="32"/>
      <c r="S1975" s="32"/>
      <c r="T1975" s="32"/>
      <c r="U1975" s="32"/>
      <c r="V1975" s="31"/>
      <c r="W1975" s="35" t="str">
        <f aca="true">IF(OR(V1975="",AG1975&gt;=8),"",IF(V1975&lt;TODAY(),"Vencida",IF(V1975=TODAY(),"Hoy","")))</f>
        <v/>
      </c>
      <c r="X1975" s="36" t="str">
        <f aca="false">IF(A1975="","",IF(COUNTIF(Seguimiento!$B$2:$B$5001,A1975)=0,"",_xlfn.MAXIFS(Seguimiento!$A$2:$A$5001,Seguimiento!$B$2:$B$5001,A1975)))</f>
        <v/>
      </c>
      <c r="Y1975" s="37" t="str">
        <f aca="true">IF(B1975="","",TODAY()-B1975)</f>
        <v/>
      </c>
      <c r="Z1975" s="38" t="str">
        <f aca="false">IF(OR(O1975="",G1975=""),"",O1975*IFERROR(INDEX(Listas!$B$2:$B$50,MATCH(G1975,Listas!$A$2:$A$50,0)),0))</f>
        <v/>
      </c>
      <c r="AA1975" s="32"/>
      <c r="AB1975" s="32"/>
      <c r="AC1975" s="32"/>
      <c r="AD1975" s="35" t="str">
        <f aca="false">IF(OR(LEFT(H1975,4)="Meta",LEFT(H1975,6)="Google"),IF(AG1975=3,"Lead calificado",IF(OR(AG1975=4,AG1975=5),"Tasación/visita",IF(OR(AG1975=6,AG1975=7),"Captación/oferta",IF(AG1975=8,"Cierre","")))),"")</f>
        <v/>
      </c>
      <c r="AE1975" s="32"/>
      <c r="AF1975" s="32"/>
      <c r="AG1975" s="37" t="n">
        <f aca="false">IF(R1975="",0,IFERROR(MATCH(R1975,Listas!$L$2:$L$50,0),0))</f>
        <v>0</v>
      </c>
    </row>
    <row r="1976" customFormat="false" ht="15" hidden="false" customHeight="false" outlineLevel="0" collapsed="false">
      <c r="A1976" s="30"/>
      <c r="B1976" s="31"/>
      <c r="C1976" s="32"/>
      <c r="D1976" s="32"/>
      <c r="E1976" s="33"/>
      <c r="F1976" s="32"/>
      <c r="G1976" s="32"/>
      <c r="H1976" s="32"/>
      <c r="I1976" s="32"/>
      <c r="J1976" s="32"/>
      <c r="K1976" s="32"/>
      <c r="L1976" s="32"/>
      <c r="M1976" s="30"/>
      <c r="N1976" s="32"/>
      <c r="O1976" s="34"/>
      <c r="P1976" s="32"/>
      <c r="Q1976" s="32"/>
      <c r="R1976" s="32"/>
      <c r="S1976" s="32"/>
      <c r="T1976" s="32"/>
      <c r="U1976" s="32"/>
      <c r="V1976" s="31"/>
      <c r="W1976" s="35" t="str">
        <f aca="true">IF(OR(V1976="",AG1976&gt;=8),"",IF(V1976&lt;TODAY(),"Vencida",IF(V1976=TODAY(),"Hoy","")))</f>
        <v/>
      </c>
      <c r="X1976" s="36" t="str">
        <f aca="false">IF(A1976="","",IF(COUNTIF(Seguimiento!$B$2:$B$5001,A1976)=0,"",_xlfn.MAXIFS(Seguimiento!$A$2:$A$5001,Seguimiento!$B$2:$B$5001,A1976)))</f>
        <v/>
      </c>
      <c r="Y1976" s="37" t="str">
        <f aca="true">IF(B1976="","",TODAY()-B1976)</f>
        <v/>
      </c>
      <c r="Z1976" s="38" t="str">
        <f aca="false">IF(OR(O1976="",G1976=""),"",O1976*IFERROR(INDEX(Listas!$B$2:$B$50,MATCH(G1976,Listas!$A$2:$A$50,0)),0))</f>
        <v/>
      </c>
      <c r="AA1976" s="32"/>
      <c r="AB1976" s="32"/>
      <c r="AC1976" s="32"/>
      <c r="AD1976" s="35" t="str">
        <f aca="false">IF(OR(LEFT(H1976,4)="Meta",LEFT(H1976,6)="Google"),IF(AG1976=3,"Lead calificado",IF(OR(AG1976=4,AG1976=5),"Tasación/visita",IF(OR(AG1976=6,AG1976=7),"Captación/oferta",IF(AG1976=8,"Cierre","")))),"")</f>
        <v/>
      </c>
      <c r="AE1976" s="32"/>
      <c r="AF1976" s="32"/>
      <c r="AG1976" s="37" t="n">
        <f aca="false">IF(R1976="",0,IFERROR(MATCH(R1976,Listas!$L$2:$L$50,0),0))</f>
        <v>0</v>
      </c>
    </row>
    <row r="1977" customFormat="false" ht="15" hidden="false" customHeight="false" outlineLevel="0" collapsed="false">
      <c r="A1977" s="30"/>
      <c r="B1977" s="31"/>
      <c r="C1977" s="32"/>
      <c r="D1977" s="32"/>
      <c r="E1977" s="33"/>
      <c r="F1977" s="32"/>
      <c r="G1977" s="32"/>
      <c r="H1977" s="32"/>
      <c r="I1977" s="32"/>
      <c r="J1977" s="32"/>
      <c r="K1977" s="32"/>
      <c r="L1977" s="32"/>
      <c r="M1977" s="30"/>
      <c r="N1977" s="32"/>
      <c r="O1977" s="34"/>
      <c r="P1977" s="32"/>
      <c r="Q1977" s="32"/>
      <c r="R1977" s="32"/>
      <c r="S1977" s="32"/>
      <c r="T1977" s="32"/>
      <c r="U1977" s="32"/>
      <c r="V1977" s="31"/>
      <c r="W1977" s="35" t="str">
        <f aca="true">IF(OR(V1977="",AG1977&gt;=8),"",IF(V1977&lt;TODAY(),"Vencida",IF(V1977=TODAY(),"Hoy","")))</f>
        <v/>
      </c>
      <c r="X1977" s="36" t="str">
        <f aca="false">IF(A1977="","",IF(COUNTIF(Seguimiento!$B$2:$B$5001,A1977)=0,"",_xlfn.MAXIFS(Seguimiento!$A$2:$A$5001,Seguimiento!$B$2:$B$5001,A1977)))</f>
        <v/>
      </c>
      <c r="Y1977" s="37" t="str">
        <f aca="true">IF(B1977="","",TODAY()-B1977)</f>
        <v/>
      </c>
      <c r="Z1977" s="38" t="str">
        <f aca="false">IF(OR(O1977="",G1977=""),"",O1977*IFERROR(INDEX(Listas!$B$2:$B$50,MATCH(G1977,Listas!$A$2:$A$50,0)),0))</f>
        <v/>
      </c>
      <c r="AA1977" s="32"/>
      <c r="AB1977" s="32"/>
      <c r="AC1977" s="32"/>
      <c r="AD1977" s="35" t="str">
        <f aca="false">IF(OR(LEFT(H1977,4)="Meta",LEFT(H1977,6)="Google"),IF(AG1977=3,"Lead calificado",IF(OR(AG1977=4,AG1977=5),"Tasación/visita",IF(OR(AG1977=6,AG1977=7),"Captación/oferta",IF(AG1977=8,"Cierre","")))),"")</f>
        <v/>
      </c>
      <c r="AE1977" s="32"/>
      <c r="AF1977" s="32"/>
      <c r="AG1977" s="37" t="n">
        <f aca="false">IF(R1977="",0,IFERROR(MATCH(R1977,Listas!$L$2:$L$50,0),0))</f>
        <v>0</v>
      </c>
    </row>
    <row r="1978" customFormat="false" ht="15" hidden="false" customHeight="false" outlineLevel="0" collapsed="false">
      <c r="A1978" s="30"/>
      <c r="B1978" s="31"/>
      <c r="C1978" s="32"/>
      <c r="D1978" s="32"/>
      <c r="E1978" s="33"/>
      <c r="F1978" s="32"/>
      <c r="G1978" s="32"/>
      <c r="H1978" s="32"/>
      <c r="I1978" s="32"/>
      <c r="J1978" s="32"/>
      <c r="K1978" s="32"/>
      <c r="L1978" s="32"/>
      <c r="M1978" s="30"/>
      <c r="N1978" s="32"/>
      <c r="O1978" s="34"/>
      <c r="P1978" s="32"/>
      <c r="Q1978" s="32"/>
      <c r="R1978" s="32"/>
      <c r="S1978" s="32"/>
      <c r="T1978" s="32"/>
      <c r="U1978" s="32"/>
      <c r="V1978" s="31"/>
      <c r="W1978" s="35" t="str">
        <f aca="true">IF(OR(V1978="",AG1978&gt;=8),"",IF(V1978&lt;TODAY(),"Vencida",IF(V1978=TODAY(),"Hoy","")))</f>
        <v/>
      </c>
      <c r="X1978" s="36" t="str">
        <f aca="false">IF(A1978="","",IF(COUNTIF(Seguimiento!$B$2:$B$5001,A1978)=0,"",_xlfn.MAXIFS(Seguimiento!$A$2:$A$5001,Seguimiento!$B$2:$B$5001,A1978)))</f>
        <v/>
      </c>
      <c r="Y1978" s="37" t="str">
        <f aca="true">IF(B1978="","",TODAY()-B1978)</f>
        <v/>
      </c>
      <c r="Z1978" s="38" t="str">
        <f aca="false">IF(OR(O1978="",G1978=""),"",O1978*IFERROR(INDEX(Listas!$B$2:$B$50,MATCH(G1978,Listas!$A$2:$A$50,0)),0))</f>
        <v/>
      </c>
      <c r="AA1978" s="32"/>
      <c r="AB1978" s="32"/>
      <c r="AC1978" s="32"/>
      <c r="AD1978" s="35" t="str">
        <f aca="false">IF(OR(LEFT(H1978,4)="Meta",LEFT(H1978,6)="Google"),IF(AG1978=3,"Lead calificado",IF(OR(AG1978=4,AG1978=5),"Tasación/visita",IF(OR(AG1978=6,AG1978=7),"Captación/oferta",IF(AG1978=8,"Cierre","")))),"")</f>
        <v/>
      </c>
      <c r="AE1978" s="32"/>
      <c r="AF1978" s="32"/>
      <c r="AG1978" s="37" t="n">
        <f aca="false">IF(R1978="",0,IFERROR(MATCH(R1978,Listas!$L$2:$L$50,0),0))</f>
        <v>0</v>
      </c>
    </row>
    <row r="1979" customFormat="false" ht="15" hidden="false" customHeight="false" outlineLevel="0" collapsed="false">
      <c r="A1979" s="30"/>
      <c r="B1979" s="31"/>
      <c r="C1979" s="32"/>
      <c r="D1979" s="32"/>
      <c r="E1979" s="33"/>
      <c r="F1979" s="32"/>
      <c r="G1979" s="32"/>
      <c r="H1979" s="32"/>
      <c r="I1979" s="32"/>
      <c r="J1979" s="32"/>
      <c r="K1979" s="32"/>
      <c r="L1979" s="32"/>
      <c r="M1979" s="30"/>
      <c r="N1979" s="32"/>
      <c r="O1979" s="34"/>
      <c r="P1979" s="32"/>
      <c r="Q1979" s="32"/>
      <c r="R1979" s="32"/>
      <c r="S1979" s="32"/>
      <c r="T1979" s="32"/>
      <c r="U1979" s="32"/>
      <c r="V1979" s="31"/>
      <c r="W1979" s="35" t="str">
        <f aca="true">IF(OR(V1979="",AG1979&gt;=8),"",IF(V1979&lt;TODAY(),"Vencida",IF(V1979=TODAY(),"Hoy","")))</f>
        <v/>
      </c>
      <c r="X1979" s="36" t="str">
        <f aca="false">IF(A1979="","",IF(COUNTIF(Seguimiento!$B$2:$B$5001,A1979)=0,"",_xlfn.MAXIFS(Seguimiento!$A$2:$A$5001,Seguimiento!$B$2:$B$5001,A1979)))</f>
        <v/>
      </c>
      <c r="Y1979" s="37" t="str">
        <f aca="true">IF(B1979="","",TODAY()-B1979)</f>
        <v/>
      </c>
      <c r="Z1979" s="38" t="str">
        <f aca="false">IF(OR(O1979="",G1979=""),"",O1979*IFERROR(INDEX(Listas!$B$2:$B$50,MATCH(G1979,Listas!$A$2:$A$50,0)),0))</f>
        <v/>
      </c>
      <c r="AA1979" s="32"/>
      <c r="AB1979" s="32"/>
      <c r="AC1979" s="32"/>
      <c r="AD1979" s="35" t="str">
        <f aca="false">IF(OR(LEFT(H1979,4)="Meta",LEFT(H1979,6)="Google"),IF(AG1979=3,"Lead calificado",IF(OR(AG1979=4,AG1979=5),"Tasación/visita",IF(OR(AG1979=6,AG1979=7),"Captación/oferta",IF(AG1979=8,"Cierre","")))),"")</f>
        <v/>
      </c>
      <c r="AE1979" s="32"/>
      <c r="AF1979" s="32"/>
      <c r="AG1979" s="37" t="n">
        <f aca="false">IF(R1979="",0,IFERROR(MATCH(R1979,Listas!$L$2:$L$50,0),0))</f>
        <v>0</v>
      </c>
    </row>
    <row r="1980" customFormat="false" ht="15" hidden="false" customHeight="false" outlineLevel="0" collapsed="false">
      <c r="A1980" s="30"/>
      <c r="B1980" s="31"/>
      <c r="C1980" s="32"/>
      <c r="D1980" s="32"/>
      <c r="E1980" s="33"/>
      <c r="F1980" s="32"/>
      <c r="G1980" s="32"/>
      <c r="H1980" s="32"/>
      <c r="I1980" s="32"/>
      <c r="J1980" s="32"/>
      <c r="K1980" s="32"/>
      <c r="L1980" s="32"/>
      <c r="M1980" s="30"/>
      <c r="N1980" s="32"/>
      <c r="O1980" s="34"/>
      <c r="P1980" s="32"/>
      <c r="Q1980" s="32"/>
      <c r="R1980" s="32"/>
      <c r="S1980" s="32"/>
      <c r="T1980" s="32"/>
      <c r="U1980" s="32"/>
      <c r="V1980" s="31"/>
      <c r="W1980" s="35" t="str">
        <f aca="true">IF(OR(V1980="",AG1980&gt;=8),"",IF(V1980&lt;TODAY(),"Vencida",IF(V1980=TODAY(),"Hoy","")))</f>
        <v/>
      </c>
      <c r="X1980" s="36" t="str">
        <f aca="false">IF(A1980="","",IF(COUNTIF(Seguimiento!$B$2:$B$5001,A1980)=0,"",_xlfn.MAXIFS(Seguimiento!$A$2:$A$5001,Seguimiento!$B$2:$B$5001,A1980)))</f>
        <v/>
      </c>
      <c r="Y1980" s="37" t="str">
        <f aca="true">IF(B1980="","",TODAY()-B1980)</f>
        <v/>
      </c>
      <c r="Z1980" s="38" t="str">
        <f aca="false">IF(OR(O1980="",G1980=""),"",O1980*IFERROR(INDEX(Listas!$B$2:$B$50,MATCH(G1980,Listas!$A$2:$A$50,0)),0))</f>
        <v/>
      </c>
      <c r="AA1980" s="32"/>
      <c r="AB1980" s="32"/>
      <c r="AC1980" s="32"/>
      <c r="AD1980" s="35" t="str">
        <f aca="false">IF(OR(LEFT(H1980,4)="Meta",LEFT(H1980,6)="Google"),IF(AG1980=3,"Lead calificado",IF(OR(AG1980=4,AG1980=5),"Tasación/visita",IF(OR(AG1980=6,AG1980=7),"Captación/oferta",IF(AG1980=8,"Cierre","")))),"")</f>
        <v/>
      </c>
      <c r="AE1980" s="32"/>
      <c r="AF1980" s="32"/>
      <c r="AG1980" s="37" t="n">
        <f aca="false">IF(R1980="",0,IFERROR(MATCH(R1980,Listas!$L$2:$L$50,0),0))</f>
        <v>0</v>
      </c>
    </row>
    <row r="1981" customFormat="false" ht="15" hidden="false" customHeight="false" outlineLevel="0" collapsed="false">
      <c r="A1981" s="30"/>
      <c r="B1981" s="31"/>
      <c r="C1981" s="32"/>
      <c r="D1981" s="32"/>
      <c r="E1981" s="33"/>
      <c r="F1981" s="32"/>
      <c r="G1981" s="32"/>
      <c r="H1981" s="32"/>
      <c r="I1981" s="32"/>
      <c r="J1981" s="32"/>
      <c r="K1981" s="32"/>
      <c r="L1981" s="32"/>
      <c r="M1981" s="30"/>
      <c r="N1981" s="32"/>
      <c r="O1981" s="34"/>
      <c r="P1981" s="32"/>
      <c r="Q1981" s="32"/>
      <c r="R1981" s="32"/>
      <c r="S1981" s="32"/>
      <c r="T1981" s="32"/>
      <c r="U1981" s="32"/>
      <c r="V1981" s="31"/>
      <c r="W1981" s="35" t="str">
        <f aca="true">IF(OR(V1981="",AG1981&gt;=8),"",IF(V1981&lt;TODAY(),"Vencida",IF(V1981=TODAY(),"Hoy","")))</f>
        <v/>
      </c>
      <c r="X1981" s="36" t="str">
        <f aca="false">IF(A1981="","",IF(COUNTIF(Seguimiento!$B$2:$B$5001,A1981)=0,"",_xlfn.MAXIFS(Seguimiento!$A$2:$A$5001,Seguimiento!$B$2:$B$5001,A1981)))</f>
        <v/>
      </c>
      <c r="Y1981" s="37" t="str">
        <f aca="true">IF(B1981="","",TODAY()-B1981)</f>
        <v/>
      </c>
      <c r="Z1981" s="38" t="str">
        <f aca="false">IF(OR(O1981="",G1981=""),"",O1981*IFERROR(INDEX(Listas!$B$2:$B$50,MATCH(G1981,Listas!$A$2:$A$50,0)),0))</f>
        <v/>
      </c>
      <c r="AA1981" s="32"/>
      <c r="AB1981" s="32"/>
      <c r="AC1981" s="32"/>
      <c r="AD1981" s="35" t="str">
        <f aca="false">IF(OR(LEFT(H1981,4)="Meta",LEFT(H1981,6)="Google"),IF(AG1981=3,"Lead calificado",IF(OR(AG1981=4,AG1981=5),"Tasación/visita",IF(OR(AG1981=6,AG1981=7),"Captación/oferta",IF(AG1981=8,"Cierre","")))),"")</f>
        <v/>
      </c>
      <c r="AE1981" s="32"/>
      <c r="AF1981" s="32"/>
      <c r="AG1981" s="37" t="n">
        <f aca="false">IF(R1981="",0,IFERROR(MATCH(R1981,Listas!$L$2:$L$50,0),0))</f>
        <v>0</v>
      </c>
    </row>
    <row r="1982" customFormat="false" ht="15" hidden="false" customHeight="false" outlineLevel="0" collapsed="false">
      <c r="A1982" s="30"/>
      <c r="B1982" s="31"/>
      <c r="C1982" s="32"/>
      <c r="D1982" s="32"/>
      <c r="E1982" s="33"/>
      <c r="F1982" s="32"/>
      <c r="G1982" s="32"/>
      <c r="H1982" s="32"/>
      <c r="I1982" s="32"/>
      <c r="J1982" s="32"/>
      <c r="K1982" s="32"/>
      <c r="L1982" s="32"/>
      <c r="M1982" s="30"/>
      <c r="N1982" s="32"/>
      <c r="O1982" s="34"/>
      <c r="P1982" s="32"/>
      <c r="Q1982" s="32"/>
      <c r="R1982" s="32"/>
      <c r="S1982" s="32"/>
      <c r="T1982" s="32"/>
      <c r="U1982" s="32"/>
      <c r="V1982" s="31"/>
      <c r="W1982" s="35" t="str">
        <f aca="true">IF(OR(V1982="",AG1982&gt;=8),"",IF(V1982&lt;TODAY(),"Vencida",IF(V1982=TODAY(),"Hoy","")))</f>
        <v/>
      </c>
      <c r="X1982" s="36" t="str">
        <f aca="false">IF(A1982="","",IF(COUNTIF(Seguimiento!$B$2:$B$5001,A1982)=0,"",_xlfn.MAXIFS(Seguimiento!$A$2:$A$5001,Seguimiento!$B$2:$B$5001,A1982)))</f>
        <v/>
      </c>
      <c r="Y1982" s="37" t="str">
        <f aca="true">IF(B1982="","",TODAY()-B1982)</f>
        <v/>
      </c>
      <c r="Z1982" s="38" t="str">
        <f aca="false">IF(OR(O1982="",G1982=""),"",O1982*IFERROR(INDEX(Listas!$B$2:$B$50,MATCH(G1982,Listas!$A$2:$A$50,0)),0))</f>
        <v/>
      </c>
      <c r="AA1982" s="32"/>
      <c r="AB1982" s="32"/>
      <c r="AC1982" s="32"/>
      <c r="AD1982" s="35" t="str">
        <f aca="false">IF(OR(LEFT(H1982,4)="Meta",LEFT(H1982,6)="Google"),IF(AG1982=3,"Lead calificado",IF(OR(AG1982=4,AG1982=5),"Tasación/visita",IF(OR(AG1982=6,AG1982=7),"Captación/oferta",IF(AG1982=8,"Cierre","")))),"")</f>
        <v/>
      </c>
      <c r="AE1982" s="32"/>
      <c r="AF1982" s="32"/>
      <c r="AG1982" s="37" t="n">
        <f aca="false">IF(R1982="",0,IFERROR(MATCH(R1982,Listas!$L$2:$L$50,0),0))</f>
        <v>0</v>
      </c>
    </row>
    <row r="1983" customFormat="false" ht="15" hidden="false" customHeight="false" outlineLevel="0" collapsed="false">
      <c r="A1983" s="30"/>
      <c r="B1983" s="31"/>
      <c r="C1983" s="32"/>
      <c r="D1983" s="32"/>
      <c r="E1983" s="33"/>
      <c r="F1983" s="32"/>
      <c r="G1983" s="32"/>
      <c r="H1983" s="32"/>
      <c r="I1983" s="32"/>
      <c r="J1983" s="32"/>
      <c r="K1983" s="32"/>
      <c r="L1983" s="32"/>
      <c r="M1983" s="30"/>
      <c r="N1983" s="32"/>
      <c r="O1983" s="34"/>
      <c r="P1983" s="32"/>
      <c r="Q1983" s="32"/>
      <c r="R1983" s="32"/>
      <c r="S1983" s="32"/>
      <c r="T1983" s="32"/>
      <c r="U1983" s="32"/>
      <c r="V1983" s="31"/>
      <c r="W1983" s="35" t="str">
        <f aca="true">IF(OR(V1983="",AG1983&gt;=8),"",IF(V1983&lt;TODAY(),"Vencida",IF(V1983=TODAY(),"Hoy","")))</f>
        <v/>
      </c>
      <c r="X1983" s="36" t="str">
        <f aca="false">IF(A1983="","",IF(COUNTIF(Seguimiento!$B$2:$B$5001,A1983)=0,"",_xlfn.MAXIFS(Seguimiento!$A$2:$A$5001,Seguimiento!$B$2:$B$5001,A1983)))</f>
        <v/>
      </c>
      <c r="Y1983" s="37" t="str">
        <f aca="true">IF(B1983="","",TODAY()-B1983)</f>
        <v/>
      </c>
      <c r="Z1983" s="38" t="str">
        <f aca="false">IF(OR(O1983="",G1983=""),"",O1983*IFERROR(INDEX(Listas!$B$2:$B$50,MATCH(G1983,Listas!$A$2:$A$50,0)),0))</f>
        <v/>
      </c>
      <c r="AA1983" s="32"/>
      <c r="AB1983" s="32"/>
      <c r="AC1983" s="32"/>
      <c r="AD1983" s="35" t="str">
        <f aca="false">IF(OR(LEFT(H1983,4)="Meta",LEFT(H1983,6)="Google"),IF(AG1983=3,"Lead calificado",IF(OR(AG1983=4,AG1983=5),"Tasación/visita",IF(OR(AG1983=6,AG1983=7),"Captación/oferta",IF(AG1983=8,"Cierre","")))),"")</f>
        <v/>
      </c>
      <c r="AE1983" s="32"/>
      <c r="AF1983" s="32"/>
      <c r="AG1983" s="37" t="n">
        <f aca="false">IF(R1983="",0,IFERROR(MATCH(R1983,Listas!$L$2:$L$50,0),0))</f>
        <v>0</v>
      </c>
    </row>
    <row r="1984" customFormat="false" ht="15" hidden="false" customHeight="false" outlineLevel="0" collapsed="false">
      <c r="A1984" s="30"/>
      <c r="B1984" s="31"/>
      <c r="C1984" s="32"/>
      <c r="D1984" s="32"/>
      <c r="E1984" s="33"/>
      <c r="F1984" s="32"/>
      <c r="G1984" s="32"/>
      <c r="H1984" s="32"/>
      <c r="I1984" s="32"/>
      <c r="J1984" s="32"/>
      <c r="K1984" s="32"/>
      <c r="L1984" s="32"/>
      <c r="M1984" s="30"/>
      <c r="N1984" s="32"/>
      <c r="O1984" s="34"/>
      <c r="P1984" s="32"/>
      <c r="Q1984" s="32"/>
      <c r="R1984" s="32"/>
      <c r="S1984" s="32"/>
      <c r="T1984" s="32"/>
      <c r="U1984" s="32"/>
      <c r="V1984" s="31"/>
      <c r="W1984" s="35" t="str">
        <f aca="true">IF(OR(V1984="",AG1984&gt;=8),"",IF(V1984&lt;TODAY(),"Vencida",IF(V1984=TODAY(),"Hoy","")))</f>
        <v/>
      </c>
      <c r="X1984" s="36" t="str">
        <f aca="false">IF(A1984="","",IF(COUNTIF(Seguimiento!$B$2:$B$5001,A1984)=0,"",_xlfn.MAXIFS(Seguimiento!$A$2:$A$5001,Seguimiento!$B$2:$B$5001,A1984)))</f>
        <v/>
      </c>
      <c r="Y1984" s="37" t="str">
        <f aca="true">IF(B1984="","",TODAY()-B1984)</f>
        <v/>
      </c>
      <c r="Z1984" s="38" t="str">
        <f aca="false">IF(OR(O1984="",G1984=""),"",O1984*IFERROR(INDEX(Listas!$B$2:$B$50,MATCH(G1984,Listas!$A$2:$A$50,0)),0))</f>
        <v/>
      </c>
      <c r="AA1984" s="32"/>
      <c r="AB1984" s="32"/>
      <c r="AC1984" s="32"/>
      <c r="AD1984" s="35" t="str">
        <f aca="false">IF(OR(LEFT(H1984,4)="Meta",LEFT(H1984,6)="Google"),IF(AG1984=3,"Lead calificado",IF(OR(AG1984=4,AG1984=5),"Tasación/visita",IF(OR(AG1984=6,AG1984=7),"Captación/oferta",IF(AG1984=8,"Cierre","")))),"")</f>
        <v/>
      </c>
      <c r="AE1984" s="32"/>
      <c r="AF1984" s="32"/>
      <c r="AG1984" s="37" t="n">
        <f aca="false">IF(R1984="",0,IFERROR(MATCH(R1984,Listas!$L$2:$L$50,0),0))</f>
        <v>0</v>
      </c>
    </row>
    <row r="1985" customFormat="false" ht="15" hidden="false" customHeight="false" outlineLevel="0" collapsed="false">
      <c r="A1985" s="30"/>
      <c r="B1985" s="31"/>
      <c r="C1985" s="32"/>
      <c r="D1985" s="32"/>
      <c r="E1985" s="33"/>
      <c r="F1985" s="32"/>
      <c r="G1985" s="32"/>
      <c r="H1985" s="32"/>
      <c r="I1985" s="32"/>
      <c r="J1985" s="32"/>
      <c r="K1985" s="32"/>
      <c r="L1985" s="32"/>
      <c r="M1985" s="30"/>
      <c r="N1985" s="32"/>
      <c r="O1985" s="34"/>
      <c r="P1985" s="32"/>
      <c r="Q1985" s="32"/>
      <c r="R1985" s="32"/>
      <c r="S1985" s="32"/>
      <c r="T1985" s="32"/>
      <c r="U1985" s="32"/>
      <c r="V1985" s="31"/>
      <c r="W1985" s="35" t="str">
        <f aca="true">IF(OR(V1985="",AG1985&gt;=8),"",IF(V1985&lt;TODAY(),"Vencida",IF(V1985=TODAY(),"Hoy","")))</f>
        <v/>
      </c>
      <c r="X1985" s="36" t="str">
        <f aca="false">IF(A1985="","",IF(COUNTIF(Seguimiento!$B$2:$B$5001,A1985)=0,"",_xlfn.MAXIFS(Seguimiento!$A$2:$A$5001,Seguimiento!$B$2:$B$5001,A1985)))</f>
        <v/>
      </c>
      <c r="Y1985" s="37" t="str">
        <f aca="true">IF(B1985="","",TODAY()-B1985)</f>
        <v/>
      </c>
      <c r="Z1985" s="38" t="str">
        <f aca="false">IF(OR(O1985="",G1985=""),"",O1985*IFERROR(INDEX(Listas!$B$2:$B$50,MATCH(G1985,Listas!$A$2:$A$50,0)),0))</f>
        <v/>
      </c>
      <c r="AA1985" s="32"/>
      <c r="AB1985" s="32"/>
      <c r="AC1985" s="32"/>
      <c r="AD1985" s="35" t="str">
        <f aca="false">IF(OR(LEFT(H1985,4)="Meta",LEFT(H1985,6)="Google"),IF(AG1985=3,"Lead calificado",IF(OR(AG1985=4,AG1985=5),"Tasación/visita",IF(OR(AG1985=6,AG1985=7),"Captación/oferta",IF(AG1985=8,"Cierre","")))),"")</f>
        <v/>
      </c>
      <c r="AE1985" s="32"/>
      <c r="AF1985" s="32"/>
      <c r="AG1985" s="37" t="n">
        <f aca="false">IF(R1985="",0,IFERROR(MATCH(R1985,Listas!$L$2:$L$50,0),0))</f>
        <v>0</v>
      </c>
    </row>
    <row r="1986" customFormat="false" ht="15" hidden="false" customHeight="false" outlineLevel="0" collapsed="false">
      <c r="A1986" s="30"/>
      <c r="B1986" s="31"/>
      <c r="C1986" s="32"/>
      <c r="D1986" s="32"/>
      <c r="E1986" s="33"/>
      <c r="F1986" s="32"/>
      <c r="G1986" s="32"/>
      <c r="H1986" s="32"/>
      <c r="I1986" s="32"/>
      <c r="J1986" s="32"/>
      <c r="K1986" s="32"/>
      <c r="L1986" s="32"/>
      <c r="M1986" s="30"/>
      <c r="N1986" s="32"/>
      <c r="O1986" s="34"/>
      <c r="P1986" s="32"/>
      <c r="Q1986" s="32"/>
      <c r="R1986" s="32"/>
      <c r="S1986" s="32"/>
      <c r="T1986" s="32"/>
      <c r="U1986" s="32"/>
      <c r="V1986" s="31"/>
      <c r="W1986" s="35" t="str">
        <f aca="true">IF(OR(V1986="",AG1986&gt;=8),"",IF(V1986&lt;TODAY(),"Vencida",IF(V1986=TODAY(),"Hoy","")))</f>
        <v/>
      </c>
      <c r="X1986" s="36" t="str">
        <f aca="false">IF(A1986="","",IF(COUNTIF(Seguimiento!$B$2:$B$5001,A1986)=0,"",_xlfn.MAXIFS(Seguimiento!$A$2:$A$5001,Seguimiento!$B$2:$B$5001,A1986)))</f>
        <v/>
      </c>
      <c r="Y1986" s="37" t="str">
        <f aca="true">IF(B1986="","",TODAY()-B1986)</f>
        <v/>
      </c>
      <c r="Z1986" s="38" t="str">
        <f aca="false">IF(OR(O1986="",G1986=""),"",O1986*IFERROR(INDEX(Listas!$B$2:$B$50,MATCH(G1986,Listas!$A$2:$A$50,0)),0))</f>
        <v/>
      </c>
      <c r="AA1986" s="32"/>
      <c r="AB1986" s="32"/>
      <c r="AC1986" s="32"/>
      <c r="AD1986" s="35" t="str">
        <f aca="false">IF(OR(LEFT(H1986,4)="Meta",LEFT(H1986,6)="Google"),IF(AG1986=3,"Lead calificado",IF(OR(AG1986=4,AG1986=5),"Tasación/visita",IF(OR(AG1986=6,AG1986=7),"Captación/oferta",IF(AG1986=8,"Cierre","")))),"")</f>
        <v/>
      </c>
      <c r="AE1986" s="32"/>
      <c r="AF1986" s="32"/>
      <c r="AG1986" s="37" t="n">
        <f aca="false">IF(R1986="",0,IFERROR(MATCH(R1986,Listas!$L$2:$L$50,0),0))</f>
        <v>0</v>
      </c>
    </row>
    <row r="1987" customFormat="false" ht="15" hidden="false" customHeight="false" outlineLevel="0" collapsed="false">
      <c r="A1987" s="30"/>
      <c r="B1987" s="31"/>
      <c r="C1987" s="32"/>
      <c r="D1987" s="32"/>
      <c r="E1987" s="33"/>
      <c r="F1987" s="32"/>
      <c r="G1987" s="32"/>
      <c r="H1987" s="32"/>
      <c r="I1987" s="32"/>
      <c r="J1987" s="32"/>
      <c r="K1987" s="32"/>
      <c r="L1987" s="32"/>
      <c r="M1987" s="30"/>
      <c r="N1987" s="32"/>
      <c r="O1987" s="34"/>
      <c r="P1987" s="32"/>
      <c r="Q1987" s="32"/>
      <c r="R1987" s="32"/>
      <c r="S1987" s="32"/>
      <c r="T1987" s="32"/>
      <c r="U1987" s="32"/>
      <c r="V1987" s="31"/>
      <c r="W1987" s="35" t="str">
        <f aca="true">IF(OR(V1987="",AG1987&gt;=8),"",IF(V1987&lt;TODAY(),"Vencida",IF(V1987=TODAY(),"Hoy","")))</f>
        <v/>
      </c>
      <c r="X1987" s="36" t="str">
        <f aca="false">IF(A1987="","",IF(COUNTIF(Seguimiento!$B$2:$B$5001,A1987)=0,"",_xlfn.MAXIFS(Seguimiento!$A$2:$A$5001,Seguimiento!$B$2:$B$5001,A1987)))</f>
        <v/>
      </c>
      <c r="Y1987" s="37" t="str">
        <f aca="true">IF(B1987="","",TODAY()-B1987)</f>
        <v/>
      </c>
      <c r="Z1987" s="38" t="str">
        <f aca="false">IF(OR(O1987="",G1987=""),"",O1987*IFERROR(INDEX(Listas!$B$2:$B$50,MATCH(G1987,Listas!$A$2:$A$50,0)),0))</f>
        <v/>
      </c>
      <c r="AA1987" s="32"/>
      <c r="AB1987" s="32"/>
      <c r="AC1987" s="32"/>
      <c r="AD1987" s="35" t="str">
        <f aca="false">IF(OR(LEFT(H1987,4)="Meta",LEFT(H1987,6)="Google"),IF(AG1987=3,"Lead calificado",IF(OR(AG1987=4,AG1987=5),"Tasación/visita",IF(OR(AG1987=6,AG1987=7),"Captación/oferta",IF(AG1987=8,"Cierre","")))),"")</f>
        <v/>
      </c>
      <c r="AE1987" s="32"/>
      <c r="AF1987" s="32"/>
      <c r="AG1987" s="37" t="n">
        <f aca="false">IF(R1987="",0,IFERROR(MATCH(R1987,Listas!$L$2:$L$50,0),0))</f>
        <v>0</v>
      </c>
    </row>
    <row r="1988" customFormat="false" ht="15" hidden="false" customHeight="false" outlineLevel="0" collapsed="false">
      <c r="A1988" s="30"/>
      <c r="B1988" s="31"/>
      <c r="C1988" s="32"/>
      <c r="D1988" s="32"/>
      <c r="E1988" s="33"/>
      <c r="F1988" s="32"/>
      <c r="G1988" s="32"/>
      <c r="H1988" s="32"/>
      <c r="I1988" s="32"/>
      <c r="J1988" s="32"/>
      <c r="K1988" s="32"/>
      <c r="L1988" s="32"/>
      <c r="M1988" s="30"/>
      <c r="N1988" s="32"/>
      <c r="O1988" s="34"/>
      <c r="P1988" s="32"/>
      <c r="Q1988" s="32"/>
      <c r="R1988" s="32"/>
      <c r="S1988" s="32"/>
      <c r="T1988" s="32"/>
      <c r="U1988" s="32"/>
      <c r="V1988" s="31"/>
      <c r="W1988" s="35" t="str">
        <f aca="true">IF(OR(V1988="",AG1988&gt;=8),"",IF(V1988&lt;TODAY(),"Vencida",IF(V1988=TODAY(),"Hoy","")))</f>
        <v/>
      </c>
      <c r="X1988" s="36" t="str">
        <f aca="false">IF(A1988="","",IF(COUNTIF(Seguimiento!$B$2:$B$5001,A1988)=0,"",_xlfn.MAXIFS(Seguimiento!$A$2:$A$5001,Seguimiento!$B$2:$B$5001,A1988)))</f>
        <v/>
      </c>
      <c r="Y1988" s="37" t="str">
        <f aca="true">IF(B1988="","",TODAY()-B1988)</f>
        <v/>
      </c>
      <c r="Z1988" s="38" t="str">
        <f aca="false">IF(OR(O1988="",G1988=""),"",O1988*IFERROR(INDEX(Listas!$B$2:$B$50,MATCH(G1988,Listas!$A$2:$A$50,0)),0))</f>
        <v/>
      </c>
      <c r="AA1988" s="32"/>
      <c r="AB1988" s="32"/>
      <c r="AC1988" s="32"/>
      <c r="AD1988" s="35" t="str">
        <f aca="false">IF(OR(LEFT(H1988,4)="Meta",LEFT(H1988,6)="Google"),IF(AG1988=3,"Lead calificado",IF(OR(AG1988=4,AG1988=5),"Tasación/visita",IF(OR(AG1988=6,AG1988=7),"Captación/oferta",IF(AG1988=8,"Cierre","")))),"")</f>
        <v/>
      </c>
      <c r="AE1988" s="32"/>
      <c r="AF1988" s="32"/>
      <c r="AG1988" s="37" t="n">
        <f aca="false">IF(R1988="",0,IFERROR(MATCH(R1988,Listas!$L$2:$L$50,0),0))</f>
        <v>0</v>
      </c>
    </row>
    <row r="1989" customFormat="false" ht="15" hidden="false" customHeight="false" outlineLevel="0" collapsed="false">
      <c r="A1989" s="30"/>
      <c r="B1989" s="31"/>
      <c r="C1989" s="32"/>
      <c r="D1989" s="32"/>
      <c r="E1989" s="33"/>
      <c r="F1989" s="32"/>
      <c r="G1989" s="32"/>
      <c r="H1989" s="32"/>
      <c r="I1989" s="32"/>
      <c r="J1989" s="32"/>
      <c r="K1989" s="32"/>
      <c r="L1989" s="32"/>
      <c r="M1989" s="30"/>
      <c r="N1989" s="32"/>
      <c r="O1989" s="34"/>
      <c r="P1989" s="32"/>
      <c r="Q1989" s="32"/>
      <c r="R1989" s="32"/>
      <c r="S1989" s="32"/>
      <c r="T1989" s="32"/>
      <c r="U1989" s="32"/>
      <c r="V1989" s="31"/>
      <c r="W1989" s="35" t="str">
        <f aca="true">IF(OR(V1989="",AG1989&gt;=8),"",IF(V1989&lt;TODAY(),"Vencida",IF(V1989=TODAY(),"Hoy","")))</f>
        <v/>
      </c>
      <c r="X1989" s="36" t="str">
        <f aca="false">IF(A1989="","",IF(COUNTIF(Seguimiento!$B$2:$B$5001,A1989)=0,"",_xlfn.MAXIFS(Seguimiento!$A$2:$A$5001,Seguimiento!$B$2:$B$5001,A1989)))</f>
        <v/>
      </c>
      <c r="Y1989" s="37" t="str">
        <f aca="true">IF(B1989="","",TODAY()-B1989)</f>
        <v/>
      </c>
      <c r="Z1989" s="38" t="str">
        <f aca="false">IF(OR(O1989="",G1989=""),"",O1989*IFERROR(INDEX(Listas!$B$2:$B$50,MATCH(G1989,Listas!$A$2:$A$50,0)),0))</f>
        <v/>
      </c>
      <c r="AA1989" s="32"/>
      <c r="AB1989" s="32"/>
      <c r="AC1989" s="32"/>
      <c r="AD1989" s="35" t="str">
        <f aca="false">IF(OR(LEFT(H1989,4)="Meta",LEFT(H1989,6)="Google"),IF(AG1989=3,"Lead calificado",IF(OR(AG1989=4,AG1989=5),"Tasación/visita",IF(OR(AG1989=6,AG1989=7),"Captación/oferta",IF(AG1989=8,"Cierre","")))),"")</f>
        <v/>
      </c>
      <c r="AE1989" s="32"/>
      <c r="AF1989" s="32"/>
      <c r="AG1989" s="37" t="n">
        <f aca="false">IF(R1989="",0,IFERROR(MATCH(R1989,Listas!$L$2:$L$50,0),0))</f>
        <v>0</v>
      </c>
    </row>
    <row r="1990" customFormat="false" ht="15" hidden="false" customHeight="false" outlineLevel="0" collapsed="false">
      <c r="A1990" s="30"/>
      <c r="B1990" s="31"/>
      <c r="C1990" s="32"/>
      <c r="D1990" s="32"/>
      <c r="E1990" s="33"/>
      <c r="F1990" s="32"/>
      <c r="G1990" s="32"/>
      <c r="H1990" s="32"/>
      <c r="I1990" s="32"/>
      <c r="J1990" s="32"/>
      <c r="K1990" s="32"/>
      <c r="L1990" s="32"/>
      <c r="M1990" s="30"/>
      <c r="N1990" s="32"/>
      <c r="O1990" s="34"/>
      <c r="P1990" s="32"/>
      <c r="Q1990" s="32"/>
      <c r="R1990" s="32"/>
      <c r="S1990" s="32"/>
      <c r="T1990" s="32"/>
      <c r="U1990" s="32"/>
      <c r="V1990" s="31"/>
      <c r="W1990" s="35" t="str">
        <f aca="true">IF(OR(V1990="",AG1990&gt;=8),"",IF(V1990&lt;TODAY(),"Vencida",IF(V1990=TODAY(),"Hoy","")))</f>
        <v/>
      </c>
      <c r="X1990" s="36" t="str">
        <f aca="false">IF(A1990="","",IF(COUNTIF(Seguimiento!$B$2:$B$5001,A1990)=0,"",_xlfn.MAXIFS(Seguimiento!$A$2:$A$5001,Seguimiento!$B$2:$B$5001,A1990)))</f>
        <v/>
      </c>
      <c r="Y1990" s="37" t="str">
        <f aca="true">IF(B1990="","",TODAY()-B1990)</f>
        <v/>
      </c>
      <c r="Z1990" s="38" t="str">
        <f aca="false">IF(OR(O1990="",G1990=""),"",O1990*IFERROR(INDEX(Listas!$B$2:$B$50,MATCH(G1990,Listas!$A$2:$A$50,0)),0))</f>
        <v/>
      </c>
      <c r="AA1990" s="32"/>
      <c r="AB1990" s="32"/>
      <c r="AC1990" s="32"/>
      <c r="AD1990" s="35" t="str">
        <f aca="false">IF(OR(LEFT(H1990,4)="Meta",LEFT(H1990,6)="Google"),IF(AG1990=3,"Lead calificado",IF(OR(AG1990=4,AG1990=5),"Tasación/visita",IF(OR(AG1990=6,AG1990=7),"Captación/oferta",IF(AG1990=8,"Cierre","")))),"")</f>
        <v/>
      </c>
      <c r="AE1990" s="32"/>
      <c r="AF1990" s="32"/>
      <c r="AG1990" s="37" t="n">
        <f aca="false">IF(R1990="",0,IFERROR(MATCH(R1990,Listas!$L$2:$L$50,0),0))</f>
        <v>0</v>
      </c>
    </row>
    <row r="1991" customFormat="false" ht="15" hidden="false" customHeight="false" outlineLevel="0" collapsed="false">
      <c r="A1991" s="30"/>
      <c r="B1991" s="31"/>
      <c r="C1991" s="32"/>
      <c r="D1991" s="32"/>
      <c r="E1991" s="33"/>
      <c r="F1991" s="32"/>
      <c r="G1991" s="32"/>
      <c r="H1991" s="32"/>
      <c r="I1991" s="32"/>
      <c r="J1991" s="32"/>
      <c r="K1991" s="32"/>
      <c r="L1991" s="32"/>
      <c r="M1991" s="30"/>
      <c r="N1991" s="32"/>
      <c r="O1991" s="34"/>
      <c r="P1991" s="32"/>
      <c r="Q1991" s="32"/>
      <c r="R1991" s="32"/>
      <c r="S1991" s="32"/>
      <c r="T1991" s="32"/>
      <c r="U1991" s="32"/>
      <c r="V1991" s="31"/>
      <c r="W1991" s="35" t="str">
        <f aca="true">IF(OR(V1991="",AG1991&gt;=8),"",IF(V1991&lt;TODAY(),"Vencida",IF(V1991=TODAY(),"Hoy","")))</f>
        <v/>
      </c>
      <c r="X1991" s="36" t="str">
        <f aca="false">IF(A1991="","",IF(COUNTIF(Seguimiento!$B$2:$B$5001,A1991)=0,"",_xlfn.MAXIFS(Seguimiento!$A$2:$A$5001,Seguimiento!$B$2:$B$5001,A1991)))</f>
        <v/>
      </c>
      <c r="Y1991" s="37" t="str">
        <f aca="true">IF(B1991="","",TODAY()-B1991)</f>
        <v/>
      </c>
      <c r="Z1991" s="38" t="str">
        <f aca="false">IF(OR(O1991="",G1991=""),"",O1991*IFERROR(INDEX(Listas!$B$2:$B$50,MATCH(G1991,Listas!$A$2:$A$50,0)),0))</f>
        <v/>
      </c>
      <c r="AA1991" s="32"/>
      <c r="AB1991" s="32"/>
      <c r="AC1991" s="32"/>
      <c r="AD1991" s="35" t="str">
        <f aca="false">IF(OR(LEFT(H1991,4)="Meta",LEFT(H1991,6)="Google"),IF(AG1991=3,"Lead calificado",IF(OR(AG1991=4,AG1991=5),"Tasación/visita",IF(OR(AG1991=6,AG1991=7),"Captación/oferta",IF(AG1991=8,"Cierre","")))),"")</f>
        <v/>
      </c>
      <c r="AE1991" s="32"/>
      <c r="AF1991" s="32"/>
      <c r="AG1991" s="37" t="n">
        <f aca="false">IF(R1991="",0,IFERROR(MATCH(R1991,Listas!$L$2:$L$50,0),0))</f>
        <v>0</v>
      </c>
    </row>
    <row r="1992" customFormat="false" ht="15" hidden="false" customHeight="false" outlineLevel="0" collapsed="false">
      <c r="A1992" s="30"/>
      <c r="B1992" s="31"/>
      <c r="C1992" s="32"/>
      <c r="D1992" s="32"/>
      <c r="E1992" s="33"/>
      <c r="F1992" s="32"/>
      <c r="G1992" s="32"/>
      <c r="H1992" s="32"/>
      <c r="I1992" s="32"/>
      <c r="J1992" s="32"/>
      <c r="K1992" s="32"/>
      <c r="L1992" s="32"/>
      <c r="M1992" s="30"/>
      <c r="N1992" s="32"/>
      <c r="O1992" s="34"/>
      <c r="P1992" s="32"/>
      <c r="Q1992" s="32"/>
      <c r="R1992" s="32"/>
      <c r="S1992" s="32"/>
      <c r="T1992" s="32"/>
      <c r="U1992" s="32"/>
      <c r="V1992" s="31"/>
      <c r="W1992" s="35" t="str">
        <f aca="true">IF(OR(V1992="",AG1992&gt;=8),"",IF(V1992&lt;TODAY(),"Vencida",IF(V1992=TODAY(),"Hoy","")))</f>
        <v/>
      </c>
      <c r="X1992" s="36" t="str">
        <f aca="false">IF(A1992="","",IF(COUNTIF(Seguimiento!$B$2:$B$5001,A1992)=0,"",_xlfn.MAXIFS(Seguimiento!$A$2:$A$5001,Seguimiento!$B$2:$B$5001,A1992)))</f>
        <v/>
      </c>
      <c r="Y1992" s="37" t="str">
        <f aca="true">IF(B1992="","",TODAY()-B1992)</f>
        <v/>
      </c>
      <c r="Z1992" s="38" t="str">
        <f aca="false">IF(OR(O1992="",G1992=""),"",O1992*IFERROR(INDEX(Listas!$B$2:$B$50,MATCH(G1992,Listas!$A$2:$A$50,0)),0))</f>
        <v/>
      </c>
      <c r="AA1992" s="32"/>
      <c r="AB1992" s="32"/>
      <c r="AC1992" s="32"/>
      <c r="AD1992" s="35" t="str">
        <f aca="false">IF(OR(LEFT(H1992,4)="Meta",LEFT(H1992,6)="Google"),IF(AG1992=3,"Lead calificado",IF(OR(AG1992=4,AG1992=5),"Tasación/visita",IF(OR(AG1992=6,AG1992=7),"Captación/oferta",IF(AG1992=8,"Cierre","")))),"")</f>
        <v/>
      </c>
      <c r="AE1992" s="32"/>
      <c r="AF1992" s="32"/>
      <c r="AG1992" s="37" t="n">
        <f aca="false">IF(R1992="",0,IFERROR(MATCH(R1992,Listas!$L$2:$L$50,0),0))</f>
        <v>0</v>
      </c>
    </row>
    <row r="1993" customFormat="false" ht="15" hidden="false" customHeight="false" outlineLevel="0" collapsed="false">
      <c r="A1993" s="30"/>
      <c r="B1993" s="31"/>
      <c r="C1993" s="32"/>
      <c r="D1993" s="32"/>
      <c r="E1993" s="33"/>
      <c r="F1993" s="32"/>
      <c r="G1993" s="32"/>
      <c r="H1993" s="32"/>
      <c r="I1993" s="32"/>
      <c r="J1993" s="32"/>
      <c r="K1993" s="32"/>
      <c r="L1993" s="32"/>
      <c r="M1993" s="30"/>
      <c r="N1993" s="32"/>
      <c r="O1993" s="34"/>
      <c r="P1993" s="32"/>
      <c r="Q1993" s="32"/>
      <c r="R1993" s="32"/>
      <c r="S1993" s="32"/>
      <c r="T1993" s="32"/>
      <c r="U1993" s="32"/>
      <c r="V1993" s="31"/>
      <c r="W1993" s="35" t="str">
        <f aca="true">IF(OR(V1993="",AG1993&gt;=8),"",IF(V1993&lt;TODAY(),"Vencida",IF(V1993=TODAY(),"Hoy","")))</f>
        <v/>
      </c>
      <c r="X1993" s="36" t="str">
        <f aca="false">IF(A1993="","",IF(COUNTIF(Seguimiento!$B$2:$B$5001,A1993)=0,"",_xlfn.MAXIFS(Seguimiento!$A$2:$A$5001,Seguimiento!$B$2:$B$5001,A1993)))</f>
        <v/>
      </c>
      <c r="Y1993" s="37" t="str">
        <f aca="true">IF(B1993="","",TODAY()-B1993)</f>
        <v/>
      </c>
      <c r="Z1993" s="38" t="str">
        <f aca="false">IF(OR(O1993="",G1993=""),"",O1993*IFERROR(INDEX(Listas!$B$2:$B$50,MATCH(G1993,Listas!$A$2:$A$50,0)),0))</f>
        <v/>
      </c>
      <c r="AA1993" s="32"/>
      <c r="AB1993" s="32"/>
      <c r="AC1993" s="32"/>
      <c r="AD1993" s="35" t="str">
        <f aca="false">IF(OR(LEFT(H1993,4)="Meta",LEFT(H1993,6)="Google"),IF(AG1993=3,"Lead calificado",IF(OR(AG1993=4,AG1993=5),"Tasación/visita",IF(OR(AG1993=6,AG1993=7),"Captación/oferta",IF(AG1993=8,"Cierre","")))),"")</f>
        <v/>
      </c>
      <c r="AE1993" s="32"/>
      <c r="AF1993" s="32"/>
      <c r="AG1993" s="37" t="n">
        <f aca="false">IF(R1993="",0,IFERROR(MATCH(R1993,Listas!$L$2:$L$50,0),0))</f>
        <v>0</v>
      </c>
    </row>
    <row r="1994" customFormat="false" ht="15" hidden="false" customHeight="false" outlineLevel="0" collapsed="false">
      <c r="A1994" s="30"/>
      <c r="B1994" s="31"/>
      <c r="C1994" s="32"/>
      <c r="D1994" s="32"/>
      <c r="E1994" s="33"/>
      <c r="F1994" s="32"/>
      <c r="G1994" s="32"/>
      <c r="H1994" s="32"/>
      <c r="I1994" s="32"/>
      <c r="J1994" s="32"/>
      <c r="K1994" s="32"/>
      <c r="L1994" s="32"/>
      <c r="M1994" s="30"/>
      <c r="N1994" s="32"/>
      <c r="O1994" s="34"/>
      <c r="P1994" s="32"/>
      <c r="Q1994" s="32"/>
      <c r="R1994" s="32"/>
      <c r="S1994" s="32"/>
      <c r="T1994" s="32"/>
      <c r="U1994" s="32"/>
      <c r="V1994" s="31"/>
      <c r="W1994" s="35" t="str">
        <f aca="true">IF(OR(V1994="",AG1994&gt;=8),"",IF(V1994&lt;TODAY(),"Vencida",IF(V1994=TODAY(),"Hoy","")))</f>
        <v/>
      </c>
      <c r="X1994" s="36" t="str">
        <f aca="false">IF(A1994="","",IF(COUNTIF(Seguimiento!$B$2:$B$5001,A1994)=0,"",_xlfn.MAXIFS(Seguimiento!$A$2:$A$5001,Seguimiento!$B$2:$B$5001,A1994)))</f>
        <v/>
      </c>
      <c r="Y1994" s="37" t="str">
        <f aca="true">IF(B1994="","",TODAY()-B1994)</f>
        <v/>
      </c>
      <c r="Z1994" s="38" t="str">
        <f aca="false">IF(OR(O1994="",G1994=""),"",O1994*IFERROR(INDEX(Listas!$B$2:$B$50,MATCH(G1994,Listas!$A$2:$A$50,0)),0))</f>
        <v/>
      </c>
      <c r="AA1994" s="32"/>
      <c r="AB1994" s="32"/>
      <c r="AC1994" s="32"/>
      <c r="AD1994" s="35" t="str">
        <f aca="false">IF(OR(LEFT(H1994,4)="Meta",LEFT(H1994,6)="Google"),IF(AG1994=3,"Lead calificado",IF(OR(AG1994=4,AG1994=5),"Tasación/visita",IF(OR(AG1994=6,AG1994=7),"Captación/oferta",IF(AG1994=8,"Cierre","")))),"")</f>
        <v/>
      </c>
      <c r="AE1994" s="32"/>
      <c r="AF1994" s="32"/>
      <c r="AG1994" s="37" t="n">
        <f aca="false">IF(R1994="",0,IFERROR(MATCH(R1994,Listas!$L$2:$L$50,0),0))</f>
        <v>0</v>
      </c>
    </row>
    <row r="1995" customFormat="false" ht="15" hidden="false" customHeight="false" outlineLevel="0" collapsed="false">
      <c r="A1995" s="30"/>
      <c r="B1995" s="31"/>
      <c r="C1995" s="32"/>
      <c r="D1995" s="32"/>
      <c r="E1995" s="33"/>
      <c r="F1995" s="32"/>
      <c r="G1995" s="32"/>
      <c r="H1995" s="32"/>
      <c r="I1995" s="32"/>
      <c r="J1995" s="32"/>
      <c r="K1995" s="32"/>
      <c r="L1995" s="32"/>
      <c r="M1995" s="30"/>
      <c r="N1995" s="32"/>
      <c r="O1995" s="34"/>
      <c r="P1995" s="32"/>
      <c r="Q1995" s="32"/>
      <c r="R1995" s="32"/>
      <c r="S1995" s="32"/>
      <c r="T1995" s="32"/>
      <c r="U1995" s="32"/>
      <c r="V1995" s="31"/>
      <c r="W1995" s="35" t="str">
        <f aca="true">IF(OR(V1995="",AG1995&gt;=8),"",IF(V1995&lt;TODAY(),"Vencida",IF(V1995=TODAY(),"Hoy","")))</f>
        <v/>
      </c>
      <c r="X1995" s="36" t="str">
        <f aca="false">IF(A1995="","",IF(COUNTIF(Seguimiento!$B$2:$B$5001,A1995)=0,"",_xlfn.MAXIFS(Seguimiento!$A$2:$A$5001,Seguimiento!$B$2:$B$5001,A1995)))</f>
        <v/>
      </c>
      <c r="Y1995" s="37" t="str">
        <f aca="true">IF(B1995="","",TODAY()-B1995)</f>
        <v/>
      </c>
      <c r="Z1995" s="38" t="str">
        <f aca="false">IF(OR(O1995="",G1995=""),"",O1995*IFERROR(INDEX(Listas!$B$2:$B$50,MATCH(G1995,Listas!$A$2:$A$50,0)),0))</f>
        <v/>
      </c>
      <c r="AA1995" s="32"/>
      <c r="AB1995" s="32"/>
      <c r="AC1995" s="32"/>
      <c r="AD1995" s="35" t="str">
        <f aca="false">IF(OR(LEFT(H1995,4)="Meta",LEFT(H1995,6)="Google"),IF(AG1995=3,"Lead calificado",IF(OR(AG1995=4,AG1995=5),"Tasación/visita",IF(OR(AG1995=6,AG1995=7),"Captación/oferta",IF(AG1995=8,"Cierre","")))),"")</f>
        <v/>
      </c>
      <c r="AE1995" s="32"/>
      <c r="AF1995" s="32"/>
      <c r="AG1995" s="37" t="n">
        <f aca="false">IF(R1995="",0,IFERROR(MATCH(R1995,Listas!$L$2:$L$50,0),0))</f>
        <v>0</v>
      </c>
    </row>
    <row r="1996" customFormat="false" ht="15" hidden="false" customHeight="false" outlineLevel="0" collapsed="false">
      <c r="A1996" s="30"/>
      <c r="B1996" s="31"/>
      <c r="C1996" s="32"/>
      <c r="D1996" s="32"/>
      <c r="E1996" s="33"/>
      <c r="F1996" s="32"/>
      <c r="G1996" s="32"/>
      <c r="H1996" s="32"/>
      <c r="I1996" s="32"/>
      <c r="J1996" s="32"/>
      <c r="K1996" s="32"/>
      <c r="L1996" s="32"/>
      <c r="M1996" s="30"/>
      <c r="N1996" s="32"/>
      <c r="O1996" s="34"/>
      <c r="P1996" s="32"/>
      <c r="Q1996" s="32"/>
      <c r="R1996" s="32"/>
      <c r="S1996" s="32"/>
      <c r="T1996" s="32"/>
      <c r="U1996" s="32"/>
      <c r="V1996" s="31"/>
      <c r="W1996" s="35" t="str">
        <f aca="true">IF(OR(V1996="",AG1996&gt;=8),"",IF(V1996&lt;TODAY(),"Vencida",IF(V1996=TODAY(),"Hoy","")))</f>
        <v/>
      </c>
      <c r="X1996" s="36" t="str">
        <f aca="false">IF(A1996="","",IF(COUNTIF(Seguimiento!$B$2:$B$5001,A1996)=0,"",_xlfn.MAXIFS(Seguimiento!$A$2:$A$5001,Seguimiento!$B$2:$B$5001,A1996)))</f>
        <v/>
      </c>
      <c r="Y1996" s="37" t="str">
        <f aca="true">IF(B1996="","",TODAY()-B1996)</f>
        <v/>
      </c>
      <c r="Z1996" s="38" t="str">
        <f aca="false">IF(OR(O1996="",G1996=""),"",O1996*IFERROR(INDEX(Listas!$B$2:$B$50,MATCH(G1996,Listas!$A$2:$A$50,0)),0))</f>
        <v/>
      </c>
      <c r="AA1996" s="32"/>
      <c r="AB1996" s="32"/>
      <c r="AC1996" s="32"/>
      <c r="AD1996" s="35" t="str">
        <f aca="false">IF(OR(LEFT(H1996,4)="Meta",LEFT(H1996,6)="Google"),IF(AG1996=3,"Lead calificado",IF(OR(AG1996=4,AG1996=5),"Tasación/visita",IF(OR(AG1996=6,AG1996=7),"Captación/oferta",IF(AG1996=8,"Cierre","")))),"")</f>
        <v/>
      </c>
      <c r="AE1996" s="32"/>
      <c r="AF1996" s="32"/>
      <c r="AG1996" s="37" t="n">
        <f aca="false">IF(R1996="",0,IFERROR(MATCH(R1996,Listas!$L$2:$L$50,0),0))</f>
        <v>0</v>
      </c>
    </row>
    <row r="1997" customFormat="false" ht="15" hidden="false" customHeight="false" outlineLevel="0" collapsed="false">
      <c r="A1997" s="30"/>
      <c r="B1997" s="31"/>
      <c r="C1997" s="32"/>
      <c r="D1997" s="32"/>
      <c r="E1997" s="33"/>
      <c r="F1997" s="32"/>
      <c r="G1997" s="32"/>
      <c r="H1997" s="32"/>
      <c r="I1997" s="32"/>
      <c r="J1997" s="32"/>
      <c r="K1997" s="32"/>
      <c r="L1997" s="32"/>
      <c r="M1997" s="30"/>
      <c r="N1997" s="32"/>
      <c r="O1997" s="34"/>
      <c r="P1997" s="32"/>
      <c r="Q1997" s="32"/>
      <c r="R1997" s="32"/>
      <c r="S1997" s="32"/>
      <c r="T1997" s="32"/>
      <c r="U1997" s="32"/>
      <c r="V1997" s="31"/>
      <c r="W1997" s="35" t="str">
        <f aca="true">IF(OR(V1997="",AG1997&gt;=8),"",IF(V1997&lt;TODAY(),"Vencida",IF(V1997=TODAY(),"Hoy","")))</f>
        <v/>
      </c>
      <c r="X1997" s="36" t="str">
        <f aca="false">IF(A1997="","",IF(COUNTIF(Seguimiento!$B$2:$B$5001,A1997)=0,"",_xlfn.MAXIFS(Seguimiento!$A$2:$A$5001,Seguimiento!$B$2:$B$5001,A1997)))</f>
        <v/>
      </c>
      <c r="Y1997" s="37" t="str">
        <f aca="true">IF(B1997="","",TODAY()-B1997)</f>
        <v/>
      </c>
      <c r="Z1997" s="38" t="str">
        <f aca="false">IF(OR(O1997="",G1997=""),"",O1997*IFERROR(INDEX(Listas!$B$2:$B$50,MATCH(G1997,Listas!$A$2:$A$50,0)),0))</f>
        <v/>
      </c>
      <c r="AA1997" s="32"/>
      <c r="AB1997" s="32"/>
      <c r="AC1997" s="32"/>
      <c r="AD1997" s="35" t="str">
        <f aca="false">IF(OR(LEFT(H1997,4)="Meta",LEFT(H1997,6)="Google"),IF(AG1997=3,"Lead calificado",IF(OR(AG1997=4,AG1997=5),"Tasación/visita",IF(OR(AG1997=6,AG1997=7),"Captación/oferta",IF(AG1997=8,"Cierre","")))),"")</f>
        <v/>
      </c>
      <c r="AE1997" s="32"/>
      <c r="AF1997" s="32"/>
      <c r="AG1997" s="37" t="n">
        <f aca="false">IF(R1997="",0,IFERROR(MATCH(R1997,Listas!$L$2:$L$50,0),0))</f>
        <v>0</v>
      </c>
    </row>
    <row r="1998" customFormat="false" ht="15" hidden="false" customHeight="false" outlineLevel="0" collapsed="false">
      <c r="A1998" s="30"/>
      <c r="B1998" s="31"/>
      <c r="C1998" s="32"/>
      <c r="D1998" s="32"/>
      <c r="E1998" s="33"/>
      <c r="F1998" s="32"/>
      <c r="G1998" s="32"/>
      <c r="H1998" s="32"/>
      <c r="I1998" s="32"/>
      <c r="J1998" s="32"/>
      <c r="K1998" s="32"/>
      <c r="L1998" s="32"/>
      <c r="M1998" s="30"/>
      <c r="N1998" s="32"/>
      <c r="O1998" s="34"/>
      <c r="P1998" s="32"/>
      <c r="Q1998" s="32"/>
      <c r="R1998" s="32"/>
      <c r="S1998" s="32"/>
      <c r="T1998" s="32"/>
      <c r="U1998" s="32"/>
      <c r="V1998" s="31"/>
      <c r="W1998" s="35" t="str">
        <f aca="true">IF(OR(V1998="",AG1998&gt;=8),"",IF(V1998&lt;TODAY(),"Vencida",IF(V1998=TODAY(),"Hoy","")))</f>
        <v/>
      </c>
      <c r="X1998" s="36" t="str">
        <f aca="false">IF(A1998="","",IF(COUNTIF(Seguimiento!$B$2:$B$5001,A1998)=0,"",_xlfn.MAXIFS(Seguimiento!$A$2:$A$5001,Seguimiento!$B$2:$B$5001,A1998)))</f>
        <v/>
      </c>
      <c r="Y1998" s="37" t="str">
        <f aca="true">IF(B1998="","",TODAY()-B1998)</f>
        <v/>
      </c>
      <c r="Z1998" s="38" t="str">
        <f aca="false">IF(OR(O1998="",G1998=""),"",O1998*IFERROR(INDEX(Listas!$B$2:$B$50,MATCH(G1998,Listas!$A$2:$A$50,0)),0))</f>
        <v/>
      </c>
      <c r="AA1998" s="32"/>
      <c r="AB1998" s="32"/>
      <c r="AC1998" s="32"/>
      <c r="AD1998" s="35" t="str">
        <f aca="false">IF(OR(LEFT(H1998,4)="Meta",LEFT(H1998,6)="Google"),IF(AG1998=3,"Lead calificado",IF(OR(AG1998=4,AG1998=5),"Tasación/visita",IF(OR(AG1998=6,AG1998=7),"Captación/oferta",IF(AG1998=8,"Cierre","")))),"")</f>
        <v/>
      </c>
      <c r="AE1998" s="32"/>
      <c r="AF1998" s="32"/>
      <c r="AG1998" s="37" t="n">
        <f aca="false">IF(R1998="",0,IFERROR(MATCH(R1998,Listas!$L$2:$L$50,0),0))</f>
        <v>0</v>
      </c>
    </row>
    <row r="1999" customFormat="false" ht="15" hidden="false" customHeight="false" outlineLevel="0" collapsed="false">
      <c r="A1999" s="30"/>
      <c r="B1999" s="31"/>
      <c r="C1999" s="32"/>
      <c r="D1999" s="32"/>
      <c r="E1999" s="33"/>
      <c r="F1999" s="32"/>
      <c r="G1999" s="32"/>
      <c r="H1999" s="32"/>
      <c r="I1999" s="32"/>
      <c r="J1999" s="32"/>
      <c r="K1999" s="32"/>
      <c r="L1999" s="32"/>
      <c r="M1999" s="30"/>
      <c r="N1999" s="32"/>
      <c r="O1999" s="34"/>
      <c r="P1999" s="32"/>
      <c r="Q1999" s="32"/>
      <c r="R1999" s="32"/>
      <c r="S1999" s="32"/>
      <c r="T1999" s="32"/>
      <c r="U1999" s="32"/>
      <c r="V1999" s="31"/>
      <c r="W1999" s="35" t="str">
        <f aca="true">IF(OR(V1999="",AG1999&gt;=8),"",IF(V1999&lt;TODAY(),"Vencida",IF(V1999=TODAY(),"Hoy","")))</f>
        <v/>
      </c>
      <c r="X1999" s="36" t="str">
        <f aca="false">IF(A1999="","",IF(COUNTIF(Seguimiento!$B$2:$B$5001,A1999)=0,"",_xlfn.MAXIFS(Seguimiento!$A$2:$A$5001,Seguimiento!$B$2:$B$5001,A1999)))</f>
        <v/>
      </c>
      <c r="Y1999" s="37" t="str">
        <f aca="true">IF(B1999="","",TODAY()-B1999)</f>
        <v/>
      </c>
      <c r="Z1999" s="38" t="str">
        <f aca="false">IF(OR(O1999="",G1999=""),"",O1999*IFERROR(INDEX(Listas!$B$2:$B$50,MATCH(G1999,Listas!$A$2:$A$50,0)),0))</f>
        <v/>
      </c>
      <c r="AA1999" s="32"/>
      <c r="AB1999" s="32"/>
      <c r="AC1999" s="32"/>
      <c r="AD1999" s="35" t="str">
        <f aca="false">IF(OR(LEFT(H1999,4)="Meta",LEFT(H1999,6)="Google"),IF(AG1999=3,"Lead calificado",IF(OR(AG1999=4,AG1999=5),"Tasación/visita",IF(OR(AG1999=6,AG1999=7),"Captación/oferta",IF(AG1999=8,"Cierre","")))),"")</f>
        <v/>
      </c>
      <c r="AE1999" s="32"/>
      <c r="AF1999" s="32"/>
      <c r="AG1999" s="37" t="n">
        <f aca="false">IF(R1999="",0,IFERROR(MATCH(R1999,Listas!$L$2:$L$50,0),0))</f>
        <v>0</v>
      </c>
    </row>
    <row r="2000" customFormat="false" ht="15" hidden="false" customHeight="false" outlineLevel="0" collapsed="false">
      <c r="A2000" s="30"/>
      <c r="B2000" s="31"/>
      <c r="C2000" s="32"/>
      <c r="D2000" s="32"/>
      <c r="E2000" s="33"/>
      <c r="F2000" s="32"/>
      <c r="G2000" s="32"/>
      <c r="H2000" s="32"/>
      <c r="I2000" s="32"/>
      <c r="J2000" s="32"/>
      <c r="K2000" s="32"/>
      <c r="L2000" s="32"/>
      <c r="M2000" s="30"/>
      <c r="N2000" s="32"/>
      <c r="O2000" s="34"/>
      <c r="P2000" s="32"/>
      <c r="Q2000" s="32"/>
      <c r="R2000" s="32"/>
      <c r="S2000" s="32"/>
      <c r="T2000" s="32"/>
      <c r="U2000" s="32"/>
      <c r="V2000" s="31"/>
      <c r="W2000" s="35" t="str">
        <f aca="true">IF(OR(V2000="",AG2000&gt;=8),"",IF(V2000&lt;TODAY(),"Vencida",IF(V2000=TODAY(),"Hoy","")))</f>
        <v/>
      </c>
      <c r="X2000" s="36" t="str">
        <f aca="false">IF(A2000="","",IF(COUNTIF(Seguimiento!$B$2:$B$5001,A2000)=0,"",_xlfn.MAXIFS(Seguimiento!$A$2:$A$5001,Seguimiento!$B$2:$B$5001,A2000)))</f>
        <v/>
      </c>
      <c r="Y2000" s="37" t="str">
        <f aca="true">IF(B2000="","",TODAY()-B2000)</f>
        <v/>
      </c>
      <c r="Z2000" s="38" t="str">
        <f aca="false">IF(OR(O2000="",G2000=""),"",O2000*IFERROR(INDEX(Listas!$B$2:$B$50,MATCH(G2000,Listas!$A$2:$A$50,0)),0))</f>
        <v/>
      </c>
      <c r="AA2000" s="32"/>
      <c r="AB2000" s="32"/>
      <c r="AC2000" s="32"/>
      <c r="AD2000" s="35" t="str">
        <f aca="false">IF(OR(LEFT(H2000,4)="Meta",LEFT(H2000,6)="Google"),IF(AG2000=3,"Lead calificado",IF(OR(AG2000=4,AG2000=5),"Tasación/visita",IF(OR(AG2000=6,AG2000=7),"Captación/oferta",IF(AG2000=8,"Cierre","")))),"")</f>
        <v/>
      </c>
      <c r="AE2000" s="32"/>
      <c r="AF2000" s="32"/>
      <c r="AG2000" s="37" t="n">
        <f aca="false">IF(R2000="",0,IFERROR(MATCH(R2000,Listas!$L$2:$L$50,0),0))</f>
        <v>0</v>
      </c>
    </row>
    <row r="2001" customFormat="false" ht="15" hidden="false" customHeight="false" outlineLevel="0" collapsed="false">
      <c r="A2001" s="30"/>
      <c r="B2001" s="31"/>
      <c r="C2001" s="32"/>
      <c r="D2001" s="32"/>
      <c r="E2001" s="33"/>
      <c r="F2001" s="32"/>
      <c r="G2001" s="32"/>
      <c r="H2001" s="32"/>
      <c r="I2001" s="32"/>
      <c r="J2001" s="32"/>
      <c r="K2001" s="32"/>
      <c r="L2001" s="32"/>
      <c r="M2001" s="30"/>
      <c r="N2001" s="32"/>
      <c r="O2001" s="34"/>
      <c r="P2001" s="32"/>
      <c r="Q2001" s="32"/>
      <c r="R2001" s="32"/>
      <c r="S2001" s="32"/>
      <c r="T2001" s="32"/>
      <c r="U2001" s="32"/>
      <c r="V2001" s="31"/>
      <c r="W2001" s="35" t="str">
        <f aca="true">IF(OR(V2001="",AG2001&gt;=8),"",IF(V2001&lt;TODAY(),"Vencida",IF(V2001=TODAY(),"Hoy","")))</f>
        <v/>
      </c>
      <c r="X2001" s="36" t="str">
        <f aca="false">IF(A2001="","",IF(COUNTIF(Seguimiento!$B$2:$B$5001,A2001)=0,"",_xlfn.MAXIFS(Seguimiento!$A$2:$A$5001,Seguimiento!$B$2:$B$5001,A2001)))</f>
        <v/>
      </c>
      <c r="Y2001" s="37" t="str">
        <f aca="true">IF(B2001="","",TODAY()-B2001)</f>
        <v/>
      </c>
      <c r="Z2001" s="38" t="str">
        <f aca="false">IF(OR(O2001="",G2001=""),"",O2001*IFERROR(INDEX(Listas!$B$2:$B$50,MATCH(G2001,Listas!$A$2:$A$50,0)),0))</f>
        <v/>
      </c>
      <c r="AA2001" s="32"/>
      <c r="AB2001" s="32"/>
      <c r="AC2001" s="32"/>
      <c r="AD2001" s="35" t="str">
        <f aca="false">IF(OR(LEFT(H2001,4)="Meta",LEFT(H2001,6)="Google"),IF(AG2001=3,"Lead calificado",IF(OR(AG2001=4,AG2001=5),"Tasación/visita",IF(OR(AG2001=6,AG2001=7),"Captación/oferta",IF(AG2001=8,"Cierre","")))),"")</f>
        <v/>
      </c>
      <c r="AE2001" s="32"/>
      <c r="AF2001" s="32"/>
      <c r="AG2001" s="37" t="n">
        <f aca="false">IF(R2001="",0,IFERROR(MATCH(R2001,Listas!$L$2:$L$50,0),0))</f>
        <v>0</v>
      </c>
    </row>
  </sheetData>
  <conditionalFormatting sqref="W2:W2001">
    <cfRule type="cellIs" priority="2" operator="equal" aboveAverage="0" equalAverage="0" bottom="0" percent="0" rank="0" text="" dxfId="0">
      <formula>"Vencida"</formula>
    </cfRule>
    <cfRule type="cellIs" priority="3" operator="equal" aboveAverage="0" equalAverage="0" bottom="0" percent="0" rank="0" text="" dxfId="14">
      <formula>"Hoy"</formula>
    </cfRule>
  </conditionalFormatting>
  <conditionalFormatting sqref="G2:G2001">
    <cfRule type="cellIs" priority="4" operator="equal" aboveAverage="0" equalAverage="0" bottom="0" percent="0" rank="0" text="" dxfId="15">
      <formula>"Colega inmobiliario"</formula>
    </cfRule>
  </conditionalFormatting>
  <conditionalFormatting sqref="S2:S2001">
    <cfRule type="cellIs" priority="5" operator="equal" aboveAverage="0" equalAverage="0" bottom="0" percent="0" rank="0" text="" dxfId="15">
      <formula>"Caliente"</formula>
    </cfRule>
    <cfRule type="cellIs" priority="6" operator="equal" aboveAverage="0" equalAverage="0" bottom="0" percent="0" rank="0" text="" dxfId="16">
      <formula>"Tibio"</formula>
    </cfRule>
    <cfRule type="cellIs" priority="7" operator="equal" aboveAverage="0" equalAverage="0" bottom="0" percent="0" rank="0" text="" dxfId="17">
      <formula>"Frío"</formula>
    </cfRule>
  </conditionalFormatting>
  <conditionalFormatting sqref="A2:AG2001">
    <cfRule type="expression" priority="8" aboveAverage="0" equalAverage="0" bottom="0" percent="0" rank="0" text="" dxfId="18">
      <formula>OR($R2="Descartado",$R2="Perdido")</formula>
    </cfRule>
    <cfRule type="expression" priority="9" aboveAverage="0" equalAverage="0" bottom="0" percent="0" rank="0" text="" dxfId="19">
      <formula>$R2="8. Cerrado (ganado)"</formula>
    </cfRule>
  </conditionalFormatting>
  <dataValidations count="10">
    <dataValidation allowBlank="true" error="Elegí una opción de la lista (podés sumar opciones en la hoja Listas)." errorStyle="stop" errorTitle="Valor no válido" operator="between" showDropDown="false" showErrorMessage="true" showInputMessage="false" sqref="G2:G2001" type="list">
      <formula1>lst_tipo</formula1>
      <formula2>0</formula2>
    </dataValidation>
    <dataValidation allowBlank="true" error="Elegí una opción de la lista (podés sumar opciones en la hoja Listas)." errorStyle="stop" errorTitle="Valor no válido" operator="between" showDropDown="false" showErrorMessage="true" showInputMessage="false" sqref="H2:H2001" type="list">
      <formula1>lst_origen</formula1>
      <formula2>0</formula2>
    </dataValidation>
    <dataValidation allowBlank="true" error="Elegí una opción de la lista (podés sumar opciones en la hoja Listas)." errorStyle="stop" errorTitle="Valor no válido" operator="between" showDropDown="false" showErrorMessage="true" showInputMessage="false" sqref="L2:L2001" type="list">
      <formula1>lst_propiedad</formula1>
      <formula2>0</formula2>
    </dataValidation>
    <dataValidation allowBlank="true" error="Elegí una opción de la lista (podés sumar opciones en la hoja Listas)." errorStyle="stop" errorTitle="Valor no válido" operator="between" showDropDown="false" showErrorMessage="true" showInputMessage="false" sqref="P2:P2001" type="list">
      <formula1>lst_plazo</formula1>
      <formula2>0</formula2>
    </dataValidation>
    <dataValidation allowBlank="true" error="Elegí una opción de la lista (podés sumar opciones en la hoja Listas)." errorStyle="stop" errorTitle="Valor no válido" operator="between" showDropDown="false" showErrorMessage="true" showInputMessage="false" sqref="Q2:Q2001" type="list">
      <formula1>lst_pago</formula1>
      <formula2>0</formula2>
    </dataValidation>
    <dataValidation allowBlank="true" error="Elegí una opción de la lista (podés sumar opciones en la hoja Listas)." errorStyle="stop" errorTitle="Valor no válido" operator="between" showDropDown="false" showErrorMessage="true" showInputMessage="false" sqref="R2:R2001" type="list">
      <formula1>lst_etapa</formula1>
      <formula2>0</formula2>
    </dataValidation>
    <dataValidation allowBlank="true" error="Elegí una opción de la lista (podés sumar opciones en la hoja Listas)." errorStyle="stop" errorTitle="Valor no válido" operator="between" showDropDown="false" showErrorMessage="true" showInputMessage="false" sqref="S2:S2001" type="list">
      <formula1>lst_temp</formula1>
      <formula2>0</formula2>
    </dataValidation>
    <dataValidation allowBlank="true" error="Elegí una opción de la lista (podés sumar opciones en la hoja Listas)." errorStyle="stop" errorTitle="Valor no válido" operator="between" showDropDown="false" showErrorMessage="true" showInputMessage="false" sqref="T2:T2001" type="list">
      <formula1>lst_motivo</formula1>
      <formula2>0</formula2>
    </dataValidation>
    <dataValidation allowBlank="true" error="Elegí una opción de la lista (podés sumar opciones en la hoja Listas)." errorStyle="stop" errorTitle="Valor no válido" operator="between" showDropDown="false" showErrorMessage="true" showInputMessage="false" sqref="AA2:AA2001" type="list">
      <formula1>lst_sino</formula1>
      <formula2>0</formula2>
    </dataValidation>
    <dataValidation allowBlank="true" error="Elegí una opción de la lista (podés sumar opciones en la hoja Listas)." errorStyle="stop" errorTitle="Valor no válido" operator="between" showDropDown="false" showErrorMessage="true" showInputMessage="false" sqref="AE2:AE2001" type="list">
      <formula1>lst_sino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55A11"/>
    <pageSetUpPr fitToPage="false"/>
  </sheetPr>
  <dimension ref="A1:G100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8"/>
    <col collapsed="false" customWidth="true" hidden="false" outlineLevel="0" max="3" min="3" style="0" width="22"/>
    <col collapsed="false" customWidth="true" hidden="false" outlineLevel="0" max="4" min="4" style="0" width="18"/>
    <col collapsed="false" customWidth="true" hidden="false" outlineLevel="0" max="5" min="5" style="0" width="22"/>
    <col collapsed="false" customWidth="true" hidden="false" outlineLevel="0" max="6" min="6" style="0" width="50"/>
    <col collapsed="false" customWidth="true" hidden="false" outlineLevel="0" max="7" min="7" style="0" width="35"/>
  </cols>
  <sheetData>
    <row r="1" customFormat="false" ht="30" hidden="false" customHeight="true" outlineLevel="0" collapsed="false">
      <c r="A1" s="18" t="s">
        <v>164</v>
      </c>
      <c r="B1" s="18" t="s">
        <v>165</v>
      </c>
      <c r="C1" s="28" t="s">
        <v>166</v>
      </c>
      <c r="D1" s="28" t="s">
        <v>167</v>
      </c>
      <c r="E1" s="25" t="s">
        <v>168</v>
      </c>
      <c r="F1" s="25" t="s">
        <v>169</v>
      </c>
      <c r="G1" s="25" t="s">
        <v>170</v>
      </c>
    </row>
    <row r="2" customFormat="false" ht="15" hidden="false" customHeight="false" outlineLevel="0" collapsed="false">
      <c r="A2" s="31" t="n">
        <v>46298</v>
      </c>
      <c r="B2" s="32" t="n">
        <v>1</v>
      </c>
      <c r="C2" s="35" t="str">
        <f aca="false">IF(B2="","",IFERROR(INDEX(Leads!$C$2:$C$5001,MATCH(B2,Leads!$A$2:$A$5001,0))&amp;" "&amp;INDEX(Leads!$D$2:$D$5001,MATCH(B2,Leads!$A$2:$A$5001,0)),"N° no encontrado"))</f>
        <v>Laura Gómez</v>
      </c>
      <c r="D2" s="35" t="str">
        <f aca="false">IF(B2="","",IFERROR(INDEX(Leads!$G$2:$G$5001,MATCH(B2,Leads!$A$2:$A$5001,0)),""))</f>
        <v>Vendedor</v>
      </c>
      <c r="E2" s="32" t="s">
        <v>171</v>
      </c>
      <c r="F2" s="32" t="s">
        <v>172</v>
      </c>
      <c r="G2" s="32" t="s">
        <v>173</v>
      </c>
    </row>
    <row r="3" customFormat="false" ht="15" hidden="false" customHeight="false" outlineLevel="0" collapsed="false">
      <c r="A3" s="31" t="n">
        <v>46300</v>
      </c>
      <c r="B3" s="32" t="n">
        <v>1</v>
      </c>
      <c r="C3" s="35" t="str">
        <f aca="false">IF(B3="","",IFERROR(INDEX(Leads!$C$2:$C$5001,MATCH(B3,Leads!$A$2:$A$5001,0))&amp;" "&amp;INDEX(Leads!$D$2:$D$5001,MATCH(B3,Leads!$A$2:$A$5001,0)),"N° no encontrado"))</f>
        <v>Laura Gómez</v>
      </c>
      <c r="D3" s="35" t="str">
        <f aca="false">IF(B3="","",IFERROR(INDEX(Leads!$G$2:$G$5001,MATCH(B3,Leads!$A$2:$A$5001,0)),""))</f>
        <v>Vendedor</v>
      </c>
      <c r="E3" s="32" t="s">
        <v>174</v>
      </c>
      <c r="F3" s="32" t="s">
        <v>175</v>
      </c>
      <c r="G3" s="32" t="s">
        <v>176</v>
      </c>
    </row>
    <row r="4" customFormat="false" ht="15" hidden="false" customHeight="false" outlineLevel="0" collapsed="false">
      <c r="A4" s="31" t="n">
        <v>46302</v>
      </c>
      <c r="B4" s="32" t="n">
        <v>2</v>
      </c>
      <c r="C4" s="35" t="str">
        <f aca="false">IF(B4="","",IFERROR(INDEX(Leads!$C$2:$C$5001,MATCH(B4,Leads!$A$2:$A$5001,0))&amp;" "&amp;INDEX(Leads!$D$2:$D$5001,MATCH(B4,Leads!$A$2:$A$5001,0)),"N° no encontrado"))</f>
        <v>Martín Pérez</v>
      </c>
      <c r="D4" s="35" t="str">
        <f aca="false">IF(B4="","",IFERROR(INDEX(Leads!$G$2:$G$5001,MATCH(B4,Leads!$A$2:$A$5001,0)),""))</f>
        <v>Comprador</v>
      </c>
      <c r="E4" s="32" t="s">
        <v>171</v>
      </c>
      <c r="F4" s="32" t="s">
        <v>177</v>
      </c>
      <c r="G4" s="32" t="s">
        <v>178</v>
      </c>
    </row>
    <row r="5" customFormat="false" ht="15" hidden="false" customHeight="false" outlineLevel="0" collapsed="false">
      <c r="A5" s="31"/>
      <c r="B5" s="32"/>
      <c r="C5" s="35" t="str">
        <f aca="false">IF(B5="","",IFERROR(INDEX(Leads!$C$2:$C$5001,MATCH(B5,Leads!$A$2:$A$5001,0))&amp;" "&amp;INDEX(Leads!$D$2:$D$5001,MATCH(B5,Leads!$A$2:$A$5001,0)),"N° no encontrado"))</f>
        <v/>
      </c>
      <c r="D5" s="35" t="str">
        <f aca="false">IF(B5="","",IFERROR(INDEX(Leads!$G$2:$G$5001,MATCH(B5,Leads!$A$2:$A$5001,0)),""))</f>
        <v/>
      </c>
      <c r="E5" s="32"/>
      <c r="F5" s="32"/>
      <c r="G5" s="32"/>
    </row>
    <row r="6" customFormat="false" ht="15" hidden="false" customHeight="false" outlineLevel="0" collapsed="false">
      <c r="A6" s="31"/>
      <c r="B6" s="32"/>
      <c r="C6" s="35" t="str">
        <f aca="false">IF(B6="","",IFERROR(INDEX(Leads!$C$2:$C$5001,MATCH(B6,Leads!$A$2:$A$5001,0))&amp;" "&amp;INDEX(Leads!$D$2:$D$5001,MATCH(B6,Leads!$A$2:$A$5001,0)),"N° no encontrado"))</f>
        <v/>
      </c>
      <c r="D6" s="35" t="str">
        <f aca="false">IF(B6="","",IFERROR(INDEX(Leads!$G$2:$G$5001,MATCH(B6,Leads!$A$2:$A$5001,0)),""))</f>
        <v/>
      </c>
      <c r="E6" s="32"/>
      <c r="F6" s="32"/>
      <c r="G6" s="32"/>
    </row>
    <row r="7" customFormat="false" ht="15" hidden="false" customHeight="false" outlineLevel="0" collapsed="false">
      <c r="A7" s="31"/>
      <c r="B7" s="32"/>
      <c r="C7" s="35" t="str">
        <f aca="false">IF(B7="","",IFERROR(INDEX(Leads!$C$2:$C$5001,MATCH(B7,Leads!$A$2:$A$5001,0))&amp;" "&amp;INDEX(Leads!$D$2:$D$5001,MATCH(B7,Leads!$A$2:$A$5001,0)),"N° no encontrado"))</f>
        <v/>
      </c>
      <c r="D7" s="35" t="str">
        <f aca="false">IF(B7="","",IFERROR(INDEX(Leads!$G$2:$G$5001,MATCH(B7,Leads!$A$2:$A$5001,0)),""))</f>
        <v/>
      </c>
      <c r="E7" s="32"/>
      <c r="F7" s="32"/>
      <c r="G7" s="32"/>
    </row>
    <row r="8" customFormat="false" ht="15" hidden="false" customHeight="false" outlineLevel="0" collapsed="false">
      <c r="A8" s="31"/>
      <c r="B8" s="32"/>
      <c r="C8" s="35" t="str">
        <f aca="false">IF(B8="","",IFERROR(INDEX(Leads!$C$2:$C$5001,MATCH(B8,Leads!$A$2:$A$5001,0))&amp;" "&amp;INDEX(Leads!$D$2:$D$5001,MATCH(B8,Leads!$A$2:$A$5001,0)),"N° no encontrado"))</f>
        <v/>
      </c>
      <c r="D8" s="35" t="str">
        <f aca="false">IF(B8="","",IFERROR(INDEX(Leads!$G$2:$G$5001,MATCH(B8,Leads!$A$2:$A$5001,0)),""))</f>
        <v/>
      </c>
      <c r="E8" s="32"/>
      <c r="F8" s="32"/>
      <c r="G8" s="32"/>
    </row>
    <row r="9" customFormat="false" ht="15" hidden="false" customHeight="false" outlineLevel="0" collapsed="false">
      <c r="A9" s="31"/>
      <c r="B9" s="32"/>
      <c r="C9" s="35" t="str">
        <f aca="false">IF(B9="","",IFERROR(INDEX(Leads!$C$2:$C$5001,MATCH(B9,Leads!$A$2:$A$5001,0))&amp;" "&amp;INDEX(Leads!$D$2:$D$5001,MATCH(B9,Leads!$A$2:$A$5001,0)),"N° no encontrado"))</f>
        <v/>
      </c>
      <c r="D9" s="35" t="str">
        <f aca="false">IF(B9="","",IFERROR(INDEX(Leads!$G$2:$G$5001,MATCH(B9,Leads!$A$2:$A$5001,0)),""))</f>
        <v/>
      </c>
      <c r="E9" s="32"/>
      <c r="F9" s="32"/>
      <c r="G9" s="32"/>
    </row>
    <row r="10" customFormat="false" ht="15" hidden="false" customHeight="false" outlineLevel="0" collapsed="false">
      <c r="A10" s="31"/>
      <c r="B10" s="32"/>
      <c r="C10" s="35" t="str">
        <f aca="false">IF(B10="","",IFERROR(INDEX(Leads!$C$2:$C$5001,MATCH(B10,Leads!$A$2:$A$5001,0))&amp;" "&amp;INDEX(Leads!$D$2:$D$5001,MATCH(B10,Leads!$A$2:$A$5001,0)),"N° no encontrado"))</f>
        <v/>
      </c>
      <c r="D10" s="35" t="str">
        <f aca="false">IF(B10="","",IFERROR(INDEX(Leads!$G$2:$G$5001,MATCH(B10,Leads!$A$2:$A$5001,0)),""))</f>
        <v/>
      </c>
      <c r="E10" s="32"/>
      <c r="F10" s="32"/>
      <c r="G10" s="32"/>
    </row>
    <row r="11" customFormat="false" ht="15" hidden="false" customHeight="false" outlineLevel="0" collapsed="false">
      <c r="A11" s="31"/>
      <c r="B11" s="32"/>
      <c r="C11" s="35" t="str">
        <f aca="false">IF(B11="","",IFERROR(INDEX(Leads!$C$2:$C$5001,MATCH(B11,Leads!$A$2:$A$5001,0))&amp;" "&amp;INDEX(Leads!$D$2:$D$5001,MATCH(B11,Leads!$A$2:$A$5001,0)),"N° no encontrado"))</f>
        <v/>
      </c>
      <c r="D11" s="35" t="str">
        <f aca="false">IF(B11="","",IFERROR(INDEX(Leads!$G$2:$G$5001,MATCH(B11,Leads!$A$2:$A$5001,0)),""))</f>
        <v/>
      </c>
      <c r="E11" s="32"/>
      <c r="F11" s="32"/>
      <c r="G11" s="32"/>
    </row>
    <row r="12" customFormat="false" ht="15" hidden="false" customHeight="false" outlineLevel="0" collapsed="false">
      <c r="A12" s="31"/>
      <c r="B12" s="32"/>
      <c r="C12" s="35" t="str">
        <f aca="false">IF(B12="","",IFERROR(INDEX(Leads!$C$2:$C$5001,MATCH(B12,Leads!$A$2:$A$5001,0))&amp;" "&amp;INDEX(Leads!$D$2:$D$5001,MATCH(B12,Leads!$A$2:$A$5001,0)),"N° no encontrado"))</f>
        <v/>
      </c>
      <c r="D12" s="35" t="str">
        <f aca="false">IF(B12="","",IFERROR(INDEX(Leads!$G$2:$G$5001,MATCH(B12,Leads!$A$2:$A$5001,0)),""))</f>
        <v/>
      </c>
      <c r="E12" s="32"/>
      <c r="F12" s="32"/>
      <c r="G12" s="32"/>
    </row>
    <row r="13" customFormat="false" ht="15" hidden="false" customHeight="false" outlineLevel="0" collapsed="false">
      <c r="A13" s="31"/>
      <c r="B13" s="32"/>
      <c r="C13" s="35" t="str">
        <f aca="false">IF(B13="","",IFERROR(INDEX(Leads!$C$2:$C$5001,MATCH(B13,Leads!$A$2:$A$5001,0))&amp;" "&amp;INDEX(Leads!$D$2:$D$5001,MATCH(B13,Leads!$A$2:$A$5001,0)),"N° no encontrado"))</f>
        <v/>
      </c>
      <c r="D13" s="35" t="str">
        <f aca="false">IF(B13="","",IFERROR(INDEX(Leads!$G$2:$G$5001,MATCH(B13,Leads!$A$2:$A$5001,0)),""))</f>
        <v/>
      </c>
      <c r="E13" s="32"/>
      <c r="F13" s="32"/>
      <c r="G13" s="32"/>
    </row>
    <row r="14" customFormat="false" ht="15" hidden="false" customHeight="false" outlineLevel="0" collapsed="false">
      <c r="A14" s="31"/>
      <c r="B14" s="32"/>
      <c r="C14" s="35" t="str">
        <f aca="false">IF(B14="","",IFERROR(INDEX(Leads!$C$2:$C$5001,MATCH(B14,Leads!$A$2:$A$5001,0))&amp;" "&amp;INDEX(Leads!$D$2:$D$5001,MATCH(B14,Leads!$A$2:$A$5001,0)),"N° no encontrado"))</f>
        <v/>
      </c>
      <c r="D14" s="35" t="str">
        <f aca="false">IF(B14="","",IFERROR(INDEX(Leads!$G$2:$G$5001,MATCH(B14,Leads!$A$2:$A$5001,0)),""))</f>
        <v/>
      </c>
      <c r="E14" s="32"/>
      <c r="F14" s="32"/>
      <c r="G14" s="32"/>
    </row>
    <row r="15" customFormat="false" ht="15" hidden="false" customHeight="false" outlineLevel="0" collapsed="false">
      <c r="A15" s="31"/>
      <c r="B15" s="32"/>
      <c r="C15" s="35" t="str">
        <f aca="false">IF(B15="","",IFERROR(INDEX(Leads!$C$2:$C$5001,MATCH(B15,Leads!$A$2:$A$5001,0))&amp;" "&amp;INDEX(Leads!$D$2:$D$5001,MATCH(B15,Leads!$A$2:$A$5001,0)),"N° no encontrado"))</f>
        <v/>
      </c>
      <c r="D15" s="35" t="str">
        <f aca="false">IF(B15="","",IFERROR(INDEX(Leads!$G$2:$G$5001,MATCH(B15,Leads!$A$2:$A$5001,0)),""))</f>
        <v/>
      </c>
      <c r="E15" s="32"/>
      <c r="F15" s="32"/>
      <c r="G15" s="32"/>
    </row>
    <row r="16" customFormat="false" ht="15" hidden="false" customHeight="false" outlineLevel="0" collapsed="false">
      <c r="A16" s="31"/>
      <c r="B16" s="32"/>
      <c r="C16" s="35" t="str">
        <f aca="false">IF(B16="","",IFERROR(INDEX(Leads!$C$2:$C$5001,MATCH(B16,Leads!$A$2:$A$5001,0))&amp;" "&amp;INDEX(Leads!$D$2:$D$5001,MATCH(B16,Leads!$A$2:$A$5001,0)),"N° no encontrado"))</f>
        <v/>
      </c>
      <c r="D16" s="35" t="str">
        <f aca="false">IF(B16="","",IFERROR(INDEX(Leads!$G$2:$G$5001,MATCH(B16,Leads!$A$2:$A$5001,0)),""))</f>
        <v/>
      </c>
      <c r="E16" s="32"/>
      <c r="F16" s="32"/>
      <c r="G16" s="32"/>
    </row>
    <row r="17" customFormat="false" ht="15" hidden="false" customHeight="false" outlineLevel="0" collapsed="false">
      <c r="A17" s="31"/>
      <c r="B17" s="32"/>
      <c r="C17" s="35" t="str">
        <f aca="false">IF(B17="","",IFERROR(INDEX(Leads!$C$2:$C$5001,MATCH(B17,Leads!$A$2:$A$5001,0))&amp;" "&amp;INDEX(Leads!$D$2:$D$5001,MATCH(B17,Leads!$A$2:$A$5001,0)),"N° no encontrado"))</f>
        <v/>
      </c>
      <c r="D17" s="35" t="str">
        <f aca="false">IF(B17="","",IFERROR(INDEX(Leads!$G$2:$G$5001,MATCH(B17,Leads!$A$2:$A$5001,0)),""))</f>
        <v/>
      </c>
      <c r="E17" s="32"/>
      <c r="F17" s="32"/>
      <c r="G17" s="32"/>
    </row>
    <row r="18" customFormat="false" ht="15" hidden="false" customHeight="false" outlineLevel="0" collapsed="false">
      <c r="A18" s="31"/>
      <c r="B18" s="32"/>
      <c r="C18" s="35" t="str">
        <f aca="false">IF(B18="","",IFERROR(INDEX(Leads!$C$2:$C$5001,MATCH(B18,Leads!$A$2:$A$5001,0))&amp;" "&amp;INDEX(Leads!$D$2:$D$5001,MATCH(B18,Leads!$A$2:$A$5001,0)),"N° no encontrado"))</f>
        <v/>
      </c>
      <c r="D18" s="35" t="str">
        <f aca="false">IF(B18="","",IFERROR(INDEX(Leads!$G$2:$G$5001,MATCH(B18,Leads!$A$2:$A$5001,0)),""))</f>
        <v/>
      </c>
      <c r="E18" s="32"/>
      <c r="F18" s="32"/>
      <c r="G18" s="32"/>
    </row>
    <row r="19" customFormat="false" ht="15" hidden="false" customHeight="false" outlineLevel="0" collapsed="false">
      <c r="A19" s="31"/>
      <c r="B19" s="32"/>
      <c r="C19" s="35" t="str">
        <f aca="false">IF(B19="","",IFERROR(INDEX(Leads!$C$2:$C$5001,MATCH(B19,Leads!$A$2:$A$5001,0))&amp;" "&amp;INDEX(Leads!$D$2:$D$5001,MATCH(B19,Leads!$A$2:$A$5001,0)),"N° no encontrado"))</f>
        <v/>
      </c>
      <c r="D19" s="35" t="str">
        <f aca="false">IF(B19="","",IFERROR(INDEX(Leads!$G$2:$G$5001,MATCH(B19,Leads!$A$2:$A$5001,0)),""))</f>
        <v/>
      </c>
      <c r="E19" s="32"/>
      <c r="F19" s="32"/>
      <c r="G19" s="32"/>
    </row>
    <row r="20" customFormat="false" ht="15" hidden="false" customHeight="false" outlineLevel="0" collapsed="false">
      <c r="A20" s="31"/>
      <c r="B20" s="32"/>
      <c r="C20" s="35" t="str">
        <f aca="false">IF(B20="","",IFERROR(INDEX(Leads!$C$2:$C$5001,MATCH(B20,Leads!$A$2:$A$5001,0))&amp;" "&amp;INDEX(Leads!$D$2:$D$5001,MATCH(B20,Leads!$A$2:$A$5001,0)),"N° no encontrado"))</f>
        <v/>
      </c>
      <c r="D20" s="35" t="str">
        <f aca="false">IF(B20="","",IFERROR(INDEX(Leads!$G$2:$G$5001,MATCH(B20,Leads!$A$2:$A$5001,0)),""))</f>
        <v/>
      </c>
      <c r="E20" s="32"/>
      <c r="F20" s="32"/>
      <c r="G20" s="32"/>
    </row>
    <row r="21" customFormat="false" ht="15" hidden="false" customHeight="false" outlineLevel="0" collapsed="false">
      <c r="A21" s="31"/>
      <c r="B21" s="32"/>
      <c r="C21" s="35" t="str">
        <f aca="false">IF(B21="","",IFERROR(INDEX(Leads!$C$2:$C$5001,MATCH(B21,Leads!$A$2:$A$5001,0))&amp;" "&amp;INDEX(Leads!$D$2:$D$5001,MATCH(B21,Leads!$A$2:$A$5001,0)),"N° no encontrado"))</f>
        <v/>
      </c>
      <c r="D21" s="35" t="str">
        <f aca="false">IF(B21="","",IFERROR(INDEX(Leads!$G$2:$G$5001,MATCH(B21,Leads!$A$2:$A$5001,0)),""))</f>
        <v/>
      </c>
      <c r="E21" s="32"/>
      <c r="F21" s="32"/>
      <c r="G21" s="32"/>
    </row>
    <row r="22" customFormat="false" ht="15" hidden="false" customHeight="false" outlineLevel="0" collapsed="false">
      <c r="A22" s="31"/>
      <c r="B22" s="32"/>
      <c r="C22" s="35" t="str">
        <f aca="false">IF(B22="","",IFERROR(INDEX(Leads!$C$2:$C$5001,MATCH(B22,Leads!$A$2:$A$5001,0))&amp;" "&amp;INDEX(Leads!$D$2:$D$5001,MATCH(B22,Leads!$A$2:$A$5001,0)),"N° no encontrado"))</f>
        <v/>
      </c>
      <c r="D22" s="35" t="str">
        <f aca="false">IF(B22="","",IFERROR(INDEX(Leads!$G$2:$G$5001,MATCH(B22,Leads!$A$2:$A$5001,0)),""))</f>
        <v/>
      </c>
      <c r="E22" s="32"/>
      <c r="F22" s="32"/>
      <c r="G22" s="32"/>
    </row>
    <row r="23" customFormat="false" ht="15" hidden="false" customHeight="false" outlineLevel="0" collapsed="false">
      <c r="A23" s="31"/>
      <c r="B23" s="32"/>
      <c r="C23" s="35" t="str">
        <f aca="false">IF(B23="","",IFERROR(INDEX(Leads!$C$2:$C$5001,MATCH(B23,Leads!$A$2:$A$5001,0))&amp;" "&amp;INDEX(Leads!$D$2:$D$5001,MATCH(B23,Leads!$A$2:$A$5001,0)),"N° no encontrado"))</f>
        <v/>
      </c>
      <c r="D23" s="35" t="str">
        <f aca="false">IF(B23="","",IFERROR(INDEX(Leads!$G$2:$G$5001,MATCH(B23,Leads!$A$2:$A$5001,0)),""))</f>
        <v/>
      </c>
      <c r="E23" s="32"/>
      <c r="F23" s="32"/>
      <c r="G23" s="32"/>
    </row>
    <row r="24" customFormat="false" ht="15" hidden="false" customHeight="false" outlineLevel="0" collapsed="false">
      <c r="A24" s="31"/>
      <c r="B24" s="32"/>
      <c r="C24" s="35" t="str">
        <f aca="false">IF(B24="","",IFERROR(INDEX(Leads!$C$2:$C$5001,MATCH(B24,Leads!$A$2:$A$5001,0))&amp;" "&amp;INDEX(Leads!$D$2:$D$5001,MATCH(B24,Leads!$A$2:$A$5001,0)),"N° no encontrado"))</f>
        <v/>
      </c>
      <c r="D24" s="35" t="str">
        <f aca="false">IF(B24="","",IFERROR(INDEX(Leads!$G$2:$G$5001,MATCH(B24,Leads!$A$2:$A$5001,0)),""))</f>
        <v/>
      </c>
      <c r="E24" s="32"/>
      <c r="F24" s="32"/>
      <c r="G24" s="32"/>
    </row>
    <row r="25" customFormat="false" ht="15" hidden="false" customHeight="false" outlineLevel="0" collapsed="false">
      <c r="A25" s="31"/>
      <c r="B25" s="32"/>
      <c r="C25" s="35" t="str">
        <f aca="false">IF(B25="","",IFERROR(INDEX(Leads!$C$2:$C$5001,MATCH(B25,Leads!$A$2:$A$5001,0))&amp;" "&amp;INDEX(Leads!$D$2:$D$5001,MATCH(B25,Leads!$A$2:$A$5001,0)),"N° no encontrado"))</f>
        <v/>
      </c>
      <c r="D25" s="35" t="str">
        <f aca="false">IF(B25="","",IFERROR(INDEX(Leads!$G$2:$G$5001,MATCH(B25,Leads!$A$2:$A$5001,0)),""))</f>
        <v/>
      </c>
      <c r="E25" s="32"/>
      <c r="F25" s="32"/>
      <c r="G25" s="32"/>
    </row>
    <row r="26" customFormat="false" ht="15" hidden="false" customHeight="false" outlineLevel="0" collapsed="false">
      <c r="A26" s="31"/>
      <c r="B26" s="32"/>
      <c r="C26" s="35" t="str">
        <f aca="false">IF(B26="","",IFERROR(INDEX(Leads!$C$2:$C$5001,MATCH(B26,Leads!$A$2:$A$5001,0))&amp;" "&amp;INDEX(Leads!$D$2:$D$5001,MATCH(B26,Leads!$A$2:$A$5001,0)),"N° no encontrado"))</f>
        <v/>
      </c>
      <c r="D26" s="35" t="str">
        <f aca="false">IF(B26="","",IFERROR(INDEX(Leads!$G$2:$G$5001,MATCH(B26,Leads!$A$2:$A$5001,0)),""))</f>
        <v/>
      </c>
      <c r="E26" s="32"/>
      <c r="F26" s="32"/>
      <c r="G26" s="32"/>
    </row>
    <row r="27" customFormat="false" ht="15" hidden="false" customHeight="false" outlineLevel="0" collapsed="false">
      <c r="A27" s="31"/>
      <c r="B27" s="32"/>
      <c r="C27" s="35" t="str">
        <f aca="false">IF(B27="","",IFERROR(INDEX(Leads!$C$2:$C$5001,MATCH(B27,Leads!$A$2:$A$5001,0))&amp;" "&amp;INDEX(Leads!$D$2:$D$5001,MATCH(B27,Leads!$A$2:$A$5001,0)),"N° no encontrado"))</f>
        <v/>
      </c>
      <c r="D27" s="35" t="str">
        <f aca="false">IF(B27="","",IFERROR(INDEX(Leads!$G$2:$G$5001,MATCH(B27,Leads!$A$2:$A$5001,0)),""))</f>
        <v/>
      </c>
      <c r="E27" s="32"/>
      <c r="F27" s="32"/>
      <c r="G27" s="32"/>
    </row>
    <row r="28" customFormat="false" ht="15" hidden="false" customHeight="false" outlineLevel="0" collapsed="false">
      <c r="A28" s="31"/>
      <c r="B28" s="32"/>
      <c r="C28" s="35" t="str">
        <f aca="false">IF(B28="","",IFERROR(INDEX(Leads!$C$2:$C$5001,MATCH(B28,Leads!$A$2:$A$5001,0))&amp;" "&amp;INDEX(Leads!$D$2:$D$5001,MATCH(B28,Leads!$A$2:$A$5001,0)),"N° no encontrado"))</f>
        <v/>
      </c>
      <c r="D28" s="35" t="str">
        <f aca="false">IF(B28="","",IFERROR(INDEX(Leads!$G$2:$G$5001,MATCH(B28,Leads!$A$2:$A$5001,0)),""))</f>
        <v/>
      </c>
      <c r="E28" s="32"/>
      <c r="F28" s="32"/>
      <c r="G28" s="32"/>
    </row>
    <row r="29" customFormat="false" ht="15" hidden="false" customHeight="false" outlineLevel="0" collapsed="false">
      <c r="A29" s="31"/>
      <c r="B29" s="32"/>
      <c r="C29" s="35" t="str">
        <f aca="false">IF(B29="","",IFERROR(INDEX(Leads!$C$2:$C$5001,MATCH(B29,Leads!$A$2:$A$5001,0))&amp;" "&amp;INDEX(Leads!$D$2:$D$5001,MATCH(B29,Leads!$A$2:$A$5001,0)),"N° no encontrado"))</f>
        <v/>
      </c>
      <c r="D29" s="35" t="str">
        <f aca="false">IF(B29="","",IFERROR(INDEX(Leads!$G$2:$G$5001,MATCH(B29,Leads!$A$2:$A$5001,0)),""))</f>
        <v/>
      </c>
      <c r="E29" s="32"/>
      <c r="F29" s="32"/>
      <c r="G29" s="32"/>
    </row>
    <row r="30" customFormat="false" ht="15" hidden="false" customHeight="false" outlineLevel="0" collapsed="false">
      <c r="A30" s="31"/>
      <c r="B30" s="32"/>
      <c r="C30" s="35" t="str">
        <f aca="false">IF(B30="","",IFERROR(INDEX(Leads!$C$2:$C$5001,MATCH(B30,Leads!$A$2:$A$5001,0))&amp;" "&amp;INDEX(Leads!$D$2:$D$5001,MATCH(B30,Leads!$A$2:$A$5001,0)),"N° no encontrado"))</f>
        <v/>
      </c>
      <c r="D30" s="35" t="str">
        <f aca="false">IF(B30="","",IFERROR(INDEX(Leads!$G$2:$G$5001,MATCH(B30,Leads!$A$2:$A$5001,0)),""))</f>
        <v/>
      </c>
      <c r="E30" s="32"/>
      <c r="F30" s="32"/>
      <c r="G30" s="32"/>
    </row>
    <row r="31" customFormat="false" ht="15" hidden="false" customHeight="false" outlineLevel="0" collapsed="false">
      <c r="A31" s="31"/>
      <c r="B31" s="32"/>
      <c r="C31" s="35" t="str">
        <f aca="false">IF(B31="","",IFERROR(INDEX(Leads!$C$2:$C$5001,MATCH(B31,Leads!$A$2:$A$5001,0))&amp;" "&amp;INDEX(Leads!$D$2:$D$5001,MATCH(B31,Leads!$A$2:$A$5001,0)),"N° no encontrado"))</f>
        <v/>
      </c>
      <c r="D31" s="35" t="str">
        <f aca="false">IF(B31="","",IFERROR(INDEX(Leads!$G$2:$G$5001,MATCH(B31,Leads!$A$2:$A$5001,0)),""))</f>
        <v/>
      </c>
      <c r="E31" s="32"/>
      <c r="F31" s="32"/>
      <c r="G31" s="32"/>
    </row>
    <row r="32" customFormat="false" ht="15" hidden="false" customHeight="false" outlineLevel="0" collapsed="false">
      <c r="A32" s="31"/>
      <c r="B32" s="32"/>
      <c r="C32" s="35" t="str">
        <f aca="false">IF(B32="","",IFERROR(INDEX(Leads!$C$2:$C$5001,MATCH(B32,Leads!$A$2:$A$5001,0))&amp;" "&amp;INDEX(Leads!$D$2:$D$5001,MATCH(B32,Leads!$A$2:$A$5001,0)),"N° no encontrado"))</f>
        <v/>
      </c>
      <c r="D32" s="35" t="str">
        <f aca="false">IF(B32="","",IFERROR(INDEX(Leads!$G$2:$G$5001,MATCH(B32,Leads!$A$2:$A$5001,0)),""))</f>
        <v/>
      </c>
      <c r="E32" s="32"/>
      <c r="F32" s="32"/>
      <c r="G32" s="32"/>
    </row>
    <row r="33" customFormat="false" ht="15" hidden="false" customHeight="false" outlineLevel="0" collapsed="false">
      <c r="A33" s="31"/>
      <c r="B33" s="32"/>
      <c r="C33" s="35" t="str">
        <f aca="false">IF(B33="","",IFERROR(INDEX(Leads!$C$2:$C$5001,MATCH(B33,Leads!$A$2:$A$5001,0))&amp;" "&amp;INDEX(Leads!$D$2:$D$5001,MATCH(B33,Leads!$A$2:$A$5001,0)),"N° no encontrado"))</f>
        <v/>
      </c>
      <c r="D33" s="35" t="str">
        <f aca="false">IF(B33="","",IFERROR(INDEX(Leads!$G$2:$G$5001,MATCH(B33,Leads!$A$2:$A$5001,0)),""))</f>
        <v/>
      </c>
      <c r="E33" s="32"/>
      <c r="F33" s="32"/>
      <c r="G33" s="32"/>
    </row>
    <row r="34" customFormat="false" ht="15" hidden="false" customHeight="false" outlineLevel="0" collapsed="false">
      <c r="A34" s="31"/>
      <c r="B34" s="32"/>
      <c r="C34" s="35" t="str">
        <f aca="false">IF(B34="","",IFERROR(INDEX(Leads!$C$2:$C$5001,MATCH(B34,Leads!$A$2:$A$5001,0))&amp;" "&amp;INDEX(Leads!$D$2:$D$5001,MATCH(B34,Leads!$A$2:$A$5001,0)),"N° no encontrado"))</f>
        <v/>
      </c>
      <c r="D34" s="35" t="str">
        <f aca="false">IF(B34="","",IFERROR(INDEX(Leads!$G$2:$G$5001,MATCH(B34,Leads!$A$2:$A$5001,0)),""))</f>
        <v/>
      </c>
      <c r="E34" s="32"/>
      <c r="F34" s="32"/>
      <c r="G34" s="32"/>
    </row>
    <row r="35" customFormat="false" ht="15" hidden="false" customHeight="false" outlineLevel="0" collapsed="false">
      <c r="A35" s="31"/>
      <c r="B35" s="32"/>
      <c r="C35" s="35" t="str">
        <f aca="false">IF(B35="","",IFERROR(INDEX(Leads!$C$2:$C$5001,MATCH(B35,Leads!$A$2:$A$5001,0))&amp;" "&amp;INDEX(Leads!$D$2:$D$5001,MATCH(B35,Leads!$A$2:$A$5001,0)),"N° no encontrado"))</f>
        <v/>
      </c>
      <c r="D35" s="35" t="str">
        <f aca="false">IF(B35="","",IFERROR(INDEX(Leads!$G$2:$G$5001,MATCH(B35,Leads!$A$2:$A$5001,0)),""))</f>
        <v/>
      </c>
      <c r="E35" s="32"/>
      <c r="F35" s="32"/>
      <c r="G35" s="32"/>
    </row>
    <row r="36" customFormat="false" ht="15" hidden="false" customHeight="false" outlineLevel="0" collapsed="false">
      <c r="A36" s="31"/>
      <c r="B36" s="32"/>
      <c r="C36" s="35" t="str">
        <f aca="false">IF(B36="","",IFERROR(INDEX(Leads!$C$2:$C$5001,MATCH(B36,Leads!$A$2:$A$5001,0))&amp;" "&amp;INDEX(Leads!$D$2:$D$5001,MATCH(B36,Leads!$A$2:$A$5001,0)),"N° no encontrado"))</f>
        <v/>
      </c>
      <c r="D36" s="35" t="str">
        <f aca="false">IF(B36="","",IFERROR(INDEX(Leads!$G$2:$G$5001,MATCH(B36,Leads!$A$2:$A$5001,0)),""))</f>
        <v/>
      </c>
      <c r="E36" s="32"/>
      <c r="F36" s="32"/>
      <c r="G36" s="32"/>
    </row>
    <row r="37" customFormat="false" ht="15" hidden="false" customHeight="false" outlineLevel="0" collapsed="false">
      <c r="A37" s="31"/>
      <c r="B37" s="32"/>
      <c r="C37" s="35" t="str">
        <f aca="false">IF(B37="","",IFERROR(INDEX(Leads!$C$2:$C$5001,MATCH(B37,Leads!$A$2:$A$5001,0))&amp;" "&amp;INDEX(Leads!$D$2:$D$5001,MATCH(B37,Leads!$A$2:$A$5001,0)),"N° no encontrado"))</f>
        <v/>
      </c>
      <c r="D37" s="35" t="str">
        <f aca="false">IF(B37="","",IFERROR(INDEX(Leads!$G$2:$G$5001,MATCH(B37,Leads!$A$2:$A$5001,0)),""))</f>
        <v/>
      </c>
      <c r="E37" s="32"/>
      <c r="F37" s="32"/>
      <c r="G37" s="32"/>
    </row>
    <row r="38" customFormat="false" ht="15" hidden="false" customHeight="false" outlineLevel="0" collapsed="false">
      <c r="A38" s="31"/>
      <c r="B38" s="32"/>
      <c r="C38" s="35" t="str">
        <f aca="false">IF(B38="","",IFERROR(INDEX(Leads!$C$2:$C$5001,MATCH(B38,Leads!$A$2:$A$5001,0))&amp;" "&amp;INDEX(Leads!$D$2:$D$5001,MATCH(B38,Leads!$A$2:$A$5001,0)),"N° no encontrado"))</f>
        <v/>
      </c>
      <c r="D38" s="35" t="str">
        <f aca="false">IF(B38="","",IFERROR(INDEX(Leads!$G$2:$G$5001,MATCH(B38,Leads!$A$2:$A$5001,0)),""))</f>
        <v/>
      </c>
      <c r="E38" s="32"/>
      <c r="F38" s="32"/>
      <c r="G38" s="32"/>
    </row>
    <row r="39" customFormat="false" ht="15" hidden="false" customHeight="false" outlineLevel="0" collapsed="false">
      <c r="A39" s="31"/>
      <c r="B39" s="32"/>
      <c r="C39" s="35" t="str">
        <f aca="false">IF(B39="","",IFERROR(INDEX(Leads!$C$2:$C$5001,MATCH(B39,Leads!$A$2:$A$5001,0))&amp;" "&amp;INDEX(Leads!$D$2:$D$5001,MATCH(B39,Leads!$A$2:$A$5001,0)),"N° no encontrado"))</f>
        <v/>
      </c>
      <c r="D39" s="35" t="str">
        <f aca="false">IF(B39="","",IFERROR(INDEX(Leads!$G$2:$G$5001,MATCH(B39,Leads!$A$2:$A$5001,0)),""))</f>
        <v/>
      </c>
      <c r="E39" s="32"/>
      <c r="F39" s="32"/>
      <c r="G39" s="32"/>
    </row>
    <row r="40" customFormat="false" ht="15" hidden="false" customHeight="false" outlineLevel="0" collapsed="false">
      <c r="A40" s="31"/>
      <c r="B40" s="32"/>
      <c r="C40" s="35" t="str">
        <f aca="false">IF(B40="","",IFERROR(INDEX(Leads!$C$2:$C$5001,MATCH(B40,Leads!$A$2:$A$5001,0))&amp;" "&amp;INDEX(Leads!$D$2:$D$5001,MATCH(B40,Leads!$A$2:$A$5001,0)),"N° no encontrado"))</f>
        <v/>
      </c>
      <c r="D40" s="35" t="str">
        <f aca="false">IF(B40="","",IFERROR(INDEX(Leads!$G$2:$G$5001,MATCH(B40,Leads!$A$2:$A$5001,0)),""))</f>
        <v/>
      </c>
      <c r="E40" s="32"/>
      <c r="F40" s="32"/>
      <c r="G40" s="32"/>
    </row>
    <row r="41" customFormat="false" ht="15" hidden="false" customHeight="false" outlineLevel="0" collapsed="false">
      <c r="A41" s="31"/>
      <c r="B41" s="32"/>
      <c r="C41" s="35" t="str">
        <f aca="false">IF(B41="","",IFERROR(INDEX(Leads!$C$2:$C$5001,MATCH(B41,Leads!$A$2:$A$5001,0))&amp;" "&amp;INDEX(Leads!$D$2:$D$5001,MATCH(B41,Leads!$A$2:$A$5001,0)),"N° no encontrado"))</f>
        <v/>
      </c>
      <c r="D41" s="35" t="str">
        <f aca="false">IF(B41="","",IFERROR(INDEX(Leads!$G$2:$G$5001,MATCH(B41,Leads!$A$2:$A$5001,0)),""))</f>
        <v/>
      </c>
      <c r="E41" s="32"/>
      <c r="F41" s="32"/>
      <c r="G41" s="32"/>
    </row>
    <row r="42" customFormat="false" ht="15" hidden="false" customHeight="false" outlineLevel="0" collapsed="false">
      <c r="A42" s="31"/>
      <c r="B42" s="32"/>
      <c r="C42" s="35" t="str">
        <f aca="false">IF(B42="","",IFERROR(INDEX(Leads!$C$2:$C$5001,MATCH(B42,Leads!$A$2:$A$5001,0))&amp;" "&amp;INDEX(Leads!$D$2:$D$5001,MATCH(B42,Leads!$A$2:$A$5001,0)),"N° no encontrado"))</f>
        <v/>
      </c>
      <c r="D42" s="35" t="str">
        <f aca="false">IF(B42="","",IFERROR(INDEX(Leads!$G$2:$G$5001,MATCH(B42,Leads!$A$2:$A$5001,0)),""))</f>
        <v/>
      </c>
      <c r="E42" s="32"/>
      <c r="F42" s="32"/>
      <c r="G42" s="32"/>
    </row>
    <row r="43" customFormat="false" ht="15" hidden="false" customHeight="false" outlineLevel="0" collapsed="false">
      <c r="A43" s="31"/>
      <c r="B43" s="32"/>
      <c r="C43" s="35" t="str">
        <f aca="false">IF(B43="","",IFERROR(INDEX(Leads!$C$2:$C$5001,MATCH(B43,Leads!$A$2:$A$5001,0))&amp;" "&amp;INDEX(Leads!$D$2:$D$5001,MATCH(B43,Leads!$A$2:$A$5001,0)),"N° no encontrado"))</f>
        <v/>
      </c>
      <c r="D43" s="35" t="str">
        <f aca="false">IF(B43="","",IFERROR(INDEX(Leads!$G$2:$G$5001,MATCH(B43,Leads!$A$2:$A$5001,0)),""))</f>
        <v/>
      </c>
      <c r="E43" s="32"/>
      <c r="F43" s="32"/>
      <c r="G43" s="32"/>
    </row>
    <row r="44" customFormat="false" ht="15" hidden="false" customHeight="false" outlineLevel="0" collapsed="false">
      <c r="A44" s="31"/>
      <c r="B44" s="32"/>
      <c r="C44" s="35" t="str">
        <f aca="false">IF(B44="","",IFERROR(INDEX(Leads!$C$2:$C$5001,MATCH(B44,Leads!$A$2:$A$5001,0))&amp;" "&amp;INDEX(Leads!$D$2:$D$5001,MATCH(B44,Leads!$A$2:$A$5001,0)),"N° no encontrado"))</f>
        <v/>
      </c>
      <c r="D44" s="35" t="str">
        <f aca="false">IF(B44="","",IFERROR(INDEX(Leads!$G$2:$G$5001,MATCH(B44,Leads!$A$2:$A$5001,0)),""))</f>
        <v/>
      </c>
      <c r="E44" s="32"/>
      <c r="F44" s="32"/>
      <c r="G44" s="32"/>
    </row>
    <row r="45" customFormat="false" ht="15" hidden="false" customHeight="false" outlineLevel="0" collapsed="false">
      <c r="A45" s="31"/>
      <c r="B45" s="32"/>
      <c r="C45" s="35" t="str">
        <f aca="false">IF(B45="","",IFERROR(INDEX(Leads!$C$2:$C$5001,MATCH(B45,Leads!$A$2:$A$5001,0))&amp;" "&amp;INDEX(Leads!$D$2:$D$5001,MATCH(B45,Leads!$A$2:$A$5001,0)),"N° no encontrado"))</f>
        <v/>
      </c>
      <c r="D45" s="35" t="str">
        <f aca="false">IF(B45="","",IFERROR(INDEX(Leads!$G$2:$G$5001,MATCH(B45,Leads!$A$2:$A$5001,0)),""))</f>
        <v/>
      </c>
      <c r="E45" s="32"/>
      <c r="F45" s="32"/>
      <c r="G45" s="32"/>
    </row>
    <row r="46" customFormat="false" ht="15" hidden="false" customHeight="false" outlineLevel="0" collapsed="false">
      <c r="A46" s="31"/>
      <c r="B46" s="32"/>
      <c r="C46" s="35" t="str">
        <f aca="false">IF(B46="","",IFERROR(INDEX(Leads!$C$2:$C$5001,MATCH(B46,Leads!$A$2:$A$5001,0))&amp;" "&amp;INDEX(Leads!$D$2:$D$5001,MATCH(B46,Leads!$A$2:$A$5001,0)),"N° no encontrado"))</f>
        <v/>
      </c>
      <c r="D46" s="35" t="str">
        <f aca="false">IF(B46="","",IFERROR(INDEX(Leads!$G$2:$G$5001,MATCH(B46,Leads!$A$2:$A$5001,0)),""))</f>
        <v/>
      </c>
      <c r="E46" s="32"/>
      <c r="F46" s="32"/>
      <c r="G46" s="32"/>
    </row>
    <row r="47" customFormat="false" ht="15" hidden="false" customHeight="false" outlineLevel="0" collapsed="false">
      <c r="A47" s="31"/>
      <c r="B47" s="32"/>
      <c r="C47" s="35" t="str">
        <f aca="false">IF(B47="","",IFERROR(INDEX(Leads!$C$2:$C$5001,MATCH(B47,Leads!$A$2:$A$5001,0))&amp;" "&amp;INDEX(Leads!$D$2:$D$5001,MATCH(B47,Leads!$A$2:$A$5001,0)),"N° no encontrado"))</f>
        <v/>
      </c>
      <c r="D47" s="35" t="str">
        <f aca="false">IF(B47="","",IFERROR(INDEX(Leads!$G$2:$G$5001,MATCH(B47,Leads!$A$2:$A$5001,0)),""))</f>
        <v/>
      </c>
      <c r="E47" s="32"/>
      <c r="F47" s="32"/>
      <c r="G47" s="32"/>
    </row>
    <row r="48" customFormat="false" ht="15" hidden="false" customHeight="false" outlineLevel="0" collapsed="false">
      <c r="A48" s="31"/>
      <c r="B48" s="32"/>
      <c r="C48" s="35" t="str">
        <f aca="false">IF(B48="","",IFERROR(INDEX(Leads!$C$2:$C$5001,MATCH(B48,Leads!$A$2:$A$5001,0))&amp;" "&amp;INDEX(Leads!$D$2:$D$5001,MATCH(B48,Leads!$A$2:$A$5001,0)),"N° no encontrado"))</f>
        <v/>
      </c>
      <c r="D48" s="35" t="str">
        <f aca="false">IF(B48="","",IFERROR(INDEX(Leads!$G$2:$G$5001,MATCH(B48,Leads!$A$2:$A$5001,0)),""))</f>
        <v/>
      </c>
      <c r="E48" s="32"/>
      <c r="F48" s="32"/>
      <c r="G48" s="32"/>
    </row>
    <row r="49" customFormat="false" ht="15" hidden="false" customHeight="false" outlineLevel="0" collapsed="false">
      <c r="A49" s="31"/>
      <c r="B49" s="32"/>
      <c r="C49" s="35" t="str">
        <f aca="false">IF(B49="","",IFERROR(INDEX(Leads!$C$2:$C$5001,MATCH(B49,Leads!$A$2:$A$5001,0))&amp;" "&amp;INDEX(Leads!$D$2:$D$5001,MATCH(B49,Leads!$A$2:$A$5001,0)),"N° no encontrado"))</f>
        <v/>
      </c>
      <c r="D49" s="35" t="str">
        <f aca="false">IF(B49="","",IFERROR(INDEX(Leads!$G$2:$G$5001,MATCH(B49,Leads!$A$2:$A$5001,0)),""))</f>
        <v/>
      </c>
      <c r="E49" s="32"/>
      <c r="F49" s="32"/>
      <c r="G49" s="32"/>
    </row>
    <row r="50" customFormat="false" ht="15" hidden="false" customHeight="false" outlineLevel="0" collapsed="false">
      <c r="A50" s="31"/>
      <c r="B50" s="32"/>
      <c r="C50" s="35" t="str">
        <f aca="false">IF(B50="","",IFERROR(INDEX(Leads!$C$2:$C$5001,MATCH(B50,Leads!$A$2:$A$5001,0))&amp;" "&amp;INDEX(Leads!$D$2:$D$5001,MATCH(B50,Leads!$A$2:$A$5001,0)),"N° no encontrado"))</f>
        <v/>
      </c>
      <c r="D50" s="35" t="str">
        <f aca="false">IF(B50="","",IFERROR(INDEX(Leads!$G$2:$G$5001,MATCH(B50,Leads!$A$2:$A$5001,0)),""))</f>
        <v/>
      </c>
      <c r="E50" s="32"/>
      <c r="F50" s="32"/>
      <c r="G50" s="32"/>
    </row>
    <row r="51" customFormat="false" ht="15" hidden="false" customHeight="false" outlineLevel="0" collapsed="false">
      <c r="A51" s="31"/>
      <c r="B51" s="32"/>
      <c r="C51" s="35" t="str">
        <f aca="false">IF(B51="","",IFERROR(INDEX(Leads!$C$2:$C$5001,MATCH(B51,Leads!$A$2:$A$5001,0))&amp;" "&amp;INDEX(Leads!$D$2:$D$5001,MATCH(B51,Leads!$A$2:$A$5001,0)),"N° no encontrado"))</f>
        <v/>
      </c>
      <c r="D51" s="35" t="str">
        <f aca="false">IF(B51="","",IFERROR(INDEX(Leads!$G$2:$G$5001,MATCH(B51,Leads!$A$2:$A$5001,0)),""))</f>
        <v/>
      </c>
      <c r="E51" s="32"/>
      <c r="F51" s="32"/>
      <c r="G51" s="32"/>
    </row>
    <row r="52" customFormat="false" ht="15" hidden="false" customHeight="false" outlineLevel="0" collapsed="false">
      <c r="A52" s="31"/>
      <c r="B52" s="32"/>
      <c r="C52" s="35" t="str">
        <f aca="false">IF(B52="","",IFERROR(INDEX(Leads!$C$2:$C$5001,MATCH(B52,Leads!$A$2:$A$5001,0))&amp;" "&amp;INDEX(Leads!$D$2:$D$5001,MATCH(B52,Leads!$A$2:$A$5001,0)),"N° no encontrado"))</f>
        <v/>
      </c>
      <c r="D52" s="35" t="str">
        <f aca="false">IF(B52="","",IFERROR(INDEX(Leads!$G$2:$G$5001,MATCH(B52,Leads!$A$2:$A$5001,0)),""))</f>
        <v/>
      </c>
      <c r="E52" s="32"/>
      <c r="F52" s="32"/>
      <c r="G52" s="32"/>
    </row>
    <row r="53" customFormat="false" ht="15" hidden="false" customHeight="false" outlineLevel="0" collapsed="false">
      <c r="A53" s="31"/>
      <c r="B53" s="32"/>
      <c r="C53" s="35" t="str">
        <f aca="false">IF(B53="","",IFERROR(INDEX(Leads!$C$2:$C$5001,MATCH(B53,Leads!$A$2:$A$5001,0))&amp;" "&amp;INDEX(Leads!$D$2:$D$5001,MATCH(B53,Leads!$A$2:$A$5001,0)),"N° no encontrado"))</f>
        <v/>
      </c>
      <c r="D53" s="35" t="str">
        <f aca="false">IF(B53="","",IFERROR(INDEX(Leads!$G$2:$G$5001,MATCH(B53,Leads!$A$2:$A$5001,0)),""))</f>
        <v/>
      </c>
      <c r="E53" s="32"/>
      <c r="F53" s="32"/>
      <c r="G53" s="32"/>
    </row>
    <row r="54" customFormat="false" ht="15" hidden="false" customHeight="false" outlineLevel="0" collapsed="false">
      <c r="A54" s="31"/>
      <c r="B54" s="32"/>
      <c r="C54" s="35" t="str">
        <f aca="false">IF(B54="","",IFERROR(INDEX(Leads!$C$2:$C$5001,MATCH(B54,Leads!$A$2:$A$5001,0))&amp;" "&amp;INDEX(Leads!$D$2:$D$5001,MATCH(B54,Leads!$A$2:$A$5001,0)),"N° no encontrado"))</f>
        <v/>
      </c>
      <c r="D54" s="35" t="str">
        <f aca="false">IF(B54="","",IFERROR(INDEX(Leads!$G$2:$G$5001,MATCH(B54,Leads!$A$2:$A$5001,0)),""))</f>
        <v/>
      </c>
      <c r="E54" s="32"/>
      <c r="F54" s="32"/>
      <c r="G54" s="32"/>
    </row>
    <row r="55" customFormat="false" ht="15" hidden="false" customHeight="false" outlineLevel="0" collapsed="false">
      <c r="A55" s="31"/>
      <c r="B55" s="32"/>
      <c r="C55" s="35" t="str">
        <f aca="false">IF(B55="","",IFERROR(INDEX(Leads!$C$2:$C$5001,MATCH(B55,Leads!$A$2:$A$5001,0))&amp;" "&amp;INDEX(Leads!$D$2:$D$5001,MATCH(B55,Leads!$A$2:$A$5001,0)),"N° no encontrado"))</f>
        <v/>
      </c>
      <c r="D55" s="35" t="str">
        <f aca="false">IF(B55="","",IFERROR(INDEX(Leads!$G$2:$G$5001,MATCH(B55,Leads!$A$2:$A$5001,0)),""))</f>
        <v/>
      </c>
      <c r="E55" s="32"/>
      <c r="F55" s="32"/>
      <c r="G55" s="32"/>
    </row>
    <row r="56" customFormat="false" ht="15" hidden="false" customHeight="false" outlineLevel="0" collapsed="false">
      <c r="A56" s="31"/>
      <c r="B56" s="32"/>
      <c r="C56" s="35" t="str">
        <f aca="false">IF(B56="","",IFERROR(INDEX(Leads!$C$2:$C$5001,MATCH(B56,Leads!$A$2:$A$5001,0))&amp;" "&amp;INDEX(Leads!$D$2:$D$5001,MATCH(B56,Leads!$A$2:$A$5001,0)),"N° no encontrado"))</f>
        <v/>
      </c>
      <c r="D56" s="35" t="str">
        <f aca="false">IF(B56="","",IFERROR(INDEX(Leads!$G$2:$G$5001,MATCH(B56,Leads!$A$2:$A$5001,0)),""))</f>
        <v/>
      </c>
      <c r="E56" s="32"/>
      <c r="F56" s="32"/>
      <c r="G56" s="32"/>
    </row>
    <row r="57" customFormat="false" ht="15" hidden="false" customHeight="false" outlineLevel="0" collapsed="false">
      <c r="A57" s="31"/>
      <c r="B57" s="32"/>
      <c r="C57" s="35" t="str">
        <f aca="false">IF(B57="","",IFERROR(INDEX(Leads!$C$2:$C$5001,MATCH(B57,Leads!$A$2:$A$5001,0))&amp;" "&amp;INDEX(Leads!$D$2:$D$5001,MATCH(B57,Leads!$A$2:$A$5001,0)),"N° no encontrado"))</f>
        <v/>
      </c>
      <c r="D57" s="35" t="str">
        <f aca="false">IF(B57="","",IFERROR(INDEX(Leads!$G$2:$G$5001,MATCH(B57,Leads!$A$2:$A$5001,0)),""))</f>
        <v/>
      </c>
      <c r="E57" s="32"/>
      <c r="F57" s="32"/>
      <c r="G57" s="32"/>
    </row>
    <row r="58" customFormat="false" ht="15" hidden="false" customHeight="false" outlineLevel="0" collapsed="false">
      <c r="A58" s="31"/>
      <c r="B58" s="32"/>
      <c r="C58" s="35" t="str">
        <f aca="false">IF(B58="","",IFERROR(INDEX(Leads!$C$2:$C$5001,MATCH(B58,Leads!$A$2:$A$5001,0))&amp;" "&amp;INDEX(Leads!$D$2:$D$5001,MATCH(B58,Leads!$A$2:$A$5001,0)),"N° no encontrado"))</f>
        <v/>
      </c>
      <c r="D58" s="35" t="str">
        <f aca="false">IF(B58="","",IFERROR(INDEX(Leads!$G$2:$G$5001,MATCH(B58,Leads!$A$2:$A$5001,0)),""))</f>
        <v/>
      </c>
      <c r="E58" s="32"/>
      <c r="F58" s="32"/>
      <c r="G58" s="32"/>
    </row>
    <row r="59" customFormat="false" ht="15" hidden="false" customHeight="false" outlineLevel="0" collapsed="false">
      <c r="A59" s="31"/>
      <c r="B59" s="32"/>
      <c r="C59" s="35" t="str">
        <f aca="false">IF(B59="","",IFERROR(INDEX(Leads!$C$2:$C$5001,MATCH(B59,Leads!$A$2:$A$5001,0))&amp;" "&amp;INDEX(Leads!$D$2:$D$5001,MATCH(B59,Leads!$A$2:$A$5001,0)),"N° no encontrado"))</f>
        <v/>
      </c>
      <c r="D59" s="35" t="str">
        <f aca="false">IF(B59="","",IFERROR(INDEX(Leads!$G$2:$G$5001,MATCH(B59,Leads!$A$2:$A$5001,0)),""))</f>
        <v/>
      </c>
      <c r="E59" s="32"/>
      <c r="F59" s="32"/>
      <c r="G59" s="32"/>
    </row>
    <row r="60" customFormat="false" ht="15" hidden="false" customHeight="false" outlineLevel="0" collapsed="false">
      <c r="A60" s="31"/>
      <c r="B60" s="32"/>
      <c r="C60" s="35" t="str">
        <f aca="false">IF(B60="","",IFERROR(INDEX(Leads!$C$2:$C$5001,MATCH(B60,Leads!$A$2:$A$5001,0))&amp;" "&amp;INDEX(Leads!$D$2:$D$5001,MATCH(B60,Leads!$A$2:$A$5001,0)),"N° no encontrado"))</f>
        <v/>
      </c>
      <c r="D60" s="35" t="str">
        <f aca="false">IF(B60="","",IFERROR(INDEX(Leads!$G$2:$G$5001,MATCH(B60,Leads!$A$2:$A$5001,0)),""))</f>
        <v/>
      </c>
      <c r="E60" s="32"/>
      <c r="F60" s="32"/>
      <c r="G60" s="32"/>
    </row>
    <row r="61" customFormat="false" ht="15" hidden="false" customHeight="false" outlineLevel="0" collapsed="false">
      <c r="A61" s="31"/>
      <c r="B61" s="32"/>
      <c r="C61" s="35" t="str">
        <f aca="false">IF(B61="","",IFERROR(INDEX(Leads!$C$2:$C$5001,MATCH(B61,Leads!$A$2:$A$5001,0))&amp;" "&amp;INDEX(Leads!$D$2:$D$5001,MATCH(B61,Leads!$A$2:$A$5001,0)),"N° no encontrado"))</f>
        <v/>
      </c>
      <c r="D61" s="35" t="str">
        <f aca="false">IF(B61="","",IFERROR(INDEX(Leads!$G$2:$G$5001,MATCH(B61,Leads!$A$2:$A$5001,0)),""))</f>
        <v/>
      </c>
      <c r="E61" s="32"/>
      <c r="F61" s="32"/>
      <c r="G61" s="32"/>
    </row>
    <row r="62" customFormat="false" ht="15" hidden="false" customHeight="false" outlineLevel="0" collapsed="false">
      <c r="A62" s="31"/>
      <c r="B62" s="32"/>
      <c r="C62" s="35" t="str">
        <f aca="false">IF(B62="","",IFERROR(INDEX(Leads!$C$2:$C$5001,MATCH(B62,Leads!$A$2:$A$5001,0))&amp;" "&amp;INDEX(Leads!$D$2:$D$5001,MATCH(B62,Leads!$A$2:$A$5001,0)),"N° no encontrado"))</f>
        <v/>
      </c>
      <c r="D62" s="35" t="str">
        <f aca="false">IF(B62="","",IFERROR(INDEX(Leads!$G$2:$G$5001,MATCH(B62,Leads!$A$2:$A$5001,0)),""))</f>
        <v/>
      </c>
      <c r="E62" s="32"/>
      <c r="F62" s="32"/>
      <c r="G62" s="32"/>
    </row>
    <row r="63" customFormat="false" ht="15" hidden="false" customHeight="false" outlineLevel="0" collapsed="false">
      <c r="A63" s="31"/>
      <c r="B63" s="32"/>
      <c r="C63" s="35" t="str">
        <f aca="false">IF(B63="","",IFERROR(INDEX(Leads!$C$2:$C$5001,MATCH(B63,Leads!$A$2:$A$5001,0))&amp;" "&amp;INDEX(Leads!$D$2:$D$5001,MATCH(B63,Leads!$A$2:$A$5001,0)),"N° no encontrado"))</f>
        <v/>
      </c>
      <c r="D63" s="35" t="str">
        <f aca="false">IF(B63="","",IFERROR(INDEX(Leads!$G$2:$G$5001,MATCH(B63,Leads!$A$2:$A$5001,0)),""))</f>
        <v/>
      </c>
      <c r="E63" s="32"/>
      <c r="F63" s="32"/>
      <c r="G63" s="32"/>
    </row>
    <row r="64" customFormat="false" ht="15" hidden="false" customHeight="false" outlineLevel="0" collapsed="false">
      <c r="A64" s="31"/>
      <c r="B64" s="32"/>
      <c r="C64" s="35" t="str">
        <f aca="false">IF(B64="","",IFERROR(INDEX(Leads!$C$2:$C$5001,MATCH(B64,Leads!$A$2:$A$5001,0))&amp;" "&amp;INDEX(Leads!$D$2:$D$5001,MATCH(B64,Leads!$A$2:$A$5001,0)),"N° no encontrado"))</f>
        <v/>
      </c>
      <c r="D64" s="35" t="str">
        <f aca="false">IF(B64="","",IFERROR(INDEX(Leads!$G$2:$G$5001,MATCH(B64,Leads!$A$2:$A$5001,0)),""))</f>
        <v/>
      </c>
      <c r="E64" s="32"/>
      <c r="F64" s="32"/>
      <c r="G64" s="32"/>
    </row>
    <row r="65" customFormat="false" ht="15" hidden="false" customHeight="false" outlineLevel="0" collapsed="false">
      <c r="A65" s="31"/>
      <c r="B65" s="32"/>
      <c r="C65" s="35" t="str">
        <f aca="false">IF(B65="","",IFERROR(INDEX(Leads!$C$2:$C$5001,MATCH(B65,Leads!$A$2:$A$5001,0))&amp;" "&amp;INDEX(Leads!$D$2:$D$5001,MATCH(B65,Leads!$A$2:$A$5001,0)),"N° no encontrado"))</f>
        <v/>
      </c>
      <c r="D65" s="35" t="str">
        <f aca="false">IF(B65="","",IFERROR(INDEX(Leads!$G$2:$G$5001,MATCH(B65,Leads!$A$2:$A$5001,0)),""))</f>
        <v/>
      </c>
      <c r="E65" s="32"/>
      <c r="F65" s="32"/>
      <c r="G65" s="32"/>
    </row>
    <row r="66" customFormat="false" ht="15" hidden="false" customHeight="false" outlineLevel="0" collapsed="false">
      <c r="A66" s="31"/>
      <c r="B66" s="32"/>
      <c r="C66" s="35" t="str">
        <f aca="false">IF(B66="","",IFERROR(INDEX(Leads!$C$2:$C$5001,MATCH(B66,Leads!$A$2:$A$5001,0))&amp;" "&amp;INDEX(Leads!$D$2:$D$5001,MATCH(B66,Leads!$A$2:$A$5001,0)),"N° no encontrado"))</f>
        <v/>
      </c>
      <c r="D66" s="35" t="str">
        <f aca="false">IF(B66="","",IFERROR(INDEX(Leads!$G$2:$G$5001,MATCH(B66,Leads!$A$2:$A$5001,0)),""))</f>
        <v/>
      </c>
      <c r="E66" s="32"/>
      <c r="F66" s="32"/>
      <c r="G66" s="32"/>
    </row>
    <row r="67" customFormat="false" ht="15" hidden="false" customHeight="false" outlineLevel="0" collapsed="false">
      <c r="A67" s="31"/>
      <c r="B67" s="32"/>
      <c r="C67" s="35" t="str">
        <f aca="false">IF(B67="","",IFERROR(INDEX(Leads!$C$2:$C$5001,MATCH(B67,Leads!$A$2:$A$5001,0))&amp;" "&amp;INDEX(Leads!$D$2:$D$5001,MATCH(B67,Leads!$A$2:$A$5001,0)),"N° no encontrado"))</f>
        <v/>
      </c>
      <c r="D67" s="35" t="str">
        <f aca="false">IF(B67="","",IFERROR(INDEX(Leads!$G$2:$G$5001,MATCH(B67,Leads!$A$2:$A$5001,0)),""))</f>
        <v/>
      </c>
      <c r="E67" s="32"/>
      <c r="F67" s="32"/>
      <c r="G67" s="32"/>
    </row>
    <row r="68" customFormat="false" ht="15" hidden="false" customHeight="false" outlineLevel="0" collapsed="false">
      <c r="A68" s="31"/>
      <c r="B68" s="32"/>
      <c r="C68" s="35" t="str">
        <f aca="false">IF(B68="","",IFERROR(INDEX(Leads!$C$2:$C$5001,MATCH(B68,Leads!$A$2:$A$5001,0))&amp;" "&amp;INDEX(Leads!$D$2:$D$5001,MATCH(B68,Leads!$A$2:$A$5001,0)),"N° no encontrado"))</f>
        <v/>
      </c>
      <c r="D68" s="35" t="str">
        <f aca="false">IF(B68="","",IFERROR(INDEX(Leads!$G$2:$G$5001,MATCH(B68,Leads!$A$2:$A$5001,0)),""))</f>
        <v/>
      </c>
      <c r="E68" s="32"/>
      <c r="F68" s="32"/>
      <c r="G68" s="32"/>
    </row>
    <row r="69" customFormat="false" ht="15" hidden="false" customHeight="false" outlineLevel="0" collapsed="false">
      <c r="A69" s="31"/>
      <c r="B69" s="32"/>
      <c r="C69" s="35" t="str">
        <f aca="false">IF(B69="","",IFERROR(INDEX(Leads!$C$2:$C$5001,MATCH(B69,Leads!$A$2:$A$5001,0))&amp;" "&amp;INDEX(Leads!$D$2:$D$5001,MATCH(B69,Leads!$A$2:$A$5001,0)),"N° no encontrado"))</f>
        <v/>
      </c>
      <c r="D69" s="35" t="str">
        <f aca="false">IF(B69="","",IFERROR(INDEX(Leads!$G$2:$G$5001,MATCH(B69,Leads!$A$2:$A$5001,0)),""))</f>
        <v/>
      </c>
      <c r="E69" s="32"/>
      <c r="F69" s="32"/>
      <c r="G69" s="32"/>
    </row>
    <row r="70" customFormat="false" ht="15" hidden="false" customHeight="false" outlineLevel="0" collapsed="false">
      <c r="A70" s="31"/>
      <c r="B70" s="32"/>
      <c r="C70" s="35" t="str">
        <f aca="false">IF(B70="","",IFERROR(INDEX(Leads!$C$2:$C$5001,MATCH(B70,Leads!$A$2:$A$5001,0))&amp;" "&amp;INDEX(Leads!$D$2:$D$5001,MATCH(B70,Leads!$A$2:$A$5001,0)),"N° no encontrado"))</f>
        <v/>
      </c>
      <c r="D70" s="35" t="str">
        <f aca="false">IF(B70="","",IFERROR(INDEX(Leads!$G$2:$G$5001,MATCH(B70,Leads!$A$2:$A$5001,0)),""))</f>
        <v/>
      </c>
      <c r="E70" s="32"/>
      <c r="F70" s="32"/>
      <c r="G70" s="32"/>
    </row>
    <row r="71" customFormat="false" ht="15" hidden="false" customHeight="false" outlineLevel="0" collapsed="false">
      <c r="A71" s="31"/>
      <c r="B71" s="32"/>
      <c r="C71" s="35" t="str">
        <f aca="false">IF(B71="","",IFERROR(INDEX(Leads!$C$2:$C$5001,MATCH(B71,Leads!$A$2:$A$5001,0))&amp;" "&amp;INDEX(Leads!$D$2:$D$5001,MATCH(B71,Leads!$A$2:$A$5001,0)),"N° no encontrado"))</f>
        <v/>
      </c>
      <c r="D71" s="35" t="str">
        <f aca="false">IF(B71="","",IFERROR(INDEX(Leads!$G$2:$G$5001,MATCH(B71,Leads!$A$2:$A$5001,0)),""))</f>
        <v/>
      </c>
      <c r="E71" s="32"/>
      <c r="F71" s="32"/>
      <c r="G71" s="32"/>
    </row>
    <row r="72" customFormat="false" ht="15" hidden="false" customHeight="false" outlineLevel="0" collapsed="false">
      <c r="A72" s="31"/>
      <c r="B72" s="32"/>
      <c r="C72" s="35" t="str">
        <f aca="false">IF(B72="","",IFERROR(INDEX(Leads!$C$2:$C$5001,MATCH(B72,Leads!$A$2:$A$5001,0))&amp;" "&amp;INDEX(Leads!$D$2:$D$5001,MATCH(B72,Leads!$A$2:$A$5001,0)),"N° no encontrado"))</f>
        <v/>
      </c>
      <c r="D72" s="35" t="str">
        <f aca="false">IF(B72="","",IFERROR(INDEX(Leads!$G$2:$G$5001,MATCH(B72,Leads!$A$2:$A$5001,0)),""))</f>
        <v/>
      </c>
      <c r="E72" s="32"/>
      <c r="F72" s="32"/>
      <c r="G72" s="32"/>
    </row>
    <row r="73" customFormat="false" ht="15" hidden="false" customHeight="false" outlineLevel="0" collapsed="false">
      <c r="A73" s="31"/>
      <c r="B73" s="32"/>
      <c r="C73" s="35" t="str">
        <f aca="false">IF(B73="","",IFERROR(INDEX(Leads!$C$2:$C$5001,MATCH(B73,Leads!$A$2:$A$5001,0))&amp;" "&amp;INDEX(Leads!$D$2:$D$5001,MATCH(B73,Leads!$A$2:$A$5001,0)),"N° no encontrado"))</f>
        <v/>
      </c>
      <c r="D73" s="35" t="str">
        <f aca="false">IF(B73="","",IFERROR(INDEX(Leads!$G$2:$G$5001,MATCH(B73,Leads!$A$2:$A$5001,0)),""))</f>
        <v/>
      </c>
      <c r="E73" s="32"/>
      <c r="F73" s="32"/>
      <c r="G73" s="32"/>
    </row>
    <row r="74" customFormat="false" ht="15" hidden="false" customHeight="false" outlineLevel="0" collapsed="false">
      <c r="A74" s="31"/>
      <c r="B74" s="32"/>
      <c r="C74" s="35" t="str">
        <f aca="false">IF(B74="","",IFERROR(INDEX(Leads!$C$2:$C$5001,MATCH(B74,Leads!$A$2:$A$5001,0))&amp;" "&amp;INDEX(Leads!$D$2:$D$5001,MATCH(B74,Leads!$A$2:$A$5001,0)),"N° no encontrado"))</f>
        <v/>
      </c>
      <c r="D74" s="35" t="str">
        <f aca="false">IF(B74="","",IFERROR(INDEX(Leads!$G$2:$G$5001,MATCH(B74,Leads!$A$2:$A$5001,0)),""))</f>
        <v/>
      </c>
      <c r="E74" s="32"/>
      <c r="F74" s="32"/>
      <c r="G74" s="32"/>
    </row>
    <row r="75" customFormat="false" ht="15" hidden="false" customHeight="false" outlineLevel="0" collapsed="false">
      <c r="A75" s="31"/>
      <c r="B75" s="32"/>
      <c r="C75" s="35" t="str">
        <f aca="false">IF(B75="","",IFERROR(INDEX(Leads!$C$2:$C$5001,MATCH(B75,Leads!$A$2:$A$5001,0))&amp;" "&amp;INDEX(Leads!$D$2:$D$5001,MATCH(B75,Leads!$A$2:$A$5001,0)),"N° no encontrado"))</f>
        <v/>
      </c>
      <c r="D75" s="35" t="str">
        <f aca="false">IF(B75="","",IFERROR(INDEX(Leads!$G$2:$G$5001,MATCH(B75,Leads!$A$2:$A$5001,0)),""))</f>
        <v/>
      </c>
      <c r="E75" s="32"/>
      <c r="F75" s="32"/>
      <c r="G75" s="32"/>
    </row>
    <row r="76" customFormat="false" ht="15" hidden="false" customHeight="false" outlineLevel="0" collapsed="false">
      <c r="A76" s="31"/>
      <c r="B76" s="32"/>
      <c r="C76" s="35" t="str">
        <f aca="false">IF(B76="","",IFERROR(INDEX(Leads!$C$2:$C$5001,MATCH(B76,Leads!$A$2:$A$5001,0))&amp;" "&amp;INDEX(Leads!$D$2:$D$5001,MATCH(B76,Leads!$A$2:$A$5001,0)),"N° no encontrado"))</f>
        <v/>
      </c>
      <c r="D76" s="35" t="str">
        <f aca="false">IF(B76="","",IFERROR(INDEX(Leads!$G$2:$G$5001,MATCH(B76,Leads!$A$2:$A$5001,0)),""))</f>
        <v/>
      </c>
      <c r="E76" s="32"/>
      <c r="F76" s="32"/>
      <c r="G76" s="32"/>
    </row>
    <row r="77" customFormat="false" ht="15" hidden="false" customHeight="false" outlineLevel="0" collapsed="false">
      <c r="A77" s="31"/>
      <c r="B77" s="32"/>
      <c r="C77" s="35" t="str">
        <f aca="false">IF(B77="","",IFERROR(INDEX(Leads!$C$2:$C$5001,MATCH(B77,Leads!$A$2:$A$5001,0))&amp;" "&amp;INDEX(Leads!$D$2:$D$5001,MATCH(B77,Leads!$A$2:$A$5001,0)),"N° no encontrado"))</f>
        <v/>
      </c>
      <c r="D77" s="35" t="str">
        <f aca="false">IF(B77="","",IFERROR(INDEX(Leads!$G$2:$G$5001,MATCH(B77,Leads!$A$2:$A$5001,0)),""))</f>
        <v/>
      </c>
      <c r="E77" s="32"/>
      <c r="F77" s="32"/>
      <c r="G77" s="32"/>
    </row>
    <row r="78" customFormat="false" ht="15" hidden="false" customHeight="false" outlineLevel="0" collapsed="false">
      <c r="A78" s="31"/>
      <c r="B78" s="32"/>
      <c r="C78" s="35" t="str">
        <f aca="false">IF(B78="","",IFERROR(INDEX(Leads!$C$2:$C$5001,MATCH(B78,Leads!$A$2:$A$5001,0))&amp;" "&amp;INDEX(Leads!$D$2:$D$5001,MATCH(B78,Leads!$A$2:$A$5001,0)),"N° no encontrado"))</f>
        <v/>
      </c>
      <c r="D78" s="35" t="str">
        <f aca="false">IF(B78="","",IFERROR(INDEX(Leads!$G$2:$G$5001,MATCH(B78,Leads!$A$2:$A$5001,0)),""))</f>
        <v/>
      </c>
      <c r="E78" s="32"/>
      <c r="F78" s="32"/>
      <c r="G78" s="32"/>
    </row>
    <row r="79" customFormat="false" ht="15" hidden="false" customHeight="false" outlineLevel="0" collapsed="false">
      <c r="A79" s="31"/>
      <c r="B79" s="32"/>
      <c r="C79" s="35" t="str">
        <f aca="false">IF(B79="","",IFERROR(INDEX(Leads!$C$2:$C$5001,MATCH(B79,Leads!$A$2:$A$5001,0))&amp;" "&amp;INDEX(Leads!$D$2:$D$5001,MATCH(B79,Leads!$A$2:$A$5001,0)),"N° no encontrado"))</f>
        <v/>
      </c>
      <c r="D79" s="35" t="str">
        <f aca="false">IF(B79="","",IFERROR(INDEX(Leads!$G$2:$G$5001,MATCH(B79,Leads!$A$2:$A$5001,0)),""))</f>
        <v/>
      </c>
      <c r="E79" s="32"/>
      <c r="F79" s="32"/>
      <c r="G79" s="32"/>
    </row>
    <row r="80" customFormat="false" ht="15" hidden="false" customHeight="false" outlineLevel="0" collapsed="false">
      <c r="A80" s="31"/>
      <c r="B80" s="32"/>
      <c r="C80" s="35" t="str">
        <f aca="false">IF(B80="","",IFERROR(INDEX(Leads!$C$2:$C$5001,MATCH(B80,Leads!$A$2:$A$5001,0))&amp;" "&amp;INDEX(Leads!$D$2:$D$5001,MATCH(B80,Leads!$A$2:$A$5001,0)),"N° no encontrado"))</f>
        <v/>
      </c>
      <c r="D80" s="35" t="str">
        <f aca="false">IF(B80="","",IFERROR(INDEX(Leads!$G$2:$G$5001,MATCH(B80,Leads!$A$2:$A$5001,0)),""))</f>
        <v/>
      </c>
      <c r="E80" s="32"/>
      <c r="F80" s="32"/>
      <c r="G80" s="32"/>
    </row>
    <row r="81" customFormat="false" ht="15" hidden="false" customHeight="false" outlineLevel="0" collapsed="false">
      <c r="A81" s="31"/>
      <c r="B81" s="32"/>
      <c r="C81" s="35" t="str">
        <f aca="false">IF(B81="","",IFERROR(INDEX(Leads!$C$2:$C$5001,MATCH(B81,Leads!$A$2:$A$5001,0))&amp;" "&amp;INDEX(Leads!$D$2:$D$5001,MATCH(B81,Leads!$A$2:$A$5001,0)),"N° no encontrado"))</f>
        <v/>
      </c>
      <c r="D81" s="35" t="str">
        <f aca="false">IF(B81="","",IFERROR(INDEX(Leads!$G$2:$G$5001,MATCH(B81,Leads!$A$2:$A$5001,0)),""))</f>
        <v/>
      </c>
      <c r="E81" s="32"/>
      <c r="F81" s="32"/>
      <c r="G81" s="32"/>
    </row>
    <row r="82" customFormat="false" ht="15" hidden="false" customHeight="false" outlineLevel="0" collapsed="false">
      <c r="A82" s="31"/>
      <c r="B82" s="32"/>
      <c r="C82" s="35" t="str">
        <f aca="false">IF(B82="","",IFERROR(INDEX(Leads!$C$2:$C$5001,MATCH(B82,Leads!$A$2:$A$5001,0))&amp;" "&amp;INDEX(Leads!$D$2:$D$5001,MATCH(B82,Leads!$A$2:$A$5001,0)),"N° no encontrado"))</f>
        <v/>
      </c>
      <c r="D82" s="35" t="str">
        <f aca="false">IF(B82="","",IFERROR(INDEX(Leads!$G$2:$G$5001,MATCH(B82,Leads!$A$2:$A$5001,0)),""))</f>
        <v/>
      </c>
      <c r="E82" s="32"/>
      <c r="F82" s="32"/>
      <c r="G82" s="32"/>
    </row>
    <row r="83" customFormat="false" ht="15" hidden="false" customHeight="false" outlineLevel="0" collapsed="false">
      <c r="A83" s="31"/>
      <c r="B83" s="32"/>
      <c r="C83" s="35" t="str">
        <f aca="false">IF(B83="","",IFERROR(INDEX(Leads!$C$2:$C$5001,MATCH(B83,Leads!$A$2:$A$5001,0))&amp;" "&amp;INDEX(Leads!$D$2:$D$5001,MATCH(B83,Leads!$A$2:$A$5001,0)),"N° no encontrado"))</f>
        <v/>
      </c>
      <c r="D83" s="35" t="str">
        <f aca="false">IF(B83="","",IFERROR(INDEX(Leads!$G$2:$G$5001,MATCH(B83,Leads!$A$2:$A$5001,0)),""))</f>
        <v/>
      </c>
      <c r="E83" s="32"/>
      <c r="F83" s="32"/>
      <c r="G83" s="32"/>
    </row>
    <row r="84" customFormat="false" ht="15" hidden="false" customHeight="false" outlineLevel="0" collapsed="false">
      <c r="A84" s="31"/>
      <c r="B84" s="32"/>
      <c r="C84" s="35" t="str">
        <f aca="false">IF(B84="","",IFERROR(INDEX(Leads!$C$2:$C$5001,MATCH(B84,Leads!$A$2:$A$5001,0))&amp;" "&amp;INDEX(Leads!$D$2:$D$5001,MATCH(B84,Leads!$A$2:$A$5001,0)),"N° no encontrado"))</f>
        <v/>
      </c>
      <c r="D84" s="35" t="str">
        <f aca="false">IF(B84="","",IFERROR(INDEX(Leads!$G$2:$G$5001,MATCH(B84,Leads!$A$2:$A$5001,0)),""))</f>
        <v/>
      </c>
      <c r="E84" s="32"/>
      <c r="F84" s="32"/>
      <c r="G84" s="32"/>
    </row>
    <row r="85" customFormat="false" ht="15" hidden="false" customHeight="false" outlineLevel="0" collapsed="false">
      <c r="A85" s="31"/>
      <c r="B85" s="32"/>
      <c r="C85" s="35" t="str">
        <f aca="false">IF(B85="","",IFERROR(INDEX(Leads!$C$2:$C$5001,MATCH(B85,Leads!$A$2:$A$5001,0))&amp;" "&amp;INDEX(Leads!$D$2:$D$5001,MATCH(B85,Leads!$A$2:$A$5001,0)),"N° no encontrado"))</f>
        <v/>
      </c>
      <c r="D85" s="35" t="str">
        <f aca="false">IF(B85="","",IFERROR(INDEX(Leads!$G$2:$G$5001,MATCH(B85,Leads!$A$2:$A$5001,0)),""))</f>
        <v/>
      </c>
      <c r="E85" s="32"/>
      <c r="F85" s="32"/>
      <c r="G85" s="32"/>
    </row>
    <row r="86" customFormat="false" ht="15" hidden="false" customHeight="false" outlineLevel="0" collapsed="false">
      <c r="A86" s="31"/>
      <c r="B86" s="32"/>
      <c r="C86" s="35" t="str">
        <f aca="false">IF(B86="","",IFERROR(INDEX(Leads!$C$2:$C$5001,MATCH(B86,Leads!$A$2:$A$5001,0))&amp;" "&amp;INDEX(Leads!$D$2:$D$5001,MATCH(B86,Leads!$A$2:$A$5001,0)),"N° no encontrado"))</f>
        <v/>
      </c>
      <c r="D86" s="35" t="str">
        <f aca="false">IF(B86="","",IFERROR(INDEX(Leads!$G$2:$G$5001,MATCH(B86,Leads!$A$2:$A$5001,0)),""))</f>
        <v/>
      </c>
      <c r="E86" s="32"/>
      <c r="F86" s="32"/>
      <c r="G86" s="32"/>
    </row>
    <row r="87" customFormat="false" ht="15" hidden="false" customHeight="false" outlineLevel="0" collapsed="false">
      <c r="A87" s="31"/>
      <c r="B87" s="32"/>
      <c r="C87" s="35" t="str">
        <f aca="false">IF(B87="","",IFERROR(INDEX(Leads!$C$2:$C$5001,MATCH(B87,Leads!$A$2:$A$5001,0))&amp;" "&amp;INDEX(Leads!$D$2:$D$5001,MATCH(B87,Leads!$A$2:$A$5001,0)),"N° no encontrado"))</f>
        <v/>
      </c>
      <c r="D87" s="35" t="str">
        <f aca="false">IF(B87="","",IFERROR(INDEX(Leads!$G$2:$G$5001,MATCH(B87,Leads!$A$2:$A$5001,0)),""))</f>
        <v/>
      </c>
      <c r="E87" s="32"/>
      <c r="F87" s="32"/>
      <c r="G87" s="32"/>
    </row>
    <row r="88" customFormat="false" ht="15" hidden="false" customHeight="false" outlineLevel="0" collapsed="false">
      <c r="A88" s="31"/>
      <c r="B88" s="32"/>
      <c r="C88" s="35" t="str">
        <f aca="false">IF(B88="","",IFERROR(INDEX(Leads!$C$2:$C$5001,MATCH(B88,Leads!$A$2:$A$5001,0))&amp;" "&amp;INDEX(Leads!$D$2:$D$5001,MATCH(B88,Leads!$A$2:$A$5001,0)),"N° no encontrado"))</f>
        <v/>
      </c>
      <c r="D88" s="35" t="str">
        <f aca="false">IF(B88="","",IFERROR(INDEX(Leads!$G$2:$G$5001,MATCH(B88,Leads!$A$2:$A$5001,0)),""))</f>
        <v/>
      </c>
      <c r="E88" s="32"/>
      <c r="F88" s="32"/>
      <c r="G88" s="32"/>
    </row>
    <row r="89" customFormat="false" ht="15" hidden="false" customHeight="false" outlineLevel="0" collapsed="false">
      <c r="A89" s="31"/>
      <c r="B89" s="32"/>
      <c r="C89" s="35" t="str">
        <f aca="false">IF(B89="","",IFERROR(INDEX(Leads!$C$2:$C$5001,MATCH(B89,Leads!$A$2:$A$5001,0))&amp;" "&amp;INDEX(Leads!$D$2:$D$5001,MATCH(B89,Leads!$A$2:$A$5001,0)),"N° no encontrado"))</f>
        <v/>
      </c>
      <c r="D89" s="35" t="str">
        <f aca="false">IF(B89="","",IFERROR(INDEX(Leads!$G$2:$G$5001,MATCH(B89,Leads!$A$2:$A$5001,0)),""))</f>
        <v/>
      </c>
      <c r="E89" s="32"/>
      <c r="F89" s="32"/>
      <c r="G89" s="32"/>
    </row>
    <row r="90" customFormat="false" ht="15" hidden="false" customHeight="false" outlineLevel="0" collapsed="false">
      <c r="A90" s="31"/>
      <c r="B90" s="32"/>
      <c r="C90" s="35" t="str">
        <f aca="false">IF(B90="","",IFERROR(INDEX(Leads!$C$2:$C$5001,MATCH(B90,Leads!$A$2:$A$5001,0))&amp;" "&amp;INDEX(Leads!$D$2:$D$5001,MATCH(B90,Leads!$A$2:$A$5001,0)),"N° no encontrado"))</f>
        <v/>
      </c>
      <c r="D90" s="35" t="str">
        <f aca="false">IF(B90="","",IFERROR(INDEX(Leads!$G$2:$G$5001,MATCH(B90,Leads!$A$2:$A$5001,0)),""))</f>
        <v/>
      </c>
      <c r="E90" s="32"/>
      <c r="F90" s="32"/>
      <c r="G90" s="32"/>
    </row>
    <row r="91" customFormat="false" ht="15" hidden="false" customHeight="false" outlineLevel="0" collapsed="false">
      <c r="A91" s="31"/>
      <c r="B91" s="32"/>
      <c r="C91" s="35" t="str">
        <f aca="false">IF(B91="","",IFERROR(INDEX(Leads!$C$2:$C$5001,MATCH(B91,Leads!$A$2:$A$5001,0))&amp;" "&amp;INDEX(Leads!$D$2:$D$5001,MATCH(B91,Leads!$A$2:$A$5001,0)),"N° no encontrado"))</f>
        <v/>
      </c>
      <c r="D91" s="35" t="str">
        <f aca="false">IF(B91="","",IFERROR(INDEX(Leads!$G$2:$G$5001,MATCH(B91,Leads!$A$2:$A$5001,0)),""))</f>
        <v/>
      </c>
      <c r="E91" s="32"/>
      <c r="F91" s="32"/>
      <c r="G91" s="32"/>
    </row>
    <row r="92" customFormat="false" ht="15" hidden="false" customHeight="false" outlineLevel="0" collapsed="false">
      <c r="A92" s="31"/>
      <c r="B92" s="32"/>
      <c r="C92" s="35" t="str">
        <f aca="false">IF(B92="","",IFERROR(INDEX(Leads!$C$2:$C$5001,MATCH(B92,Leads!$A$2:$A$5001,0))&amp;" "&amp;INDEX(Leads!$D$2:$D$5001,MATCH(B92,Leads!$A$2:$A$5001,0)),"N° no encontrado"))</f>
        <v/>
      </c>
      <c r="D92" s="35" t="str">
        <f aca="false">IF(B92="","",IFERROR(INDEX(Leads!$G$2:$G$5001,MATCH(B92,Leads!$A$2:$A$5001,0)),""))</f>
        <v/>
      </c>
      <c r="E92" s="32"/>
      <c r="F92" s="32"/>
      <c r="G92" s="32"/>
    </row>
    <row r="93" customFormat="false" ht="15" hidden="false" customHeight="false" outlineLevel="0" collapsed="false">
      <c r="A93" s="31"/>
      <c r="B93" s="32"/>
      <c r="C93" s="35" t="str">
        <f aca="false">IF(B93="","",IFERROR(INDEX(Leads!$C$2:$C$5001,MATCH(B93,Leads!$A$2:$A$5001,0))&amp;" "&amp;INDEX(Leads!$D$2:$D$5001,MATCH(B93,Leads!$A$2:$A$5001,0)),"N° no encontrado"))</f>
        <v/>
      </c>
      <c r="D93" s="35" t="str">
        <f aca="false">IF(B93="","",IFERROR(INDEX(Leads!$G$2:$G$5001,MATCH(B93,Leads!$A$2:$A$5001,0)),""))</f>
        <v/>
      </c>
      <c r="E93" s="32"/>
      <c r="F93" s="32"/>
      <c r="G93" s="32"/>
    </row>
    <row r="94" customFormat="false" ht="15" hidden="false" customHeight="false" outlineLevel="0" collapsed="false">
      <c r="A94" s="31"/>
      <c r="B94" s="32"/>
      <c r="C94" s="35" t="str">
        <f aca="false">IF(B94="","",IFERROR(INDEX(Leads!$C$2:$C$5001,MATCH(B94,Leads!$A$2:$A$5001,0))&amp;" "&amp;INDEX(Leads!$D$2:$D$5001,MATCH(B94,Leads!$A$2:$A$5001,0)),"N° no encontrado"))</f>
        <v/>
      </c>
      <c r="D94" s="35" t="str">
        <f aca="false">IF(B94="","",IFERROR(INDEX(Leads!$G$2:$G$5001,MATCH(B94,Leads!$A$2:$A$5001,0)),""))</f>
        <v/>
      </c>
      <c r="E94" s="32"/>
      <c r="F94" s="32"/>
      <c r="G94" s="32"/>
    </row>
    <row r="95" customFormat="false" ht="15" hidden="false" customHeight="false" outlineLevel="0" collapsed="false">
      <c r="A95" s="31"/>
      <c r="B95" s="32"/>
      <c r="C95" s="35" t="str">
        <f aca="false">IF(B95="","",IFERROR(INDEX(Leads!$C$2:$C$5001,MATCH(B95,Leads!$A$2:$A$5001,0))&amp;" "&amp;INDEX(Leads!$D$2:$D$5001,MATCH(B95,Leads!$A$2:$A$5001,0)),"N° no encontrado"))</f>
        <v/>
      </c>
      <c r="D95" s="35" t="str">
        <f aca="false">IF(B95="","",IFERROR(INDEX(Leads!$G$2:$G$5001,MATCH(B95,Leads!$A$2:$A$5001,0)),""))</f>
        <v/>
      </c>
      <c r="E95" s="32"/>
      <c r="F95" s="32"/>
      <c r="G95" s="32"/>
    </row>
    <row r="96" customFormat="false" ht="15" hidden="false" customHeight="false" outlineLevel="0" collapsed="false">
      <c r="A96" s="31"/>
      <c r="B96" s="32"/>
      <c r="C96" s="35" t="str">
        <f aca="false">IF(B96="","",IFERROR(INDEX(Leads!$C$2:$C$5001,MATCH(B96,Leads!$A$2:$A$5001,0))&amp;" "&amp;INDEX(Leads!$D$2:$D$5001,MATCH(B96,Leads!$A$2:$A$5001,0)),"N° no encontrado"))</f>
        <v/>
      </c>
      <c r="D96" s="35" t="str">
        <f aca="false">IF(B96="","",IFERROR(INDEX(Leads!$G$2:$G$5001,MATCH(B96,Leads!$A$2:$A$5001,0)),""))</f>
        <v/>
      </c>
      <c r="E96" s="32"/>
      <c r="F96" s="32"/>
      <c r="G96" s="32"/>
    </row>
    <row r="97" customFormat="false" ht="15" hidden="false" customHeight="false" outlineLevel="0" collapsed="false">
      <c r="A97" s="31"/>
      <c r="B97" s="32"/>
      <c r="C97" s="35" t="str">
        <f aca="false">IF(B97="","",IFERROR(INDEX(Leads!$C$2:$C$5001,MATCH(B97,Leads!$A$2:$A$5001,0))&amp;" "&amp;INDEX(Leads!$D$2:$D$5001,MATCH(B97,Leads!$A$2:$A$5001,0)),"N° no encontrado"))</f>
        <v/>
      </c>
      <c r="D97" s="35" t="str">
        <f aca="false">IF(B97="","",IFERROR(INDEX(Leads!$G$2:$G$5001,MATCH(B97,Leads!$A$2:$A$5001,0)),""))</f>
        <v/>
      </c>
      <c r="E97" s="32"/>
      <c r="F97" s="32"/>
      <c r="G97" s="32"/>
    </row>
    <row r="98" customFormat="false" ht="15" hidden="false" customHeight="false" outlineLevel="0" collapsed="false">
      <c r="A98" s="31"/>
      <c r="B98" s="32"/>
      <c r="C98" s="35" t="str">
        <f aca="false">IF(B98="","",IFERROR(INDEX(Leads!$C$2:$C$5001,MATCH(B98,Leads!$A$2:$A$5001,0))&amp;" "&amp;INDEX(Leads!$D$2:$D$5001,MATCH(B98,Leads!$A$2:$A$5001,0)),"N° no encontrado"))</f>
        <v/>
      </c>
      <c r="D98" s="35" t="str">
        <f aca="false">IF(B98="","",IFERROR(INDEX(Leads!$G$2:$G$5001,MATCH(B98,Leads!$A$2:$A$5001,0)),""))</f>
        <v/>
      </c>
      <c r="E98" s="32"/>
      <c r="F98" s="32"/>
      <c r="G98" s="32"/>
    </row>
    <row r="99" customFormat="false" ht="15" hidden="false" customHeight="false" outlineLevel="0" collapsed="false">
      <c r="A99" s="31"/>
      <c r="B99" s="32"/>
      <c r="C99" s="35" t="str">
        <f aca="false">IF(B99="","",IFERROR(INDEX(Leads!$C$2:$C$5001,MATCH(B99,Leads!$A$2:$A$5001,0))&amp;" "&amp;INDEX(Leads!$D$2:$D$5001,MATCH(B99,Leads!$A$2:$A$5001,0)),"N° no encontrado"))</f>
        <v/>
      </c>
      <c r="D99" s="35" t="str">
        <f aca="false">IF(B99="","",IFERROR(INDEX(Leads!$G$2:$G$5001,MATCH(B99,Leads!$A$2:$A$5001,0)),""))</f>
        <v/>
      </c>
      <c r="E99" s="32"/>
      <c r="F99" s="32"/>
      <c r="G99" s="32"/>
    </row>
    <row r="100" customFormat="false" ht="15" hidden="false" customHeight="false" outlineLevel="0" collapsed="false">
      <c r="A100" s="31"/>
      <c r="B100" s="32"/>
      <c r="C100" s="35" t="str">
        <f aca="false">IF(B100="","",IFERROR(INDEX(Leads!$C$2:$C$5001,MATCH(B100,Leads!$A$2:$A$5001,0))&amp;" "&amp;INDEX(Leads!$D$2:$D$5001,MATCH(B100,Leads!$A$2:$A$5001,0)),"N° no encontrado"))</f>
        <v/>
      </c>
      <c r="D100" s="35" t="str">
        <f aca="false">IF(B100="","",IFERROR(INDEX(Leads!$G$2:$G$5001,MATCH(B100,Leads!$A$2:$A$5001,0)),""))</f>
        <v/>
      </c>
      <c r="E100" s="32"/>
      <c r="F100" s="32"/>
      <c r="G100" s="32"/>
    </row>
    <row r="101" customFormat="false" ht="15" hidden="false" customHeight="false" outlineLevel="0" collapsed="false">
      <c r="A101" s="31"/>
      <c r="B101" s="32"/>
      <c r="C101" s="35" t="str">
        <f aca="false">IF(B101="","",IFERROR(INDEX(Leads!$C$2:$C$5001,MATCH(B101,Leads!$A$2:$A$5001,0))&amp;" "&amp;INDEX(Leads!$D$2:$D$5001,MATCH(B101,Leads!$A$2:$A$5001,0)),"N° no encontrado"))</f>
        <v/>
      </c>
      <c r="D101" s="35" t="str">
        <f aca="false">IF(B101="","",IFERROR(INDEX(Leads!$G$2:$G$5001,MATCH(B101,Leads!$A$2:$A$5001,0)),""))</f>
        <v/>
      </c>
      <c r="E101" s="32"/>
      <c r="F101" s="32"/>
      <c r="G101" s="32"/>
    </row>
    <row r="102" customFormat="false" ht="15" hidden="false" customHeight="false" outlineLevel="0" collapsed="false">
      <c r="A102" s="31"/>
      <c r="B102" s="32"/>
      <c r="C102" s="35" t="str">
        <f aca="false">IF(B102="","",IFERROR(INDEX(Leads!$C$2:$C$5001,MATCH(B102,Leads!$A$2:$A$5001,0))&amp;" "&amp;INDEX(Leads!$D$2:$D$5001,MATCH(B102,Leads!$A$2:$A$5001,0)),"N° no encontrado"))</f>
        <v/>
      </c>
      <c r="D102" s="35" t="str">
        <f aca="false">IF(B102="","",IFERROR(INDEX(Leads!$G$2:$G$5001,MATCH(B102,Leads!$A$2:$A$5001,0)),""))</f>
        <v/>
      </c>
      <c r="E102" s="32"/>
      <c r="F102" s="32"/>
      <c r="G102" s="32"/>
    </row>
    <row r="103" customFormat="false" ht="15" hidden="false" customHeight="false" outlineLevel="0" collapsed="false">
      <c r="A103" s="31"/>
      <c r="B103" s="32"/>
      <c r="C103" s="35" t="str">
        <f aca="false">IF(B103="","",IFERROR(INDEX(Leads!$C$2:$C$5001,MATCH(B103,Leads!$A$2:$A$5001,0))&amp;" "&amp;INDEX(Leads!$D$2:$D$5001,MATCH(B103,Leads!$A$2:$A$5001,0)),"N° no encontrado"))</f>
        <v/>
      </c>
      <c r="D103" s="35" t="str">
        <f aca="false">IF(B103="","",IFERROR(INDEX(Leads!$G$2:$G$5001,MATCH(B103,Leads!$A$2:$A$5001,0)),""))</f>
        <v/>
      </c>
      <c r="E103" s="32"/>
      <c r="F103" s="32"/>
      <c r="G103" s="32"/>
    </row>
    <row r="104" customFormat="false" ht="15" hidden="false" customHeight="false" outlineLevel="0" collapsed="false">
      <c r="A104" s="31"/>
      <c r="B104" s="32"/>
      <c r="C104" s="35" t="str">
        <f aca="false">IF(B104="","",IFERROR(INDEX(Leads!$C$2:$C$5001,MATCH(B104,Leads!$A$2:$A$5001,0))&amp;" "&amp;INDEX(Leads!$D$2:$D$5001,MATCH(B104,Leads!$A$2:$A$5001,0)),"N° no encontrado"))</f>
        <v/>
      </c>
      <c r="D104" s="35" t="str">
        <f aca="false">IF(B104="","",IFERROR(INDEX(Leads!$G$2:$G$5001,MATCH(B104,Leads!$A$2:$A$5001,0)),""))</f>
        <v/>
      </c>
      <c r="E104" s="32"/>
      <c r="F104" s="32"/>
      <c r="G104" s="32"/>
    </row>
    <row r="105" customFormat="false" ht="15" hidden="false" customHeight="false" outlineLevel="0" collapsed="false">
      <c r="A105" s="31"/>
      <c r="B105" s="32"/>
      <c r="C105" s="35" t="str">
        <f aca="false">IF(B105="","",IFERROR(INDEX(Leads!$C$2:$C$5001,MATCH(B105,Leads!$A$2:$A$5001,0))&amp;" "&amp;INDEX(Leads!$D$2:$D$5001,MATCH(B105,Leads!$A$2:$A$5001,0)),"N° no encontrado"))</f>
        <v/>
      </c>
      <c r="D105" s="35" t="str">
        <f aca="false">IF(B105="","",IFERROR(INDEX(Leads!$G$2:$G$5001,MATCH(B105,Leads!$A$2:$A$5001,0)),""))</f>
        <v/>
      </c>
      <c r="E105" s="32"/>
      <c r="F105" s="32"/>
      <c r="G105" s="32"/>
    </row>
    <row r="106" customFormat="false" ht="15" hidden="false" customHeight="false" outlineLevel="0" collapsed="false">
      <c r="A106" s="31"/>
      <c r="B106" s="32"/>
      <c r="C106" s="35" t="str">
        <f aca="false">IF(B106="","",IFERROR(INDEX(Leads!$C$2:$C$5001,MATCH(B106,Leads!$A$2:$A$5001,0))&amp;" "&amp;INDEX(Leads!$D$2:$D$5001,MATCH(B106,Leads!$A$2:$A$5001,0)),"N° no encontrado"))</f>
        <v/>
      </c>
      <c r="D106" s="35" t="str">
        <f aca="false">IF(B106="","",IFERROR(INDEX(Leads!$G$2:$G$5001,MATCH(B106,Leads!$A$2:$A$5001,0)),""))</f>
        <v/>
      </c>
      <c r="E106" s="32"/>
      <c r="F106" s="32"/>
      <c r="G106" s="32"/>
    </row>
    <row r="107" customFormat="false" ht="15" hidden="false" customHeight="false" outlineLevel="0" collapsed="false">
      <c r="A107" s="31"/>
      <c r="B107" s="32"/>
      <c r="C107" s="35" t="str">
        <f aca="false">IF(B107="","",IFERROR(INDEX(Leads!$C$2:$C$5001,MATCH(B107,Leads!$A$2:$A$5001,0))&amp;" "&amp;INDEX(Leads!$D$2:$D$5001,MATCH(B107,Leads!$A$2:$A$5001,0)),"N° no encontrado"))</f>
        <v/>
      </c>
      <c r="D107" s="35" t="str">
        <f aca="false">IF(B107="","",IFERROR(INDEX(Leads!$G$2:$G$5001,MATCH(B107,Leads!$A$2:$A$5001,0)),""))</f>
        <v/>
      </c>
      <c r="E107" s="32"/>
      <c r="F107" s="32"/>
      <c r="G107" s="32"/>
    </row>
    <row r="108" customFormat="false" ht="15" hidden="false" customHeight="false" outlineLevel="0" collapsed="false">
      <c r="A108" s="31"/>
      <c r="B108" s="32"/>
      <c r="C108" s="35" t="str">
        <f aca="false">IF(B108="","",IFERROR(INDEX(Leads!$C$2:$C$5001,MATCH(B108,Leads!$A$2:$A$5001,0))&amp;" "&amp;INDEX(Leads!$D$2:$D$5001,MATCH(B108,Leads!$A$2:$A$5001,0)),"N° no encontrado"))</f>
        <v/>
      </c>
      <c r="D108" s="35" t="str">
        <f aca="false">IF(B108="","",IFERROR(INDEX(Leads!$G$2:$G$5001,MATCH(B108,Leads!$A$2:$A$5001,0)),""))</f>
        <v/>
      </c>
      <c r="E108" s="32"/>
      <c r="F108" s="32"/>
      <c r="G108" s="32"/>
    </row>
    <row r="109" customFormat="false" ht="15" hidden="false" customHeight="false" outlineLevel="0" collapsed="false">
      <c r="A109" s="31"/>
      <c r="B109" s="32"/>
      <c r="C109" s="35" t="str">
        <f aca="false">IF(B109="","",IFERROR(INDEX(Leads!$C$2:$C$5001,MATCH(B109,Leads!$A$2:$A$5001,0))&amp;" "&amp;INDEX(Leads!$D$2:$D$5001,MATCH(B109,Leads!$A$2:$A$5001,0)),"N° no encontrado"))</f>
        <v/>
      </c>
      <c r="D109" s="35" t="str">
        <f aca="false">IF(B109="","",IFERROR(INDEX(Leads!$G$2:$G$5001,MATCH(B109,Leads!$A$2:$A$5001,0)),""))</f>
        <v/>
      </c>
      <c r="E109" s="32"/>
      <c r="F109" s="32"/>
      <c r="G109" s="32"/>
    </row>
    <row r="110" customFormat="false" ht="15" hidden="false" customHeight="false" outlineLevel="0" collapsed="false">
      <c r="A110" s="31"/>
      <c r="B110" s="32"/>
      <c r="C110" s="35" t="str">
        <f aca="false">IF(B110="","",IFERROR(INDEX(Leads!$C$2:$C$5001,MATCH(B110,Leads!$A$2:$A$5001,0))&amp;" "&amp;INDEX(Leads!$D$2:$D$5001,MATCH(B110,Leads!$A$2:$A$5001,0)),"N° no encontrado"))</f>
        <v/>
      </c>
      <c r="D110" s="35" t="str">
        <f aca="false">IF(B110="","",IFERROR(INDEX(Leads!$G$2:$G$5001,MATCH(B110,Leads!$A$2:$A$5001,0)),""))</f>
        <v/>
      </c>
      <c r="E110" s="32"/>
      <c r="F110" s="32"/>
      <c r="G110" s="32"/>
    </row>
    <row r="111" customFormat="false" ht="15" hidden="false" customHeight="false" outlineLevel="0" collapsed="false">
      <c r="A111" s="31"/>
      <c r="B111" s="32"/>
      <c r="C111" s="35" t="str">
        <f aca="false">IF(B111="","",IFERROR(INDEX(Leads!$C$2:$C$5001,MATCH(B111,Leads!$A$2:$A$5001,0))&amp;" "&amp;INDEX(Leads!$D$2:$D$5001,MATCH(B111,Leads!$A$2:$A$5001,0)),"N° no encontrado"))</f>
        <v/>
      </c>
      <c r="D111" s="35" t="str">
        <f aca="false">IF(B111="","",IFERROR(INDEX(Leads!$G$2:$G$5001,MATCH(B111,Leads!$A$2:$A$5001,0)),""))</f>
        <v/>
      </c>
      <c r="E111" s="32"/>
      <c r="F111" s="32"/>
      <c r="G111" s="32"/>
    </row>
    <row r="112" customFormat="false" ht="15" hidden="false" customHeight="false" outlineLevel="0" collapsed="false">
      <c r="A112" s="31"/>
      <c r="B112" s="32"/>
      <c r="C112" s="35" t="str">
        <f aca="false">IF(B112="","",IFERROR(INDEX(Leads!$C$2:$C$5001,MATCH(B112,Leads!$A$2:$A$5001,0))&amp;" "&amp;INDEX(Leads!$D$2:$D$5001,MATCH(B112,Leads!$A$2:$A$5001,0)),"N° no encontrado"))</f>
        <v/>
      </c>
      <c r="D112" s="35" t="str">
        <f aca="false">IF(B112="","",IFERROR(INDEX(Leads!$G$2:$G$5001,MATCH(B112,Leads!$A$2:$A$5001,0)),""))</f>
        <v/>
      </c>
      <c r="E112" s="32"/>
      <c r="F112" s="32"/>
      <c r="G112" s="32"/>
    </row>
    <row r="113" customFormat="false" ht="15" hidden="false" customHeight="false" outlineLevel="0" collapsed="false">
      <c r="A113" s="31"/>
      <c r="B113" s="32"/>
      <c r="C113" s="35" t="str">
        <f aca="false">IF(B113="","",IFERROR(INDEX(Leads!$C$2:$C$5001,MATCH(B113,Leads!$A$2:$A$5001,0))&amp;" "&amp;INDEX(Leads!$D$2:$D$5001,MATCH(B113,Leads!$A$2:$A$5001,0)),"N° no encontrado"))</f>
        <v/>
      </c>
      <c r="D113" s="35" t="str">
        <f aca="false">IF(B113="","",IFERROR(INDEX(Leads!$G$2:$G$5001,MATCH(B113,Leads!$A$2:$A$5001,0)),""))</f>
        <v/>
      </c>
      <c r="E113" s="32"/>
      <c r="F113" s="32"/>
      <c r="G113" s="32"/>
    </row>
    <row r="114" customFormat="false" ht="15" hidden="false" customHeight="false" outlineLevel="0" collapsed="false">
      <c r="A114" s="31"/>
      <c r="B114" s="32"/>
      <c r="C114" s="35" t="str">
        <f aca="false">IF(B114="","",IFERROR(INDEX(Leads!$C$2:$C$5001,MATCH(B114,Leads!$A$2:$A$5001,0))&amp;" "&amp;INDEX(Leads!$D$2:$D$5001,MATCH(B114,Leads!$A$2:$A$5001,0)),"N° no encontrado"))</f>
        <v/>
      </c>
      <c r="D114" s="35" t="str">
        <f aca="false">IF(B114="","",IFERROR(INDEX(Leads!$G$2:$G$5001,MATCH(B114,Leads!$A$2:$A$5001,0)),""))</f>
        <v/>
      </c>
      <c r="E114" s="32"/>
      <c r="F114" s="32"/>
      <c r="G114" s="32"/>
    </row>
    <row r="115" customFormat="false" ht="15" hidden="false" customHeight="false" outlineLevel="0" collapsed="false">
      <c r="A115" s="31"/>
      <c r="B115" s="32"/>
      <c r="C115" s="35" t="str">
        <f aca="false">IF(B115="","",IFERROR(INDEX(Leads!$C$2:$C$5001,MATCH(B115,Leads!$A$2:$A$5001,0))&amp;" "&amp;INDEX(Leads!$D$2:$D$5001,MATCH(B115,Leads!$A$2:$A$5001,0)),"N° no encontrado"))</f>
        <v/>
      </c>
      <c r="D115" s="35" t="str">
        <f aca="false">IF(B115="","",IFERROR(INDEX(Leads!$G$2:$G$5001,MATCH(B115,Leads!$A$2:$A$5001,0)),""))</f>
        <v/>
      </c>
      <c r="E115" s="32"/>
      <c r="F115" s="32"/>
      <c r="G115" s="32"/>
    </row>
    <row r="116" customFormat="false" ht="15" hidden="false" customHeight="false" outlineLevel="0" collapsed="false">
      <c r="A116" s="31"/>
      <c r="B116" s="32"/>
      <c r="C116" s="35" t="str">
        <f aca="false">IF(B116="","",IFERROR(INDEX(Leads!$C$2:$C$5001,MATCH(B116,Leads!$A$2:$A$5001,0))&amp;" "&amp;INDEX(Leads!$D$2:$D$5001,MATCH(B116,Leads!$A$2:$A$5001,0)),"N° no encontrado"))</f>
        <v/>
      </c>
      <c r="D116" s="35" t="str">
        <f aca="false">IF(B116="","",IFERROR(INDEX(Leads!$G$2:$G$5001,MATCH(B116,Leads!$A$2:$A$5001,0)),""))</f>
        <v/>
      </c>
      <c r="E116" s="32"/>
      <c r="F116" s="32"/>
      <c r="G116" s="32"/>
    </row>
    <row r="117" customFormat="false" ht="15" hidden="false" customHeight="false" outlineLevel="0" collapsed="false">
      <c r="A117" s="31"/>
      <c r="B117" s="32"/>
      <c r="C117" s="35" t="str">
        <f aca="false">IF(B117="","",IFERROR(INDEX(Leads!$C$2:$C$5001,MATCH(B117,Leads!$A$2:$A$5001,0))&amp;" "&amp;INDEX(Leads!$D$2:$D$5001,MATCH(B117,Leads!$A$2:$A$5001,0)),"N° no encontrado"))</f>
        <v/>
      </c>
      <c r="D117" s="35" t="str">
        <f aca="false">IF(B117="","",IFERROR(INDEX(Leads!$G$2:$G$5001,MATCH(B117,Leads!$A$2:$A$5001,0)),""))</f>
        <v/>
      </c>
      <c r="E117" s="32"/>
      <c r="F117" s="32"/>
      <c r="G117" s="32"/>
    </row>
    <row r="118" customFormat="false" ht="15" hidden="false" customHeight="false" outlineLevel="0" collapsed="false">
      <c r="A118" s="31"/>
      <c r="B118" s="32"/>
      <c r="C118" s="35" t="str">
        <f aca="false">IF(B118="","",IFERROR(INDEX(Leads!$C$2:$C$5001,MATCH(B118,Leads!$A$2:$A$5001,0))&amp;" "&amp;INDEX(Leads!$D$2:$D$5001,MATCH(B118,Leads!$A$2:$A$5001,0)),"N° no encontrado"))</f>
        <v/>
      </c>
      <c r="D118" s="35" t="str">
        <f aca="false">IF(B118="","",IFERROR(INDEX(Leads!$G$2:$G$5001,MATCH(B118,Leads!$A$2:$A$5001,0)),""))</f>
        <v/>
      </c>
      <c r="E118" s="32"/>
      <c r="F118" s="32"/>
      <c r="G118" s="32"/>
    </row>
    <row r="119" customFormat="false" ht="15" hidden="false" customHeight="false" outlineLevel="0" collapsed="false">
      <c r="A119" s="31"/>
      <c r="B119" s="32"/>
      <c r="C119" s="35" t="str">
        <f aca="false">IF(B119="","",IFERROR(INDEX(Leads!$C$2:$C$5001,MATCH(B119,Leads!$A$2:$A$5001,0))&amp;" "&amp;INDEX(Leads!$D$2:$D$5001,MATCH(B119,Leads!$A$2:$A$5001,0)),"N° no encontrado"))</f>
        <v/>
      </c>
      <c r="D119" s="35" t="str">
        <f aca="false">IF(B119="","",IFERROR(INDEX(Leads!$G$2:$G$5001,MATCH(B119,Leads!$A$2:$A$5001,0)),""))</f>
        <v/>
      </c>
      <c r="E119" s="32"/>
      <c r="F119" s="32"/>
      <c r="G119" s="32"/>
    </row>
    <row r="120" customFormat="false" ht="15" hidden="false" customHeight="false" outlineLevel="0" collapsed="false">
      <c r="A120" s="31"/>
      <c r="B120" s="32"/>
      <c r="C120" s="35" t="str">
        <f aca="false">IF(B120="","",IFERROR(INDEX(Leads!$C$2:$C$5001,MATCH(B120,Leads!$A$2:$A$5001,0))&amp;" "&amp;INDEX(Leads!$D$2:$D$5001,MATCH(B120,Leads!$A$2:$A$5001,0)),"N° no encontrado"))</f>
        <v/>
      </c>
      <c r="D120" s="35" t="str">
        <f aca="false">IF(B120="","",IFERROR(INDEX(Leads!$G$2:$G$5001,MATCH(B120,Leads!$A$2:$A$5001,0)),""))</f>
        <v/>
      </c>
      <c r="E120" s="32"/>
      <c r="F120" s="32"/>
      <c r="G120" s="32"/>
    </row>
    <row r="121" customFormat="false" ht="15" hidden="false" customHeight="false" outlineLevel="0" collapsed="false">
      <c r="A121" s="31"/>
      <c r="B121" s="32"/>
      <c r="C121" s="35" t="str">
        <f aca="false">IF(B121="","",IFERROR(INDEX(Leads!$C$2:$C$5001,MATCH(B121,Leads!$A$2:$A$5001,0))&amp;" "&amp;INDEX(Leads!$D$2:$D$5001,MATCH(B121,Leads!$A$2:$A$5001,0)),"N° no encontrado"))</f>
        <v/>
      </c>
      <c r="D121" s="35" t="str">
        <f aca="false">IF(B121="","",IFERROR(INDEX(Leads!$G$2:$G$5001,MATCH(B121,Leads!$A$2:$A$5001,0)),""))</f>
        <v/>
      </c>
      <c r="E121" s="32"/>
      <c r="F121" s="32"/>
      <c r="G121" s="32"/>
    </row>
    <row r="122" customFormat="false" ht="15" hidden="false" customHeight="false" outlineLevel="0" collapsed="false">
      <c r="A122" s="31"/>
      <c r="B122" s="32"/>
      <c r="C122" s="35" t="str">
        <f aca="false">IF(B122="","",IFERROR(INDEX(Leads!$C$2:$C$5001,MATCH(B122,Leads!$A$2:$A$5001,0))&amp;" "&amp;INDEX(Leads!$D$2:$D$5001,MATCH(B122,Leads!$A$2:$A$5001,0)),"N° no encontrado"))</f>
        <v/>
      </c>
      <c r="D122" s="35" t="str">
        <f aca="false">IF(B122="","",IFERROR(INDEX(Leads!$G$2:$G$5001,MATCH(B122,Leads!$A$2:$A$5001,0)),""))</f>
        <v/>
      </c>
      <c r="E122" s="32"/>
      <c r="F122" s="32"/>
      <c r="G122" s="32"/>
    </row>
    <row r="123" customFormat="false" ht="15" hidden="false" customHeight="false" outlineLevel="0" collapsed="false">
      <c r="A123" s="31"/>
      <c r="B123" s="32"/>
      <c r="C123" s="35" t="str">
        <f aca="false">IF(B123="","",IFERROR(INDEX(Leads!$C$2:$C$5001,MATCH(B123,Leads!$A$2:$A$5001,0))&amp;" "&amp;INDEX(Leads!$D$2:$D$5001,MATCH(B123,Leads!$A$2:$A$5001,0)),"N° no encontrado"))</f>
        <v/>
      </c>
      <c r="D123" s="35" t="str">
        <f aca="false">IF(B123="","",IFERROR(INDEX(Leads!$G$2:$G$5001,MATCH(B123,Leads!$A$2:$A$5001,0)),""))</f>
        <v/>
      </c>
      <c r="E123" s="32"/>
      <c r="F123" s="32"/>
      <c r="G123" s="32"/>
    </row>
    <row r="124" customFormat="false" ht="15" hidden="false" customHeight="false" outlineLevel="0" collapsed="false">
      <c r="A124" s="31"/>
      <c r="B124" s="32"/>
      <c r="C124" s="35" t="str">
        <f aca="false">IF(B124="","",IFERROR(INDEX(Leads!$C$2:$C$5001,MATCH(B124,Leads!$A$2:$A$5001,0))&amp;" "&amp;INDEX(Leads!$D$2:$D$5001,MATCH(B124,Leads!$A$2:$A$5001,0)),"N° no encontrado"))</f>
        <v/>
      </c>
      <c r="D124" s="35" t="str">
        <f aca="false">IF(B124="","",IFERROR(INDEX(Leads!$G$2:$G$5001,MATCH(B124,Leads!$A$2:$A$5001,0)),""))</f>
        <v/>
      </c>
      <c r="E124" s="32"/>
      <c r="F124" s="32"/>
      <c r="G124" s="32"/>
    </row>
    <row r="125" customFormat="false" ht="15" hidden="false" customHeight="false" outlineLevel="0" collapsed="false">
      <c r="A125" s="31"/>
      <c r="B125" s="32"/>
      <c r="C125" s="35" t="str">
        <f aca="false">IF(B125="","",IFERROR(INDEX(Leads!$C$2:$C$5001,MATCH(B125,Leads!$A$2:$A$5001,0))&amp;" "&amp;INDEX(Leads!$D$2:$D$5001,MATCH(B125,Leads!$A$2:$A$5001,0)),"N° no encontrado"))</f>
        <v/>
      </c>
      <c r="D125" s="35" t="str">
        <f aca="false">IF(B125="","",IFERROR(INDEX(Leads!$G$2:$G$5001,MATCH(B125,Leads!$A$2:$A$5001,0)),""))</f>
        <v/>
      </c>
      <c r="E125" s="32"/>
      <c r="F125" s="32"/>
      <c r="G125" s="32"/>
    </row>
    <row r="126" customFormat="false" ht="15" hidden="false" customHeight="false" outlineLevel="0" collapsed="false">
      <c r="A126" s="31"/>
      <c r="B126" s="32"/>
      <c r="C126" s="35" t="str">
        <f aca="false">IF(B126="","",IFERROR(INDEX(Leads!$C$2:$C$5001,MATCH(B126,Leads!$A$2:$A$5001,0))&amp;" "&amp;INDEX(Leads!$D$2:$D$5001,MATCH(B126,Leads!$A$2:$A$5001,0)),"N° no encontrado"))</f>
        <v/>
      </c>
      <c r="D126" s="35" t="str">
        <f aca="false">IF(B126="","",IFERROR(INDEX(Leads!$G$2:$G$5001,MATCH(B126,Leads!$A$2:$A$5001,0)),""))</f>
        <v/>
      </c>
      <c r="E126" s="32"/>
      <c r="F126" s="32"/>
      <c r="G126" s="32"/>
    </row>
    <row r="127" customFormat="false" ht="15" hidden="false" customHeight="false" outlineLevel="0" collapsed="false">
      <c r="A127" s="31"/>
      <c r="B127" s="32"/>
      <c r="C127" s="35" t="str">
        <f aca="false">IF(B127="","",IFERROR(INDEX(Leads!$C$2:$C$5001,MATCH(B127,Leads!$A$2:$A$5001,0))&amp;" "&amp;INDEX(Leads!$D$2:$D$5001,MATCH(B127,Leads!$A$2:$A$5001,0)),"N° no encontrado"))</f>
        <v/>
      </c>
      <c r="D127" s="35" t="str">
        <f aca="false">IF(B127="","",IFERROR(INDEX(Leads!$G$2:$G$5001,MATCH(B127,Leads!$A$2:$A$5001,0)),""))</f>
        <v/>
      </c>
      <c r="E127" s="32"/>
      <c r="F127" s="32"/>
      <c r="G127" s="32"/>
    </row>
    <row r="128" customFormat="false" ht="15" hidden="false" customHeight="false" outlineLevel="0" collapsed="false">
      <c r="A128" s="31"/>
      <c r="B128" s="32"/>
      <c r="C128" s="35" t="str">
        <f aca="false">IF(B128="","",IFERROR(INDEX(Leads!$C$2:$C$5001,MATCH(B128,Leads!$A$2:$A$5001,0))&amp;" "&amp;INDEX(Leads!$D$2:$D$5001,MATCH(B128,Leads!$A$2:$A$5001,0)),"N° no encontrado"))</f>
        <v/>
      </c>
      <c r="D128" s="35" t="str">
        <f aca="false">IF(B128="","",IFERROR(INDEX(Leads!$G$2:$G$5001,MATCH(B128,Leads!$A$2:$A$5001,0)),""))</f>
        <v/>
      </c>
      <c r="E128" s="32"/>
      <c r="F128" s="32"/>
      <c r="G128" s="32"/>
    </row>
    <row r="129" customFormat="false" ht="15" hidden="false" customHeight="false" outlineLevel="0" collapsed="false">
      <c r="A129" s="31"/>
      <c r="B129" s="32"/>
      <c r="C129" s="35" t="str">
        <f aca="false">IF(B129="","",IFERROR(INDEX(Leads!$C$2:$C$5001,MATCH(B129,Leads!$A$2:$A$5001,0))&amp;" "&amp;INDEX(Leads!$D$2:$D$5001,MATCH(B129,Leads!$A$2:$A$5001,0)),"N° no encontrado"))</f>
        <v/>
      </c>
      <c r="D129" s="35" t="str">
        <f aca="false">IF(B129="","",IFERROR(INDEX(Leads!$G$2:$G$5001,MATCH(B129,Leads!$A$2:$A$5001,0)),""))</f>
        <v/>
      </c>
      <c r="E129" s="32"/>
      <c r="F129" s="32"/>
      <c r="G129" s="32"/>
    </row>
    <row r="130" customFormat="false" ht="15" hidden="false" customHeight="false" outlineLevel="0" collapsed="false">
      <c r="A130" s="31"/>
      <c r="B130" s="32"/>
      <c r="C130" s="35" t="str">
        <f aca="false">IF(B130="","",IFERROR(INDEX(Leads!$C$2:$C$5001,MATCH(B130,Leads!$A$2:$A$5001,0))&amp;" "&amp;INDEX(Leads!$D$2:$D$5001,MATCH(B130,Leads!$A$2:$A$5001,0)),"N° no encontrado"))</f>
        <v/>
      </c>
      <c r="D130" s="35" t="str">
        <f aca="false">IF(B130="","",IFERROR(INDEX(Leads!$G$2:$G$5001,MATCH(B130,Leads!$A$2:$A$5001,0)),""))</f>
        <v/>
      </c>
      <c r="E130" s="32"/>
      <c r="F130" s="32"/>
      <c r="G130" s="32"/>
    </row>
    <row r="131" customFormat="false" ht="15" hidden="false" customHeight="false" outlineLevel="0" collapsed="false">
      <c r="A131" s="31"/>
      <c r="B131" s="32"/>
      <c r="C131" s="35" t="str">
        <f aca="false">IF(B131="","",IFERROR(INDEX(Leads!$C$2:$C$5001,MATCH(B131,Leads!$A$2:$A$5001,0))&amp;" "&amp;INDEX(Leads!$D$2:$D$5001,MATCH(B131,Leads!$A$2:$A$5001,0)),"N° no encontrado"))</f>
        <v/>
      </c>
      <c r="D131" s="35" t="str">
        <f aca="false">IF(B131="","",IFERROR(INDEX(Leads!$G$2:$G$5001,MATCH(B131,Leads!$A$2:$A$5001,0)),""))</f>
        <v/>
      </c>
      <c r="E131" s="32"/>
      <c r="F131" s="32"/>
      <c r="G131" s="32"/>
    </row>
    <row r="132" customFormat="false" ht="15" hidden="false" customHeight="false" outlineLevel="0" collapsed="false">
      <c r="A132" s="31"/>
      <c r="B132" s="32"/>
      <c r="C132" s="35" t="str">
        <f aca="false">IF(B132="","",IFERROR(INDEX(Leads!$C$2:$C$5001,MATCH(B132,Leads!$A$2:$A$5001,0))&amp;" "&amp;INDEX(Leads!$D$2:$D$5001,MATCH(B132,Leads!$A$2:$A$5001,0)),"N° no encontrado"))</f>
        <v/>
      </c>
      <c r="D132" s="35" t="str">
        <f aca="false">IF(B132="","",IFERROR(INDEX(Leads!$G$2:$G$5001,MATCH(B132,Leads!$A$2:$A$5001,0)),""))</f>
        <v/>
      </c>
      <c r="E132" s="32"/>
      <c r="F132" s="32"/>
      <c r="G132" s="32"/>
    </row>
    <row r="133" customFormat="false" ht="15" hidden="false" customHeight="false" outlineLevel="0" collapsed="false">
      <c r="A133" s="31"/>
      <c r="B133" s="32"/>
      <c r="C133" s="35" t="str">
        <f aca="false">IF(B133="","",IFERROR(INDEX(Leads!$C$2:$C$5001,MATCH(B133,Leads!$A$2:$A$5001,0))&amp;" "&amp;INDEX(Leads!$D$2:$D$5001,MATCH(B133,Leads!$A$2:$A$5001,0)),"N° no encontrado"))</f>
        <v/>
      </c>
      <c r="D133" s="35" t="str">
        <f aca="false">IF(B133="","",IFERROR(INDEX(Leads!$G$2:$G$5001,MATCH(B133,Leads!$A$2:$A$5001,0)),""))</f>
        <v/>
      </c>
      <c r="E133" s="32"/>
      <c r="F133" s="32"/>
      <c r="G133" s="32"/>
    </row>
    <row r="134" customFormat="false" ht="15" hidden="false" customHeight="false" outlineLevel="0" collapsed="false">
      <c r="A134" s="31"/>
      <c r="B134" s="32"/>
      <c r="C134" s="35" t="str">
        <f aca="false">IF(B134="","",IFERROR(INDEX(Leads!$C$2:$C$5001,MATCH(B134,Leads!$A$2:$A$5001,0))&amp;" "&amp;INDEX(Leads!$D$2:$D$5001,MATCH(B134,Leads!$A$2:$A$5001,0)),"N° no encontrado"))</f>
        <v/>
      </c>
      <c r="D134" s="35" t="str">
        <f aca="false">IF(B134="","",IFERROR(INDEX(Leads!$G$2:$G$5001,MATCH(B134,Leads!$A$2:$A$5001,0)),""))</f>
        <v/>
      </c>
      <c r="E134" s="32"/>
      <c r="F134" s="32"/>
      <c r="G134" s="32"/>
    </row>
    <row r="135" customFormat="false" ht="15" hidden="false" customHeight="false" outlineLevel="0" collapsed="false">
      <c r="A135" s="31"/>
      <c r="B135" s="32"/>
      <c r="C135" s="35" t="str">
        <f aca="false">IF(B135="","",IFERROR(INDEX(Leads!$C$2:$C$5001,MATCH(B135,Leads!$A$2:$A$5001,0))&amp;" "&amp;INDEX(Leads!$D$2:$D$5001,MATCH(B135,Leads!$A$2:$A$5001,0)),"N° no encontrado"))</f>
        <v/>
      </c>
      <c r="D135" s="35" t="str">
        <f aca="false">IF(B135="","",IFERROR(INDEX(Leads!$G$2:$G$5001,MATCH(B135,Leads!$A$2:$A$5001,0)),""))</f>
        <v/>
      </c>
      <c r="E135" s="32"/>
      <c r="F135" s="32"/>
      <c r="G135" s="32"/>
    </row>
    <row r="136" customFormat="false" ht="15" hidden="false" customHeight="false" outlineLevel="0" collapsed="false">
      <c r="A136" s="31"/>
      <c r="B136" s="32"/>
      <c r="C136" s="35" t="str">
        <f aca="false">IF(B136="","",IFERROR(INDEX(Leads!$C$2:$C$5001,MATCH(B136,Leads!$A$2:$A$5001,0))&amp;" "&amp;INDEX(Leads!$D$2:$D$5001,MATCH(B136,Leads!$A$2:$A$5001,0)),"N° no encontrado"))</f>
        <v/>
      </c>
      <c r="D136" s="35" t="str">
        <f aca="false">IF(B136="","",IFERROR(INDEX(Leads!$G$2:$G$5001,MATCH(B136,Leads!$A$2:$A$5001,0)),""))</f>
        <v/>
      </c>
      <c r="E136" s="32"/>
      <c r="F136" s="32"/>
      <c r="G136" s="32"/>
    </row>
    <row r="137" customFormat="false" ht="15" hidden="false" customHeight="false" outlineLevel="0" collapsed="false">
      <c r="A137" s="31"/>
      <c r="B137" s="32"/>
      <c r="C137" s="35" t="str">
        <f aca="false">IF(B137="","",IFERROR(INDEX(Leads!$C$2:$C$5001,MATCH(B137,Leads!$A$2:$A$5001,0))&amp;" "&amp;INDEX(Leads!$D$2:$D$5001,MATCH(B137,Leads!$A$2:$A$5001,0)),"N° no encontrado"))</f>
        <v/>
      </c>
      <c r="D137" s="35" t="str">
        <f aca="false">IF(B137="","",IFERROR(INDEX(Leads!$G$2:$G$5001,MATCH(B137,Leads!$A$2:$A$5001,0)),""))</f>
        <v/>
      </c>
      <c r="E137" s="32"/>
      <c r="F137" s="32"/>
      <c r="G137" s="32"/>
    </row>
    <row r="138" customFormat="false" ht="15" hidden="false" customHeight="false" outlineLevel="0" collapsed="false">
      <c r="A138" s="31"/>
      <c r="B138" s="32"/>
      <c r="C138" s="35" t="str">
        <f aca="false">IF(B138="","",IFERROR(INDEX(Leads!$C$2:$C$5001,MATCH(B138,Leads!$A$2:$A$5001,0))&amp;" "&amp;INDEX(Leads!$D$2:$D$5001,MATCH(B138,Leads!$A$2:$A$5001,0)),"N° no encontrado"))</f>
        <v/>
      </c>
      <c r="D138" s="35" t="str">
        <f aca="false">IF(B138="","",IFERROR(INDEX(Leads!$G$2:$G$5001,MATCH(B138,Leads!$A$2:$A$5001,0)),""))</f>
        <v/>
      </c>
      <c r="E138" s="32"/>
      <c r="F138" s="32"/>
      <c r="G138" s="32"/>
    </row>
    <row r="139" customFormat="false" ht="15" hidden="false" customHeight="false" outlineLevel="0" collapsed="false">
      <c r="A139" s="31"/>
      <c r="B139" s="32"/>
      <c r="C139" s="35" t="str">
        <f aca="false">IF(B139="","",IFERROR(INDEX(Leads!$C$2:$C$5001,MATCH(B139,Leads!$A$2:$A$5001,0))&amp;" "&amp;INDEX(Leads!$D$2:$D$5001,MATCH(B139,Leads!$A$2:$A$5001,0)),"N° no encontrado"))</f>
        <v/>
      </c>
      <c r="D139" s="35" t="str">
        <f aca="false">IF(B139="","",IFERROR(INDEX(Leads!$G$2:$G$5001,MATCH(B139,Leads!$A$2:$A$5001,0)),""))</f>
        <v/>
      </c>
      <c r="E139" s="32"/>
      <c r="F139" s="32"/>
      <c r="G139" s="32"/>
    </row>
    <row r="140" customFormat="false" ht="15" hidden="false" customHeight="false" outlineLevel="0" collapsed="false">
      <c r="A140" s="31"/>
      <c r="B140" s="32"/>
      <c r="C140" s="35" t="str">
        <f aca="false">IF(B140="","",IFERROR(INDEX(Leads!$C$2:$C$5001,MATCH(B140,Leads!$A$2:$A$5001,0))&amp;" "&amp;INDEX(Leads!$D$2:$D$5001,MATCH(B140,Leads!$A$2:$A$5001,0)),"N° no encontrado"))</f>
        <v/>
      </c>
      <c r="D140" s="35" t="str">
        <f aca="false">IF(B140="","",IFERROR(INDEX(Leads!$G$2:$G$5001,MATCH(B140,Leads!$A$2:$A$5001,0)),""))</f>
        <v/>
      </c>
      <c r="E140" s="32"/>
      <c r="F140" s="32"/>
      <c r="G140" s="32"/>
    </row>
    <row r="141" customFormat="false" ht="15" hidden="false" customHeight="false" outlineLevel="0" collapsed="false">
      <c r="A141" s="31"/>
      <c r="B141" s="32"/>
      <c r="C141" s="35" t="str">
        <f aca="false">IF(B141="","",IFERROR(INDEX(Leads!$C$2:$C$5001,MATCH(B141,Leads!$A$2:$A$5001,0))&amp;" "&amp;INDEX(Leads!$D$2:$D$5001,MATCH(B141,Leads!$A$2:$A$5001,0)),"N° no encontrado"))</f>
        <v/>
      </c>
      <c r="D141" s="35" t="str">
        <f aca="false">IF(B141="","",IFERROR(INDEX(Leads!$G$2:$G$5001,MATCH(B141,Leads!$A$2:$A$5001,0)),""))</f>
        <v/>
      </c>
      <c r="E141" s="32"/>
      <c r="F141" s="32"/>
      <c r="G141" s="32"/>
    </row>
    <row r="142" customFormat="false" ht="15" hidden="false" customHeight="false" outlineLevel="0" collapsed="false">
      <c r="A142" s="31"/>
      <c r="B142" s="32"/>
      <c r="C142" s="35" t="str">
        <f aca="false">IF(B142="","",IFERROR(INDEX(Leads!$C$2:$C$5001,MATCH(B142,Leads!$A$2:$A$5001,0))&amp;" "&amp;INDEX(Leads!$D$2:$D$5001,MATCH(B142,Leads!$A$2:$A$5001,0)),"N° no encontrado"))</f>
        <v/>
      </c>
      <c r="D142" s="35" t="str">
        <f aca="false">IF(B142="","",IFERROR(INDEX(Leads!$G$2:$G$5001,MATCH(B142,Leads!$A$2:$A$5001,0)),""))</f>
        <v/>
      </c>
      <c r="E142" s="32"/>
      <c r="F142" s="32"/>
      <c r="G142" s="32"/>
    </row>
    <row r="143" customFormat="false" ht="15" hidden="false" customHeight="false" outlineLevel="0" collapsed="false">
      <c r="A143" s="31"/>
      <c r="B143" s="32"/>
      <c r="C143" s="35" t="str">
        <f aca="false">IF(B143="","",IFERROR(INDEX(Leads!$C$2:$C$5001,MATCH(B143,Leads!$A$2:$A$5001,0))&amp;" "&amp;INDEX(Leads!$D$2:$D$5001,MATCH(B143,Leads!$A$2:$A$5001,0)),"N° no encontrado"))</f>
        <v/>
      </c>
      <c r="D143" s="35" t="str">
        <f aca="false">IF(B143="","",IFERROR(INDEX(Leads!$G$2:$G$5001,MATCH(B143,Leads!$A$2:$A$5001,0)),""))</f>
        <v/>
      </c>
      <c r="E143" s="32"/>
      <c r="F143" s="32"/>
      <c r="G143" s="32"/>
    </row>
    <row r="144" customFormat="false" ht="15" hidden="false" customHeight="false" outlineLevel="0" collapsed="false">
      <c r="A144" s="31"/>
      <c r="B144" s="32"/>
      <c r="C144" s="35" t="str">
        <f aca="false">IF(B144="","",IFERROR(INDEX(Leads!$C$2:$C$5001,MATCH(B144,Leads!$A$2:$A$5001,0))&amp;" "&amp;INDEX(Leads!$D$2:$D$5001,MATCH(B144,Leads!$A$2:$A$5001,0)),"N° no encontrado"))</f>
        <v/>
      </c>
      <c r="D144" s="35" t="str">
        <f aca="false">IF(B144="","",IFERROR(INDEX(Leads!$G$2:$G$5001,MATCH(B144,Leads!$A$2:$A$5001,0)),""))</f>
        <v/>
      </c>
      <c r="E144" s="32"/>
      <c r="F144" s="32"/>
      <c r="G144" s="32"/>
    </row>
    <row r="145" customFormat="false" ht="15" hidden="false" customHeight="false" outlineLevel="0" collapsed="false">
      <c r="A145" s="31"/>
      <c r="B145" s="32"/>
      <c r="C145" s="35" t="str">
        <f aca="false">IF(B145="","",IFERROR(INDEX(Leads!$C$2:$C$5001,MATCH(B145,Leads!$A$2:$A$5001,0))&amp;" "&amp;INDEX(Leads!$D$2:$D$5001,MATCH(B145,Leads!$A$2:$A$5001,0)),"N° no encontrado"))</f>
        <v/>
      </c>
      <c r="D145" s="35" t="str">
        <f aca="false">IF(B145="","",IFERROR(INDEX(Leads!$G$2:$G$5001,MATCH(B145,Leads!$A$2:$A$5001,0)),""))</f>
        <v/>
      </c>
      <c r="E145" s="32"/>
      <c r="F145" s="32"/>
      <c r="G145" s="32"/>
    </row>
    <row r="146" customFormat="false" ht="15" hidden="false" customHeight="false" outlineLevel="0" collapsed="false">
      <c r="A146" s="31"/>
      <c r="B146" s="32"/>
      <c r="C146" s="35" t="str">
        <f aca="false">IF(B146="","",IFERROR(INDEX(Leads!$C$2:$C$5001,MATCH(B146,Leads!$A$2:$A$5001,0))&amp;" "&amp;INDEX(Leads!$D$2:$D$5001,MATCH(B146,Leads!$A$2:$A$5001,0)),"N° no encontrado"))</f>
        <v/>
      </c>
      <c r="D146" s="35" t="str">
        <f aca="false">IF(B146="","",IFERROR(INDEX(Leads!$G$2:$G$5001,MATCH(B146,Leads!$A$2:$A$5001,0)),""))</f>
        <v/>
      </c>
      <c r="E146" s="32"/>
      <c r="F146" s="32"/>
      <c r="G146" s="32"/>
    </row>
    <row r="147" customFormat="false" ht="15" hidden="false" customHeight="false" outlineLevel="0" collapsed="false">
      <c r="A147" s="31"/>
      <c r="B147" s="32"/>
      <c r="C147" s="35" t="str">
        <f aca="false">IF(B147="","",IFERROR(INDEX(Leads!$C$2:$C$5001,MATCH(B147,Leads!$A$2:$A$5001,0))&amp;" "&amp;INDEX(Leads!$D$2:$D$5001,MATCH(B147,Leads!$A$2:$A$5001,0)),"N° no encontrado"))</f>
        <v/>
      </c>
      <c r="D147" s="35" t="str">
        <f aca="false">IF(B147="","",IFERROR(INDEX(Leads!$G$2:$G$5001,MATCH(B147,Leads!$A$2:$A$5001,0)),""))</f>
        <v/>
      </c>
      <c r="E147" s="32"/>
      <c r="F147" s="32"/>
      <c r="G147" s="32"/>
    </row>
    <row r="148" customFormat="false" ht="15" hidden="false" customHeight="false" outlineLevel="0" collapsed="false">
      <c r="A148" s="31"/>
      <c r="B148" s="32"/>
      <c r="C148" s="35" t="str">
        <f aca="false">IF(B148="","",IFERROR(INDEX(Leads!$C$2:$C$5001,MATCH(B148,Leads!$A$2:$A$5001,0))&amp;" "&amp;INDEX(Leads!$D$2:$D$5001,MATCH(B148,Leads!$A$2:$A$5001,0)),"N° no encontrado"))</f>
        <v/>
      </c>
      <c r="D148" s="35" t="str">
        <f aca="false">IF(B148="","",IFERROR(INDEX(Leads!$G$2:$G$5001,MATCH(B148,Leads!$A$2:$A$5001,0)),""))</f>
        <v/>
      </c>
      <c r="E148" s="32"/>
      <c r="F148" s="32"/>
      <c r="G148" s="32"/>
    </row>
    <row r="149" customFormat="false" ht="15" hidden="false" customHeight="false" outlineLevel="0" collapsed="false">
      <c r="A149" s="31"/>
      <c r="B149" s="32"/>
      <c r="C149" s="35" t="str">
        <f aca="false">IF(B149="","",IFERROR(INDEX(Leads!$C$2:$C$5001,MATCH(B149,Leads!$A$2:$A$5001,0))&amp;" "&amp;INDEX(Leads!$D$2:$D$5001,MATCH(B149,Leads!$A$2:$A$5001,0)),"N° no encontrado"))</f>
        <v/>
      </c>
      <c r="D149" s="35" t="str">
        <f aca="false">IF(B149="","",IFERROR(INDEX(Leads!$G$2:$G$5001,MATCH(B149,Leads!$A$2:$A$5001,0)),""))</f>
        <v/>
      </c>
      <c r="E149" s="32"/>
      <c r="F149" s="32"/>
      <c r="G149" s="32"/>
    </row>
    <row r="150" customFormat="false" ht="15" hidden="false" customHeight="false" outlineLevel="0" collapsed="false">
      <c r="A150" s="31"/>
      <c r="B150" s="32"/>
      <c r="C150" s="35" t="str">
        <f aca="false">IF(B150="","",IFERROR(INDEX(Leads!$C$2:$C$5001,MATCH(B150,Leads!$A$2:$A$5001,0))&amp;" "&amp;INDEX(Leads!$D$2:$D$5001,MATCH(B150,Leads!$A$2:$A$5001,0)),"N° no encontrado"))</f>
        <v/>
      </c>
      <c r="D150" s="35" t="str">
        <f aca="false">IF(B150="","",IFERROR(INDEX(Leads!$G$2:$G$5001,MATCH(B150,Leads!$A$2:$A$5001,0)),""))</f>
        <v/>
      </c>
      <c r="E150" s="32"/>
      <c r="F150" s="32"/>
      <c r="G150" s="32"/>
    </row>
    <row r="151" customFormat="false" ht="15" hidden="false" customHeight="false" outlineLevel="0" collapsed="false">
      <c r="A151" s="31"/>
      <c r="B151" s="32"/>
      <c r="C151" s="35" t="str">
        <f aca="false">IF(B151="","",IFERROR(INDEX(Leads!$C$2:$C$5001,MATCH(B151,Leads!$A$2:$A$5001,0))&amp;" "&amp;INDEX(Leads!$D$2:$D$5001,MATCH(B151,Leads!$A$2:$A$5001,0)),"N° no encontrado"))</f>
        <v/>
      </c>
      <c r="D151" s="35" t="str">
        <f aca="false">IF(B151="","",IFERROR(INDEX(Leads!$G$2:$G$5001,MATCH(B151,Leads!$A$2:$A$5001,0)),""))</f>
        <v/>
      </c>
      <c r="E151" s="32"/>
      <c r="F151" s="32"/>
      <c r="G151" s="32"/>
    </row>
    <row r="152" customFormat="false" ht="15" hidden="false" customHeight="false" outlineLevel="0" collapsed="false">
      <c r="A152" s="31"/>
      <c r="B152" s="32"/>
      <c r="C152" s="35" t="str">
        <f aca="false">IF(B152="","",IFERROR(INDEX(Leads!$C$2:$C$5001,MATCH(B152,Leads!$A$2:$A$5001,0))&amp;" "&amp;INDEX(Leads!$D$2:$D$5001,MATCH(B152,Leads!$A$2:$A$5001,0)),"N° no encontrado"))</f>
        <v/>
      </c>
      <c r="D152" s="35" t="str">
        <f aca="false">IF(B152="","",IFERROR(INDEX(Leads!$G$2:$G$5001,MATCH(B152,Leads!$A$2:$A$5001,0)),""))</f>
        <v/>
      </c>
      <c r="E152" s="32"/>
      <c r="F152" s="32"/>
      <c r="G152" s="32"/>
    </row>
    <row r="153" customFormat="false" ht="15" hidden="false" customHeight="false" outlineLevel="0" collapsed="false">
      <c r="A153" s="31"/>
      <c r="B153" s="32"/>
      <c r="C153" s="35" t="str">
        <f aca="false">IF(B153="","",IFERROR(INDEX(Leads!$C$2:$C$5001,MATCH(B153,Leads!$A$2:$A$5001,0))&amp;" "&amp;INDEX(Leads!$D$2:$D$5001,MATCH(B153,Leads!$A$2:$A$5001,0)),"N° no encontrado"))</f>
        <v/>
      </c>
      <c r="D153" s="35" t="str">
        <f aca="false">IF(B153="","",IFERROR(INDEX(Leads!$G$2:$G$5001,MATCH(B153,Leads!$A$2:$A$5001,0)),""))</f>
        <v/>
      </c>
      <c r="E153" s="32"/>
      <c r="F153" s="32"/>
      <c r="G153" s="32"/>
    </row>
    <row r="154" customFormat="false" ht="15" hidden="false" customHeight="false" outlineLevel="0" collapsed="false">
      <c r="A154" s="31"/>
      <c r="B154" s="32"/>
      <c r="C154" s="35" t="str">
        <f aca="false">IF(B154="","",IFERROR(INDEX(Leads!$C$2:$C$5001,MATCH(B154,Leads!$A$2:$A$5001,0))&amp;" "&amp;INDEX(Leads!$D$2:$D$5001,MATCH(B154,Leads!$A$2:$A$5001,0)),"N° no encontrado"))</f>
        <v/>
      </c>
      <c r="D154" s="35" t="str">
        <f aca="false">IF(B154="","",IFERROR(INDEX(Leads!$G$2:$G$5001,MATCH(B154,Leads!$A$2:$A$5001,0)),""))</f>
        <v/>
      </c>
      <c r="E154" s="32"/>
      <c r="F154" s="32"/>
      <c r="G154" s="32"/>
    </row>
    <row r="155" customFormat="false" ht="15" hidden="false" customHeight="false" outlineLevel="0" collapsed="false">
      <c r="A155" s="31"/>
      <c r="B155" s="32"/>
      <c r="C155" s="35" t="str">
        <f aca="false">IF(B155="","",IFERROR(INDEX(Leads!$C$2:$C$5001,MATCH(B155,Leads!$A$2:$A$5001,0))&amp;" "&amp;INDEX(Leads!$D$2:$D$5001,MATCH(B155,Leads!$A$2:$A$5001,0)),"N° no encontrado"))</f>
        <v/>
      </c>
      <c r="D155" s="35" t="str">
        <f aca="false">IF(B155="","",IFERROR(INDEX(Leads!$G$2:$G$5001,MATCH(B155,Leads!$A$2:$A$5001,0)),""))</f>
        <v/>
      </c>
      <c r="E155" s="32"/>
      <c r="F155" s="32"/>
      <c r="G155" s="32"/>
    </row>
    <row r="156" customFormat="false" ht="15" hidden="false" customHeight="false" outlineLevel="0" collapsed="false">
      <c r="A156" s="31"/>
      <c r="B156" s="32"/>
      <c r="C156" s="35" t="str">
        <f aca="false">IF(B156="","",IFERROR(INDEX(Leads!$C$2:$C$5001,MATCH(B156,Leads!$A$2:$A$5001,0))&amp;" "&amp;INDEX(Leads!$D$2:$D$5001,MATCH(B156,Leads!$A$2:$A$5001,0)),"N° no encontrado"))</f>
        <v/>
      </c>
      <c r="D156" s="35" t="str">
        <f aca="false">IF(B156="","",IFERROR(INDEX(Leads!$G$2:$G$5001,MATCH(B156,Leads!$A$2:$A$5001,0)),""))</f>
        <v/>
      </c>
      <c r="E156" s="32"/>
      <c r="F156" s="32"/>
      <c r="G156" s="32"/>
    </row>
    <row r="157" customFormat="false" ht="15" hidden="false" customHeight="false" outlineLevel="0" collapsed="false">
      <c r="A157" s="31"/>
      <c r="B157" s="32"/>
      <c r="C157" s="35" t="str">
        <f aca="false">IF(B157="","",IFERROR(INDEX(Leads!$C$2:$C$5001,MATCH(B157,Leads!$A$2:$A$5001,0))&amp;" "&amp;INDEX(Leads!$D$2:$D$5001,MATCH(B157,Leads!$A$2:$A$5001,0)),"N° no encontrado"))</f>
        <v/>
      </c>
      <c r="D157" s="35" t="str">
        <f aca="false">IF(B157="","",IFERROR(INDEX(Leads!$G$2:$G$5001,MATCH(B157,Leads!$A$2:$A$5001,0)),""))</f>
        <v/>
      </c>
      <c r="E157" s="32"/>
      <c r="F157" s="32"/>
      <c r="G157" s="32"/>
    </row>
    <row r="158" customFormat="false" ht="15" hidden="false" customHeight="false" outlineLevel="0" collapsed="false">
      <c r="A158" s="31"/>
      <c r="B158" s="32"/>
      <c r="C158" s="35" t="str">
        <f aca="false">IF(B158="","",IFERROR(INDEX(Leads!$C$2:$C$5001,MATCH(B158,Leads!$A$2:$A$5001,0))&amp;" "&amp;INDEX(Leads!$D$2:$D$5001,MATCH(B158,Leads!$A$2:$A$5001,0)),"N° no encontrado"))</f>
        <v/>
      </c>
      <c r="D158" s="35" t="str">
        <f aca="false">IF(B158="","",IFERROR(INDEX(Leads!$G$2:$G$5001,MATCH(B158,Leads!$A$2:$A$5001,0)),""))</f>
        <v/>
      </c>
      <c r="E158" s="32"/>
      <c r="F158" s="32"/>
      <c r="G158" s="32"/>
    </row>
    <row r="159" customFormat="false" ht="15" hidden="false" customHeight="false" outlineLevel="0" collapsed="false">
      <c r="A159" s="31"/>
      <c r="B159" s="32"/>
      <c r="C159" s="35" t="str">
        <f aca="false">IF(B159="","",IFERROR(INDEX(Leads!$C$2:$C$5001,MATCH(B159,Leads!$A$2:$A$5001,0))&amp;" "&amp;INDEX(Leads!$D$2:$D$5001,MATCH(B159,Leads!$A$2:$A$5001,0)),"N° no encontrado"))</f>
        <v/>
      </c>
      <c r="D159" s="35" t="str">
        <f aca="false">IF(B159="","",IFERROR(INDEX(Leads!$G$2:$G$5001,MATCH(B159,Leads!$A$2:$A$5001,0)),""))</f>
        <v/>
      </c>
      <c r="E159" s="32"/>
      <c r="F159" s="32"/>
      <c r="G159" s="32"/>
    </row>
    <row r="160" customFormat="false" ht="15" hidden="false" customHeight="false" outlineLevel="0" collapsed="false">
      <c r="A160" s="31"/>
      <c r="B160" s="32"/>
      <c r="C160" s="35" t="str">
        <f aca="false">IF(B160="","",IFERROR(INDEX(Leads!$C$2:$C$5001,MATCH(B160,Leads!$A$2:$A$5001,0))&amp;" "&amp;INDEX(Leads!$D$2:$D$5001,MATCH(B160,Leads!$A$2:$A$5001,0)),"N° no encontrado"))</f>
        <v/>
      </c>
      <c r="D160" s="35" t="str">
        <f aca="false">IF(B160="","",IFERROR(INDEX(Leads!$G$2:$G$5001,MATCH(B160,Leads!$A$2:$A$5001,0)),""))</f>
        <v/>
      </c>
      <c r="E160" s="32"/>
      <c r="F160" s="32"/>
      <c r="G160" s="32"/>
    </row>
    <row r="161" customFormat="false" ht="15" hidden="false" customHeight="false" outlineLevel="0" collapsed="false">
      <c r="A161" s="31"/>
      <c r="B161" s="32"/>
      <c r="C161" s="35" t="str">
        <f aca="false">IF(B161="","",IFERROR(INDEX(Leads!$C$2:$C$5001,MATCH(B161,Leads!$A$2:$A$5001,0))&amp;" "&amp;INDEX(Leads!$D$2:$D$5001,MATCH(B161,Leads!$A$2:$A$5001,0)),"N° no encontrado"))</f>
        <v/>
      </c>
      <c r="D161" s="35" t="str">
        <f aca="false">IF(B161="","",IFERROR(INDEX(Leads!$G$2:$G$5001,MATCH(B161,Leads!$A$2:$A$5001,0)),""))</f>
        <v/>
      </c>
      <c r="E161" s="32"/>
      <c r="F161" s="32"/>
      <c r="G161" s="32"/>
    </row>
    <row r="162" customFormat="false" ht="15" hidden="false" customHeight="false" outlineLevel="0" collapsed="false">
      <c r="A162" s="31"/>
      <c r="B162" s="32"/>
      <c r="C162" s="35" t="str">
        <f aca="false">IF(B162="","",IFERROR(INDEX(Leads!$C$2:$C$5001,MATCH(B162,Leads!$A$2:$A$5001,0))&amp;" "&amp;INDEX(Leads!$D$2:$D$5001,MATCH(B162,Leads!$A$2:$A$5001,0)),"N° no encontrado"))</f>
        <v/>
      </c>
      <c r="D162" s="35" t="str">
        <f aca="false">IF(B162="","",IFERROR(INDEX(Leads!$G$2:$G$5001,MATCH(B162,Leads!$A$2:$A$5001,0)),""))</f>
        <v/>
      </c>
      <c r="E162" s="32"/>
      <c r="F162" s="32"/>
      <c r="G162" s="32"/>
    </row>
    <row r="163" customFormat="false" ht="15" hidden="false" customHeight="false" outlineLevel="0" collapsed="false">
      <c r="A163" s="31"/>
      <c r="B163" s="32"/>
      <c r="C163" s="35" t="str">
        <f aca="false">IF(B163="","",IFERROR(INDEX(Leads!$C$2:$C$5001,MATCH(B163,Leads!$A$2:$A$5001,0))&amp;" "&amp;INDEX(Leads!$D$2:$D$5001,MATCH(B163,Leads!$A$2:$A$5001,0)),"N° no encontrado"))</f>
        <v/>
      </c>
      <c r="D163" s="35" t="str">
        <f aca="false">IF(B163="","",IFERROR(INDEX(Leads!$G$2:$G$5001,MATCH(B163,Leads!$A$2:$A$5001,0)),""))</f>
        <v/>
      </c>
      <c r="E163" s="32"/>
      <c r="F163" s="32"/>
      <c r="G163" s="32"/>
    </row>
    <row r="164" customFormat="false" ht="15" hidden="false" customHeight="false" outlineLevel="0" collapsed="false">
      <c r="A164" s="31"/>
      <c r="B164" s="32"/>
      <c r="C164" s="35" t="str">
        <f aca="false">IF(B164="","",IFERROR(INDEX(Leads!$C$2:$C$5001,MATCH(B164,Leads!$A$2:$A$5001,0))&amp;" "&amp;INDEX(Leads!$D$2:$D$5001,MATCH(B164,Leads!$A$2:$A$5001,0)),"N° no encontrado"))</f>
        <v/>
      </c>
      <c r="D164" s="35" t="str">
        <f aca="false">IF(B164="","",IFERROR(INDEX(Leads!$G$2:$G$5001,MATCH(B164,Leads!$A$2:$A$5001,0)),""))</f>
        <v/>
      </c>
      <c r="E164" s="32"/>
      <c r="F164" s="32"/>
      <c r="G164" s="32"/>
    </row>
    <row r="165" customFormat="false" ht="15" hidden="false" customHeight="false" outlineLevel="0" collapsed="false">
      <c r="A165" s="31"/>
      <c r="B165" s="32"/>
      <c r="C165" s="35" t="str">
        <f aca="false">IF(B165="","",IFERROR(INDEX(Leads!$C$2:$C$5001,MATCH(B165,Leads!$A$2:$A$5001,0))&amp;" "&amp;INDEX(Leads!$D$2:$D$5001,MATCH(B165,Leads!$A$2:$A$5001,0)),"N° no encontrado"))</f>
        <v/>
      </c>
      <c r="D165" s="35" t="str">
        <f aca="false">IF(B165="","",IFERROR(INDEX(Leads!$G$2:$G$5001,MATCH(B165,Leads!$A$2:$A$5001,0)),""))</f>
        <v/>
      </c>
      <c r="E165" s="32"/>
      <c r="F165" s="32"/>
      <c r="G165" s="32"/>
    </row>
    <row r="166" customFormat="false" ht="15" hidden="false" customHeight="false" outlineLevel="0" collapsed="false">
      <c r="A166" s="31"/>
      <c r="B166" s="32"/>
      <c r="C166" s="35" t="str">
        <f aca="false">IF(B166="","",IFERROR(INDEX(Leads!$C$2:$C$5001,MATCH(B166,Leads!$A$2:$A$5001,0))&amp;" "&amp;INDEX(Leads!$D$2:$D$5001,MATCH(B166,Leads!$A$2:$A$5001,0)),"N° no encontrado"))</f>
        <v/>
      </c>
      <c r="D166" s="35" t="str">
        <f aca="false">IF(B166="","",IFERROR(INDEX(Leads!$G$2:$G$5001,MATCH(B166,Leads!$A$2:$A$5001,0)),""))</f>
        <v/>
      </c>
      <c r="E166" s="32"/>
      <c r="F166" s="32"/>
      <c r="G166" s="32"/>
    </row>
    <row r="167" customFormat="false" ht="15" hidden="false" customHeight="false" outlineLevel="0" collapsed="false">
      <c r="A167" s="31"/>
      <c r="B167" s="32"/>
      <c r="C167" s="35" t="str">
        <f aca="false">IF(B167="","",IFERROR(INDEX(Leads!$C$2:$C$5001,MATCH(B167,Leads!$A$2:$A$5001,0))&amp;" "&amp;INDEX(Leads!$D$2:$D$5001,MATCH(B167,Leads!$A$2:$A$5001,0)),"N° no encontrado"))</f>
        <v/>
      </c>
      <c r="D167" s="35" t="str">
        <f aca="false">IF(B167="","",IFERROR(INDEX(Leads!$G$2:$G$5001,MATCH(B167,Leads!$A$2:$A$5001,0)),""))</f>
        <v/>
      </c>
      <c r="E167" s="32"/>
      <c r="F167" s="32"/>
      <c r="G167" s="32"/>
    </row>
    <row r="168" customFormat="false" ht="15" hidden="false" customHeight="false" outlineLevel="0" collapsed="false">
      <c r="A168" s="31"/>
      <c r="B168" s="32"/>
      <c r="C168" s="35" t="str">
        <f aca="false">IF(B168="","",IFERROR(INDEX(Leads!$C$2:$C$5001,MATCH(B168,Leads!$A$2:$A$5001,0))&amp;" "&amp;INDEX(Leads!$D$2:$D$5001,MATCH(B168,Leads!$A$2:$A$5001,0)),"N° no encontrado"))</f>
        <v/>
      </c>
      <c r="D168" s="35" t="str">
        <f aca="false">IF(B168="","",IFERROR(INDEX(Leads!$G$2:$G$5001,MATCH(B168,Leads!$A$2:$A$5001,0)),""))</f>
        <v/>
      </c>
      <c r="E168" s="32"/>
      <c r="F168" s="32"/>
      <c r="G168" s="32"/>
    </row>
    <row r="169" customFormat="false" ht="15" hidden="false" customHeight="false" outlineLevel="0" collapsed="false">
      <c r="A169" s="31"/>
      <c r="B169" s="32"/>
      <c r="C169" s="35" t="str">
        <f aca="false">IF(B169="","",IFERROR(INDEX(Leads!$C$2:$C$5001,MATCH(B169,Leads!$A$2:$A$5001,0))&amp;" "&amp;INDEX(Leads!$D$2:$D$5001,MATCH(B169,Leads!$A$2:$A$5001,0)),"N° no encontrado"))</f>
        <v/>
      </c>
      <c r="D169" s="35" t="str">
        <f aca="false">IF(B169="","",IFERROR(INDEX(Leads!$G$2:$G$5001,MATCH(B169,Leads!$A$2:$A$5001,0)),""))</f>
        <v/>
      </c>
      <c r="E169" s="32"/>
      <c r="F169" s="32"/>
      <c r="G169" s="32"/>
    </row>
    <row r="170" customFormat="false" ht="15" hidden="false" customHeight="false" outlineLevel="0" collapsed="false">
      <c r="A170" s="31"/>
      <c r="B170" s="32"/>
      <c r="C170" s="35" t="str">
        <f aca="false">IF(B170="","",IFERROR(INDEX(Leads!$C$2:$C$5001,MATCH(B170,Leads!$A$2:$A$5001,0))&amp;" "&amp;INDEX(Leads!$D$2:$D$5001,MATCH(B170,Leads!$A$2:$A$5001,0)),"N° no encontrado"))</f>
        <v/>
      </c>
      <c r="D170" s="35" t="str">
        <f aca="false">IF(B170="","",IFERROR(INDEX(Leads!$G$2:$G$5001,MATCH(B170,Leads!$A$2:$A$5001,0)),""))</f>
        <v/>
      </c>
      <c r="E170" s="32"/>
      <c r="F170" s="32"/>
      <c r="G170" s="32"/>
    </row>
    <row r="171" customFormat="false" ht="15" hidden="false" customHeight="false" outlineLevel="0" collapsed="false">
      <c r="A171" s="31"/>
      <c r="B171" s="32"/>
      <c r="C171" s="35" t="str">
        <f aca="false">IF(B171="","",IFERROR(INDEX(Leads!$C$2:$C$5001,MATCH(B171,Leads!$A$2:$A$5001,0))&amp;" "&amp;INDEX(Leads!$D$2:$D$5001,MATCH(B171,Leads!$A$2:$A$5001,0)),"N° no encontrado"))</f>
        <v/>
      </c>
      <c r="D171" s="35" t="str">
        <f aca="false">IF(B171="","",IFERROR(INDEX(Leads!$G$2:$G$5001,MATCH(B171,Leads!$A$2:$A$5001,0)),""))</f>
        <v/>
      </c>
      <c r="E171" s="32"/>
      <c r="F171" s="32"/>
      <c r="G171" s="32"/>
    </row>
    <row r="172" customFormat="false" ht="15" hidden="false" customHeight="false" outlineLevel="0" collapsed="false">
      <c r="A172" s="31"/>
      <c r="B172" s="32"/>
      <c r="C172" s="35" t="str">
        <f aca="false">IF(B172="","",IFERROR(INDEX(Leads!$C$2:$C$5001,MATCH(B172,Leads!$A$2:$A$5001,0))&amp;" "&amp;INDEX(Leads!$D$2:$D$5001,MATCH(B172,Leads!$A$2:$A$5001,0)),"N° no encontrado"))</f>
        <v/>
      </c>
      <c r="D172" s="35" t="str">
        <f aca="false">IF(B172="","",IFERROR(INDEX(Leads!$G$2:$G$5001,MATCH(B172,Leads!$A$2:$A$5001,0)),""))</f>
        <v/>
      </c>
      <c r="E172" s="32"/>
      <c r="F172" s="32"/>
      <c r="G172" s="32"/>
    </row>
    <row r="173" customFormat="false" ht="15" hidden="false" customHeight="false" outlineLevel="0" collapsed="false">
      <c r="A173" s="31"/>
      <c r="B173" s="32"/>
      <c r="C173" s="35" t="str">
        <f aca="false">IF(B173="","",IFERROR(INDEX(Leads!$C$2:$C$5001,MATCH(B173,Leads!$A$2:$A$5001,0))&amp;" "&amp;INDEX(Leads!$D$2:$D$5001,MATCH(B173,Leads!$A$2:$A$5001,0)),"N° no encontrado"))</f>
        <v/>
      </c>
      <c r="D173" s="35" t="str">
        <f aca="false">IF(B173="","",IFERROR(INDEX(Leads!$G$2:$G$5001,MATCH(B173,Leads!$A$2:$A$5001,0)),""))</f>
        <v/>
      </c>
      <c r="E173" s="32"/>
      <c r="F173" s="32"/>
      <c r="G173" s="32"/>
    </row>
    <row r="174" customFormat="false" ht="15" hidden="false" customHeight="false" outlineLevel="0" collapsed="false">
      <c r="A174" s="31"/>
      <c r="B174" s="32"/>
      <c r="C174" s="35" t="str">
        <f aca="false">IF(B174="","",IFERROR(INDEX(Leads!$C$2:$C$5001,MATCH(B174,Leads!$A$2:$A$5001,0))&amp;" "&amp;INDEX(Leads!$D$2:$D$5001,MATCH(B174,Leads!$A$2:$A$5001,0)),"N° no encontrado"))</f>
        <v/>
      </c>
      <c r="D174" s="35" t="str">
        <f aca="false">IF(B174="","",IFERROR(INDEX(Leads!$G$2:$G$5001,MATCH(B174,Leads!$A$2:$A$5001,0)),""))</f>
        <v/>
      </c>
      <c r="E174" s="32"/>
      <c r="F174" s="32"/>
      <c r="G174" s="32"/>
    </row>
    <row r="175" customFormat="false" ht="15" hidden="false" customHeight="false" outlineLevel="0" collapsed="false">
      <c r="A175" s="31"/>
      <c r="B175" s="32"/>
      <c r="C175" s="35" t="str">
        <f aca="false">IF(B175="","",IFERROR(INDEX(Leads!$C$2:$C$5001,MATCH(B175,Leads!$A$2:$A$5001,0))&amp;" "&amp;INDEX(Leads!$D$2:$D$5001,MATCH(B175,Leads!$A$2:$A$5001,0)),"N° no encontrado"))</f>
        <v/>
      </c>
      <c r="D175" s="35" t="str">
        <f aca="false">IF(B175="","",IFERROR(INDEX(Leads!$G$2:$G$5001,MATCH(B175,Leads!$A$2:$A$5001,0)),""))</f>
        <v/>
      </c>
      <c r="E175" s="32"/>
      <c r="F175" s="32"/>
      <c r="G175" s="32"/>
    </row>
    <row r="176" customFormat="false" ht="15" hidden="false" customHeight="false" outlineLevel="0" collapsed="false">
      <c r="A176" s="31"/>
      <c r="B176" s="32"/>
      <c r="C176" s="35" t="str">
        <f aca="false">IF(B176="","",IFERROR(INDEX(Leads!$C$2:$C$5001,MATCH(B176,Leads!$A$2:$A$5001,0))&amp;" "&amp;INDEX(Leads!$D$2:$D$5001,MATCH(B176,Leads!$A$2:$A$5001,0)),"N° no encontrado"))</f>
        <v/>
      </c>
      <c r="D176" s="35" t="str">
        <f aca="false">IF(B176="","",IFERROR(INDEX(Leads!$G$2:$G$5001,MATCH(B176,Leads!$A$2:$A$5001,0)),""))</f>
        <v/>
      </c>
      <c r="E176" s="32"/>
      <c r="F176" s="32"/>
      <c r="G176" s="32"/>
    </row>
    <row r="177" customFormat="false" ht="15" hidden="false" customHeight="false" outlineLevel="0" collapsed="false">
      <c r="A177" s="31"/>
      <c r="B177" s="32"/>
      <c r="C177" s="35" t="str">
        <f aca="false">IF(B177="","",IFERROR(INDEX(Leads!$C$2:$C$5001,MATCH(B177,Leads!$A$2:$A$5001,0))&amp;" "&amp;INDEX(Leads!$D$2:$D$5001,MATCH(B177,Leads!$A$2:$A$5001,0)),"N° no encontrado"))</f>
        <v/>
      </c>
      <c r="D177" s="35" t="str">
        <f aca="false">IF(B177="","",IFERROR(INDEX(Leads!$G$2:$G$5001,MATCH(B177,Leads!$A$2:$A$5001,0)),""))</f>
        <v/>
      </c>
      <c r="E177" s="32"/>
      <c r="F177" s="32"/>
      <c r="G177" s="32"/>
    </row>
    <row r="178" customFormat="false" ht="15" hidden="false" customHeight="false" outlineLevel="0" collapsed="false">
      <c r="A178" s="31"/>
      <c r="B178" s="32"/>
      <c r="C178" s="35" t="str">
        <f aca="false">IF(B178="","",IFERROR(INDEX(Leads!$C$2:$C$5001,MATCH(B178,Leads!$A$2:$A$5001,0))&amp;" "&amp;INDEX(Leads!$D$2:$D$5001,MATCH(B178,Leads!$A$2:$A$5001,0)),"N° no encontrado"))</f>
        <v/>
      </c>
      <c r="D178" s="35" t="str">
        <f aca="false">IF(B178="","",IFERROR(INDEX(Leads!$G$2:$G$5001,MATCH(B178,Leads!$A$2:$A$5001,0)),""))</f>
        <v/>
      </c>
      <c r="E178" s="32"/>
      <c r="F178" s="32"/>
      <c r="G178" s="32"/>
    </row>
    <row r="179" customFormat="false" ht="15" hidden="false" customHeight="false" outlineLevel="0" collapsed="false">
      <c r="A179" s="31"/>
      <c r="B179" s="32"/>
      <c r="C179" s="35" t="str">
        <f aca="false">IF(B179="","",IFERROR(INDEX(Leads!$C$2:$C$5001,MATCH(B179,Leads!$A$2:$A$5001,0))&amp;" "&amp;INDEX(Leads!$D$2:$D$5001,MATCH(B179,Leads!$A$2:$A$5001,0)),"N° no encontrado"))</f>
        <v/>
      </c>
      <c r="D179" s="35" t="str">
        <f aca="false">IF(B179="","",IFERROR(INDEX(Leads!$G$2:$G$5001,MATCH(B179,Leads!$A$2:$A$5001,0)),""))</f>
        <v/>
      </c>
      <c r="E179" s="32"/>
      <c r="F179" s="32"/>
      <c r="G179" s="32"/>
    </row>
    <row r="180" customFormat="false" ht="15" hidden="false" customHeight="false" outlineLevel="0" collapsed="false">
      <c r="A180" s="31"/>
      <c r="B180" s="32"/>
      <c r="C180" s="35" t="str">
        <f aca="false">IF(B180="","",IFERROR(INDEX(Leads!$C$2:$C$5001,MATCH(B180,Leads!$A$2:$A$5001,0))&amp;" "&amp;INDEX(Leads!$D$2:$D$5001,MATCH(B180,Leads!$A$2:$A$5001,0)),"N° no encontrado"))</f>
        <v/>
      </c>
      <c r="D180" s="35" t="str">
        <f aca="false">IF(B180="","",IFERROR(INDEX(Leads!$G$2:$G$5001,MATCH(B180,Leads!$A$2:$A$5001,0)),""))</f>
        <v/>
      </c>
      <c r="E180" s="32"/>
      <c r="F180" s="32"/>
      <c r="G180" s="32"/>
    </row>
    <row r="181" customFormat="false" ht="15" hidden="false" customHeight="false" outlineLevel="0" collapsed="false">
      <c r="A181" s="31"/>
      <c r="B181" s="32"/>
      <c r="C181" s="35" t="str">
        <f aca="false">IF(B181="","",IFERROR(INDEX(Leads!$C$2:$C$5001,MATCH(B181,Leads!$A$2:$A$5001,0))&amp;" "&amp;INDEX(Leads!$D$2:$D$5001,MATCH(B181,Leads!$A$2:$A$5001,0)),"N° no encontrado"))</f>
        <v/>
      </c>
      <c r="D181" s="35" t="str">
        <f aca="false">IF(B181="","",IFERROR(INDEX(Leads!$G$2:$G$5001,MATCH(B181,Leads!$A$2:$A$5001,0)),""))</f>
        <v/>
      </c>
      <c r="E181" s="32"/>
      <c r="F181" s="32"/>
      <c r="G181" s="32"/>
    </row>
    <row r="182" customFormat="false" ht="15" hidden="false" customHeight="false" outlineLevel="0" collapsed="false">
      <c r="A182" s="31"/>
      <c r="B182" s="32"/>
      <c r="C182" s="35" t="str">
        <f aca="false">IF(B182="","",IFERROR(INDEX(Leads!$C$2:$C$5001,MATCH(B182,Leads!$A$2:$A$5001,0))&amp;" "&amp;INDEX(Leads!$D$2:$D$5001,MATCH(B182,Leads!$A$2:$A$5001,0)),"N° no encontrado"))</f>
        <v/>
      </c>
      <c r="D182" s="35" t="str">
        <f aca="false">IF(B182="","",IFERROR(INDEX(Leads!$G$2:$G$5001,MATCH(B182,Leads!$A$2:$A$5001,0)),""))</f>
        <v/>
      </c>
      <c r="E182" s="32"/>
      <c r="F182" s="32"/>
      <c r="G182" s="32"/>
    </row>
    <row r="183" customFormat="false" ht="15" hidden="false" customHeight="false" outlineLevel="0" collapsed="false">
      <c r="A183" s="31"/>
      <c r="B183" s="32"/>
      <c r="C183" s="35" t="str">
        <f aca="false">IF(B183="","",IFERROR(INDEX(Leads!$C$2:$C$5001,MATCH(B183,Leads!$A$2:$A$5001,0))&amp;" "&amp;INDEX(Leads!$D$2:$D$5001,MATCH(B183,Leads!$A$2:$A$5001,0)),"N° no encontrado"))</f>
        <v/>
      </c>
      <c r="D183" s="35" t="str">
        <f aca="false">IF(B183="","",IFERROR(INDEX(Leads!$G$2:$G$5001,MATCH(B183,Leads!$A$2:$A$5001,0)),""))</f>
        <v/>
      </c>
      <c r="E183" s="32"/>
      <c r="F183" s="32"/>
      <c r="G183" s="32"/>
    </row>
    <row r="184" customFormat="false" ht="15" hidden="false" customHeight="false" outlineLevel="0" collapsed="false">
      <c r="A184" s="31"/>
      <c r="B184" s="32"/>
      <c r="C184" s="35" t="str">
        <f aca="false">IF(B184="","",IFERROR(INDEX(Leads!$C$2:$C$5001,MATCH(B184,Leads!$A$2:$A$5001,0))&amp;" "&amp;INDEX(Leads!$D$2:$D$5001,MATCH(B184,Leads!$A$2:$A$5001,0)),"N° no encontrado"))</f>
        <v/>
      </c>
      <c r="D184" s="35" t="str">
        <f aca="false">IF(B184="","",IFERROR(INDEX(Leads!$G$2:$G$5001,MATCH(B184,Leads!$A$2:$A$5001,0)),""))</f>
        <v/>
      </c>
      <c r="E184" s="32"/>
      <c r="F184" s="32"/>
      <c r="G184" s="32"/>
    </row>
    <row r="185" customFormat="false" ht="15" hidden="false" customHeight="false" outlineLevel="0" collapsed="false">
      <c r="A185" s="31"/>
      <c r="B185" s="32"/>
      <c r="C185" s="35" t="str">
        <f aca="false">IF(B185="","",IFERROR(INDEX(Leads!$C$2:$C$5001,MATCH(B185,Leads!$A$2:$A$5001,0))&amp;" "&amp;INDEX(Leads!$D$2:$D$5001,MATCH(B185,Leads!$A$2:$A$5001,0)),"N° no encontrado"))</f>
        <v/>
      </c>
      <c r="D185" s="35" t="str">
        <f aca="false">IF(B185="","",IFERROR(INDEX(Leads!$G$2:$G$5001,MATCH(B185,Leads!$A$2:$A$5001,0)),""))</f>
        <v/>
      </c>
      <c r="E185" s="32"/>
      <c r="F185" s="32"/>
      <c r="G185" s="32"/>
    </row>
    <row r="186" customFormat="false" ht="15" hidden="false" customHeight="false" outlineLevel="0" collapsed="false">
      <c r="A186" s="31"/>
      <c r="B186" s="32"/>
      <c r="C186" s="35" t="str">
        <f aca="false">IF(B186="","",IFERROR(INDEX(Leads!$C$2:$C$5001,MATCH(B186,Leads!$A$2:$A$5001,0))&amp;" "&amp;INDEX(Leads!$D$2:$D$5001,MATCH(B186,Leads!$A$2:$A$5001,0)),"N° no encontrado"))</f>
        <v/>
      </c>
      <c r="D186" s="35" t="str">
        <f aca="false">IF(B186="","",IFERROR(INDEX(Leads!$G$2:$G$5001,MATCH(B186,Leads!$A$2:$A$5001,0)),""))</f>
        <v/>
      </c>
      <c r="E186" s="32"/>
      <c r="F186" s="32"/>
      <c r="G186" s="32"/>
    </row>
    <row r="187" customFormat="false" ht="15" hidden="false" customHeight="false" outlineLevel="0" collapsed="false">
      <c r="A187" s="31"/>
      <c r="B187" s="32"/>
      <c r="C187" s="35" t="str">
        <f aca="false">IF(B187="","",IFERROR(INDEX(Leads!$C$2:$C$5001,MATCH(B187,Leads!$A$2:$A$5001,0))&amp;" "&amp;INDEX(Leads!$D$2:$D$5001,MATCH(B187,Leads!$A$2:$A$5001,0)),"N° no encontrado"))</f>
        <v/>
      </c>
      <c r="D187" s="35" t="str">
        <f aca="false">IF(B187="","",IFERROR(INDEX(Leads!$G$2:$G$5001,MATCH(B187,Leads!$A$2:$A$5001,0)),""))</f>
        <v/>
      </c>
      <c r="E187" s="32"/>
      <c r="F187" s="32"/>
      <c r="G187" s="32"/>
    </row>
    <row r="188" customFormat="false" ht="15" hidden="false" customHeight="false" outlineLevel="0" collapsed="false">
      <c r="A188" s="31"/>
      <c r="B188" s="32"/>
      <c r="C188" s="35" t="str">
        <f aca="false">IF(B188="","",IFERROR(INDEX(Leads!$C$2:$C$5001,MATCH(B188,Leads!$A$2:$A$5001,0))&amp;" "&amp;INDEX(Leads!$D$2:$D$5001,MATCH(B188,Leads!$A$2:$A$5001,0)),"N° no encontrado"))</f>
        <v/>
      </c>
      <c r="D188" s="35" t="str">
        <f aca="false">IF(B188="","",IFERROR(INDEX(Leads!$G$2:$G$5001,MATCH(B188,Leads!$A$2:$A$5001,0)),""))</f>
        <v/>
      </c>
      <c r="E188" s="32"/>
      <c r="F188" s="32"/>
      <c r="G188" s="32"/>
    </row>
    <row r="189" customFormat="false" ht="15" hidden="false" customHeight="false" outlineLevel="0" collapsed="false">
      <c r="A189" s="31"/>
      <c r="B189" s="32"/>
      <c r="C189" s="35" t="str">
        <f aca="false">IF(B189="","",IFERROR(INDEX(Leads!$C$2:$C$5001,MATCH(B189,Leads!$A$2:$A$5001,0))&amp;" "&amp;INDEX(Leads!$D$2:$D$5001,MATCH(B189,Leads!$A$2:$A$5001,0)),"N° no encontrado"))</f>
        <v/>
      </c>
      <c r="D189" s="35" t="str">
        <f aca="false">IF(B189="","",IFERROR(INDEX(Leads!$G$2:$G$5001,MATCH(B189,Leads!$A$2:$A$5001,0)),""))</f>
        <v/>
      </c>
      <c r="E189" s="32"/>
      <c r="F189" s="32"/>
      <c r="G189" s="32"/>
    </row>
    <row r="190" customFormat="false" ht="15" hidden="false" customHeight="false" outlineLevel="0" collapsed="false">
      <c r="A190" s="31"/>
      <c r="B190" s="32"/>
      <c r="C190" s="35" t="str">
        <f aca="false">IF(B190="","",IFERROR(INDEX(Leads!$C$2:$C$5001,MATCH(B190,Leads!$A$2:$A$5001,0))&amp;" "&amp;INDEX(Leads!$D$2:$D$5001,MATCH(B190,Leads!$A$2:$A$5001,0)),"N° no encontrado"))</f>
        <v/>
      </c>
      <c r="D190" s="35" t="str">
        <f aca="false">IF(B190="","",IFERROR(INDEX(Leads!$G$2:$G$5001,MATCH(B190,Leads!$A$2:$A$5001,0)),""))</f>
        <v/>
      </c>
      <c r="E190" s="32"/>
      <c r="F190" s="32"/>
      <c r="G190" s="32"/>
    </row>
    <row r="191" customFormat="false" ht="15" hidden="false" customHeight="false" outlineLevel="0" collapsed="false">
      <c r="A191" s="31"/>
      <c r="B191" s="32"/>
      <c r="C191" s="35" t="str">
        <f aca="false">IF(B191="","",IFERROR(INDEX(Leads!$C$2:$C$5001,MATCH(B191,Leads!$A$2:$A$5001,0))&amp;" "&amp;INDEX(Leads!$D$2:$D$5001,MATCH(B191,Leads!$A$2:$A$5001,0)),"N° no encontrado"))</f>
        <v/>
      </c>
      <c r="D191" s="35" t="str">
        <f aca="false">IF(B191="","",IFERROR(INDEX(Leads!$G$2:$G$5001,MATCH(B191,Leads!$A$2:$A$5001,0)),""))</f>
        <v/>
      </c>
      <c r="E191" s="32"/>
      <c r="F191" s="32"/>
      <c r="G191" s="32"/>
    </row>
    <row r="192" customFormat="false" ht="15" hidden="false" customHeight="false" outlineLevel="0" collapsed="false">
      <c r="A192" s="31"/>
      <c r="B192" s="32"/>
      <c r="C192" s="35" t="str">
        <f aca="false">IF(B192="","",IFERROR(INDEX(Leads!$C$2:$C$5001,MATCH(B192,Leads!$A$2:$A$5001,0))&amp;" "&amp;INDEX(Leads!$D$2:$D$5001,MATCH(B192,Leads!$A$2:$A$5001,0)),"N° no encontrado"))</f>
        <v/>
      </c>
      <c r="D192" s="35" t="str">
        <f aca="false">IF(B192="","",IFERROR(INDEX(Leads!$G$2:$G$5001,MATCH(B192,Leads!$A$2:$A$5001,0)),""))</f>
        <v/>
      </c>
      <c r="E192" s="32"/>
      <c r="F192" s="32"/>
      <c r="G192" s="32"/>
    </row>
    <row r="193" customFormat="false" ht="15" hidden="false" customHeight="false" outlineLevel="0" collapsed="false">
      <c r="A193" s="31"/>
      <c r="B193" s="32"/>
      <c r="C193" s="35" t="str">
        <f aca="false">IF(B193="","",IFERROR(INDEX(Leads!$C$2:$C$5001,MATCH(B193,Leads!$A$2:$A$5001,0))&amp;" "&amp;INDEX(Leads!$D$2:$D$5001,MATCH(B193,Leads!$A$2:$A$5001,0)),"N° no encontrado"))</f>
        <v/>
      </c>
      <c r="D193" s="35" t="str">
        <f aca="false">IF(B193="","",IFERROR(INDEX(Leads!$G$2:$G$5001,MATCH(B193,Leads!$A$2:$A$5001,0)),""))</f>
        <v/>
      </c>
      <c r="E193" s="32"/>
      <c r="F193" s="32"/>
      <c r="G193" s="32"/>
    </row>
    <row r="194" customFormat="false" ht="15" hidden="false" customHeight="false" outlineLevel="0" collapsed="false">
      <c r="A194" s="31"/>
      <c r="B194" s="32"/>
      <c r="C194" s="35" t="str">
        <f aca="false">IF(B194="","",IFERROR(INDEX(Leads!$C$2:$C$5001,MATCH(B194,Leads!$A$2:$A$5001,0))&amp;" "&amp;INDEX(Leads!$D$2:$D$5001,MATCH(B194,Leads!$A$2:$A$5001,0)),"N° no encontrado"))</f>
        <v/>
      </c>
      <c r="D194" s="35" t="str">
        <f aca="false">IF(B194="","",IFERROR(INDEX(Leads!$G$2:$G$5001,MATCH(B194,Leads!$A$2:$A$5001,0)),""))</f>
        <v/>
      </c>
      <c r="E194" s="32"/>
      <c r="F194" s="32"/>
      <c r="G194" s="32"/>
    </row>
    <row r="195" customFormat="false" ht="15" hidden="false" customHeight="false" outlineLevel="0" collapsed="false">
      <c r="A195" s="31"/>
      <c r="B195" s="32"/>
      <c r="C195" s="35" t="str">
        <f aca="false">IF(B195="","",IFERROR(INDEX(Leads!$C$2:$C$5001,MATCH(B195,Leads!$A$2:$A$5001,0))&amp;" "&amp;INDEX(Leads!$D$2:$D$5001,MATCH(B195,Leads!$A$2:$A$5001,0)),"N° no encontrado"))</f>
        <v/>
      </c>
      <c r="D195" s="35" t="str">
        <f aca="false">IF(B195="","",IFERROR(INDEX(Leads!$G$2:$G$5001,MATCH(B195,Leads!$A$2:$A$5001,0)),""))</f>
        <v/>
      </c>
      <c r="E195" s="32"/>
      <c r="F195" s="32"/>
      <c r="G195" s="32"/>
    </row>
    <row r="196" customFormat="false" ht="15" hidden="false" customHeight="false" outlineLevel="0" collapsed="false">
      <c r="A196" s="31"/>
      <c r="B196" s="32"/>
      <c r="C196" s="35" t="str">
        <f aca="false">IF(B196="","",IFERROR(INDEX(Leads!$C$2:$C$5001,MATCH(B196,Leads!$A$2:$A$5001,0))&amp;" "&amp;INDEX(Leads!$D$2:$D$5001,MATCH(B196,Leads!$A$2:$A$5001,0)),"N° no encontrado"))</f>
        <v/>
      </c>
      <c r="D196" s="35" t="str">
        <f aca="false">IF(B196="","",IFERROR(INDEX(Leads!$G$2:$G$5001,MATCH(B196,Leads!$A$2:$A$5001,0)),""))</f>
        <v/>
      </c>
      <c r="E196" s="32"/>
      <c r="F196" s="32"/>
      <c r="G196" s="32"/>
    </row>
    <row r="197" customFormat="false" ht="15" hidden="false" customHeight="false" outlineLevel="0" collapsed="false">
      <c r="A197" s="31"/>
      <c r="B197" s="32"/>
      <c r="C197" s="35" t="str">
        <f aca="false">IF(B197="","",IFERROR(INDEX(Leads!$C$2:$C$5001,MATCH(B197,Leads!$A$2:$A$5001,0))&amp;" "&amp;INDEX(Leads!$D$2:$D$5001,MATCH(B197,Leads!$A$2:$A$5001,0)),"N° no encontrado"))</f>
        <v/>
      </c>
      <c r="D197" s="35" t="str">
        <f aca="false">IF(B197="","",IFERROR(INDEX(Leads!$G$2:$G$5001,MATCH(B197,Leads!$A$2:$A$5001,0)),""))</f>
        <v/>
      </c>
      <c r="E197" s="32"/>
      <c r="F197" s="32"/>
      <c r="G197" s="32"/>
    </row>
    <row r="198" customFormat="false" ht="15" hidden="false" customHeight="false" outlineLevel="0" collapsed="false">
      <c r="A198" s="31"/>
      <c r="B198" s="32"/>
      <c r="C198" s="35" t="str">
        <f aca="false">IF(B198="","",IFERROR(INDEX(Leads!$C$2:$C$5001,MATCH(B198,Leads!$A$2:$A$5001,0))&amp;" "&amp;INDEX(Leads!$D$2:$D$5001,MATCH(B198,Leads!$A$2:$A$5001,0)),"N° no encontrado"))</f>
        <v/>
      </c>
      <c r="D198" s="35" t="str">
        <f aca="false">IF(B198="","",IFERROR(INDEX(Leads!$G$2:$G$5001,MATCH(B198,Leads!$A$2:$A$5001,0)),""))</f>
        <v/>
      </c>
      <c r="E198" s="32"/>
      <c r="F198" s="32"/>
      <c r="G198" s="32"/>
    </row>
    <row r="199" customFormat="false" ht="15" hidden="false" customHeight="false" outlineLevel="0" collapsed="false">
      <c r="A199" s="31"/>
      <c r="B199" s="32"/>
      <c r="C199" s="35" t="str">
        <f aca="false">IF(B199="","",IFERROR(INDEX(Leads!$C$2:$C$5001,MATCH(B199,Leads!$A$2:$A$5001,0))&amp;" "&amp;INDEX(Leads!$D$2:$D$5001,MATCH(B199,Leads!$A$2:$A$5001,0)),"N° no encontrado"))</f>
        <v/>
      </c>
      <c r="D199" s="35" t="str">
        <f aca="false">IF(B199="","",IFERROR(INDEX(Leads!$G$2:$G$5001,MATCH(B199,Leads!$A$2:$A$5001,0)),""))</f>
        <v/>
      </c>
      <c r="E199" s="32"/>
      <c r="F199" s="32"/>
      <c r="G199" s="32"/>
    </row>
    <row r="200" customFormat="false" ht="15" hidden="false" customHeight="false" outlineLevel="0" collapsed="false">
      <c r="A200" s="31"/>
      <c r="B200" s="32"/>
      <c r="C200" s="35" t="str">
        <f aca="false">IF(B200="","",IFERROR(INDEX(Leads!$C$2:$C$5001,MATCH(B200,Leads!$A$2:$A$5001,0))&amp;" "&amp;INDEX(Leads!$D$2:$D$5001,MATCH(B200,Leads!$A$2:$A$5001,0)),"N° no encontrado"))</f>
        <v/>
      </c>
      <c r="D200" s="35" t="str">
        <f aca="false">IF(B200="","",IFERROR(INDEX(Leads!$G$2:$G$5001,MATCH(B200,Leads!$A$2:$A$5001,0)),""))</f>
        <v/>
      </c>
      <c r="E200" s="32"/>
      <c r="F200" s="32"/>
      <c r="G200" s="32"/>
    </row>
    <row r="201" customFormat="false" ht="15" hidden="false" customHeight="false" outlineLevel="0" collapsed="false">
      <c r="A201" s="31"/>
      <c r="B201" s="32"/>
      <c r="C201" s="35" t="str">
        <f aca="false">IF(B201="","",IFERROR(INDEX(Leads!$C$2:$C$5001,MATCH(B201,Leads!$A$2:$A$5001,0))&amp;" "&amp;INDEX(Leads!$D$2:$D$5001,MATCH(B201,Leads!$A$2:$A$5001,0)),"N° no encontrado"))</f>
        <v/>
      </c>
      <c r="D201" s="35" t="str">
        <f aca="false">IF(B201="","",IFERROR(INDEX(Leads!$G$2:$G$5001,MATCH(B201,Leads!$A$2:$A$5001,0)),""))</f>
        <v/>
      </c>
      <c r="E201" s="32"/>
      <c r="F201" s="32"/>
      <c r="G201" s="32"/>
    </row>
    <row r="202" customFormat="false" ht="15" hidden="false" customHeight="false" outlineLevel="0" collapsed="false">
      <c r="A202" s="31"/>
      <c r="B202" s="32"/>
      <c r="C202" s="35" t="str">
        <f aca="false">IF(B202="","",IFERROR(INDEX(Leads!$C$2:$C$5001,MATCH(B202,Leads!$A$2:$A$5001,0))&amp;" "&amp;INDEX(Leads!$D$2:$D$5001,MATCH(B202,Leads!$A$2:$A$5001,0)),"N° no encontrado"))</f>
        <v/>
      </c>
      <c r="D202" s="35" t="str">
        <f aca="false">IF(B202="","",IFERROR(INDEX(Leads!$G$2:$G$5001,MATCH(B202,Leads!$A$2:$A$5001,0)),""))</f>
        <v/>
      </c>
      <c r="E202" s="32"/>
      <c r="F202" s="32"/>
      <c r="G202" s="32"/>
    </row>
    <row r="203" customFormat="false" ht="15" hidden="false" customHeight="false" outlineLevel="0" collapsed="false">
      <c r="A203" s="31"/>
      <c r="B203" s="32"/>
      <c r="C203" s="35" t="str">
        <f aca="false">IF(B203="","",IFERROR(INDEX(Leads!$C$2:$C$5001,MATCH(B203,Leads!$A$2:$A$5001,0))&amp;" "&amp;INDEX(Leads!$D$2:$D$5001,MATCH(B203,Leads!$A$2:$A$5001,0)),"N° no encontrado"))</f>
        <v/>
      </c>
      <c r="D203" s="35" t="str">
        <f aca="false">IF(B203="","",IFERROR(INDEX(Leads!$G$2:$G$5001,MATCH(B203,Leads!$A$2:$A$5001,0)),""))</f>
        <v/>
      </c>
      <c r="E203" s="32"/>
      <c r="F203" s="32"/>
      <c r="G203" s="32"/>
    </row>
    <row r="204" customFormat="false" ht="15" hidden="false" customHeight="false" outlineLevel="0" collapsed="false">
      <c r="A204" s="31"/>
      <c r="B204" s="32"/>
      <c r="C204" s="35" t="str">
        <f aca="false">IF(B204="","",IFERROR(INDEX(Leads!$C$2:$C$5001,MATCH(B204,Leads!$A$2:$A$5001,0))&amp;" "&amp;INDEX(Leads!$D$2:$D$5001,MATCH(B204,Leads!$A$2:$A$5001,0)),"N° no encontrado"))</f>
        <v/>
      </c>
      <c r="D204" s="35" t="str">
        <f aca="false">IF(B204="","",IFERROR(INDEX(Leads!$G$2:$G$5001,MATCH(B204,Leads!$A$2:$A$5001,0)),""))</f>
        <v/>
      </c>
      <c r="E204" s="32"/>
      <c r="F204" s="32"/>
      <c r="G204" s="32"/>
    </row>
    <row r="205" customFormat="false" ht="15" hidden="false" customHeight="false" outlineLevel="0" collapsed="false">
      <c r="A205" s="31"/>
      <c r="B205" s="32"/>
      <c r="C205" s="35" t="str">
        <f aca="false">IF(B205="","",IFERROR(INDEX(Leads!$C$2:$C$5001,MATCH(B205,Leads!$A$2:$A$5001,0))&amp;" "&amp;INDEX(Leads!$D$2:$D$5001,MATCH(B205,Leads!$A$2:$A$5001,0)),"N° no encontrado"))</f>
        <v/>
      </c>
      <c r="D205" s="35" t="str">
        <f aca="false">IF(B205="","",IFERROR(INDEX(Leads!$G$2:$G$5001,MATCH(B205,Leads!$A$2:$A$5001,0)),""))</f>
        <v/>
      </c>
      <c r="E205" s="32"/>
      <c r="F205" s="32"/>
      <c r="G205" s="32"/>
    </row>
    <row r="206" customFormat="false" ht="15" hidden="false" customHeight="false" outlineLevel="0" collapsed="false">
      <c r="A206" s="31"/>
      <c r="B206" s="32"/>
      <c r="C206" s="35" t="str">
        <f aca="false">IF(B206="","",IFERROR(INDEX(Leads!$C$2:$C$5001,MATCH(B206,Leads!$A$2:$A$5001,0))&amp;" "&amp;INDEX(Leads!$D$2:$D$5001,MATCH(B206,Leads!$A$2:$A$5001,0)),"N° no encontrado"))</f>
        <v/>
      </c>
      <c r="D206" s="35" t="str">
        <f aca="false">IF(B206="","",IFERROR(INDEX(Leads!$G$2:$G$5001,MATCH(B206,Leads!$A$2:$A$5001,0)),""))</f>
        <v/>
      </c>
      <c r="E206" s="32"/>
      <c r="F206" s="32"/>
      <c r="G206" s="32"/>
    </row>
    <row r="207" customFormat="false" ht="15" hidden="false" customHeight="false" outlineLevel="0" collapsed="false">
      <c r="A207" s="31"/>
      <c r="B207" s="32"/>
      <c r="C207" s="35" t="str">
        <f aca="false">IF(B207="","",IFERROR(INDEX(Leads!$C$2:$C$5001,MATCH(B207,Leads!$A$2:$A$5001,0))&amp;" "&amp;INDEX(Leads!$D$2:$D$5001,MATCH(B207,Leads!$A$2:$A$5001,0)),"N° no encontrado"))</f>
        <v/>
      </c>
      <c r="D207" s="35" t="str">
        <f aca="false">IF(B207="","",IFERROR(INDEX(Leads!$G$2:$G$5001,MATCH(B207,Leads!$A$2:$A$5001,0)),""))</f>
        <v/>
      </c>
      <c r="E207" s="32"/>
      <c r="F207" s="32"/>
      <c r="G207" s="32"/>
    </row>
    <row r="208" customFormat="false" ht="15" hidden="false" customHeight="false" outlineLevel="0" collapsed="false">
      <c r="A208" s="31"/>
      <c r="B208" s="32"/>
      <c r="C208" s="35" t="str">
        <f aca="false">IF(B208="","",IFERROR(INDEX(Leads!$C$2:$C$5001,MATCH(B208,Leads!$A$2:$A$5001,0))&amp;" "&amp;INDEX(Leads!$D$2:$D$5001,MATCH(B208,Leads!$A$2:$A$5001,0)),"N° no encontrado"))</f>
        <v/>
      </c>
      <c r="D208" s="35" t="str">
        <f aca="false">IF(B208="","",IFERROR(INDEX(Leads!$G$2:$G$5001,MATCH(B208,Leads!$A$2:$A$5001,0)),""))</f>
        <v/>
      </c>
      <c r="E208" s="32"/>
      <c r="F208" s="32"/>
      <c r="G208" s="32"/>
    </row>
    <row r="209" customFormat="false" ht="15" hidden="false" customHeight="false" outlineLevel="0" collapsed="false">
      <c r="A209" s="31"/>
      <c r="B209" s="32"/>
      <c r="C209" s="35" t="str">
        <f aca="false">IF(B209="","",IFERROR(INDEX(Leads!$C$2:$C$5001,MATCH(B209,Leads!$A$2:$A$5001,0))&amp;" "&amp;INDEX(Leads!$D$2:$D$5001,MATCH(B209,Leads!$A$2:$A$5001,0)),"N° no encontrado"))</f>
        <v/>
      </c>
      <c r="D209" s="35" t="str">
        <f aca="false">IF(B209="","",IFERROR(INDEX(Leads!$G$2:$G$5001,MATCH(B209,Leads!$A$2:$A$5001,0)),""))</f>
        <v/>
      </c>
      <c r="E209" s="32"/>
      <c r="F209" s="32"/>
      <c r="G209" s="32"/>
    </row>
    <row r="210" customFormat="false" ht="15" hidden="false" customHeight="false" outlineLevel="0" collapsed="false">
      <c r="A210" s="31"/>
      <c r="B210" s="32"/>
      <c r="C210" s="35" t="str">
        <f aca="false">IF(B210="","",IFERROR(INDEX(Leads!$C$2:$C$5001,MATCH(B210,Leads!$A$2:$A$5001,0))&amp;" "&amp;INDEX(Leads!$D$2:$D$5001,MATCH(B210,Leads!$A$2:$A$5001,0)),"N° no encontrado"))</f>
        <v/>
      </c>
      <c r="D210" s="35" t="str">
        <f aca="false">IF(B210="","",IFERROR(INDEX(Leads!$G$2:$G$5001,MATCH(B210,Leads!$A$2:$A$5001,0)),""))</f>
        <v/>
      </c>
      <c r="E210" s="32"/>
      <c r="F210" s="32"/>
      <c r="G210" s="32"/>
    </row>
    <row r="211" customFormat="false" ht="15" hidden="false" customHeight="false" outlineLevel="0" collapsed="false">
      <c r="A211" s="31"/>
      <c r="B211" s="32"/>
      <c r="C211" s="35" t="str">
        <f aca="false">IF(B211="","",IFERROR(INDEX(Leads!$C$2:$C$5001,MATCH(B211,Leads!$A$2:$A$5001,0))&amp;" "&amp;INDEX(Leads!$D$2:$D$5001,MATCH(B211,Leads!$A$2:$A$5001,0)),"N° no encontrado"))</f>
        <v/>
      </c>
      <c r="D211" s="35" t="str">
        <f aca="false">IF(B211="","",IFERROR(INDEX(Leads!$G$2:$G$5001,MATCH(B211,Leads!$A$2:$A$5001,0)),""))</f>
        <v/>
      </c>
      <c r="E211" s="32"/>
      <c r="F211" s="32"/>
      <c r="G211" s="32"/>
    </row>
    <row r="212" customFormat="false" ht="15" hidden="false" customHeight="false" outlineLevel="0" collapsed="false">
      <c r="A212" s="31"/>
      <c r="B212" s="32"/>
      <c r="C212" s="35" t="str">
        <f aca="false">IF(B212="","",IFERROR(INDEX(Leads!$C$2:$C$5001,MATCH(B212,Leads!$A$2:$A$5001,0))&amp;" "&amp;INDEX(Leads!$D$2:$D$5001,MATCH(B212,Leads!$A$2:$A$5001,0)),"N° no encontrado"))</f>
        <v/>
      </c>
      <c r="D212" s="35" t="str">
        <f aca="false">IF(B212="","",IFERROR(INDEX(Leads!$G$2:$G$5001,MATCH(B212,Leads!$A$2:$A$5001,0)),""))</f>
        <v/>
      </c>
      <c r="E212" s="32"/>
      <c r="F212" s="32"/>
      <c r="G212" s="32"/>
    </row>
    <row r="213" customFormat="false" ht="15" hidden="false" customHeight="false" outlineLevel="0" collapsed="false">
      <c r="A213" s="31"/>
      <c r="B213" s="32"/>
      <c r="C213" s="35" t="str">
        <f aca="false">IF(B213="","",IFERROR(INDEX(Leads!$C$2:$C$5001,MATCH(B213,Leads!$A$2:$A$5001,0))&amp;" "&amp;INDEX(Leads!$D$2:$D$5001,MATCH(B213,Leads!$A$2:$A$5001,0)),"N° no encontrado"))</f>
        <v/>
      </c>
      <c r="D213" s="35" t="str">
        <f aca="false">IF(B213="","",IFERROR(INDEX(Leads!$G$2:$G$5001,MATCH(B213,Leads!$A$2:$A$5001,0)),""))</f>
        <v/>
      </c>
      <c r="E213" s="32"/>
      <c r="F213" s="32"/>
      <c r="G213" s="32"/>
    </row>
    <row r="214" customFormat="false" ht="15" hidden="false" customHeight="false" outlineLevel="0" collapsed="false">
      <c r="A214" s="31"/>
      <c r="B214" s="32"/>
      <c r="C214" s="35" t="str">
        <f aca="false">IF(B214="","",IFERROR(INDEX(Leads!$C$2:$C$5001,MATCH(B214,Leads!$A$2:$A$5001,0))&amp;" "&amp;INDEX(Leads!$D$2:$D$5001,MATCH(B214,Leads!$A$2:$A$5001,0)),"N° no encontrado"))</f>
        <v/>
      </c>
      <c r="D214" s="35" t="str">
        <f aca="false">IF(B214="","",IFERROR(INDEX(Leads!$G$2:$G$5001,MATCH(B214,Leads!$A$2:$A$5001,0)),""))</f>
        <v/>
      </c>
      <c r="E214" s="32"/>
      <c r="F214" s="32"/>
      <c r="G214" s="32"/>
    </row>
    <row r="215" customFormat="false" ht="15" hidden="false" customHeight="false" outlineLevel="0" collapsed="false">
      <c r="A215" s="31"/>
      <c r="B215" s="32"/>
      <c r="C215" s="35" t="str">
        <f aca="false">IF(B215="","",IFERROR(INDEX(Leads!$C$2:$C$5001,MATCH(B215,Leads!$A$2:$A$5001,0))&amp;" "&amp;INDEX(Leads!$D$2:$D$5001,MATCH(B215,Leads!$A$2:$A$5001,0)),"N° no encontrado"))</f>
        <v/>
      </c>
      <c r="D215" s="35" t="str">
        <f aca="false">IF(B215="","",IFERROR(INDEX(Leads!$G$2:$G$5001,MATCH(B215,Leads!$A$2:$A$5001,0)),""))</f>
        <v/>
      </c>
      <c r="E215" s="32"/>
      <c r="F215" s="32"/>
      <c r="G215" s="32"/>
    </row>
    <row r="216" customFormat="false" ht="15" hidden="false" customHeight="false" outlineLevel="0" collapsed="false">
      <c r="A216" s="31"/>
      <c r="B216" s="32"/>
      <c r="C216" s="35" t="str">
        <f aca="false">IF(B216="","",IFERROR(INDEX(Leads!$C$2:$C$5001,MATCH(B216,Leads!$A$2:$A$5001,0))&amp;" "&amp;INDEX(Leads!$D$2:$D$5001,MATCH(B216,Leads!$A$2:$A$5001,0)),"N° no encontrado"))</f>
        <v/>
      </c>
      <c r="D216" s="35" t="str">
        <f aca="false">IF(B216="","",IFERROR(INDEX(Leads!$G$2:$G$5001,MATCH(B216,Leads!$A$2:$A$5001,0)),""))</f>
        <v/>
      </c>
      <c r="E216" s="32"/>
      <c r="F216" s="32"/>
      <c r="G216" s="32"/>
    </row>
    <row r="217" customFormat="false" ht="15" hidden="false" customHeight="false" outlineLevel="0" collapsed="false">
      <c r="A217" s="31"/>
      <c r="B217" s="32"/>
      <c r="C217" s="35" t="str">
        <f aca="false">IF(B217="","",IFERROR(INDEX(Leads!$C$2:$C$5001,MATCH(B217,Leads!$A$2:$A$5001,0))&amp;" "&amp;INDEX(Leads!$D$2:$D$5001,MATCH(B217,Leads!$A$2:$A$5001,0)),"N° no encontrado"))</f>
        <v/>
      </c>
      <c r="D217" s="35" t="str">
        <f aca="false">IF(B217="","",IFERROR(INDEX(Leads!$G$2:$G$5001,MATCH(B217,Leads!$A$2:$A$5001,0)),""))</f>
        <v/>
      </c>
      <c r="E217" s="32"/>
      <c r="F217" s="32"/>
      <c r="G217" s="32"/>
    </row>
    <row r="218" customFormat="false" ht="15" hidden="false" customHeight="false" outlineLevel="0" collapsed="false">
      <c r="A218" s="31"/>
      <c r="B218" s="32"/>
      <c r="C218" s="35" t="str">
        <f aca="false">IF(B218="","",IFERROR(INDEX(Leads!$C$2:$C$5001,MATCH(B218,Leads!$A$2:$A$5001,0))&amp;" "&amp;INDEX(Leads!$D$2:$D$5001,MATCH(B218,Leads!$A$2:$A$5001,0)),"N° no encontrado"))</f>
        <v/>
      </c>
      <c r="D218" s="35" t="str">
        <f aca="false">IF(B218="","",IFERROR(INDEX(Leads!$G$2:$G$5001,MATCH(B218,Leads!$A$2:$A$5001,0)),""))</f>
        <v/>
      </c>
      <c r="E218" s="32"/>
      <c r="F218" s="32"/>
      <c r="G218" s="32"/>
    </row>
    <row r="219" customFormat="false" ht="15" hidden="false" customHeight="false" outlineLevel="0" collapsed="false">
      <c r="A219" s="31"/>
      <c r="B219" s="32"/>
      <c r="C219" s="35" t="str">
        <f aca="false">IF(B219="","",IFERROR(INDEX(Leads!$C$2:$C$5001,MATCH(B219,Leads!$A$2:$A$5001,0))&amp;" "&amp;INDEX(Leads!$D$2:$D$5001,MATCH(B219,Leads!$A$2:$A$5001,0)),"N° no encontrado"))</f>
        <v/>
      </c>
      <c r="D219" s="35" t="str">
        <f aca="false">IF(B219="","",IFERROR(INDEX(Leads!$G$2:$G$5001,MATCH(B219,Leads!$A$2:$A$5001,0)),""))</f>
        <v/>
      </c>
      <c r="E219" s="32"/>
      <c r="F219" s="32"/>
      <c r="G219" s="32"/>
    </row>
    <row r="220" customFormat="false" ht="15" hidden="false" customHeight="false" outlineLevel="0" collapsed="false">
      <c r="A220" s="31"/>
      <c r="B220" s="32"/>
      <c r="C220" s="35" t="str">
        <f aca="false">IF(B220="","",IFERROR(INDEX(Leads!$C$2:$C$5001,MATCH(B220,Leads!$A$2:$A$5001,0))&amp;" "&amp;INDEX(Leads!$D$2:$D$5001,MATCH(B220,Leads!$A$2:$A$5001,0)),"N° no encontrado"))</f>
        <v/>
      </c>
      <c r="D220" s="35" t="str">
        <f aca="false">IF(B220="","",IFERROR(INDEX(Leads!$G$2:$G$5001,MATCH(B220,Leads!$A$2:$A$5001,0)),""))</f>
        <v/>
      </c>
      <c r="E220" s="32"/>
      <c r="F220" s="32"/>
      <c r="G220" s="32"/>
    </row>
    <row r="221" customFormat="false" ht="15" hidden="false" customHeight="false" outlineLevel="0" collapsed="false">
      <c r="A221" s="31"/>
      <c r="B221" s="32"/>
      <c r="C221" s="35" t="str">
        <f aca="false">IF(B221="","",IFERROR(INDEX(Leads!$C$2:$C$5001,MATCH(B221,Leads!$A$2:$A$5001,0))&amp;" "&amp;INDEX(Leads!$D$2:$D$5001,MATCH(B221,Leads!$A$2:$A$5001,0)),"N° no encontrado"))</f>
        <v/>
      </c>
      <c r="D221" s="35" t="str">
        <f aca="false">IF(B221="","",IFERROR(INDEX(Leads!$G$2:$G$5001,MATCH(B221,Leads!$A$2:$A$5001,0)),""))</f>
        <v/>
      </c>
      <c r="E221" s="32"/>
      <c r="F221" s="32"/>
      <c r="G221" s="32"/>
    </row>
    <row r="222" customFormat="false" ht="15" hidden="false" customHeight="false" outlineLevel="0" collapsed="false">
      <c r="A222" s="31"/>
      <c r="B222" s="32"/>
      <c r="C222" s="35" t="str">
        <f aca="false">IF(B222="","",IFERROR(INDEX(Leads!$C$2:$C$5001,MATCH(B222,Leads!$A$2:$A$5001,0))&amp;" "&amp;INDEX(Leads!$D$2:$D$5001,MATCH(B222,Leads!$A$2:$A$5001,0)),"N° no encontrado"))</f>
        <v/>
      </c>
      <c r="D222" s="35" t="str">
        <f aca="false">IF(B222="","",IFERROR(INDEX(Leads!$G$2:$G$5001,MATCH(B222,Leads!$A$2:$A$5001,0)),""))</f>
        <v/>
      </c>
      <c r="E222" s="32"/>
      <c r="F222" s="32"/>
      <c r="G222" s="32"/>
    </row>
    <row r="223" customFormat="false" ht="15" hidden="false" customHeight="false" outlineLevel="0" collapsed="false">
      <c r="A223" s="31"/>
      <c r="B223" s="32"/>
      <c r="C223" s="35" t="str">
        <f aca="false">IF(B223="","",IFERROR(INDEX(Leads!$C$2:$C$5001,MATCH(B223,Leads!$A$2:$A$5001,0))&amp;" "&amp;INDEX(Leads!$D$2:$D$5001,MATCH(B223,Leads!$A$2:$A$5001,0)),"N° no encontrado"))</f>
        <v/>
      </c>
      <c r="D223" s="35" t="str">
        <f aca="false">IF(B223="","",IFERROR(INDEX(Leads!$G$2:$G$5001,MATCH(B223,Leads!$A$2:$A$5001,0)),""))</f>
        <v/>
      </c>
      <c r="E223" s="32"/>
      <c r="F223" s="32"/>
      <c r="G223" s="32"/>
    </row>
    <row r="224" customFormat="false" ht="15" hidden="false" customHeight="false" outlineLevel="0" collapsed="false">
      <c r="A224" s="31"/>
      <c r="B224" s="32"/>
      <c r="C224" s="35" t="str">
        <f aca="false">IF(B224="","",IFERROR(INDEX(Leads!$C$2:$C$5001,MATCH(B224,Leads!$A$2:$A$5001,0))&amp;" "&amp;INDEX(Leads!$D$2:$D$5001,MATCH(B224,Leads!$A$2:$A$5001,0)),"N° no encontrado"))</f>
        <v/>
      </c>
      <c r="D224" s="35" t="str">
        <f aca="false">IF(B224="","",IFERROR(INDEX(Leads!$G$2:$G$5001,MATCH(B224,Leads!$A$2:$A$5001,0)),""))</f>
        <v/>
      </c>
      <c r="E224" s="32"/>
      <c r="F224" s="32"/>
      <c r="G224" s="32"/>
    </row>
    <row r="225" customFormat="false" ht="15" hidden="false" customHeight="false" outlineLevel="0" collapsed="false">
      <c r="A225" s="31"/>
      <c r="B225" s="32"/>
      <c r="C225" s="35" t="str">
        <f aca="false">IF(B225="","",IFERROR(INDEX(Leads!$C$2:$C$5001,MATCH(B225,Leads!$A$2:$A$5001,0))&amp;" "&amp;INDEX(Leads!$D$2:$D$5001,MATCH(B225,Leads!$A$2:$A$5001,0)),"N° no encontrado"))</f>
        <v/>
      </c>
      <c r="D225" s="35" t="str">
        <f aca="false">IF(B225="","",IFERROR(INDEX(Leads!$G$2:$G$5001,MATCH(B225,Leads!$A$2:$A$5001,0)),""))</f>
        <v/>
      </c>
      <c r="E225" s="32"/>
      <c r="F225" s="32"/>
      <c r="G225" s="32"/>
    </row>
    <row r="226" customFormat="false" ht="15" hidden="false" customHeight="false" outlineLevel="0" collapsed="false">
      <c r="A226" s="31"/>
      <c r="B226" s="32"/>
      <c r="C226" s="35" t="str">
        <f aca="false">IF(B226="","",IFERROR(INDEX(Leads!$C$2:$C$5001,MATCH(B226,Leads!$A$2:$A$5001,0))&amp;" "&amp;INDEX(Leads!$D$2:$D$5001,MATCH(B226,Leads!$A$2:$A$5001,0)),"N° no encontrado"))</f>
        <v/>
      </c>
      <c r="D226" s="35" t="str">
        <f aca="false">IF(B226="","",IFERROR(INDEX(Leads!$G$2:$G$5001,MATCH(B226,Leads!$A$2:$A$5001,0)),""))</f>
        <v/>
      </c>
      <c r="E226" s="32"/>
      <c r="F226" s="32"/>
      <c r="G226" s="32"/>
    </row>
    <row r="227" customFormat="false" ht="15" hidden="false" customHeight="false" outlineLevel="0" collapsed="false">
      <c r="A227" s="31"/>
      <c r="B227" s="32"/>
      <c r="C227" s="35" t="str">
        <f aca="false">IF(B227="","",IFERROR(INDEX(Leads!$C$2:$C$5001,MATCH(B227,Leads!$A$2:$A$5001,0))&amp;" "&amp;INDEX(Leads!$D$2:$D$5001,MATCH(B227,Leads!$A$2:$A$5001,0)),"N° no encontrado"))</f>
        <v/>
      </c>
      <c r="D227" s="35" t="str">
        <f aca="false">IF(B227="","",IFERROR(INDEX(Leads!$G$2:$G$5001,MATCH(B227,Leads!$A$2:$A$5001,0)),""))</f>
        <v/>
      </c>
      <c r="E227" s="32"/>
      <c r="F227" s="32"/>
      <c r="G227" s="32"/>
    </row>
    <row r="228" customFormat="false" ht="15" hidden="false" customHeight="false" outlineLevel="0" collapsed="false">
      <c r="A228" s="31"/>
      <c r="B228" s="32"/>
      <c r="C228" s="35" t="str">
        <f aca="false">IF(B228="","",IFERROR(INDEX(Leads!$C$2:$C$5001,MATCH(B228,Leads!$A$2:$A$5001,0))&amp;" "&amp;INDEX(Leads!$D$2:$D$5001,MATCH(B228,Leads!$A$2:$A$5001,0)),"N° no encontrado"))</f>
        <v/>
      </c>
      <c r="D228" s="35" t="str">
        <f aca="false">IF(B228="","",IFERROR(INDEX(Leads!$G$2:$G$5001,MATCH(B228,Leads!$A$2:$A$5001,0)),""))</f>
        <v/>
      </c>
      <c r="E228" s="32"/>
      <c r="F228" s="32"/>
      <c r="G228" s="32"/>
    </row>
    <row r="229" customFormat="false" ht="15" hidden="false" customHeight="false" outlineLevel="0" collapsed="false">
      <c r="A229" s="31"/>
      <c r="B229" s="32"/>
      <c r="C229" s="35" t="str">
        <f aca="false">IF(B229="","",IFERROR(INDEX(Leads!$C$2:$C$5001,MATCH(B229,Leads!$A$2:$A$5001,0))&amp;" "&amp;INDEX(Leads!$D$2:$D$5001,MATCH(B229,Leads!$A$2:$A$5001,0)),"N° no encontrado"))</f>
        <v/>
      </c>
      <c r="D229" s="35" t="str">
        <f aca="false">IF(B229="","",IFERROR(INDEX(Leads!$G$2:$G$5001,MATCH(B229,Leads!$A$2:$A$5001,0)),""))</f>
        <v/>
      </c>
      <c r="E229" s="32"/>
      <c r="F229" s="32"/>
      <c r="G229" s="32"/>
    </row>
    <row r="230" customFormat="false" ht="15" hidden="false" customHeight="false" outlineLevel="0" collapsed="false">
      <c r="A230" s="31"/>
      <c r="B230" s="32"/>
      <c r="C230" s="35" t="str">
        <f aca="false">IF(B230="","",IFERROR(INDEX(Leads!$C$2:$C$5001,MATCH(B230,Leads!$A$2:$A$5001,0))&amp;" "&amp;INDEX(Leads!$D$2:$D$5001,MATCH(B230,Leads!$A$2:$A$5001,0)),"N° no encontrado"))</f>
        <v/>
      </c>
      <c r="D230" s="35" t="str">
        <f aca="false">IF(B230="","",IFERROR(INDEX(Leads!$G$2:$G$5001,MATCH(B230,Leads!$A$2:$A$5001,0)),""))</f>
        <v/>
      </c>
      <c r="E230" s="32"/>
      <c r="F230" s="32"/>
      <c r="G230" s="32"/>
    </row>
    <row r="231" customFormat="false" ht="15" hidden="false" customHeight="false" outlineLevel="0" collapsed="false">
      <c r="A231" s="31"/>
      <c r="B231" s="32"/>
      <c r="C231" s="35" t="str">
        <f aca="false">IF(B231="","",IFERROR(INDEX(Leads!$C$2:$C$5001,MATCH(B231,Leads!$A$2:$A$5001,0))&amp;" "&amp;INDEX(Leads!$D$2:$D$5001,MATCH(B231,Leads!$A$2:$A$5001,0)),"N° no encontrado"))</f>
        <v/>
      </c>
      <c r="D231" s="35" t="str">
        <f aca="false">IF(B231="","",IFERROR(INDEX(Leads!$G$2:$G$5001,MATCH(B231,Leads!$A$2:$A$5001,0)),""))</f>
        <v/>
      </c>
      <c r="E231" s="32"/>
      <c r="F231" s="32"/>
      <c r="G231" s="32"/>
    </row>
    <row r="232" customFormat="false" ht="15" hidden="false" customHeight="false" outlineLevel="0" collapsed="false">
      <c r="A232" s="31"/>
      <c r="B232" s="32"/>
      <c r="C232" s="35" t="str">
        <f aca="false">IF(B232="","",IFERROR(INDEX(Leads!$C$2:$C$5001,MATCH(B232,Leads!$A$2:$A$5001,0))&amp;" "&amp;INDEX(Leads!$D$2:$D$5001,MATCH(B232,Leads!$A$2:$A$5001,0)),"N° no encontrado"))</f>
        <v/>
      </c>
      <c r="D232" s="35" t="str">
        <f aca="false">IF(B232="","",IFERROR(INDEX(Leads!$G$2:$G$5001,MATCH(B232,Leads!$A$2:$A$5001,0)),""))</f>
        <v/>
      </c>
      <c r="E232" s="32"/>
      <c r="F232" s="32"/>
      <c r="G232" s="32"/>
    </row>
    <row r="233" customFormat="false" ht="15" hidden="false" customHeight="false" outlineLevel="0" collapsed="false">
      <c r="A233" s="31"/>
      <c r="B233" s="32"/>
      <c r="C233" s="35" t="str">
        <f aca="false">IF(B233="","",IFERROR(INDEX(Leads!$C$2:$C$5001,MATCH(B233,Leads!$A$2:$A$5001,0))&amp;" "&amp;INDEX(Leads!$D$2:$D$5001,MATCH(B233,Leads!$A$2:$A$5001,0)),"N° no encontrado"))</f>
        <v/>
      </c>
      <c r="D233" s="35" t="str">
        <f aca="false">IF(B233="","",IFERROR(INDEX(Leads!$G$2:$G$5001,MATCH(B233,Leads!$A$2:$A$5001,0)),""))</f>
        <v/>
      </c>
      <c r="E233" s="32"/>
      <c r="F233" s="32"/>
      <c r="G233" s="32"/>
    </row>
    <row r="234" customFormat="false" ht="15" hidden="false" customHeight="false" outlineLevel="0" collapsed="false">
      <c r="A234" s="31"/>
      <c r="B234" s="32"/>
      <c r="C234" s="35" t="str">
        <f aca="false">IF(B234="","",IFERROR(INDEX(Leads!$C$2:$C$5001,MATCH(B234,Leads!$A$2:$A$5001,0))&amp;" "&amp;INDEX(Leads!$D$2:$D$5001,MATCH(B234,Leads!$A$2:$A$5001,0)),"N° no encontrado"))</f>
        <v/>
      </c>
      <c r="D234" s="35" t="str">
        <f aca="false">IF(B234="","",IFERROR(INDEX(Leads!$G$2:$G$5001,MATCH(B234,Leads!$A$2:$A$5001,0)),""))</f>
        <v/>
      </c>
      <c r="E234" s="32"/>
      <c r="F234" s="32"/>
      <c r="G234" s="32"/>
    </row>
    <row r="235" customFormat="false" ht="15" hidden="false" customHeight="false" outlineLevel="0" collapsed="false">
      <c r="A235" s="31"/>
      <c r="B235" s="32"/>
      <c r="C235" s="35" t="str">
        <f aca="false">IF(B235="","",IFERROR(INDEX(Leads!$C$2:$C$5001,MATCH(B235,Leads!$A$2:$A$5001,0))&amp;" "&amp;INDEX(Leads!$D$2:$D$5001,MATCH(B235,Leads!$A$2:$A$5001,0)),"N° no encontrado"))</f>
        <v/>
      </c>
      <c r="D235" s="35" t="str">
        <f aca="false">IF(B235="","",IFERROR(INDEX(Leads!$G$2:$G$5001,MATCH(B235,Leads!$A$2:$A$5001,0)),""))</f>
        <v/>
      </c>
      <c r="E235" s="32"/>
      <c r="F235" s="32"/>
      <c r="G235" s="32"/>
    </row>
    <row r="236" customFormat="false" ht="15" hidden="false" customHeight="false" outlineLevel="0" collapsed="false">
      <c r="A236" s="31"/>
      <c r="B236" s="32"/>
      <c r="C236" s="35" t="str">
        <f aca="false">IF(B236="","",IFERROR(INDEX(Leads!$C$2:$C$5001,MATCH(B236,Leads!$A$2:$A$5001,0))&amp;" "&amp;INDEX(Leads!$D$2:$D$5001,MATCH(B236,Leads!$A$2:$A$5001,0)),"N° no encontrado"))</f>
        <v/>
      </c>
      <c r="D236" s="35" t="str">
        <f aca="false">IF(B236="","",IFERROR(INDEX(Leads!$G$2:$G$5001,MATCH(B236,Leads!$A$2:$A$5001,0)),""))</f>
        <v/>
      </c>
      <c r="E236" s="32"/>
      <c r="F236" s="32"/>
      <c r="G236" s="32"/>
    </row>
    <row r="237" customFormat="false" ht="15" hidden="false" customHeight="false" outlineLevel="0" collapsed="false">
      <c r="A237" s="31"/>
      <c r="B237" s="32"/>
      <c r="C237" s="35" t="str">
        <f aca="false">IF(B237="","",IFERROR(INDEX(Leads!$C$2:$C$5001,MATCH(B237,Leads!$A$2:$A$5001,0))&amp;" "&amp;INDEX(Leads!$D$2:$D$5001,MATCH(B237,Leads!$A$2:$A$5001,0)),"N° no encontrado"))</f>
        <v/>
      </c>
      <c r="D237" s="35" t="str">
        <f aca="false">IF(B237="","",IFERROR(INDEX(Leads!$G$2:$G$5001,MATCH(B237,Leads!$A$2:$A$5001,0)),""))</f>
        <v/>
      </c>
      <c r="E237" s="32"/>
      <c r="F237" s="32"/>
      <c r="G237" s="32"/>
    </row>
    <row r="238" customFormat="false" ht="15" hidden="false" customHeight="false" outlineLevel="0" collapsed="false">
      <c r="A238" s="31"/>
      <c r="B238" s="32"/>
      <c r="C238" s="35" t="str">
        <f aca="false">IF(B238="","",IFERROR(INDEX(Leads!$C$2:$C$5001,MATCH(B238,Leads!$A$2:$A$5001,0))&amp;" "&amp;INDEX(Leads!$D$2:$D$5001,MATCH(B238,Leads!$A$2:$A$5001,0)),"N° no encontrado"))</f>
        <v/>
      </c>
      <c r="D238" s="35" t="str">
        <f aca="false">IF(B238="","",IFERROR(INDEX(Leads!$G$2:$G$5001,MATCH(B238,Leads!$A$2:$A$5001,0)),""))</f>
        <v/>
      </c>
      <c r="E238" s="32"/>
      <c r="F238" s="32"/>
      <c r="G238" s="32"/>
    </row>
    <row r="239" customFormat="false" ht="15" hidden="false" customHeight="false" outlineLevel="0" collapsed="false">
      <c r="A239" s="31"/>
      <c r="B239" s="32"/>
      <c r="C239" s="35" t="str">
        <f aca="false">IF(B239="","",IFERROR(INDEX(Leads!$C$2:$C$5001,MATCH(B239,Leads!$A$2:$A$5001,0))&amp;" "&amp;INDEX(Leads!$D$2:$D$5001,MATCH(B239,Leads!$A$2:$A$5001,0)),"N° no encontrado"))</f>
        <v/>
      </c>
      <c r="D239" s="35" t="str">
        <f aca="false">IF(B239="","",IFERROR(INDEX(Leads!$G$2:$G$5001,MATCH(B239,Leads!$A$2:$A$5001,0)),""))</f>
        <v/>
      </c>
      <c r="E239" s="32"/>
      <c r="F239" s="32"/>
      <c r="G239" s="32"/>
    </row>
    <row r="240" customFormat="false" ht="15" hidden="false" customHeight="false" outlineLevel="0" collapsed="false">
      <c r="A240" s="31"/>
      <c r="B240" s="32"/>
      <c r="C240" s="35" t="str">
        <f aca="false">IF(B240="","",IFERROR(INDEX(Leads!$C$2:$C$5001,MATCH(B240,Leads!$A$2:$A$5001,0))&amp;" "&amp;INDEX(Leads!$D$2:$D$5001,MATCH(B240,Leads!$A$2:$A$5001,0)),"N° no encontrado"))</f>
        <v/>
      </c>
      <c r="D240" s="35" t="str">
        <f aca="false">IF(B240="","",IFERROR(INDEX(Leads!$G$2:$G$5001,MATCH(B240,Leads!$A$2:$A$5001,0)),""))</f>
        <v/>
      </c>
      <c r="E240" s="32"/>
      <c r="F240" s="32"/>
      <c r="G240" s="32"/>
    </row>
    <row r="241" customFormat="false" ht="15" hidden="false" customHeight="false" outlineLevel="0" collapsed="false">
      <c r="A241" s="31"/>
      <c r="B241" s="32"/>
      <c r="C241" s="35" t="str">
        <f aca="false">IF(B241="","",IFERROR(INDEX(Leads!$C$2:$C$5001,MATCH(B241,Leads!$A$2:$A$5001,0))&amp;" "&amp;INDEX(Leads!$D$2:$D$5001,MATCH(B241,Leads!$A$2:$A$5001,0)),"N° no encontrado"))</f>
        <v/>
      </c>
      <c r="D241" s="35" t="str">
        <f aca="false">IF(B241="","",IFERROR(INDEX(Leads!$G$2:$G$5001,MATCH(B241,Leads!$A$2:$A$5001,0)),""))</f>
        <v/>
      </c>
      <c r="E241" s="32"/>
      <c r="F241" s="32"/>
      <c r="G241" s="32"/>
    </row>
    <row r="242" customFormat="false" ht="15" hidden="false" customHeight="false" outlineLevel="0" collapsed="false">
      <c r="A242" s="31"/>
      <c r="B242" s="32"/>
      <c r="C242" s="35" t="str">
        <f aca="false">IF(B242="","",IFERROR(INDEX(Leads!$C$2:$C$5001,MATCH(B242,Leads!$A$2:$A$5001,0))&amp;" "&amp;INDEX(Leads!$D$2:$D$5001,MATCH(B242,Leads!$A$2:$A$5001,0)),"N° no encontrado"))</f>
        <v/>
      </c>
      <c r="D242" s="35" t="str">
        <f aca="false">IF(B242="","",IFERROR(INDEX(Leads!$G$2:$G$5001,MATCH(B242,Leads!$A$2:$A$5001,0)),""))</f>
        <v/>
      </c>
      <c r="E242" s="32"/>
      <c r="F242" s="32"/>
      <c r="G242" s="32"/>
    </row>
    <row r="243" customFormat="false" ht="15" hidden="false" customHeight="false" outlineLevel="0" collapsed="false">
      <c r="A243" s="31"/>
      <c r="B243" s="32"/>
      <c r="C243" s="35" t="str">
        <f aca="false">IF(B243="","",IFERROR(INDEX(Leads!$C$2:$C$5001,MATCH(B243,Leads!$A$2:$A$5001,0))&amp;" "&amp;INDEX(Leads!$D$2:$D$5001,MATCH(B243,Leads!$A$2:$A$5001,0)),"N° no encontrado"))</f>
        <v/>
      </c>
      <c r="D243" s="35" t="str">
        <f aca="false">IF(B243="","",IFERROR(INDEX(Leads!$G$2:$G$5001,MATCH(B243,Leads!$A$2:$A$5001,0)),""))</f>
        <v/>
      </c>
      <c r="E243" s="32"/>
      <c r="F243" s="32"/>
      <c r="G243" s="32"/>
    </row>
    <row r="244" customFormat="false" ht="15" hidden="false" customHeight="false" outlineLevel="0" collapsed="false">
      <c r="A244" s="31"/>
      <c r="B244" s="32"/>
      <c r="C244" s="35" t="str">
        <f aca="false">IF(B244="","",IFERROR(INDEX(Leads!$C$2:$C$5001,MATCH(B244,Leads!$A$2:$A$5001,0))&amp;" "&amp;INDEX(Leads!$D$2:$D$5001,MATCH(B244,Leads!$A$2:$A$5001,0)),"N° no encontrado"))</f>
        <v/>
      </c>
      <c r="D244" s="35" t="str">
        <f aca="false">IF(B244="","",IFERROR(INDEX(Leads!$G$2:$G$5001,MATCH(B244,Leads!$A$2:$A$5001,0)),""))</f>
        <v/>
      </c>
      <c r="E244" s="32"/>
      <c r="F244" s="32"/>
      <c r="G244" s="32"/>
    </row>
    <row r="245" customFormat="false" ht="15" hidden="false" customHeight="false" outlineLevel="0" collapsed="false">
      <c r="A245" s="31"/>
      <c r="B245" s="32"/>
      <c r="C245" s="35" t="str">
        <f aca="false">IF(B245="","",IFERROR(INDEX(Leads!$C$2:$C$5001,MATCH(B245,Leads!$A$2:$A$5001,0))&amp;" "&amp;INDEX(Leads!$D$2:$D$5001,MATCH(B245,Leads!$A$2:$A$5001,0)),"N° no encontrado"))</f>
        <v/>
      </c>
      <c r="D245" s="35" t="str">
        <f aca="false">IF(B245="","",IFERROR(INDEX(Leads!$G$2:$G$5001,MATCH(B245,Leads!$A$2:$A$5001,0)),""))</f>
        <v/>
      </c>
      <c r="E245" s="32"/>
      <c r="F245" s="32"/>
      <c r="G245" s="32"/>
    </row>
    <row r="246" customFormat="false" ht="15" hidden="false" customHeight="false" outlineLevel="0" collapsed="false">
      <c r="A246" s="31"/>
      <c r="B246" s="32"/>
      <c r="C246" s="35" t="str">
        <f aca="false">IF(B246="","",IFERROR(INDEX(Leads!$C$2:$C$5001,MATCH(B246,Leads!$A$2:$A$5001,0))&amp;" "&amp;INDEX(Leads!$D$2:$D$5001,MATCH(B246,Leads!$A$2:$A$5001,0)),"N° no encontrado"))</f>
        <v/>
      </c>
      <c r="D246" s="35" t="str">
        <f aca="false">IF(B246="","",IFERROR(INDEX(Leads!$G$2:$G$5001,MATCH(B246,Leads!$A$2:$A$5001,0)),""))</f>
        <v/>
      </c>
      <c r="E246" s="32"/>
      <c r="F246" s="32"/>
      <c r="G246" s="32"/>
    </row>
    <row r="247" customFormat="false" ht="15" hidden="false" customHeight="false" outlineLevel="0" collapsed="false">
      <c r="A247" s="31"/>
      <c r="B247" s="32"/>
      <c r="C247" s="35" t="str">
        <f aca="false">IF(B247="","",IFERROR(INDEX(Leads!$C$2:$C$5001,MATCH(B247,Leads!$A$2:$A$5001,0))&amp;" "&amp;INDEX(Leads!$D$2:$D$5001,MATCH(B247,Leads!$A$2:$A$5001,0)),"N° no encontrado"))</f>
        <v/>
      </c>
      <c r="D247" s="35" t="str">
        <f aca="false">IF(B247="","",IFERROR(INDEX(Leads!$G$2:$G$5001,MATCH(B247,Leads!$A$2:$A$5001,0)),""))</f>
        <v/>
      </c>
      <c r="E247" s="32"/>
      <c r="F247" s="32"/>
      <c r="G247" s="32"/>
    </row>
    <row r="248" customFormat="false" ht="15" hidden="false" customHeight="false" outlineLevel="0" collapsed="false">
      <c r="A248" s="31"/>
      <c r="B248" s="32"/>
      <c r="C248" s="35" t="str">
        <f aca="false">IF(B248="","",IFERROR(INDEX(Leads!$C$2:$C$5001,MATCH(B248,Leads!$A$2:$A$5001,0))&amp;" "&amp;INDEX(Leads!$D$2:$D$5001,MATCH(B248,Leads!$A$2:$A$5001,0)),"N° no encontrado"))</f>
        <v/>
      </c>
      <c r="D248" s="35" t="str">
        <f aca="false">IF(B248="","",IFERROR(INDEX(Leads!$G$2:$G$5001,MATCH(B248,Leads!$A$2:$A$5001,0)),""))</f>
        <v/>
      </c>
      <c r="E248" s="32"/>
      <c r="F248" s="32"/>
      <c r="G248" s="32"/>
    </row>
    <row r="249" customFormat="false" ht="15" hidden="false" customHeight="false" outlineLevel="0" collapsed="false">
      <c r="A249" s="31"/>
      <c r="B249" s="32"/>
      <c r="C249" s="35" t="str">
        <f aca="false">IF(B249="","",IFERROR(INDEX(Leads!$C$2:$C$5001,MATCH(B249,Leads!$A$2:$A$5001,0))&amp;" "&amp;INDEX(Leads!$D$2:$D$5001,MATCH(B249,Leads!$A$2:$A$5001,0)),"N° no encontrado"))</f>
        <v/>
      </c>
      <c r="D249" s="35" t="str">
        <f aca="false">IF(B249="","",IFERROR(INDEX(Leads!$G$2:$G$5001,MATCH(B249,Leads!$A$2:$A$5001,0)),""))</f>
        <v/>
      </c>
      <c r="E249" s="32"/>
      <c r="F249" s="32"/>
      <c r="G249" s="32"/>
    </row>
    <row r="250" customFormat="false" ht="15" hidden="false" customHeight="false" outlineLevel="0" collapsed="false">
      <c r="A250" s="31"/>
      <c r="B250" s="32"/>
      <c r="C250" s="35" t="str">
        <f aca="false">IF(B250="","",IFERROR(INDEX(Leads!$C$2:$C$5001,MATCH(B250,Leads!$A$2:$A$5001,0))&amp;" "&amp;INDEX(Leads!$D$2:$D$5001,MATCH(B250,Leads!$A$2:$A$5001,0)),"N° no encontrado"))</f>
        <v/>
      </c>
      <c r="D250" s="35" t="str">
        <f aca="false">IF(B250="","",IFERROR(INDEX(Leads!$G$2:$G$5001,MATCH(B250,Leads!$A$2:$A$5001,0)),""))</f>
        <v/>
      </c>
      <c r="E250" s="32"/>
      <c r="F250" s="32"/>
      <c r="G250" s="32"/>
    </row>
    <row r="251" customFormat="false" ht="15" hidden="false" customHeight="false" outlineLevel="0" collapsed="false">
      <c r="A251" s="31"/>
      <c r="B251" s="32"/>
      <c r="C251" s="35" t="str">
        <f aca="false">IF(B251="","",IFERROR(INDEX(Leads!$C$2:$C$5001,MATCH(B251,Leads!$A$2:$A$5001,0))&amp;" "&amp;INDEX(Leads!$D$2:$D$5001,MATCH(B251,Leads!$A$2:$A$5001,0)),"N° no encontrado"))</f>
        <v/>
      </c>
      <c r="D251" s="35" t="str">
        <f aca="false">IF(B251="","",IFERROR(INDEX(Leads!$G$2:$G$5001,MATCH(B251,Leads!$A$2:$A$5001,0)),""))</f>
        <v/>
      </c>
      <c r="E251" s="32"/>
      <c r="F251" s="32"/>
      <c r="G251" s="32"/>
    </row>
    <row r="252" customFormat="false" ht="15" hidden="false" customHeight="false" outlineLevel="0" collapsed="false">
      <c r="A252" s="31"/>
      <c r="B252" s="32"/>
      <c r="C252" s="35" t="str">
        <f aca="false">IF(B252="","",IFERROR(INDEX(Leads!$C$2:$C$5001,MATCH(B252,Leads!$A$2:$A$5001,0))&amp;" "&amp;INDEX(Leads!$D$2:$D$5001,MATCH(B252,Leads!$A$2:$A$5001,0)),"N° no encontrado"))</f>
        <v/>
      </c>
      <c r="D252" s="35" t="str">
        <f aca="false">IF(B252="","",IFERROR(INDEX(Leads!$G$2:$G$5001,MATCH(B252,Leads!$A$2:$A$5001,0)),""))</f>
        <v/>
      </c>
      <c r="E252" s="32"/>
      <c r="F252" s="32"/>
      <c r="G252" s="32"/>
    </row>
    <row r="253" customFormat="false" ht="15" hidden="false" customHeight="false" outlineLevel="0" collapsed="false">
      <c r="A253" s="31"/>
      <c r="B253" s="32"/>
      <c r="C253" s="35" t="str">
        <f aca="false">IF(B253="","",IFERROR(INDEX(Leads!$C$2:$C$5001,MATCH(B253,Leads!$A$2:$A$5001,0))&amp;" "&amp;INDEX(Leads!$D$2:$D$5001,MATCH(B253,Leads!$A$2:$A$5001,0)),"N° no encontrado"))</f>
        <v/>
      </c>
      <c r="D253" s="35" t="str">
        <f aca="false">IF(B253="","",IFERROR(INDEX(Leads!$G$2:$G$5001,MATCH(B253,Leads!$A$2:$A$5001,0)),""))</f>
        <v/>
      </c>
      <c r="E253" s="32"/>
      <c r="F253" s="32"/>
      <c r="G253" s="32"/>
    </row>
    <row r="254" customFormat="false" ht="15" hidden="false" customHeight="false" outlineLevel="0" collapsed="false">
      <c r="A254" s="31"/>
      <c r="B254" s="32"/>
      <c r="C254" s="35" t="str">
        <f aca="false">IF(B254="","",IFERROR(INDEX(Leads!$C$2:$C$5001,MATCH(B254,Leads!$A$2:$A$5001,0))&amp;" "&amp;INDEX(Leads!$D$2:$D$5001,MATCH(B254,Leads!$A$2:$A$5001,0)),"N° no encontrado"))</f>
        <v/>
      </c>
      <c r="D254" s="35" t="str">
        <f aca="false">IF(B254="","",IFERROR(INDEX(Leads!$G$2:$G$5001,MATCH(B254,Leads!$A$2:$A$5001,0)),""))</f>
        <v/>
      </c>
      <c r="E254" s="32"/>
      <c r="F254" s="32"/>
      <c r="G254" s="32"/>
    </row>
    <row r="255" customFormat="false" ht="15" hidden="false" customHeight="false" outlineLevel="0" collapsed="false">
      <c r="A255" s="31"/>
      <c r="B255" s="32"/>
      <c r="C255" s="35" t="str">
        <f aca="false">IF(B255="","",IFERROR(INDEX(Leads!$C$2:$C$5001,MATCH(B255,Leads!$A$2:$A$5001,0))&amp;" "&amp;INDEX(Leads!$D$2:$D$5001,MATCH(B255,Leads!$A$2:$A$5001,0)),"N° no encontrado"))</f>
        <v/>
      </c>
      <c r="D255" s="35" t="str">
        <f aca="false">IF(B255="","",IFERROR(INDEX(Leads!$G$2:$G$5001,MATCH(B255,Leads!$A$2:$A$5001,0)),""))</f>
        <v/>
      </c>
      <c r="E255" s="32"/>
      <c r="F255" s="32"/>
      <c r="G255" s="32"/>
    </row>
    <row r="256" customFormat="false" ht="15" hidden="false" customHeight="false" outlineLevel="0" collapsed="false">
      <c r="A256" s="31"/>
      <c r="B256" s="32"/>
      <c r="C256" s="35" t="str">
        <f aca="false">IF(B256="","",IFERROR(INDEX(Leads!$C$2:$C$5001,MATCH(B256,Leads!$A$2:$A$5001,0))&amp;" "&amp;INDEX(Leads!$D$2:$D$5001,MATCH(B256,Leads!$A$2:$A$5001,0)),"N° no encontrado"))</f>
        <v/>
      </c>
      <c r="D256" s="35" t="str">
        <f aca="false">IF(B256="","",IFERROR(INDEX(Leads!$G$2:$G$5001,MATCH(B256,Leads!$A$2:$A$5001,0)),""))</f>
        <v/>
      </c>
      <c r="E256" s="32"/>
      <c r="F256" s="32"/>
      <c r="G256" s="32"/>
    </row>
    <row r="257" customFormat="false" ht="15" hidden="false" customHeight="false" outlineLevel="0" collapsed="false">
      <c r="A257" s="31"/>
      <c r="B257" s="32"/>
      <c r="C257" s="35" t="str">
        <f aca="false">IF(B257="","",IFERROR(INDEX(Leads!$C$2:$C$5001,MATCH(B257,Leads!$A$2:$A$5001,0))&amp;" "&amp;INDEX(Leads!$D$2:$D$5001,MATCH(B257,Leads!$A$2:$A$5001,0)),"N° no encontrado"))</f>
        <v/>
      </c>
      <c r="D257" s="35" t="str">
        <f aca="false">IF(B257="","",IFERROR(INDEX(Leads!$G$2:$G$5001,MATCH(B257,Leads!$A$2:$A$5001,0)),""))</f>
        <v/>
      </c>
      <c r="E257" s="32"/>
      <c r="F257" s="32"/>
      <c r="G257" s="32"/>
    </row>
    <row r="258" customFormat="false" ht="15" hidden="false" customHeight="false" outlineLevel="0" collapsed="false">
      <c r="A258" s="31"/>
      <c r="B258" s="32"/>
      <c r="C258" s="35" t="str">
        <f aca="false">IF(B258="","",IFERROR(INDEX(Leads!$C$2:$C$5001,MATCH(B258,Leads!$A$2:$A$5001,0))&amp;" "&amp;INDEX(Leads!$D$2:$D$5001,MATCH(B258,Leads!$A$2:$A$5001,0)),"N° no encontrado"))</f>
        <v/>
      </c>
      <c r="D258" s="35" t="str">
        <f aca="false">IF(B258="","",IFERROR(INDEX(Leads!$G$2:$G$5001,MATCH(B258,Leads!$A$2:$A$5001,0)),""))</f>
        <v/>
      </c>
      <c r="E258" s="32"/>
      <c r="F258" s="32"/>
      <c r="G258" s="32"/>
    </row>
    <row r="259" customFormat="false" ht="15" hidden="false" customHeight="false" outlineLevel="0" collapsed="false">
      <c r="A259" s="31"/>
      <c r="B259" s="32"/>
      <c r="C259" s="35" t="str">
        <f aca="false">IF(B259="","",IFERROR(INDEX(Leads!$C$2:$C$5001,MATCH(B259,Leads!$A$2:$A$5001,0))&amp;" "&amp;INDEX(Leads!$D$2:$D$5001,MATCH(B259,Leads!$A$2:$A$5001,0)),"N° no encontrado"))</f>
        <v/>
      </c>
      <c r="D259" s="35" t="str">
        <f aca="false">IF(B259="","",IFERROR(INDEX(Leads!$G$2:$G$5001,MATCH(B259,Leads!$A$2:$A$5001,0)),""))</f>
        <v/>
      </c>
      <c r="E259" s="32"/>
      <c r="F259" s="32"/>
      <c r="G259" s="32"/>
    </row>
    <row r="260" customFormat="false" ht="15" hidden="false" customHeight="false" outlineLevel="0" collapsed="false">
      <c r="A260" s="31"/>
      <c r="B260" s="32"/>
      <c r="C260" s="35" t="str">
        <f aca="false">IF(B260="","",IFERROR(INDEX(Leads!$C$2:$C$5001,MATCH(B260,Leads!$A$2:$A$5001,0))&amp;" "&amp;INDEX(Leads!$D$2:$D$5001,MATCH(B260,Leads!$A$2:$A$5001,0)),"N° no encontrado"))</f>
        <v/>
      </c>
      <c r="D260" s="35" t="str">
        <f aca="false">IF(B260="","",IFERROR(INDEX(Leads!$G$2:$G$5001,MATCH(B260,Leads!$A$2:$A$5001,0)),""))</f>
        <v/>
      </c>
      <c r="E260" s="32"/>
      <c r="F260" s="32"/>
      <c r="G260" s="32"/>
    </row>
    <row r="261" customFormat="false" ht="15" hidden="false" customHeight="false" outlineLevel="0" collapsed="false">
      <c r="A261" s="31"/>
      <c r="B261" s="32"/>
      <c r="C261" s="35" t="str">
        <f aca="false">IF(B261="","",IFERROR(INDEX(Leads!$C$2:$C$5001,MATCH(B261,Leads!$A$2:$A$5001,0))&amp;" "&amp;INDEX(Leads!$D$2:$D$5001,MATCH(B261,Leads!$A$2:$A$5001,0)),"N° no encontrado"))</f>
        <v/>
      </c>
      <c r="D261" s="35" t="str">
        <f aca="false">IF(B261="","",IFERROR(INDEX(Leads!$G$2:$G$5001,MATCH(B261,Leads!$A$2:$A$5001,0)),""))</f>
        <v/>
      </c>
      <c r="E261" s="32"/>
      <c r="F261" s="32"/>
      <c r="G261" s="32"/>
    </row>
    <row r="262" customFormat="false" ht="15" hidden="false" customHeight="false" outlineLevel="0" collapsed="false">
      <c r="A262" s="31"/>
      <c r="B262" s="32"/>
      <c r="C262" s="35" t="str">
        <f aca="false">IF(B262="","",IFERROR(INDEX(Leads!$C$2:$C$5001,MATCH(B262,Leads!$A$2:$A$5001,0))&amp;" "&amp;INDEX(Leads!$D$2:$D$5001,MATCH(B262,Leads!$A$2:$A$5001,0)),"N° no encontrado"))</f>
        <v/>
      </c>
      <c r="D262" s="35" t="str">
        <f aca="false">IF(B262="","",IFERROR(INDEX(Leads!$G$2:$G$5001,MATCH(B262,Leads!$A$2:$A$5001,0)),""))</f>
        <v/>
      </c>
      <c r="E262" s="32"/>
      <c r="F262" s="32"/>
      <c r="G262" s="32"/>
    </row>
    <row r="263" customFormat="false" ht="15" hidden="false" customHeight="false" outlineLevel="0" collapsed="false">
      <c r="A263" s="31"/>
      <c r="B263" s="32"/>
      <c r="C263" s="35" t="str">
        <f aca="false">IF(B263="","",IFERROR(INDEX(Leads!$C$2:$C$5001,MATCH(B263,Leads!$A$2:$A$5001,0))&amp;" "&amp;INDEX(Leads!$D$2:$D$5001,MATCH(B263,Leads!$A$2:$A$5001,0)),"N° no encontrado"))</f>
        <v/>
      </c>
      <c r="D263" s="35" t="str">
        <f aca="false">IF(B263="","",IFERROR(INDEX(Leads!$G$2:$G$5001,MATCH(B263,Leads!$A$2:$A$5001,0)),""))</f>
        <v/>
      </c>
      <c r="E263" s="32"/>
      <c r="F263" s="32"/>
      <c r="G263" s="32"/>
    </row>
    <row r="264" customFormat="false" ht="15" hidden="false" customHeight="false" outlineLevel="0" collapsed="false">
      <c r="A264" s="31"/>
      <c r="B264" s="32"/>
      <c r="C264" s="35" t="str">
        <f aca="false">IF(B264="","",IFERROR(INDEX(Leads!$C$2:$C$5001,MATCH(B264,Leads!$A$2:$A$5001,0))&amp;" "&amp;INDEX(Leads!$D$2:$D$5001,MATCH(B264,Leads!$A$2:$A$5001,0)),"N° no encontrado"))</f>
        <v/>
      </c>
      <c r="D264" s="35" t="str">
        <f aca="false">IF(B264="","",IFERROR(INDEX(Leads!$G$2:$G$5001,MATCH(B264,Leads!$A$2:$A$5001,0)),""))</f>
        <v/>
      </c>
      <c r="E264" s="32"/>
      <c r="F264" s="32"/>
      <c r="G264" s="32"/>
    </row>
    <row r="265" customFormat="false" ht="15" hidden="false" customHeight="false" outlineLevel="0" collapsed="false">
      <c r="A265" s="31"/>
      <c r="B265" s="32"/>
      <c r="C265" s="35" t="str">
        <f aca="false">IF(B265="","",IFERROR(INDEX(Leads!$C$2:$C$5001,MATCH(B265,Leads!$A$2:$A$5001,0))&amp;" "&amp;INDEX(Leads!$D$2:$D$5001,MATCH(B265,Leads!$A$2:$A$5001,0)),"N° no encontrado"))</f>
        <v/>
      </c>
      <c r="D265" s="35" t="str">
        <f aca="false">IF(B265="","",IFERROR(INDEX(Leads!$G$2:$G$5001,MATCH(B265,Leads!$A$2:$A$5001,0)),""))</f>
        <v/>
      </c>
      <c r="E265" s="32"/>
      <c r="F265" s="32"/>
      <c r="G265" s="32"/>
    </row>
    <row r="266" customFormat="false" ht="15" hidden="false" customHeight="false" outlineLevel="0" collapsed="false">
      <c r="A266" s="31"/>
      <c r="B266" s="32"/>
      <c r="C266" s="35" t="str">
        <f aca="false">IF(B266="","",IFERROR(INDEX(Leads!$C$2:$C$5001,MATCH(B266,Leads!$A$2:$A$5001,0))&amp;" "&amp;INDEX(Leads!$D$2:$D$5001,MATCH(B266,Leads!$A$2:$A$5001,0)),"N° no encontrado"))</f>
        <v/>
      </c>
      <c r="D266" s="35" t="str">
        <f aca="false">IF(B266="","",IFERROR(INDEX(Leads!$G$2:$G$5001,MATCH(B266,Leads!$A$2:$A$5001,0)),""))</f>
        <v/>
      </c>
      <c r="E266" s="32"/>
      <c r="F266" s="32"/>
      <c r="G266" s="32"/>
    </row>
    <row r="267" customFormat="false" ht="15" hidden="false" customHeight="false" outlineLevel="0" collapsed="false">
      <c r="A267" s="31"/>
      <c r="B267" s="32"/>
      <c r="C267" s="35" t="str">
        <f aca="false">IF(B267="","",IFERROR(INDEX(Leads!$C$2:$C$5001,MATCH(B267,Leads!$A$2:$A$5001,0))&amp;" "&amp;INDEX(Leads!$D$2:$D$5001,MATCH(B267,Leads!$A$2:$A$5001,0)),"N° no encontrado"))</f>
        <v/>
      </c>
      <c r="D267" s="35" t="str">
        <f aca="false">IF(B267="","",IFERROR(INDEX(Leads!$G$2:$G$5001,MATCH(B267,Leads!$A$2:$A$5001,0)),""))</f>
        <v/>
      </c>
      <c r="E267" s="32"/>
      <c r="F267" s="32"/>
      <c r="G267" s="32"/>
    </row>
    <row r="268" customFormat="false" ht="15" hidden="false" customHeight="false" outlineLevel="0" collapsed="false">
      <c r="A268" s="31"/>
      <c r="B268" s="32"/>
      <c r="C268" s="35" t="str">
        <f aca="false">IF(B268="","",IFERROR(INDEX(Leads!$C$2:$C$5001,MATCH(B268,Leads!$A$2:$A$5001,0))&amp;" "&amp;INDEX(Leads!$D$2:$D$5001,MATCH(B268,Leads!$A$2:$A$5001,0)),"N° no encontrado"))</f>
        <v/>
      </c>
      <c r="D268" s="35" t="str">
        <f aca="false">IF(B268="","",IFERROR(INDEX(Leads!$G$2:$G$5001,MATCH(B268,Leads!$A$2:$A$5001,0)),""))</f>
        <v/>
      </c>
      <c r="E268" s="32"/>
      <c r="F268" s="32"/>
      <c r="G268" s="32"/>
    </row>
    <row r="269" customFormat="false" ht="15" hidden="false" customHeight="false" outlineLevel="0" collapsed="false">
      <c r="A269" s="31"/>
      <c r="B269" s="32"/>
      <c r="C269" s="35" t="str">
        <f aca="false">IF(B269="","",IFERROR(INDEX(Leads!$C$2:$C$5001,MATCH(B269,Leads!$A$2:$A$5001,0))&amp;" "&amp;INDEX(Leads!$D$2:$D$5001,MATCH(B269,Leads!$A$2:$A$5001,0)),"N° no encontrado"))</f>
        <v/>
      </c>
      <c r="D269" s="35" t="str">
        <f aca="false">IF(B269="","",IFERROR(INDEX(Leads!$G$2:$G$5001,MATCH(B269,Leads!$A$2:$A$5001,0)),""))</f>
        <v/>
      </c>
      <c r="E269" s="32"/>
      <c r="F269" s="32"/>
      <c r="G269" s="32"/>
    </row>
    <row r="270" customFormat="false" ht="15" hidden="false" customHeight="false" outlineLevel="0" collapsed="false">
      <c r="A270" s="31"/>
      <c r="B270" s="32"/>
      <c r="C270" s="35" t="str">
        <f aca="false">IF(B270="","",IFERROR(INDEX(Leads!$C$2:$C$5001,MATCH(B270,Leads!$A$2:$A$5001,0))&amp;" "&amp;INDEX(Leads!$D$2:$D$5001,MATCH(B270,Leads!$A$2:$A$5001,0)),"N° no encontrado"))</f>
        <v/>
      </c>
      <c r="D270" s="35" t="str">
        <f aca="false">IF(B270="","",IFERROR(INDEX(Leads!$G$2:$G$5001,MATCH(B270,Leads!$A$2:$A$5001,0)),""))</f>
        <v/>
      </c>
      <c r="E270" s="32"/>
      <c r="F270" s="32"/>
      <c r="G270" s="32"/>
    </row>
    <row r="271" customFormat="false" ht="15" hidden="false" customHeight="false" outlineLevel="0" collapsed="false">
      <c r="A271" s="31"/>
      <c r="B271" s="32"/>
      <c r="C271" s="35" t="str">
        <f aca="false">IF(B271="","",IFERROR(INDEX(Leads!$C$2:$C$5001,MATCH(B271,Leads!$A$2:$A$5001,0))&amp;" "&amp;INDEX(Leads!$D$2:$D$5001,MATCH(B271,Leads!$A$2:$A$5001,0)),"N° no encontrado"))</f>
        <v/>
      </c>
      <c r="D271" s="35" t="str">
        <f aca="false">IF(B271="","",IFERROR(INDEX(Leads!$G$2:$G$5001,MATCH(B271,Leads!$A$2:$A$5001,0)),""))</f>
        <v/>
      </c>
      <c r="E271" s="32"/>
      <c r="F271" s="32"/>
      <c r="G271" s="32"/>
    </row>
    <row r="272" customFormat="false" ht="15" hidden="false" customHeight="false" outlineLevel="0" collapsed="false">
      <c r="A272" s="31"/>
      <c r="B272" s="32"/>
      <c r="C272" s="35" t="str">
        <f aca="false">IF(B272="","",IFERROR(INDEX(Leads!$C$2:$C$5001,MATCH(B272,Leads!$A$2:$A$5001,0))&amp;" "&amp;INDEX(Leads!$D$2:$D$5001,MATCH(B272,Leads!$A$2:$A$5001,0)),"N° no encontrado"))</f>
        <v/>
      </c>
      <c r="D272" s="35" t="str">
        <f aca="false">IF(B272="","",IFERROR(INDEX(Leads!$G$2:$G$5001,MATCH(B272,Leads!$A$2:$A$5001,0)),""))</f>
        <v/>
      </c>
      <c r="E272" s="32"/>
      <c r="F272" s="32"/>
      <c r="G272" s="32"/>
    </row>
    <row r="273" customFormat="false" ht="15" hidden="false" customHeight="false" outlineLevel="0" collapsed="false">
      <c r="A273" s="31"/>
      <c r="B273" s="32"/>
      <c r="C273" s="35" t="str">
        <f aca="false">IF(B273="","",IFERROR(INDEX(Leads!$C$2:$C$5001,MATCH(B273,Leads!$A$2:$A$5001,0))&amp;" "&amp;INDEX(Leads!$D$2:$D$5001,MATCH(B273,Leads!$A$2:$A$5001,0)),"N° no encontrado"))</f>
        <v/>
      </c>
      <c r="D273" s="35" t="str">
        <f aca="false">IF(B273="","",IFERROR(INDEX(Leads!$G$2:$G$5001,MATCH(B273,Leads!$A$2:$A$5001,0)),""))</f>
        <v/>
      </c>
      <c r="E273" s="32"/>
      <c r="F273" s="32"/>
      <c r="G273" s="32"/>
    </row>
    <row r="274" customFormat="false" ht="15" hidden="false" customHeight="false" outlineLevel="0" collapsed="false">
      <c r="A274" s="31"/>
      <c r="B274" s="32"/>
      <c r="C274" s="35" t="str">
        <f aca="false">IF(B274="","",IFERROR(INDEX(Leads!$C$2:$C$5001,MATCH(B274,Leads!$A$2:$A$5001,0))&amp;" "&amp;INDEX(Leads!$D$2:$D$5001,MATCH(B274,Leads!$A$2:$A$5001,0)),"N° no encontrado"))</f>
        <v/>
      </c>
      <c r="D274" s="35" t="str">
        <f aca="false">IF(B274="","",IFERROR(INDEX(Leads!$G$2:$G$5001,MATCH(B274,Leads!$A$2:$A$5001,0)),""))</f>
        <v/>
      </c>
      <c r="E274" s="32"/>
      <c r="F274" s="32"/>
      <c r="G274" s="32"/>
    </row>
    <row r="275" customFormat="false" ht="15" hidden="false" customHeight="false" outlineLevel="0" collapsed="false">
      <c r="A275" s="31"/>
      <c r="B275" s="32"/>
      <c r="C275" s="35" t="str">
        <f aca="false">IF(B275="","",IFERROR(INDEX(Leads!$C$2:$C$5001,MATCH(B275,Leads!$A$2:$A$5001,0))&amp;" "&amp;INDEX(Leads!$D$2:$D$5001,MATCH(B275,Leads!$A$2:$A$5001,0)),"N° no encontrado"))</f>
        <v/>
      </c>
      <c r="D275" s="35" t="str">
        <f aca="false">IF(B275="","",IFERROR(INDEX(Leads!$G$2:$G$5001,MATCH(B275,Leads!$A$2:$A$5001,0)),""))</f>
        <v/>
      </c>
      <c r="E275" s="32"/>
      <c r="F275" s="32"/>
      <c r="G275" s="32"/>
    </row>
    <row r="276" customFormat="false" ht="15" hidden="false" customHeight="false" outlineLevel="0" collapsed="false">
      <c r="A276" s="31"/>
      <c r="B276" s="32"/>
      <c r="C276" s="35" t="str">
        <f aca="false">IF(B276="","",IFERROR(INDEX(Leads!$C$2:$C$5001,MATCH(B276,Leads!$A$2:$A$5001,0))&amp;" "&amp;INDEX(Leads!$D$2:$D$5001,MATCH(B276,Leads!$A$2:$A$5001,0)),"N° no encontrado"))</f>
        <v/>
      </c>
      <c r="D276" s="35" t="str">
        <f aca="false">IF(B276="","",IFERROR(INDEX(Leads!$G$2:$G$5001,MATCH(B276,Leads!$A$2:$A$5001,0)),""))</f>
        <v/>
      </c>
      <c r="E276" s="32"/>
      <c r="F276" s="32"/>
      <c r="G276" s="32"/>
    </row>
    <row r="277" customFormat="false" ht="15" hidden="false" customHeight="false" outlineLevel="0" collapsed="false">
      <c r="A277" s="31"/>
      <c r="B277" s="32"/>
      <c r="C277" s="35" t="str">
        <f aca="false">IF(B277="","",IFERROR(INDEX(Leads!$C$2:$C$5001,MATCH(B277,Leads!$A$2:$A$5001,0))&amp;" "&amp;INDEX(Leads!$D$2:$D$5001,MATCH(B277,Leads!$A$2:$A$5001,0)),"N° no encontrado"))</f>
        <v/>
      </c>
      <c r="D277" s="35" t="str">
        <f aca="false">IF(B277="","",IFERROR(INDEX(Leads!$G$2:$G$5001,MATCH(B277,Leads!$A$2:$A$5001,0)),""))</f>
        <v/>
      </c>
      <c r="E277" s="32"/>
      <c r="F277" s="32"/>
      <c r="G277" s="32"/>
    </row>
    <row r="278" customFormat="false" ht="15" hidden="false" customHeight="false" outlineLevel="0" collapsed="false">
      <c r="A278" s="31"/>
      <c r="B278" s="32"/>
      <c r="C278" s="35" t="str">
        <f aca="false">IF(B278="","",IFERROR(INDEX(Leads!$C$2:$C$5001,MATCH(B278,Leads!$A$2:$A$5001,0))&amp;" "&amp;INDEX(Leads!$D$2:$D$5001,MATCH(B278,Leads!$A$2:$A$5001,0)),"N° no encontrado"))</f>
        <v/>
      </c>
      <c r="D278" s="35" t="str">
        <f aca="false">IF(B278="","",IFERROR(INDEX(Leads!$G$2:$G$5001,MATCH(B278,Leads!$A$2:$A$5001,0)),""))</f>
        <v/>
      </c>
      <c r="E278" s="32"/>
      <c r="F278" s="32"/>
      <c r="G278" s="32"/>
    </row>
    <row r="279" customFormat="false" ht="15" hidden="false" customHeight="false" outlineLevel="0" collapsed="false">
      <c r="A279" s="31"/>
      <c r="B279" s="32"/>
      <c r="C279" s="35" t="str">
        <f aca="false">IF(B279="","",IFERROR(INDEX(Leads!$C$2:$C$5001,MATCH(B279,Leads!$A$2:$A$5001,0))&amp;" "&amp;INDEX(Leads!$D$2:$D$5001,MATCH(B279,Leads!$A$2:$A$5001,0)),"N° no encontrado"))</f>
        <v/>
      </c>
      <c r="D279" s="35" t="str">
        <f aca="false">IF(B279="","",IFERROR(INDEX(Leads!$G$2:$G$5001,MATCH(B279,Leads!$A$2:$A$5001,0)),""))</f>
        <v/>
      </c>
      <c r="E279" s="32"/>
      <c r="F279" s="32"/>
      <c r="G279" s="32"/>
    </row>
    <row r="280" customFormat="false" ht="15" hidden="false" customHeight="false" outlineLevel="0" collapsed="false">
      <c r="A280" s="31"/>
      <c r="B280" s="32"/>
      <c r="C280" s="35" t="str">
        <f aca="false">IF(B280="","",IFERROR(INDEX(Leads!$C$2:$C$5001,MATCH(B280,Leads!$A$2:$A$5001,0))&amp;" "&amp;INDEX(Leads!$D$2:$D$5001,MATCH(B280,Leads!$A$2:$A$5001,0)),"N° no encontrado"))</f>
        <v/>
      </c>
      <c r="D280" s="35" t="str">
        <f aca="false">IF(B280="","",IFERROR(INDEX(Leads!$G$2:$G$5001,MATCH(B280,Leads!$A$2:$A$5001,0)),""))</f>
        <v/>
      </c>
      <c r="E280" s="32"/>
      <c r="F280" s="32"/>
      <c r="G280" s="32"/>
    </row>
    <row r="281" customFormat="false" ht="15" hidden="false" customHeight="false" outlineLevel="0" collapsed="false">
      <c r="A281" s="31"/>
      <c r="B281" s="32"/>
      <c r="C281" s="35" t="str">
        <f aca="false">IF(B281="","",IFERROR(INDEX(Leads!$C$2:$C$5001,MATCH(B281,Leads!$A$2:$A$5001,0))&amp;" "&amp;INDEX(Leads!$D$2:$D$5001,MATCH(B281,Leads!$A$2:$A$5001,0)),"N° no encontrado"))</f>
        <v/>
      </c>
      <c r="D281" s="35" t="str">
        <f aca="false">IF(B281="","",IFERROR(INDEX(Leads!$G$2:$G$5001,MATCH(B281,Leads!$A$2:$A$5001,0)),""))</f>
        <v/>
      </c>
      <c r="E281" s="32"/>
      <c r="F281" s="32"/>
      <c r="G281" s="32"/>
    </row>
    <row r="282" customFormat="false" ht="15" hidden="false" customHeight="false" outlineLevel="0" collapsed="false">
      <c r="A282" s="31"/>
      <c r="B282" s="32"/>
      <c r="C282" s="35" t="str">
        <f aca="false">IF(B282="","",IFERROR(INDEX(Leads!$C$2:$C$5001,MATCH(B282,Leads!$A$2:$A$5001,0))&amp;" "&amp;INDEX(Leads!$D$2:$D$5001,MATCH(B282,Leads!$A$2:$A$5001,0)),"N° no encontrado"))</f>
        <v/>
      </c>
      <c r="D282" s="35" t="str">
        <f aca="false">IF(B282="","",IFERROR(INDEX(Leads!$G$2:$G$5001,MATCH(B282,Leads!$A$2:$A$5001,0)),""))</f>
        <v/>
      </c>
      <c r="E282" s="32"/>
      <c r="F282" s="32"/>
      <c r="G282" s="32"/>
    </row>
    <row r="283" customFormat="false" ht="15" hidden="false" customHeight="false" outlineLevel="0" collapsed="false">
      <c r="A283" s="31"/>
      <c r="B283" s="32"/>
      <c r="C283" s="35" t="str">
        <f aca="false">IF(B283="","",IFERROR(INDEX(Leads!$C$2:$C$5001,MATCH(B283,Leads!$A$2:$A$5001,0))&amp;" "&amp;INDEX(Leads!$D$2:$D$5001,MATCH(B283,Leads!$A$2:$A$5001,0)),"N° no encontrado"))</f>
        <v/>
      </c>
      <c r="D283" s="35" t="str">
        <f aca="false">IF(B283="","",IFERROR(INDEX(Leads!$G$2:$G$5001,MATCH(B283,Leads!$A$2:$A$5001,0)),""))</f>
        <v/>
      </c>
      <c r="E283" s="32"/>
      <c r="F283" s="32"/>
      <c r="G283" s="32"/>
    </row>
    <row r="284" customFormat="false" ht="15" hidden="false" customHeight="false" outlineLevel="0" collapsed="false">
      <c r="A284" s="31"/>
      <c r="B284" s="32"/>
      <c r="C284" s="35" t="str">
        <f aca="false">IF(B284="","",IFERROR(INDEX(Leads!$C$2:$C$5001,MATCH(B284,Leads!$A$2:$A$5001,0))&amp;" "&amp;INDEX(Leads!$D$2:$D$5001,MATCH(B284,Leads!$A$2:$A$5001,0)),"N° no encontrado"))</f>
        <v/>
      </c>
      <c r="D284" s="35" t="str">
        <f aca="false">IF(B284="","",IFERROR(INDEX(Leads!$G$2:$G$5001,MATCH(B284,Leads!$A$2:$A$5001,0)),""))</f>
        <v/>
      </c>
      <c r="E284" s="32"/>
      <c r="F284" s="32"/>
      <c r="G284" s="32"/>
    </row>
    <row r="285" customFormat="false" ht="15" hidden="false" customHeight="false" outlineLevel="0" collapsed="false">
      <c r="A285" s="31"/>
      <c r="B285" s="32"/>
      <c r="C285" s="35" t="str">
        <f aca="false">IF(B285="","",IFERROR(INDEX(Leads!$C$2:$C$5001,MATCH(B285,Leads!$A$2:$A$5001,0))&amp;" "&amp;INDEX(Leads!$D$2:$D$5001,MATCH(B285,Leads!$A$2:$A$5001,0)),"N° no encontrado"))</f>
        <v/>
      </c>
      <c r="D285" s="35" t="str">
        <f aca="false">IF(B285="","",IFERROR(INDEX(Leads!$G$2:$G$5001,MATCH(B285,Leads!$A$2:$A$5001,0)),""))</f>
        <v/>
      </c>
      <c r="E285" s="32"/>
      <c r="F285" s="32"/>
      <c r="G285" s="32"/>
    </row>
    <row r="286" customFormat="false" ht="15" hidden="false" customHeight="false" outlineLevel="0" collapsed="false">
      <c r="A286" s="31"/>
      <c r="B286" s="32"/>
      <c r="C286" s="35" t="str">
        <f aca="false">IF(B286="","",IFERROR(INDEX(Leads!$C$2:$C$5001,MATCH(B286,Leads!$A$2:$A$5001,0))&amp;" "&amp;INDEX(Leads!$D$2:$D$5001,MATCH(B286,Leads!$A$2:$A$5001,0)),"N° no encontrado"))</f>
        <v/>
      </c>
      <c r="D286" s="35" t="str">
        <f aca="false">IF(B286="","",IFERROR(INDEX(Leads!$G$2:$G$5001,MATCH(B286,Leads!$A$2:$A$5001,0)),""))</f>
        <v/>
      </c>
      <c r="E286" s="32"/>
      <c r="F286" s="32"/>
      <c r="G286" s="32"/>
    </row>
    <row r="287" customFormat="false" ht="15" hidden="false" customHeight="false" outlineLevel="0" collapsed="false">
      <c r="A287" s="31"/>
      <c r="B287" s="32"/>
      <c r="C287" s="35" t="str">
        <f aca="false">IF(B287="","",IFERROR(INDEX(Leads!$C$2:$C$5001,MATCH(B287,Leads!$A$2:$A$5001,0))&amp;" "&amp;INDEX(Leads!$D$2:$D$5001,MATCH(B287,Leads!$A$2:$A$5001,0)),"N° no encontrado"))</f>
        <v/>
      </c>
      <c r="D287" s="35" t="str">
        <f aca="false">IF(B287="","",IFERROR(INDEX(Leads!$G$2:$G$5001,MATCH(B287,Leads!$A$2:$A$5001,0)),""))</f>
        <v/>
      </c>
      <c r="E287" s="32"/>
      <c r="F287" s="32"/>
      <c r="G287" s="32"/>
    </row>
    <row r="288" customFormat="false" ht="15" hidden="false" customHeight="false" outlineLevel="0" collapsed="false">
      <c r="A288" s="31"/>
      <c r="B288" s="32"/>
      <c r="C288" s="35" t="str">
        <f aca="false">IF(B288="","",IFERROR(INDEX(Leads!$C$2:$C$5001,MATCH(B288,Leads!$A$2:$A$5001,0))&amp;" "&amp;INDEX(Leads!$D$2:$D$5001,MATCH(B288,Leads!$A$2:$A$5001,0)),"N° no encontrado"))</f>
        <v/>
      </c>
      <c r="D288" s="35" t="str">
        <f aca="false">IF(B288="","",IFERROR(INDEX(Leads!$G$2:$G$5001,MATCH(B288,Leads!$A$2:$A$5001,0)),""))</f>
        <v/>
      </c>
      <c r="E288" s="32"/>
      <c r="F288" s="32"/>
      <c r="G288" s="32"/>
    </row>
    <row r="289" customFormat="false" ht="15" hidden="false" customHeight="false" outlineLevel="0" collapsed="false">
      <c r="A289" s="31"/>
      <c r="B289" s="32"/>
      <c r="C289" s="35" t="str">
        <f aca="false">IF(B289="","",IFERROR(INDEX(Leads!$C$2:$C$5001,MATCH(B289,Leads!$A$2:$A$5001,0))&amp;" "&amp;INDEX(Leads!$D$2:$D$5001,MATCH(B289,Leads!$A$2:$A$5001,0)),"N° no encontrado"))</f>
        <v/>
      </c>
      <c r="D289" s="35" t="str">
        <f aca="false">IF(B289="","",IFERROR(INDEX(Leads!$G$2:$G$5001,MATCH(B289,Leads!$A$2:$A$5001,0)),""))</f>
        <v/>
      </c>
      <c r="E289" s="32"/>
      <c r="F289" s="32"/>
      <c r="G289" s="32"/>
    </row>
    <row r="290" customFormat="false" ht="15" hidden="false" customHeight="false" outlineLevel="0" collapsed="false">
      <c r="A290" s="31"/>
      <c r="B290" s="32"/>
      <c r="C290" s="35" t="str">
        <f aca="false">IF(B290="","",IFERROR(INDEX(Leads!$C$2:$C$5001,MATCH(B290,Leads!$A$2:$A$5001,0))&amp;" "&amp;INDEX(Leads!$D$2:$D$5001,MATCH(B290,Leads!$A$2:$A$5001,0)),"N° no encontrado"))</f>
        <v/>
      </c>
      <c r="D290" s="35" t="str">
        <f aca="false">IF(B290="","",IFERROR(INDEX(Leads!$G$2:$G$5001,MATCH(B290,Leads!$A$2:$A$5001,0)),""))</f>
        <v/>
      </c>
      <c r="E290" s="32"/>
      <c r="F290" s="32"/>
      <c r="G290" s="32"/>
    </row>
    <row r="291" customFormat="false" ht="15" hidden="false" customHeight="false" outlineLevel="0" collapsed="false">
      <c r="A291" s="31"/>
      <c r="B291" s="32"/>
      <c r="C291" s="35" t="str">
        <f aca="false">IF(B291="","",IFERROR(INDEX(Leads!$C$2:$C$5001,MATCH(B291,Leads!$A$2:$A$5001,0))&amp;" "&amp;INDEX(Leads!$D$2:$D$5001,MATCH(B291,Leads!$A$2:$A$5001,0)),"N° no encontrado"))</f>
        <v/>
      </c>
      <c r="D291" s="35" t="str">
        <f aca="false">IF(B291="","",IFERROR(INDEX(Leads!$G$2:$G$5001,MATCH(B291,Leads!$A$2:$A$5001,0)),""))</f>
        <v/>
      </c>
      <c r="E291" s="32"/>
      <c r="F291" s="32"/>
      <c r="G291" s="32"/>
    </row>
    <row r="292" customFormat="false" ht="15" hidden="false" customHeight="false" outlineLevel="0" collapsed="false">
      <c r="A292" s="31"/>
      <c r="B292" s="32"/>
      <c r="C292" s="35" t="str">
        <f aca="false">IF(B292="","",IFERROR(INDEX(Leads!$C$2:$C$5001,MATCH(B292,Leads!$A$2:$A$5001,0))&amp;" "&amp;INDEX(Leads!$D$2:$D$5001,MATCH(B292,Leads!$A$2:$A$5001,0)),"N° no encontrado"))</f>
        <v/>
      </c>
      <c r="D292" s="35" t="str">
        <f aca="false">IF(B292="","",IFERROR(INDEX(Leads!$G$2:$G$5001,MATCH(B292,Leads!$A$2:$A$5001,0)),""))</f>
        <v/>
      </c>
      <c r="E292" s="32"/>
      <c r="F292" s="32"/>
      <c r="G292" s="32"/>
    </row>
    <row r="293" customFormat="false" ht="15" hidden="false" customHeight="false" outlineLevel="0" collapsed="false">
      <c r="A293" s="31"/>
      <c r="B293" s="32"/>
      <c r="C293" s="35" t="str">
        <f aca="false">IF(B293="","",IFERROR(INDEX(Leads!$C$2:$C$5001,MATCH(B293,Leads!$A$2:$A$5001,0))&amp;" "&amp;INDEX(Leads!$D$2:$D$5001,MATCH(B293,Leads!$A$2:$A$5001,0)),"N° no encontrado"))</f>
        <v/>
      </c>
      <c r="D293" s="35" t="str">
        <f aca="false">IF(B293="","",IFERROR(INDEX(Leads!$G$2:$G$5001,MATCH(B293,Leads!$A$2:$A$5001,0)),""))</f>
        <v/>
      </c>
      <c r="E293" s="32"/>
      <c r="F293" s="32"/>
      <c r="G293" s="32"/>
    </row>
    <row r="294" customFormat="false" ht="15" hidden="false" customHeight="false" outlineLevel="0" collapsed="false">
      <c r="A294" s="31"/>
      <c r="B294" s="32"/>
      <c r="C294" s="35" t="str">
        <f aca="false">IF(B294="","",IFERROR(INDEX(Leads!$C$2:$C$5001,MATCH(B294,Leads!$A$2:$A$5001,0))&amp;" "&amp;INDEX(Leads!$D$2:$D$5001,MATCH(B294,Leads!$A$2:$A$5001,0)),"N° no encontrado"))</f>
        <v/>
      </c>
      <c r="D294" s="35" t="str">
        <f aca="false">IF(B294="","",IFERROR(INDEX(Leads!$G$2:$G$5001,MATCH(B294,Leads!$A$2:$A$5001,0)),""))</f>
        <v/>
      </c>
      <c r="E294" s="32"/>
      <c r="F294" s="32"/>
      <c r="G294" s="32"/>
    </row>
    <row r="295" customFormat="false" ht="15" hidden="false" customHeight="false" outlineLevel="0" collapsed="false">
      <c r="A295" s="31"/>
      <c r="B295" s="32"/>
      <c r="C295" s="35" t="str">
        <f aca="false">IF(B295="","",IFERROR(INDEX(Leads!$C$2:$C$5001,MATCH(B295,Leads!$A$2:$A$5001,0))&amp;" "&amp;INDEX(Leads!$D$2:$D$5001,MATCH(B295,Leads!$A$2:$A$5001,0)),"N° no encontrado"))</f>
        <v/>
      </c>
      <c r="D295" s="35" t="str">
        <f aca="false">IF(B295="","",IFERROR(INDEX(Leads!$G$2:$G$5001,MATCH(B295,Leads!$A$2:$A$5001,0)),""))</f>
        <v/>
      </c>
      <c r="E295" s="32"/>
      <c r="F295" s="32"/>
      <c r="G295" s="32"/>
    </row>
    <row r="296" customFormat="false" ht="15" hidden="false" customHeight="false" outlineLevel="0" collapsed="false">
      <c r="A296" s="31"/>
      <c r="B296" s="32"/>
      <c r="C296" s="35" t="str">
        <f aca="false">IF(B296="","",IFERROR(INDEX(Leads!$C$2:$C$5001,MATCH(B296,Leads!$A$2:$A$5001,0))&amp;" "&amp;INDEX(Leads!$D$2:$D$5001,MATCH(B296,Leads!$A$2:$A$5001,0)),"N° no encontrado"))</f>
        <v/>
      </c>
      <c r="D296" s="35" t="str">
        <f aca="false">IF(B296="","",IFERROR(INDEX(Leads!$G$2:$G$5001,MATCH(B296,Leads!$A$2:$A$5001,0)),""))</f>
        <v/>
      </c>
      <c r="E296" s="32"/>
      <c r="F296" s="32"/>
      <c r="G296" s="32"/>
    </row>
    <row r="297" customFormat="false" ht="15" hidden="false" customHeight="false" outlineLevel="0" collapsed="false">
      <c r="A297" s="31"/>
      <c r="B297" s="32"/>
      <c r="C297" s="35" t="str">
        <f aca="false">IF(B297="","",IFERROR(INDEX(Leads!$C$2:$C$5001,MATCH(B297,Leads!$A$2:$A$5001,0))&amp;" "&amp;INDEX(Leads!$D$2:$D$5001,MATCH(B297,Leads!$A$2:$A$5001,0)),"N° no encontrado"))</f>
        <v/>
      </c>
      <c r="D297" s="35" t="str">
        <f aca="false">IF(B297="","",IFERROR(INDEX(Leads!$G$2:$G$5001,MATCH(B297,Leads!$A$2:$A$5001,0)),""))</f>
        <v/>
      </c>
      <c r="E297" s="32"/>
      <c r="F297" s="32"/>
      <c r="G297" s="32"/>
    </row>
    <row r="298" customFormat="false" ht="15" hidden="false" customHeight="false" outlineLevel="0" collapsed="false">
      <c r="A298" s="31"/>
      <c r="B298" s="32"/>
      <c r="C298" s="35" t="str">
        <f aca="false">IF(B298="","",IFERROR(INDEX(Leads!$C$2:$C$5001,MATCH(B298,Leads!$A$2:$A$5001,0))&amp;" "&amp;INDEX(Leads!$D$2:$D$5001,MATCH(B298,Leads!$A$2:$A$5001,0)),"N° no encontrado"))</f>
        <v/>
      </c>
      <c r="D298" s="35" t="str">
        <f aca="false">IF(B298="","",IFERROR(INDEX(Leads!$G$2:$G$5001,MATCH(B298,Leads!$A$2:$A$5001,0)),""))</f>
        <v/>
      </c>
      <c r="E298" s="32"/>
      <c r="F298" s="32"/>
      <c r="G298" s="32"/>
    </row>
    <row r="299" customFormat="false" ht="15" hidden="false" customHeight="false" outlineLevel="0" collapsed="false">
      <c r="A299" s="31"/>
      <c r="B299" s="32"/>
      <c r="C299" s="35" t="str">
        <f aca="false">IF(B299="","",IFERROR(INDEX(Leads!$C$2:$C$5001,MATCH(B299,Leads!$A$2:$A$5001,0))&amp;" "&amp;INDEX(Leads!$D$2:$D$5001,MATCH(B299,Leads!$A$2:$A$5001,0)),"N° no encontrado"))</f>
        <v/>
      </c>
      <c r="D299" s="35" t="str">
        <f aca="false">IF(B299="","",IFERROR(INDEX(Leads!$G$2:$G$5001,MATCH(B299,Leads!$A$2:$A$5001,0)),""))</f>
        <v/>
      </c>
      <c r="E299" s="32"/>
      <c r="F299" s="32"/>
      <c r="G299" s="32"/>
    </row>
    <row r="300" customFormat="false" ht="15" hidden="false" customHeight="false" outlineLevel="0" collapsed="false">
      <c r="A300" s="31"/>
      <c r="B300" s="32"/>
      <c r="C300" s="35" t="str">
        <f aca="false">IF(B300="","",IFERROR(INDEX(Leads!$C$2:$C$5001,MATCH(B300,Leads!$A$2:$A$5001,0))&amp;" "&amp;INDEX(Leads!$D$2:$D$5001,MATCH(B300,Leads!$A$2:$A$5001,0)),"N° no encontrado"))</f>
        <v/>
      </c>
      <c r="D300" s="35" t="str">
        <f aca="false">IF(B300="","",IFERROR(INDEX(Leads!$G$2:$G$5001,MATCH(B300,Leads!$A$2:$A$5001,0)),""))</f>
        <v/>
      </c>
      <c r="E300" s="32"/>
      <c r="F300" s="32"/>
      <c r="G300" s="32"/>
    </row>
    <row r="301" customFormat="false" ht="15" hidden="false" customHeight="false" outlineLevel="0" collapsed="false">
      <c r="A301" s="31"/>
      <c r="B301" s="32"/>
      <c r="C301" s="35" t="str">
        <f aca="false">IF(B301="","",IFERROR(INDEX(Leads!$C$2:$C$5001,MATCH(B301,Leads!$A$2:$A$5001,0))&amp;" "&amp;INDEX(Leads!$D$2:$D$5001,MATCH(B301,Leads!$A$2:$A$5001,0)),"N° no encontrado"))</f>
        <v/>
      </c>
      <c r="D301" s="35" t="str">
        <f aca="false">IF(B301="","",IFERROR(INDEX(Leads!$G$2:$G$5001,MATCH(B301,Leads!$A$2:$A$5001,0)),""))</f>
        <v/>
      </c>
      <c r="E301" s="32"/>
      <c r="F301" s="32"/>
      <c r="G301" s="32"/>
    </row>
    <row r="302" customFormat="false" ht="15" hidden="false" customHeight="false" outlineLevel="0" collapsed="false">
      <c r="A302" s="31"/>
      <c r="B302" s="32"/>
      <c r="C302" s="35" t="str">
        <f aca="false">IF(B302="","",IFERROR(INDEX(Leads!$C$2:$C$5001,MATCH(B302,Leads!$A$2:$A$5001,0))&amp;" "&amp;INDEX(Leads!$D$2:$D$5001,MATCH(B302,Leads!$A$2:$A$5001,0)),"N° no encontrado"))</f>
        <v/>
      </c>
      <c r="D302" s="35" t="str">
        <f aca="false">IF(B302="","",IFERROR(INDEX(Leads!$G$2:$G$5001,MATCH(B302,Leads!$A$2:$A$5001,0)),""))</f>
        <v/>
      </c>
      <c r="E302" s="32"/>
      <c r="F302" s="32"/>
      <c r="G302" s="32"/>
    </row>
    <row r="303" customFormat="false" ht="15" hidden="false" customHeight="false" outlineLevel="0" collapsed="false">
      <c r="A303" s="31"/>
      <c r="B303" s="32"/>
      <c r="C303" s="35" t="str">
        <f aca="false">IF(B303="","",IFERROR(INDEX(Leads!$C$2:$C$5001,MATCH(B303,Leads!$A$2:$A$5001,0))&amp;" "&amp;INDEX(Leads!$D$2:$D$5001,MATCH(B303,Leads!$A$2:$A$5001,0)),"N° no encontrado"))</f>
        <v/>
      </c>
      <c r="D303" s="35" t="str">
        <f aca="false">IF(B303="","",IFERROR(INDEX(Leads!$G$2:$G$5001,MATCH(B303,Leads!$A$2:$A$5001,0)),""))</f>
        <v/>
      </c>
      <c r="E303" s="32"/>
      <c r="F303" s="32"/>
      <c r="G303" s="32"/>
    </row>
    <row r="304" customFormat="false" ht="15" hidden="false" customHeight="false" outlineLevel="0" collapsed="false">
      <c r="A304" s="31"/>
      <c r="B304" s="32"/>
      <c r="C304" s="35" t="str">
        <f aca="false">IF(B304="","",IFERROR(INDEX(Leads!$C$2:$C$5001,MATCH(B304,Leads!$A$2:$A$5001,0))&amp;" "&amp;INDEX(Leads!$D$2:$D$5001,MATCH(B304,Leads!$A$2:$A$5001,0)),"N° no encontrado"))</f>
        <v/>
      </c>
      <c r="D304" s="35" t="str">
        <f aca="false">IF(B304="","",IFERROR(INDEX(Leads!$G$2:$G$5001,MATCH(B304,Leads!$A$2:$A$5001,0)),""))</f>
        <v/>
      </c>
      <c r="E304" s="32"/>
      <c r="F304" s="32"/>
      <c r="G304" s="32"/>
    </row>
    <row r="305" customFormat="false" ht="15" hidden="false" customHeight="false" outlineLevel="0" collapsed="false">
      <c r="A305" s="31"/>
      <c r="B305" s="32"/>
      <c r="C305" s="35" t="str">
        <f aca="false">IF(B305="","",IFERROR(INDEX(Leads!$C$2:$C$5001,MATCH(B305,Leads!$A$2:$A$5001,0))&amp;" "&amp;INDEX(Leads!$D$2:$D$5001,MATCH(B305,Leads!$A$2:$A$5001,0)),"N° no encontrado"))</f>
        <v/>
      </c>
      <c r="D305" s="35" t="str">
        <f aca="false">IF(B305="","",IFERROR(INDEX(Leads!$G$2:$G$5001,MATCH(B305,Leads!$A$2:$A$5001,0)),""))</f>
        <v/>
      </c>
      <c r="E305" s="32"/>
      <c r="F305" s="32"/>
      <c r="G305" s="32"/>
    </row>
    <row r="306" customFormat="false" ht="15" hidden="false" customHeight="false" outlineLevel="0" collapsed="false">
      <c r="A306" s="31"/>
      <c r="B306" s="32"/>
      <c r="C306" s="35" t="str">
        <f aca="false">IF(B306="","",IFERROR(INDEX(Leads!$C$2:$C$5001,MATCH(B306,Leads!$A$2:$A$5001,0))&amp;" "&amp;INDEX(Leads!$D$2:$D$5001,MATCH(B306,Leads!$A$2:$A$5001,0)),"N° no encontrado"))</f>
        <v/>
      </c>
      <c r="D306" s="35" t="str">
        <f aca="false">IF(B306="","",IFERROR(INDEX(Leads!$G$2:$G$5001,MATCH(B306,Leads!$A$2:$A$5001,0)),""))</f>
        <v/>
      </c>
      <c r="E306" s="32"/>
      <c r="F306" s="32"/>
      <c r="G306" s="32"/>
    </row>
    <row r="307" customFormat="false" ht="15" hidden="false" customHeight="false" outlineLevel="0" collapsed="false">
      <c r="A307" s="31"/>
      <c r="B307" s="32"/>
      <c r="C307" s="35" t="str">
        <f aca="false">IF(B307="","",IFERROR(INDEX(Leads!$C$2:$C$5001,MATCH(B307,Leads!$A$2:$A$5001,0))&amp;" "&amp;INDEX(Leads!$D$2:$D$5001,MATCH(B307,Leads!$A$2:$A$5001,0)),"N° no encontrado"))</f>
        <v/>
      </c>
      <c r="D307" s="35" t="str">
        <f aca="false">IF(B307="","",IFERROR(INDEX(Leads!$G$2:$G$5001,MATCH(B307,Leads!$A$2:$A$5001,0)),""))</f>
        <v/>
      </c>
      <c r="E307" s="32"/>
      <c r="F307" s="32"/>
      <c r="G307" s="32"/>
    </row>
    <row r="308" customFormat="false" ht="15" hidden="false" customHeight="false" outlineLevel="0" collapsed="false">
      <c r="A308" s="31"/>
      <c r="B308" s="32"/>
      <c r="C308" s="35" t="str">
        <f aca="false">IF(B308="","",IFERROR(INDEX(Leads!$C$2:$C$5001,MATCH(B308,Leads!$A$2:$A$5001,0))&amp;" "&amp;INDEX(Leads!$D$2:$D$5001,MATCH(B308,Leads!$A$2:$A$5001,0)),"N° no encontrado"))</f>
        <v/>
      </c>
      <c r="D308" s="35" t="str">
        <f aca="false">IF(B308="","",IFERROR(INDEX(Leads!$G$2:$G$5001,MATCH(B308,Leads!$A$2:$A$5001,0)),""))</f>
        <v/>
      </c>
      <c r="E308" s="32"/>
      <c r="F308" s="32"/>
      <c r="G308" s="32"/>
    </row>
    <row r="309" customFormat="false" ht="15" hidden="false" customHeight="false" outlineLevel="0" collapsed="false">
      <c r="A309" s="31"/>
      <c r="B309" s="32"/>
      <c r="C309" s="35" t="str">
        <f aca="false">IF(B309="","",IFERROR(INDEX(Leads!$C$2:$C$5001,MATCH(B309,Leads!$A$2:$A$5001,0))&amp;" "&amp;INDEX(Leads!$D$2:$D$5001,MATCH(B309,Leads!$A$2:$A$5001,0)),"N° no encontrado"))</f>
        <v/>
      </c>
      <c r="D309" s="35" t="str">
        <f aca="false">IF(B309="","",IFERROR(INDEX(Leads!$G$2:$G$5001,MATCH(B309,Leads!$A$2:$A$5001,0)),""))</f>
        <v/>
      </c>
      <c r="E309" s="32"/>
      <c r="F309" s="32"/>
      <c r="G309" s="32"/>
    </row>
    <row r="310" customFormat="false" ht="15" hidden="false" customHeight="false" outlineLevel="0" collapsed="false">
      <c r="A310" s="31"/>
      <c r="B310" s="32"/>
      <c r="C310" s="35" t="str">
        <f aca="false">IF(B310="","",IFERROR(INDEX(Leads!$C$2:$C$5001,MATCH(B310,Leads!$A$2:$A$5001,0))&amp;" "&amp;INDEX(Leads!$D$2:$D$5001,MATCH(B310,Leads!$A$2:$A$5001,0)),"N° no encontrado"))</f>
        <v/>
      </c>
      <c r="D310" s="35" t="str">
        <f aca="false">IF(B310="","",IFERROR(INDEX(Leads!$G$2:$G$5001,MATCH(B310,Leads!$A$2:$A$5001,0)),""))</f>
        <v/>
      </c>
      <c r="E310" s="32"/>
      <c r="F310" s="32"/>
      <c r="G310" s="32"/>
    </row>
    <row r="311" customFormat="false" ht="15" hidden="false" customHeight="false" outlineLevel="0" collapsed="false">
      <c r="A311" s="31"/>
      <c r="B311" s="32"/>
      <c r="C311" s="35" t="str">
        <f aca="false">IF(B311="","",IFERROR(INDEX(Leads!$C$2:$C$5001,MATCH(B311,Leads!$A$2:$A$5001,0))&amp;" "&amp;INDEX(Leads!$D$2:$D$5001,MATCH(B311,Leads!$A$2:$A$5001,0)),"N° no encontrado"))</f>
        <v/>
      </c>
      <c r="D311" s="35" t="str">
        <f aca="false">IF(B311="","",IFERROR(INDEX(Leads!$G$2:$G$5001,MATCH(B311,Leads!$A$2:$A$5001,0)),""))</f>
        <v/>
      </c>
      <c r="E311" s="32"/>
      <c r="F311" s="32"/>
      <c r="G311" s="32"/>
    </row>
    <row r="312" customFormat="false" ht="15" hidden="false" customHeight="false" outlineLevel="0" collapsed="false">
      <c r="A312" s="31"/>
      <c r="B312" s="32"/>
      <c r="C312" s="35" t="str">
        <f aca="false">IF(B312="","",IFERROR(INDEX(Leads!$C$2:$C$5001,MATCH(B312,Leads!$A$2:$A$5001,0))&amp;" "&amp;INDEX(Leads!$D$2:$D$5001,MATCH(B312,Leads!$A$2:$A$5001,0)),"N° no encontrado"))</f>
        <v/>
      </c>
      <c r="D312" s="35" t="str">
        <f aca="false">IF(B312="","",IFERROR(INDEX(Leads!$G$2:$G$5001,MATCH(B312,Leads!$A$2:$A$5001,0)),""))</f>
        <v/>
      </c>
      <c r="E312" s="32"/>
      <c r="F312" s="32"/>
      <c r="G312" s="32"/>
    </row>
    <row r="313" customFormat="false" ht="15" hidden="false" customHeight="false" outlineLevel="0" collapsed="false">
      <c r="A313" s="31"/>
      <c r="B313" s="32"/>
      <c r="C313" s="35" t="str">
        <f aca="false">IF(B313="","",IFERROR(INDEX(Leads!$C$2:$C$5001,MATCH(B313,Leads!$A$2:$A$5001,0))&amp;" "&amp;INDEX(Leads!$D$2:$D$5001,MATCH(B313,Leads!$A$2:$A$5001,0)),"N° no encontrado"))</f>
        <v/>
      </c>
      <c r="D313" s="35" t="str">
        <f aca="false">IF(B313="","",IFERROR(INDEX(Leads!$G$2:$G$5001,MATCH(B313,Leads!$A$2:$A$5001,0)),""))</f>
        <v/>
      </c>
      <c r="E313" s="32"/>
      <c r="F313" s="32"/>
      <c r="G313" s="32"/>
    </row>
    <row r="314" customFormat="false" ht="15" hidden="false" customHeight="false" outlineLevel="0" collapsed="false">
      <c r="A314" s="31"/>
      <c r="B314" s="32"/>
      <c r="C314" s="35" t="str">
        <f aca="false">IF(B314="","",IFERROR(INDEX(Leads!$C$2:$C$5001,MATCH(B314,Leads!$A$2:$A$5001,0))&amp;" "&amp;INDEX(Leads!$D$2:$D$5001,MATCH(B314,Leads!$A$2:$A$5001,0)),"N° no encontrado"))</f>
        <v/>
      </c>
      <c r="D314" s="35" t="str">
        <f aca="false">IF(B314="","",IFERROR(INDEX(Leads!$G$2:$G$5001,MATCH(B314,Leads!$A$2:$A$5001,0)),""))</f>
        <v/>
      </c>
      <c r="E314" s="32"/>
      <c r="F314" s="32"/>
      <c r="G314" s="32"/>
    </row>
    <row r="315" customFormat="false" ht="15" hidden="false" customHeight="false" outlineLevel="0" collapsed="false">
      <c r="A315" s="31"/>
      <c r="B315" s="32"/>
      <c r="C315" s="35" t="str">
        <f aca="false">IF(B315="","",IFERROR(INDEX(Leads!$C$2:$C$5001,MATCH(B315,Leads!$A$2:$A$5001,0))&amp;" "&amp;INDEX(Leads!$D$2:$D$5001,MATCH(B315,Leads!$A$2:$A$5001,0)),"N° no encontrado"))</f>
        <v/>
      </c>
      <c r="D315" s="35" t="str">
        <f aca="false">IF(B315="","",IFERROR(INDEX(Leads!$G$2:$G$5001,MATCH(B315,Leads!$A$2:$A$5001,0)),""))</f>
        <v/>
      </c>
      <c r="E315" s="32"/>
      <c r="F315" s="32"/>
      <c r="G315" s="32"/>
    </row>
    <row r="316" customFormat="false" ht="15" hidden="false" customHeight="false" outlineLevel="0" collapsed="false">
      <c r="A316" s="31"/>
      <c r="B316" s="32"/>
      <c r="C316" s="35" t="str">
        <f aca="false">IF(B316="","",IFERROR(INDEX(Leads!$C$2:$C$5001,MATCH(B316,Leads!$A$2:$A$5001,0))&amp;" "&amp;INDEX(Leads!$D$2:$D$5001,MATCH(B316,Leads!$A$2:$A$5001,0)),"N° no encontrado"))</f>
        <v/>
      </c>
      <c r="D316" s="35" t="str">
        <f aca="false">IF(B316="","",IFERROR(INDEX(Leads!$G$2:$G$5001,MATCH(B316,Leads!$A$2:$A$5001,0)),""))</f>
        <v/>
      </c>
      <c r="E316" s="32"/>
      <c r="F316" s="32"/>
      <c r="G316" s="32"/>
    </row>
    <row r="317" customFormat="false" ht="15" hidden="false" customHeight="false" outlineLevel="0" collapsed="false">
      <c r="A317" s="31"/>
      <c r="B317" s="32"/>
      <c r="C317" s="35" t="str">
        <f aca="false">IF(B317="","",IFERROR(INDEX(Leads!$C$2:$C$5001,MATCH(B317,Leads!$A$2:$A$5001,0))&amp;" "&amp;INDEX(Leads!$D$2:$D$5001,MATCH(B317,Leads!$A$2:$A$5001,0)),"N° no encontrado"))</f>
        <v/>
      </c>
      <c r="D317" s="35" t="str">
        <f aca="false">IF(B317="","",IFERROR(INDEX(Leads!$G$2:$G$5001,MATCH(B317,Leads!$A$2:$A$5001,0)),""))</f>
        <v/>
      </c>
      <c r="E317" s="32"/>
      <c r="F317" s="32"/>
      <c r="G317" s="32"/>
    </row>
    <row r="318" customFormat="false" ht="15" hidden="false" customHeight="false" outlineLevel="0" collapsed="false">
      <c r="A318" s="31"/>
      <c r="B318" s="32"/>
      <c r="C318" s="35" t="str">
        <f aca="false">IF(B318="","",IFERROR(INDEX(Leads!$C$2:$C$5001,MATCH(B318,Leads!$A$2:$A$5001,0))&amp;" "&amp;INDEX(Leads!$D$2:$D$5001,MATCH(B318,Leads!$A$2:$A$5001,0)),"N° no encontrado"))</f>
        <v/>
      </c>
      <c r="D318" s="35" t="str">
        <f aca="false">IF(B318="","",IFERROR(INDEX(Leads!$G$2:$G$5001,MATCH(B318,Leads!$A$2:$A$5001,0)),""))</f>
        <v/>
      </c>
      <c r="E318" s="32"/>
      <c r="F318" s="32"/>
      <c r="G318" s="32"/>
    </row>
    <row r="319" customFormat="false" ht="15" hidden="false" customHeight="false" outlineLevel="0" collapsed="false">
      <c r="A319" s="31"/>
      <c r="B319" s="32"/>
      <c r="C319" s="35" t="str">
        <f aca="false">IF(B319="","",IFERROR(INDEX(Leads!$C$2:$C$5001,MATCH(B319,Leads!$A$2:$A$5001,0))&amp;" "&amp;INDEX(Leads!$D$2:$D$5001,MATCH(B319,Leads!$A$2:$A$5001,0)),"N° no encontrado"))</f>
        <v/>
      </c>
      <c r="D319" s="35" t="str">
        <f aca="false">IF(B319="","",IFERROR(INDEX(Leads!$G$2:$G$5001,MATCH(B319,Leads!$A$2:$A$5001,0)),""))</f>
        <v/>
      </c>
      <c r="E319" s="32"/>
      <c r="F319" s="32"/>
      <c r="G319" s="32"/>
    </row>
    <row r="320" customFormat="false" ht="15" hidden="false" customHeight="false" outlineLevel="0" collapsed="false">
      <c r="A320" s="31"/>
      <c r="B320" s="32"/>
      <c r="C320" s="35" t="str">
        <f aca="false">IF(B320="","",IFERROR(INDEX(Leads!$C$2:$C$5001,MATCH(B320,Leads!$A$2:$A$5001,0))&amp;" "&amp;INDEX(Leads!$D$2:$D$5001,MATCH(B320,Leads!$A$2:$A$5001,0)),"N° no encontrado"))</f>
        <v/>
      </c>
      <c r="D320" s="35" t="str">
        <f aca="false">IF(B320="","",IFERROR(INDEX(Leads!$G$2:$G$5001,MATCH(B320,Leads!$A$2:$A$5001,0)),""))</f>
        <v/>
      </c>
      <c r="E320" s="32"/>
      <c r="F320" s="32"/>
      <c r="G320" s="32"/>
    </row>
    <row r="321" customFormat="false" ht="15" hidden="false" customHeight="false" outlineLevel="0" collapsed="false">
      <c r="A321" s="31"/>
      <c r="B321" s="32"/>
      <c r="C321" s="35" t="str">
        <f aca="false">IF(B321="","",IFERROR(INDEX(Leads!$C$2:$C$5001,MATCH(B321,Leads!$A$2:$A$5001,0))&amp;" "&amp;INDEX(Leads!$D$2:$D$5001,MATCH(B321,Leads!$A$2:$A$5001,0)),"N° no encontrado"))</f>
        <v/>
      </c>
      <c r="D321" s="35" t="str">
        <f aca="false">IF(B321="","",IFERROR(INDEX(Leads!$G$2:$G$5001,MATCH(B321,Leads!$A$2:$A$5001,0)),""))</f>
        <v/>
      </c>
      <c r="E321" s="32"/>
      <c r="F321" s="32"/>
      <c r="G321" s="32"/>
    </row>
    <row r="322" customFormat="false" ht="15" hidden="false" customHeight="false" outlineLevel="0" collapsed="false">
      <c r="A322" s="31"/>
      <c r="B322" s="32"/>
      <c r="C322" s="35" t="str">
        <f aca="false">IF(B322="","",IFERROR(INDEX(Leads!$C$2:$C$5001,MATCH(B322,Leads!$A$2:$A$5001,0))&amp;" "&amp;INDEX(Leads!$D$2:$D$5001,MATCH(B322,Leads!$A$2:$A$5001,0)),"N° no encontrado"))</f>
        <v/>
      </c>
      <c r="D322" s="35" t="str">
        <f aca="false">IF(B322="","",IFERROR(INDEX(Leads!$G$2:$G$5001,MATCH(B322,Leads!$A$2:$A$5001,0)),""))</f>
        <v/>
      </c>
      <c r="E322" s="32"/>
      <c r="F322" s="32"/>
      <c r="G322" s="32"/>
    </row>
    <row r="323" customFormat="false" ht="15" hidden="false" customHeight="false" outlineLevel="0" collapsed="false">
      <c r="A323" s="31"/>
      <c r="B323" s="32"/>
      <c r="C323" s="35" t="str">
        <f aca="false">IF(B323="","",IFERROR(INDEX(Leads!$C$2:$C$5001,MATCH(B323,Leads!$A$2:$A$5001,0))&amp;" "&amp;INDEX(Leads!$D$2:$D$5001,MATCH(B323,Leads!$A$2:$A$5001,0)),"N° no encontrado"))</f>
        <v/>
      </c>
      <c r="D323" s="35" t="str">
        <f aca="false">IF(B323="","",IFERROR(INDEX(Leads!$G$2:$G$5001,MATCH(B323,Leads!$A$2:$A$5001,0)),""))</f>
        <v/>
      </c>
      <c r="E323" s="32"/>
      <c r="F323" s="32"/>
      <c r="G323" s="32"/>
    </row>
    <row r="324" customFormat="false" ht="15" hidden="false" customHeight="false" outlineLevel="0" collapsed="false">
      <c r="A324" s="31"/>
      <c r="B324" s="32"/>
      <c r="C324" s="35" t="str">
        <f aca="false">IF(B324="","",IFERROR(INDEX(Leads!$C$2:$C$5001,MATCH(B324,Leads!$A$2:$A$5001,0))&amp;" "&amp;INDEX(Leads!$D$2:$D$5001,MATCH(B324,Leads!$A$2:$A$5001,0)),"N° no encontrado"))</f>
        <v/>
      </c>
      <c r="D324" s="35" t="str">
        <f aca="false">IF(B324="","",IFERROR(INDEX(Leads!$G$2:$G$5001,MATCH(B324,Leads!$A$2:$A$5001,0)),""))</f>
        <v/>
      </c>
      <c r="E324" s="32"/>
      <c r="F324" s="32"/>
      <c r="G324" s="32"/>
    </row>
    <row r="325" customFormat="false" ht="15" hidden="false" customHeight="false" outlineLevel="0" collapsed="false">
      <c r="A325" s="31"/>
      <c r="B325" s="32"/>
      <c r="C325" s="35" t="str">
        <f aca="false">IF(B325="","",IFERROR(INDEX(Leads!$C$2:$C$5001,MATCH(B325,Leads!$A$2:$A$5001,0))&amp;" "&amp;INDEX(Leads!$D$2:$D$5001,MATCH(B325,Leads!$A$2:$A$5001,0)),"N° no encontrado"))</f>
        <v/>
      </c>
      <c r="D325" s="35" t="str">
        <f aca="false">IF(B325="","",IFERROR(INDEX(Leads!$G$2:$G$5001,MATCH(B325,Leads!$A$2:$A$5001,0)),""))</f>
        <v/>
      </c>
      <c r="E325" s="32"/>
      <c r="F325" s="32"/>
      <c r="G325" s="32"/>
    </row>
    <row r="326" customFormat="false" ht="15" hidden="false" customHeight="false" outlineLevel="0" collapsed="false">
      <c r="A326" s="31"/>
      <c r="B326" s="32"/>
      <c r="C326" s="35" t="str">
        <f aca="false">IF(B326="","",IFERROR(INDEX(Leads!$C$2:$C$5001,MATCH(B326,Leads!$A$2:$A$5001,0))&amp;" "&amp;INDEX(Leads!$D$2:$D$5001,MATCH(B326,Leads!$A$2:$A$5001,0)),"N° no encontrado"))</f>
        <v/>
      </c>
      <c r="D326" s="35" t="str">
        <f aca="false">IF(B326="","",IFERROR(INDEX(Leads!$G$2:$G$5001,MATCH(B326,Leads!$A$2:$A$5001,0)),""))</f>
        <v/>
      </c>
      <c r="E326" s="32"/>
      <c r="F326" s="32"/>
      <c r="G326" s="32"/>
    </row>
    <row r="327" customFormat="false" ht="15" hidden="false" customHeight="false" outlineLevel="0" collapsed="false">
      <c r="A327" s="31"/>
      <c r="B327" s="32"/>
      <c r="C327" s="35" t="str">
        <f aca="false">IF(B327="","",IFERROR(INDEX(Leads!$C$2:$C$5001,MATCH(B327,Leads!$A$2:$A$5001,0))&amp;" "&amp;INDEX(Leads!$D$2:$D$5001,MATCH(B327,Leads!$A$2:$A$5001,0)),"N° no encontrado"))</f>
        <v/>
      </c>
      <c r="D327" s="35" t="str">
        <f aca="false">IF(B327="","",IFERROR(INDEX(Leads!$G$2:$G$5001,MATCH(B327,Leads!$A$2:$A$5001,0)),""))</f>
        <v/>
      </c>
      <c r="E327" s="32"/>
      <c r="F327" s="32"/>
      <c r="G327" s="32"/>
    </row>
    <row r="328" customFormat="false" ht="15" hidden="false" customHeight="false" outlineLevel="0" collapsed="false">
      <c r="A328" s="31"/>
      <c r="B328" s="32"/>
      <c r="C328" s="35" t="str">
        <f aca="false">IF(B328="","",IFERROR(INDEX(Leads!$C$2:$C$5001,MATCH(B328,Leads!$A$2:$A$5001,0))&amp;" "&amp;INDEX(Leads!$D$2:$D$5001,MATCH(B328,Leads!$A$2:$A$5001,0)),"N° no encontrado"))</f>
        <v/>
      </c>
      <c r="D328" s="35" t="str">
        <f aca="false">IF(B328="","",IFERROR(INDEX(Leads!$G$2:$G$5001,MATCH(B328,Leads!$A$2:$A$5001,0)),""))</f>
        <v/>
      </c>
      <c r="E328" s="32"/>
      <c r="F328" s="32"/>
      <c r="G328" s="32"/>
    </row>
    <row r="329" customFormat="false" ht="15" hidden="false" customHeight="false" outlineLevel="0" collapsed="false">
      <c r="A329" s="31"/>
      <c r="B329" s="32"/>
      <c r="C329" s="35" t="str">
        <f aca="false">IF(B329="","",IFERROR(INDEX(Leads!$C$2:$C$5001,MATCH(B329,Leads!$A$2:$A$5001,0))&amp;" "&amp;INDEX(Leads!$D$2:$D$5001,MATCH(B329,Leads!$A$2:$A$5001,0)),"N° no encontrado"))</f>
        <v/>
      </c>
      <c r="D329" s="35" t="str">
        <f aca="false">IF(B329="","",IFERROR(INDEX(Leads!$G$2:$G$5001,MATCH(B329,Leads!$A$2:$A$5001,0)),""))</f>
        <v/>
      </c>
      <c r="E329" s="32"/>
      <c r="F329" s="32"/>
      <c r="G329" s="32"/>
    </row>
    <row r="330" customFormat="false" ht="15" hidden="false" customHeight="false" outlineLevel="0" collapsed="false">
      <c r="A330" s="31"/>
      <c r="B330" s="32"/>
      <c r="C330" s="35" t="str">
        <f aca="false">IF(B330="","",IFERROR(INDEX(Leads!$C$2:$C$5001,MATCH(B330,Leads!$A$2:$A$5001,0))&amp;" "&amp;INDEX(Leads!$D$2:$D$5001,MATCH(B330,Leads!$A$2:$A$5001,0)),"N° no encontrado"))</f>
        <v/>
      </c>
      <c r="D330" s="35" t="str">
        <f aca="false">IF(B330="","",IFERROR(INDEX(Leads!$G$2:$G$5001,MATCH(B330,Leads!$A$2:$A$5001,0)),""))</f>
        <v/>
      </c>
      <c r="E330" s="32"/>
      <c r="F330" s="32"/>
      <c r="G330" s="32"/>
    </row>
    <row r="331" customFormat="false" ht="15" hidden="false" customHeight="false" outlineLevel="0" collapsed="false">
      <c r="A331" s="31"/>
      <c r="B331" s="32"/>
      <c r="C331" s="35" t="str">
        <f aca="false">IF(B331="","",IFERROR(INDEX(Leads!$C$2:$C$5001,MATCH(B331,Leads!$A$2:$A$5001,0))&amp;" "&amp;INDEX(Leads!$D$2:$D$5001,MATCH(B331,Leads!$A$2:$A$5001,0)),"N° no encontrado"))</f>
        <v/>
      </c>
      <c r="D331" s="35" t="str">
        <f aca="false">IF(B331="","",IFERROR(INDEX(Leads!$G$2:$G$5001,MATCH(B331,Leads!$A$2:$A$5001,0)),""))</f>
        <v/>
      </c>
      <c r="E331" s="32"/>
      <c r="F331" s="32"/>
      <c r="G331" s="32"/>
    </row>
    <row r="332" customFormat="false" ht="15" hidden="false" customHeight="false" outlineLevel="0" collapsed="false">
      <c r="A332" s="31"/>
      <c r="B332" s="32"/>
      <c r="C332" s="35" t="str">
        <f aca="false">IF(B332="","",IFERROR(INDEX(Leads!$C$2:$C$5001,MATCH(B332,Leads!$A$2:$A$5001,0))&amp;" "&amp;INDEX(Leads!$D$2:$D$5001,MATCH(B332,Leads!$A$2:$A$5001,0)),"N° no encontrado"))</f>
        <v/>
      </c>
      <c r="D332" s="35" t="str">
        <f aca="false">IF(B332="","",IFERROR(INDEX(Leads!$G$2:$G$5001,MATCH(B332,Leads!$A$2:$A$5001,0)),""))</f>
        <v/>
      </c>
      <c r="E332" s="32"/>
      <c r="F332" s="32"/>
      <c r="G332" s="32"/>
    </row>
    <row r="333" customFormat="false" ht="15" hidden="false" customHeight="false" outlineLevel="0" collapsed="false">
      <c r="A333" s="31"/>
      <c r="B333" s="32"/>
      <c r="C333" s="35" t="str">
        <f aca="false">IF(B333="","",IFERROR(INDEX(Leads!$C$2:$C$5001,MATCH(B333,Leads!$A$2:$A$5001,0))&amp;" "&amp;INDEX(Leads!$D$2:$D$5001,MATCH(B333,Leads!$A$2:$A$5001,0)),"N° no encontrado"))</f>
        <v/>
      </c>
      <c r="D333" s="35" t="str">
        <f aca="false">IF(B333="","",IFERROR(INDEX(Leads!$G$2:$G$5001,MATCH(B333,Leads!$A$2:$A$5001,0)),""))</f>
        <v/>
      </c>
      <c r="E333" s="32"/>
      <c r="F333" s="32"/>
      <c r="G333" s="32"/>
    </row>
    <row r="334" customFormat="false" ht="15" hidden="false" customHeight="false" outlineLevel="0" collapsed="false">
      <c r="A334" s="31"/>
      <c r="B334" s="32"/>
      <c r="C334" s="35" t="str">
        <f aca="false">IF(B334="","",IFERROR(INDEX(Leads!$C$2:$C$5001,MATCH(B334,Leads!$A$2:$A$5001,0))&amp;" "&amp;INDEX(Leads!$D$2:$D$5001,MATCH(B334,Leads!$A$2:$A$5001,0)),"N° no encontrado"))</f>
        <v/>
      </c>
      <c r="D334" s="35" t="str">
        <f aca="false">IF(B334="","",IFERROR(INDEX(Leads!$G$2:$G$5001,MATCH(B334,Leads!$A$2:$A$5001,0)),""))</f>
        <v/>
      </c>
      <c r="E334" s="32"/>
      <c r="F334" s="32"/>
      <c r="G334" s="32"/>
    </row>
    <row r="335" customFormat="false" ht="15" hidden="false" customHeight="false" outlineLevel="0" collapsed="false">
      <c r="A335" s="31"/>
      <c r="B335" s="32"/>
      <c r="C335" s="35" t="str">
        <f aca="false">IF(B335="","",IFERROR(INDEX(Leads!$C$2:$C$5001,MATCH(B335,Leads!$A$2:$A$5001,0))&amp;" "&amp;INDEX(Leads!$D$2:$D$5001,MATCH(B335,Leads!$A$2:$A$5001,0)),"N° no encontrado"))</f>
        <v/>
      </c>
      <c r="D335" s="35" t="str">
        <f aca="false">IF(B335="","",IFERROR(INDEX(Leads!$G$2:$G$5001,MATCH(B335,Leads!$A$2:$A$5001,0)),""))</f>
        <v/>
      </c>
      <c r="E335" s="32"/>
      <c r="F335" s="32"/>
      <c r="G335" s="32"/>
    </row>
    <row r="336" customFormat="false" ht="15" hidden="false" customHeight="false" outlineLevel="0" collapsed="false">
      <c r="A336" s="31"/>
      <c r="B336" s="32"/>
      <c r="C336" s="35" t="str">
        <f aca="false">IF(B336="","",IFERROR(INDEX(Leads!$C$2:$C$5001,MATCH(B336,Leads!$A$2:$A$5001,0))&amp;" "&amp;INDEX(Leads!$D$2:$D$5001,MATCH(B336,Leads!$A$2:$A$5001,0)),"N° no encontrado"))</f>
        <v/>
      </c>
      <c r="D336" s="35" t="str">
        <f aca="false">IF(B336="","",IFERROR(INDEX(Leads!$G$2:$G$5001,MATCH(B336,Leads!$A$2:$A$5001,0)),""))</f>
        <v/>
      </c>
      <c r="E336" s="32"/>
      <c r="F336" s="32"/>
      <c r="G336" s="32"/>
    </row>
    <row r="337" customFormat="false" ht="15" hidden="false" customHeight="false" outlineLevel="0" collapsed="false">
      <c r="A337" s="31"/>
      <c r="B337" s="32"/>
      <c r="C337" s="35" t="str">
        <f aca="false">IF(B337="","",IFERROR(INDEX(Leads!$C$2:$C$5001,MATCH(B337,Leads!$A$2:$A$5001,0))&amp;" "&amp;INDEX(Leads!$D$2:$D$5001,MATCH(B337,Leads!$A$2:$A$5001,0)),"N° no encontrado"))</f>
        <v/>
      </c>
      <c r="D337" s="35" t="str">
        <f aca="false">IF(B337="","",IFERROR(INDEX(Leads!$G$2:$G$5001,MATCH(B337,Leads!$A$2:$A$5001,0)),""))</f>
        <v/>
      </c>
      <c r="E337" s="32"/>
      <c r="F337" s="32"/>
      <c r="G337" s="32"/>
    </row>
    <row r="338" customFormat="false" ht="15" hidden="false" customHeight="false" outlineLevel="0" collapsed="false">
      <c r="A338" s="31"/>
      <c r="B338" s="32"/>
      <c r="C338" s="35" t="str">
        <f aca="false">IF(B338="","",IFERROR(INDEX(Leads!$C$2:$C$5001,MATCH(B338,Leads!$A$2:$A$5001,0))&amp;" "&amp;INDEX(Leads!$D$2:$D$5001,MATCH(B338,Leads!$A$2:$A$5001,0)),"N° no encontrado"))</f>
        <v/>
      </c>
      <c r="D338" s="35" t="str">
        <f aca="false">IF(B338="","",IFERROR(INDEX(Leads!$G$2:$G$5001,MATCH(B338,Leads!$A$2:$A$5001,0)),""))</f>
        <v/>
      </c>
      <c r="E338" s="32"/>
      <c r="F338" s="32"/>
      <c r="G338" s="32"/>
    </row>
    <row r="339" customFormat="false" ht="15" hidden="false" customHeight="false" outlineLevel="0" collapsed="false">
      <c r="A339" s="31"/>
      <c r="B339" s="32"/>
      <c r="C339" s="35" t="str">
        <f aca="false">IF(B339="","",IFERROR(INDEX(Leads!$C$2:$C$5001,MATCH(B339,Leads!$A$2:$A$5001,0))&amp;" "&amp;INDEX(Leads!$D$2:$D$5001,MATCH(B339,Leads!$A$2:$A$5001,0)),"N° no encontrado"))</f>
        <v/>
      </c>
      <c r="D339" s="35" t="str">
        <f aca="false">IF(B339="","",IFERROR(INDEX(Leads!$G$2:$G$5001,MATCH(B339,Leads!$A$2:$A$5001,0)),""))</f>
        <v/>
      </c>
      <c r="E339" s="32"/>
      <c r="F339" s="32"/>
      <c r="G339" s="32"/>
    </row>
    <row r="340" customFormat="false" ht="15" hidden="false" customHeight="false" outlineLevel="0" collapsed="false">
      <c r="A340" s="31"/>
      <c r="B340" s="32"/>
      <c r="C340" s="35" t="str">
        <f aca="false">IF(B340="","",IFERROR(INDEX(Leads!$C$2:$C$5001,MATCH(B340,Leads!$A$2:$A$5001,0))&amp;" "&amp;INDEX(Leads!$D$2:$D$5001,MATCH(B340,Leads!$A$2:$A$5001,0)),"N° no encontrado"))</f>
        <v/>
      </c>
      <c r="D340" s="35" t="str">
        <f aca="false">IF(B340="","",IFERROR(INDEX(Leads!$G$2:$G$5001,MATCH(B340,Leads!$A$2:$A$5001,0)),""))</f>
        <v/>
      </c>
      <c r="E340" s="32"/>
      <c r="F340" s="32"/>
      <c r="G340" s="32"/>
    </row>
    <row r="341" customFormat="false" ht="15" hidden="false" customHeight="false" outlineLevel="0" collapsed="false">
      <c r="A341" s="31"/>
      <c r="B341" s="32"/>
      <c r="C341" s="35" t="str">
        <f aca="false">IF(B341="","",IFERROR(INDEX(Leads!$C$2:$C$5001,MATCH(B341,Leads!$A$2:$A$5001,0))&amp;" "&amp;INDEX(Leads!$D$2:$D$5001,MATCH(B341,Leads!$A$2:$A$5001,0)),"N° no encontrado"))</f>
        <v/>
      </c>
      <c r="D341" s="35" t="str">
        <f aca="false">IF(B341="","",IFERROR(INDEX(Leads!$G$2:$G$5001,MATCH(B341,Leads!$A$2:$A$5001,0)),""))</f>
        <v/>
      </c>
      <c r="E341" s="32"/>
      <c r="F341" s="32"/>
      <c r="G341" s="32"/>
    </row>
    <row r="342" customFormat="false" ht="15" hidden="false" customHeight="false" outlineLevel="0" collapsed="false">
      <c r="A342" s="31"/>
      <c r="B342" s="32"/>
      <c r="C342" s="35" t="str">
        <f aca="false">IF(B342="","",IFERROR(INDEX(Leads!$C$2:$C$5001,MATCH(B342,Leads!$A$2:$A$5001,0))&amp;" "&amp;INDEX(Leads!$D$2:$D$5001,MATCH(B342,Leads!$A$2:$A$5001,0)),"N° no encontrado"))</f>
        <v/>
      </c>
      <c r="D342" s="35" t="str">
        <f aca="false">IF(B342="","",IFERROR(INDEX(Leads!$G$2:$G$5001,MATCH(B342,Leads!$A$2:$A$5001,0)),""))</f>
        <v/>
      </c>
      <c r="E342" s="32"/>
      <c r="F342" s="32"/>
      <c r="G342" s="32"/>
    </row>
    <row r="343" customFormat="false" ht="15" hidden="false" customHeight="false" outlineLevel="0" collapsed="false">
      <c r="A343" s="31"/>
      <c r="B343" s="32"/>
      <c r="C343" s="35" t="str">
        <f aca="false">IF(B343="","",IFERROR(INDEX(Leads!$C$2:$C$5001,MATCH(B343,Leads!$A$2:$A$5001,0))&amp;" "&amp;INDEX(Leads!$D$2:$D$5001,MATCH(B343,Leads!$A$2:$A$5001,0)),"N° no encontrado"))</f>
        <v/>
      </c>
      <c r="D343" s="35" t="str">
        <f aca="false">IF(B343="","",IFERROR(INDEX(Leads!$G$2:$G$5001,MATCH(B343,Leads!$A$2:$A$5001,0)),""))</f>
        <v/>
      </c>
      <c r="E343" s="32"/>
      <c r="F343" s="32"/>
      <c r="G343" s="32"/>
    </row>
    <row r="344" customFormat="false" ht="15" hidden="false" customHeight="false" outlineLevel="0" collapsed="false">
      <c r="A344" s="31"/>
      <c r="B344" s="32"/>
      <c r="C344" s="35" t="str">
        <f aca="false">IF(B344="","",IFERROR(INDEX(Leads!$C$2:$C$5001,MATCH(B344,Leads!$A$2:$A$5001,0))&amp;" "&amp;INDEX(Leads!$D$2:$D$5001,MATCH(B344,Leads!$A$2:$A$5001,0)),"N° no encontrado"))</f>
        <v/>
      </c>
      <c r="D344" s="35" t="str">
        <f aca="false">IF(B344="","",IFERROR(INDEX(Leads!$G$2:$G$5001,MATCH(B344,Leads!$A$2:$A$5001,0)),""))</f>
        <v/>
      </c>
      <c r="E344" s="32"/>
      <c r="F344" s="32"/>
      <c r="G344" s="32"/>
    </row>
    <row r="345" customFormat="false" ht="15" hidden="false" customHeight="false" outlineLevel="0" collapsed="false">
      <c r="A345" s="31"/>
      <c r="B345" s="32"/>
      <c r="C345" s="35" t="str">
        <f aca="false">IF(B345="","",IFERROR(INDEX(Leads!$C$2:$C$5001,MATCH(B345,Leads!$A$2:$A$5001,0))&amp;" "&amp;INDEX(Leads!$D$2:$D$5001,MATCH(B345,Leads!$A$2:$A$5001,0)),"N° no encontrado"))</f>
        <v/>
      </c>
      <c r="D345" s="35" t="str">
        <f aca="false">IF(B345="","",IFERROR(INDEX(Leads!$G$2:$G$5001,MATCH(B345,Leads!$A$2:$A$5001,0)),""))</f>
        <v/>
      </c>
      <c r="E345" s="32"/>
      <c r="F345" s="32"/>
      <c r="G345" s="32"/>
    </row>
    <row r="346" customFormat="false" ht="15" hidden="false" customHeight="false" outlineLevel="0" collapsed="false">
      <c r="A346" s="31"/>
      <c r="B346" s="32"/>
      <c r="C346" s="35" t="str">
        <f aca="false">IF(B346="","",IFERROR(INDEX(Leads!$C$2:$C$5001,MATCH(B346,Leads!$A$2:$A$5001,0))&amp;" "&amp;INDEX(Leads!$D$2:$D$5001,MATCH(B346,Leads!$A$2:$A$5001,0)),"N° no encontrado"))</f>
        <v/>
      </c>
      <c r="D346" s="35" t="str">
        <f aca="false">IF(B346="","",IFERROR(INDEX(Leads!$G$2:$G$5001,MATCH(B346,Leads!$A$2:$A$5001,0)),""))</f>
        <v/>
      </c>
      <c r="E346" s="32"/>
      <c r="F346" s="32"/>
      <c r="G346" s="32"/>
    </row>
    <row r="347" customFormat="false" ht="15" hidden="false" customHeight="false" outlineLevel="0" collapsed="false">
      <c r="A347" s="31"/>
      <c r="B347" s="32"/>
      <c r="C347" s="35" t="str">
        <f aca="false">IF(B347="","",IFERROR(INDEX(Leads!$C$2:$C$5001,MATCH(B347,Leads!$A$2:$A$5001,0))&amp;" "&amp;INDEX(Leads!$D$2:$D$5001,MATCH(B347,Leads!$A$2:$A$5001,0)),"N° no encontrado"))</f>
        <v/>
      </c>
      <c r="D347" s="35" t="str">
        <f aca="false">IF(B347="","",IFERROR(INDEX(Leads!$G$2:$G$5001,MATCH(B347,Leads!$A$2:$A$5001,0)),""))</f>
        <v/>
      </c>
      <c r="E347" s="32"/>
      <c r="F347" s="32"/>
      <c r="G347" s="32"/>
    </row>
    <row r="348" customFormat="false" ht="15" hidden="false" customHeight="false" outlineLevel="0" collapsed="false">
      <c r="A348" s="31"/>
      <c r="B348" s="32"/>
      <c r="C348" s="35" t="str">
        <f aca="false">IF(B348="","",IFERROR(INDEX(Leads!$C$2:$C$5001,MATCH(B348,Leads!$A$2:$A$5001,0))&amp;" "&amp;INDEX(Leads!$D$2:$D$5001,MATCH(B348,Leads!$A$2:$A$5001,0)),"N° no encontrado"))</f>
        <v/>
      </c>
      <c r="D348" s="35" t="str">
        <f aca="false">IF(B348="","",IFERROR(INDEX(Leads!$G$2:$G$5001,MATCH(B348,Leads!$A$2:$A$5001,0)),""))</f>
        <v/>
      </c>
      <c r="E348" s="32"/>
      <c r="F348" s="32"/>
      <c r="G348" s="32"/>
    </row>
    <row r="349" customFormat="false" ht="15" hidden="false" customHeight="false" outlineLevel="0" collapsed="false">
      <c r="A349" s="31"/>
      <c r="B349" s="32"/>
      <c r="C349" s="35" t="str">
        <f aca="false">IF(B349="","",IFERROR(INDEX(Leads!$C$2:$C$5001,MATCH(B349,Leads!$A$2:$A$5001,0))&amp;" "&amp;INDEX(Leads!$D$2:$D$5001,MATCH(B349,Leads!$A$2:$A$5001,0)),"N° no encontrado"))</f>
        <v/>
      </c>
      <c r="D349" s="35" t="str">
        <f aca="false">IF(B349="","",IFERROR(INDEX(Leads!$G$2:$G$5001,MATCH(B349,Leads!$A$2:$A$5001,0)),""))</f>
        <v/>
      </c>
      <c r="E349" s="32"/>
      <c r="F349" s="32"/>
      <c r="G349" s="32"/>
    </row>
    <row r="350" customFormat="false" ht="15" hidden="false" customHeight="false" outlineLevel="0" collapsed="false">
      <c r="A350" s="31"/>
      <c r="B350" s="32"/>
      <c r="C350" s="35" t="str">
        <f aca="false">IF(B350="","",IFERROR(INDEX(Leads!$C$2:$C$5001,MATCH(B350,Leads!$A$2:$A$5001,0))&amp;" "&amp;INDEX(Leads!$D$2:$D$5001,MATCH(B350,Leads!$A$2:$A$5001,0)),"N° no encontrado"))</f>
        <v/>
      </c>
      <c r="D350" s="35" t="str">
        <f aca="false">IF(B350="","",IFERROR(INDEX(Leads!$G$2:$G$5001,MATCH(B350,Leads!$A$2:$A$5001,0)),""))</f>
        <v/>
      </c>
      <c r="E350" s="32"/>
      <c r="F350" s="32"/>
      <c r="G350" s="32"/>
    </row>
    <row r="351" customFormat="false" ht="15" hidden="false" customHeight="false" outlineLevel="0" collapsed="false">
      <c r="A351" s="31"/>
      <c r="B351" s="32"/>
      <c r="C351" s="35" t="str">
        <f aca="false">IF(B351="","",IFERROR(INDEX(Leads!$C$2:$C$5001,MATCH(B351,Leads!$A$2:$A$5001,0))&amp;" "&amp;INDEX(Leads!$D$2:$D$5001,MATCH(B351,Leads!$A$2:$A$5001,0)),"N° no encontrado"))</f>
        <v/>
      </c>
      <c r="D351" s="35" t="str">
        <f aca="false">IF(B351="","",IFERROR(INDEX(Leads!$G$2:$G$5001,MATCH(B351,Leads!$A$2:$A$5001,0)),""))</f>
        <v/>
      </c>
      <c r="E351" s="32"/>
      <c r="F351" s="32"/>
      <c r="G351" s="32"/>
    </row>
    <row r="352" customFormat="false" ht="15" hidden="false" customHeight="false" outlineLevel="0" collapsed="false">
      <c r="A352" s="31"/>
      <c r="B352" s="32"/>
      <c r="C352" s="35" t="str">
        <f aca="false">IF(B352="","",IFERROR(INDEX(Leads!$C$2:$C$5001,MATCH(B352,Leads!$A$2:$A$5001,0))&amp;" "&amp;INDEX(Leads!$D$2:$D$5001,MATCH(B352,Leads!$A$2:$A$5001,0)),"N° no encontrado"))</f>
        <v/>
      </c>
      <c r="D352" s="35" t="str">
        <f aca="false">IF(B352="","",IFERROR(INDEX(Leads!$G$2:$G$5001,MATCH(B352,Leads!$A$2:$A$5001,0)),""))</f>
        <v/>
      </c>
      <c r="E352" s="32"/>
      <c r="F352" s="32"/>
      <c r="G352" s="32"/>
    </row>
    <row r="353" customFormat="false" ht="15" hidden="false" customHeight="false" outlineLevel="0" collapsed="false">
      <c r="A353" s="31"/>
      <c r="B353" s="32"/>
      <c r="C353" s="35" t="str">
        <f aca="false">IF(B353="","",IFERROR(INDEX(Leads!$C$2:$C$5001,MATCH(B353,Leads!$A$2:$A$5001,0))&amp;" "&amp;INDEX(Leads!$D$2:$D$5001,MATCH(B353,Leads!$A$2:$A$5001,0)),"N° no encontrado"))</f>
        <v/>
      </c>
      <c r="D353" s="35" t="str">
        <f aca="false">IF(B353="","",IFERROR(INDEX(Leads!$G$2:$G$5001,MATCH(B353,Leads!$A$2:$A$5001,0)),""))</f>
        <v/>
      </c>
      <c r="E353" s="32"/>
      <c r="F353" s="32"/>
      <c r="G353" s="32"/>
    </row>
    <row r="354" customFormat="false" ht="15" hidden="false" customHeight="false" outlineLevel="0" collapsed="false">
      <c r="A354" s="31"/>
      <c r="B354" s="32"/>
      <c r="C354" s="35" t="str">
        <f aca="false">IF(B354="","",IFERROR(INDEX(Leads!$C$2:$C$5001,MATCH(B354,Leads!$A$2:$A$5001,0))&amp;" "&amp;INDEX(Leads!$D$2:$D$5001,MATCH(B354,Leads!$A$2:$A$5001,0)),"N° no encontrado"))</f>
        <v/>
      </c>
      <c r="D354" s="35" t="str">
        <f aca="false">IF(B354="","",IFERROR(INDEX(Leads!$G$2:$G$5001,MATCH(B354,Leads!$A$2:$A$5001,0)),""))</f>
        <v/>
      </c>
      <c r="E354" s="32"/>
      <c r="F354" s="32"/>
      <c r="G354" s="32"/>
    </row>
    <row r="355" customFormat="false" ht="15" hidden="false" customHeight="false" outlineLevel="0" collapsed="false">
      <c r="A355" s="31"/>
      <c r="B355" s="32"/>
      <c r="C355" s="35" t="str">
        <f aca="false">IF(B355="","",IFERROR(INDEX(Leads!$C$2:$C$5001,MATCH(B355,Leads!$A$2:$A$5001,0))&amp;" "&amp;INDEX(Leads!$D$2:$D$5001,MATCH(B355,Leads!$A$2:$A$5001,0)),"N° no encontrado"))</f>
        <v/>
      </c>
      <c r="D355" s="35" t="str">
        <f aca="false">IF(B355="","",IFERROR(INDEX(Leads!$G$2:$G$5001,MATCH(B355,Leads!$A$2:$A$5001,0)),""))</f>
        <v/>
      </c>
      <c r="E355" s="32"/>
      <c r="F355" s="32"/>
      <c r="G355" s="32"/>
    </row>
    <row r="356" customFormat="false" ht="15" hidden="false" customHeight="false" outlineLevel="0" collapsed="false">
      <c r="A356" s="31"/>
      <c r="B356" s="32"/>
      <c r="C356" s="35" t="str">
        <f aca="false">IF(B356="","",IFERROR(INDEX(Leads!$C$2:$C$5001,MATCH(B356,Leads!$A$2:$A$5001,0))&amp;" "&amp;INDEX(Leads!$D$2:$D$5001,MATCH(B356,Leads!$A$2:$A$5001,0)),"N° no encontrado"))</f>
        <v/>
      </c>
      <c r="D356" s="35" t="str">
        <f aca="false">IF(B356="","",IFERROR(INDEX(Leads!$G$2:$G$5001,MATCH(B356,Leads!$A$2:$A$5001,0)),""))</f>
        <v/>
      </c>
      <c r="E356" s="32"/>
      <c r="F356" s="32"/>
      <c r="G356" s="32"/>
    </row>
    <row r="357" customFormat="false" ht="15" hidden="false" customHeight="false" outlineLevel="0" collapsed="false">
      <c r="A357" s="31"/>
      <c r="B357" s="32"/>
      <c r="C357" s="35" t="str">
        <f aca="false">IF(B357="","",IFERROR(INDEX(Leads!$C$2:$C$5001,MATCH(B357,Leads!$A$2:$A$5001,0))&amp;" "&amp;INDEX(Leads!$D$2:$D$5001,MATCH(B357,Leads!$A$2:$A$5001,0)),"N° no encontrado"))</f>
        <v/>
      </c>
      <c r="D357" s="35" t="str">
        <f aca="false">IF(B357="","",IFERROR(INDEX(Leads!$G$2:$G$5001,MATCH(B357,Leads!$A$2:$A$5001,0)),""))</f>
        <v/>
      </c>
      <c r="E357" s="32"/>
      <c r="F357" s="32"/>
      <c r="G357" s="32"/>
    </row>
    <row r="358" customFormat="false" ht="15" hidden="false" customHeight="false" outlineLevel="0" collapsed="false">
      <c r="A358" s="31"/>
      <c r="B358" s="32"/>
      <c r="C358" s="35" t="str">
        <f aca="false">IF(B358="","",IFERROR(INDEX(Leads!$C$2:$C$5001,MATCH(B358,Leads!$A$2:$A$5001,0))&amp;" "&amp;INDEX(Leads!$D$2:$D$5001,MATCH(B358,Leads!$A$2:$A$5001,0)),"N° no encontrado"))</f>
        <v/>
      </c>
      <c r="D358" s="35" t="str">
        <f aca="false">IF(B358="","",IFERROR(INDEX(Leads!$G$2:$G$5001,MATCH(B358,Leads!$A$2:$A$5001,0)),""))</f>
        <v/>
      </c>
      <c r="E358" s="32"/>
      <c r="F358" s="32"/>
      <c r="G358" s="32"/>
    </row>
    <row r="359" customFormat="false" ht="15" hidden="false" customHeight="false" outlineLevel="0" collapsed="false">
      <c r="A359" s="31"/>
      <c r="B359" s="32"/>
      <c r="C359" s="35" t="str">
        <f aca="false">IF(B359="","",IFERROR(INDEX(Leads!$C$2:$C$5001,MATCH(B359,Leads!$A$2:$A$5001,0))&amp;" "&amp;INDEX(Leads!$D$2:$D$5001,MATCH(B359,Leads!$A$2:$A$5001,0)),"N° no encontrado"))</f>
        <v/>
      </c>
      <c r="D359" s="35" t="str">
        <f aca="false">IF(B359="","",IFERROR(INDEX(Leads!$G$2:$G$5001,MATCH(B359,Leads!$A$2:$A$5001,0)),""))</f>
        <v/>
      </c>
      <c r="E359" s="32"/>
      <c r="F359" s="32"/>
      <c r="G359" s="32"/>
    </row>
    <row r="360" customFormat="false" ht="15" hidden="false" customHeight="false" outlineLevel="0" collapsed="false">
      <c r="A360" s="31"/>
      <c r="B360" s="32"/>
      <c r="C360" s="35" t="str">
        <f aca="false">IF(B360="","",IFERROR(INDEX(Leads!$C$2:$C$5001,MATCH(B360,Leads!$A$2:$A$5001,0))&amp;" "&amp;INDEX(Leads!$D$2:$D$5001,MATCH(B360,Leads!$A$2:$A$5001,0)),"N° no encontrado"))</f>
        <v/>
      </c>
      <c r="D360" s="35" t="str">
        <f aca="false">IF(B360="","",IFERROR(INDEX(Leads!$G$2:$G$5001,MATCH(B360,Leads!$A$2:$A$5001,0)),""))</f>
        <v/>
      </c>
      <c r="E360" s="32"/>
      <c r="F360" s="32"/>
      <c r="G360" s="32"/>
    </row>
    <row r="361" customFormat="false" ht="15" hidden="false" customHeight="false" outlineLevel="0" collapsed="false">
      <c r="A361" s="31"/>
      <c r="B361" s="32"/>
      <c r="C361" s="35" t="str">
        <f aca="false">IF(B361="","",IFERROR(INDEX(Leads!$C$2:$C$5001,MATCH(B361,Leads!$A$2:$A$5001,0))&amp;" "&amp;INDEX(Leads!$D$2:$D$5001,MATCH(B361,Leads!$A$2:$A$5001,0)),"N° no encontrado"))</f>
        <v/>
      </c>
      <c r="D361" s="35" t="str">
        <f aca="false">IF(B361="","",IFERROR(INDEX(Leads!$G$2:$G$5001,MATCH(B361,Leads!$A$2:$A$5001,0)),""))</f>
        <v/>
      </c>
      <c r="E361" s="32"/>
      <c r="F361" s="32"/>
      <c r="G361" s="32"/>
    </row>
    <row r="362" customFormat="false" ht="15" hidden="false" customHeight="false" outlineLevel="0" collapsed="false">
      <c r="A362" s="31"/>
      <c r="B362" s="32"/>
      <c r="C362" s="35" t="str">
        <f aca="false">IF(B362="","",IFERROR(INDEX(Leads!$C$2:$C$5001,MATCH(B362,Leads!$A$2:$A$5001,0))&amp;" "&amp;INDEX(Leads!$D$2:$D$5001,MATCH(B362,Leads!$A$2:$A$5001,0)),"N° no encontrado"))</f>
        <v/>
      </c>
      <c r="D362" s="35" t="str">
        <f aca="false">IF(B362="","",IFERROR(INDEX(Leads!$G$2:$G$5001,MATCH(B362,Leads!$A$2:$A$5001,0)),""))</f>
        <v/>
      </c>
      <c r="E362" s="32"/>
      <c r="F362" s="32"/>
      <c r="G362" s="32"/>
    </row>
    <row r="363" customFormat="false" ht="15" hidden="false" customHeight="false" outlineLevel="0" collapsed="false">
      <c r="A363" s="31"/>
      <c r="B363" s="32"/>
      <c r="C363" s="35" t="str">
        <f aca="false">IF(B363="","",IFERROR(INDEX(Leads!$C$2:$C$5001,MATCH(B363,Leads!$A$2:$A$5001,0))&amp;" "&amp;INDEX(Leads!$D$2:$D$5001,MATCH(B363,Leads!$A$2:$A$5001,0)),"N° no encontrado"))</f>
        <v/>
      </c>
      <c r="D363" s="35" t="str">
        <f aca="false">IF(B363="","",IFERROR(INDEX(Leads!$G$2:$G$5001,MATCH(B363,Leads!$A$2:$A$5001,0)),""))</f>
        <v/>
      </c>
      <c r="E363" s="32"/>
      <c r="F363" s="32"/>
      <c r="G363" s="32"/>
    </row>
    <row r="364" customFormat="false" ht="15" hidden="false" customHeight="false" outlineLevel="0" collapsed="false">
      <c r="A364" s="31"/>
      <c r="B364" s="32"/>
      <c r="C364" s="35" t="str">
        <f aca="false">IF(B364="","",IFERROR(INDEX(Leads!$C$2:$C$5001,MATCH(B364,Leads!$A$2:$A$5001,0))&amp;" "&amp;INDEX(Leads!$D$2:$D$5001,MATCH(B364,Leads!$A$2:$A$5001,0)),"N° no encontrado"))</f>
        <v/>
      </c>
      <c r="D364" s="35" t="str">
        <f aca="false">IF(B364="","",IFERROR(INDEX(Leads!$G$2:$G$5001,MATCH(B364,Leads!$A$2:$A$5001,0)),""))</f>
        <v/>
      </c>
      <c r="E364" s="32"/>
      <c r="F364" s="32"/>
      <c r="G364" s="32"/>
    </row>
    <row r="365" customFormat="false" ht="15" hidden="false" customHeight="false" outlineLevel="0" collapsed="false">
      <c r="A365" s="31"/>
      <c r="B365" s="32"/>
      <c r="C365" s="35" t="str">
        <f aca="false">IF(B365="","",IFERROR(INDEX(Leads!$C$2:$C$5001,MATCH(B365,Leads!$A$2:$A$5001,0))&amp;" "&amp;INDEX(Leads!$D$2:$D$5001,MATCH(B365,Leads!$A$2:$A$5001,0)),"N° no encontrado"))</f>
        <v/>
      </c>
      <c r="D365" s="35" t="str">
        <f aca="false">IF(B365="","",IFERROR(INDEX(Leads!$G$2:$G$5001,MATCH(B365,Leads!$A$2:$A$5001,0)),""))</f>
        <v/>
      </c>
      <c r="E365" s="32"/>
      <c r="F365" s="32"/>
      <c r="G365" s="32"/>
    </row>
    <row r="366" customFormat="false" ht="15" hidden="false" customHeight="false" outlineLevel="0" collapsed="false">
      <c r="A366" s="31"/>
      <c r="B366" s="32"/>
      <c r="C366" s="35" t="str">
        <f aca="false">IF(B366="","",IFERROR(INDEX(Leads!$C$2:$C$5001,MATCH(B366,Leads!$A$2:$A$5001,0))&amp;" "&amp;INDEX(Leads!$D$2:$D$5001,MATCH(B366,Leads!$A$2:$A$5001,0)),"N° no encontrado"))</f>
        <v/>
      </c>
      <c r="D366" s="35" t="str">
        <f aca="false">IF(B366="","",IFERROR(INDEX(Leads!$G$2:$G$5001,MATCH(B366,Leads!$A$2:$A$5001,0)),""))</f>
        <v/>
      </c>
      <c r="E366" s="32"/>
      <c r="F366" s="32"/>
      <c r="G366" s="32"/>
    </row>
    <row r="367" customFormat="false" ht="15" hidden="false" customHeight="false" outlineLevel="0" collapsed="false">
      <c r="A367" s="31"/>
      <c r="B367" s="32"/>
      <c r="C367" s="35" t="str">
        <f aca="false">IF(B367="","",IFERROR(INDEX(Leads!$C$2:$C$5001,MATCH(B367,Leads!$A$2:$A$5001,0))&amp;" "&amp;INDEX(Leads!$D$2:$D$5001,MATCH(B367,Leads!$A$2:$A$5001,0)),"N° no encontrado"))</f>
        <v/>
      </c>
      <c r="D367" s="35" t="str">
        <f aca="false">IF(B367="","",IFERROR(INDEX(Leads!$G$2:$G$5001,MATCH(B367,Leads!$A$2:$A$5001,0)),""))</f>
        <v/>
      </c>
      <c r="E367" s="32"/>
      <c r="F367" s="32"/>
      <c r="G367" s="32"/>
    </row>
    <row r="368" customFormat="false" ht="15" hidden="false" customHeight="false" outlineLevel="0" collapsed="false">
      <c r="A368" s="31"/>
      <c r="B368" s="32"/>
      <c r="C368" s="35" t="str">
        <f aca="false">IF(B368="","",IFERROR(INDEX(Leads!$C$2:$C$5001,MATCH(B368,Leads!$A$2:$A$5001,0))&amp;" "&amp;INDEX(Leads!$D$2:$D$5001,MATCH(B368,Leads!$A$2:$A$5001,0)),"N° no encontrado"))</f>
        <v/>
      </c>
      <c r="D368" s="35" t="str">
        <f aca="false">IF(B368="","",IFERROR(INDEX(Leads!$G$2:$G$5001,MATCH(B368,Leads!$A$2:$A$5001,0)),""))</f>
        <v/>
      </c>
      <c r="E368" s="32"/>
      <c r="F368" s="32"/>
      <c r="G368" s="32"/>
    </row>
    <row r="369" customFormat="false" ht="15" hidden="false" customHeight="false" outlineLevel="0" collapsed="false">
      <c r="A369" s="31"/>
      <c r="B369" s="32"/>
      <c r="C369" s="35" t="str">
        <f aca="false">IF(B369="","",IFERROR(INDEX(Leads!$C$2:$C$5001,MATCH(B369,Leads!$A$2:$A$5001,0))&amp;" "&amp;INDEX(Leads!$D$2:$D$5001,MATCH(B369,Leads!$A$2:$A$5001,0)),"N° no encontrado"))</f>
        <v/>
      </c>
      <c r="D369" s="35" t="str">
        <f aca="false">IF(B369="","",IFERROR(INDEX(Leads!$G$2:$G$5001,MATCH(B369,Leads!$A$2:$A$5001,0)),""))</f>
        <v/>
      </c>
      <c r="E369" s="32"/>
      <c r="F369" s="32"/>
      <c r="G369" s="32"/>
    </row>
    <row r="370" customFormat="false" ht="15" hidden="false" customHeight="false" outlineLevel="0" collapsed="false">
      <c r="A370" s="31"/>
      <c r="B370" s="32"/>
      <c r="C370" s="35" t="str">
        <f aca="false">IF(B370="","",IFERROR(INDEX(Leads!$C$2:$C$5001,MATCH(B370,Leads!$A$2:$A$5001,0))&amp;" "&amp;INDEX(Leads!$D$2:$D$5001,MATCH(B370,Leads!$A$2:$A$5001,0)),"N° no encontrado"))</f>
        <v/>
      </c>
      <c r="D370" s="35" t="str">
        <f aca="false">IF(B370="","",IFERROR(INDEX(Leads!$G$2:$G$5001,MATCH(B370,Leads!$A$2:$A$5001,0)),""))</f>
        <v/>
      </c>
      <c r="E370" s="32"/>
      <c r="F370" s="32"/>
      <c r="G370" s="32"/>
    </row>
    <row r="371" customFormat="false" ht="15" hidden="false" customHeight="false" outlineLevel="0" collapsed="false">
      <c r="A371" s="31"/>
      <c r="B371" s="32"/>
      <c r="C371" s="35" t="str">
        <f aca="false">IF(B371="","",IFERROR(INDEX(Leads!$C$2:$C$5001,MATCH(B371,Leads!$A$2:$A$5001,0))&amp;" "&amp;INDEX(Leads!$D$2:$D$5001,MATCH(B371,Leads!$A$2:$A$5001,0)),"N° no encontrado"))</f>
        <v/>
      </c>
      <c r="D371" s="35" t="str">
        <f aca="false">IF(B371="","",IFERROR(INDEX(Leads!$G$2:$G$5001,MATCH(B371,Leads!$A$2:$A$5001,0)),""))</f>
        <v/>
      </c>
      <c r="E371" s="32"/>
      <c r="F371" s="32"/>
      <c r="G371" s="32"/>
    </row>
    <row r="372" customFormat="false" ht="15" hidden="false" customHeight="false" outlineLevel="0" collapsed="false">
      <c r="A372" s="31"/>
      <c r="B372" s="32"/>
      <c r="C372" s="35" t="str">
        <f aca="false">IF(B372="","",IFERROR(INDEX(Leads!$C$2:$C$5001,MATCH(B372,Leads!$A$2:$A$5001,0))&amp;" "&amp;INDEX(Leads!$D$2:$D$5001,MATCH(B372,Leads!$A$2:$A$5001,0)),"N° no encontrado"))</f>
        <v/>
      </c>
      <c r="D372" s="35" t="str">
        <f aca="false">IF(B372="","",IFERROR(INDEX(Leads!$G$2:$G$5001,MATCH(B372,Leads!$A$2:$A$5001,0)),""))</f>
        <v/>
      </c>
      <c r="E372" s="32"/>
      <c r="F372" s="32"/>
      <c r="G372" s="32"/>
    </row>
    <row r="373" customFormat="false" ht="15" hidden="false" customHeight="false" outlineLevel="0" collapsed="false">
      <c r="A373" s="31"/>
      <c r="B373" s="32"/>
      <c r="C373" s="35" t="str">
        <f aca="false">IF(B373="","",IFERROR(INDEX(Leads!$C$2:$C$5001,MATCH(B373,Leads!$A$2:$A$5001,0))&amp;" "&amp;INDEX(Leads!$D$2:$D$5001,MATCH(B373,Leads!$A$2:$A$5001,0)),"N° no encontrado"))</f>
        <v/>
      </c>
      <c r="D373" s="35" t="str">
        <f aca="false">IF(B373="","",IFERROR(INDEX(Leads!$G$2:$G$5001,MATCH(B373,Leads!$A$2:$A$5001,0)),""))</f>
        <v/>
      </c>
      <c r="E373" s="32"/>
      <c r="F373" s="32"/>
      <c r="G373" s="32"/>
    </row>
    <row r="374" customFormat="false" ht="15" hidden="false" customHeight="false" outlineLevel="0" collapsed="false">
      <c r="A374" s="31"/>
      <c r="B374" s="32"/>
      <c r="C374" s="35" t="str">
        <f aca="false">IF(B374="","",IFERROR(INDEX(Leads!$C$2:$C$5001,MATCH(B374,Leads!$A$2:$A$5001,0))&amp;" "&amp;INDEX(Leads!$D$2:$D$5001,MATCH(B374,Leads!$A$2:$A$5001,0)),"N° no encontrado"))</f>
        <v/>
      </c>
      <c r="D374" s="35" t="str">
        <f aca="false">IF(B374="","",IFERROR(INDEX(Leads!$G$2:$G$5001,MATCH(B374,Leads!$A$2:$A$5001,0)),""))</f>
        <v/>
      </c>
      <c r="E374" s="32"/>
      <c r="F374" s="32"/>
      <c r="G374" s="32"/>
    </row>
    <row r="375" customFormat="false" ht="15" hidden="false" customHeight="false" outlineLevel="0" collapsed="false">
      <c r="A375" s="31"/>
      <c r="B375" s="32"/>
      <c r="C375" s="35" t="str">
        <f aca="false">IF(B375="","",IFERROR(INDEX(Leads!$C$2:$C$5001,MATCH(B375,Leads!$A$2:$A$5001,0))&amp;" "&amp;INDEX(Leads!$D$2:$D$5001,MATCH(B375,Leads!$A$2:$A$5001,0)),"N° no encontrado"))</f>
        <v/>
      </c>
      <c r="D375" s="35" t="str">
        <f aca="false">IF(B375="","",IFERROR(INDEX(Leads!$G$2:$G$5001,MATCH(B375,Leads!$A$2:$A$5001,0)),""))</f>
        <v/>
      </c>
      <c r="E375" s="32"/>
      <c r="F375" s="32"/>
      <c r="G375" s="32"/>
    </row>
    <row r="376" customFormat="false" ht="15" hidden="false" customHeight="false" outlineLevel="0" collapsed="false">
      <c r="A376" s="31"/>
      <c r="B376" s="32"/>
      <c r="C376" s="35" t="str">
        <f aca="false">IF(B376="","",IFERROR(INDEX(Leads!$C$2:$C$5001,MATCH(B376,Leads!$A$2:$A$5001,0))&amp;" "&amp;INDEX(Leads!$D$2:$D$5001,MATCH(B376,Leads!$A$2:$A$5001,0)),"N° no encontrado"))</f>
        <v/>
      </c>
      <c r="D376" s="35" t="str">
        <f aca="false">IF(B376="","",IFERROR(INDEX(Leads!$G$2:$G$5001,MATCH(B376,Leads!$A$2:$A$5001,0)),""))</f>
        <v/>
      </c>
      <c r="E376" s="32"/>
      <c r="F376" s="32"/>
      <c r="G376" s="32"/>
    </row>
    <row r="377" customFormat="false" ht="15" hidden="false" customHeight="false" outlineLevel="0" collapsed="false">
      <c r="A377" s="31"/>
      <c r="B377" s="32"/>
      <c r="C377" s="35" t="str">
        <f aca="false">IF(B377="","",IFERROR(INDEX(Leads!$C$2:$C$5001,MATCH(B377,Leads!$A$2:$A$5001,0))&amp;" "&amp;INDEX(Leads!$D$2:$D$5001,MATCH(B377,Leads!$A$2:$A$5001,0)),"N° no encontrado"))</f>
        <v/>
      </c>
      <c r="D377" s="35" t="str">
        <f aca="false">IF(B377="","",IFERROR(INDEX(Leads!$G$2:$G$5001,MATCH(B377,Leads!$A$2:$A$5001,0)),""))</f>
        <v/>
      </c>
      <c r="E377" s="32"/>
      <c r="F377" s="32"/>
      <c r="G377" s="32"/>
    </row>
    <row r="378" customFormat="false" ht="15" hidden="false" customHeight="false" outlineLevel="0" collapsed="false">
      <c r="A378" s="31"/>
      <c r="B378" s="32"/>
      <c r="C378" s="35" t="str">
        <f aca="false">IF(B378="","",IFERROR(INDEX(Leads!$C$2:$C$5001,MATCH(B378,Leads!$A$2:$A$5001,0))&amp;" "&amp;INDEX(Leads!$D$2:$D$5001,MATCH(B378,Leads!$A$2:$A$5001,0)),"N° no encontrado"))</f>
        <v/>
      </c>
      <c r="D378" s="35" t="str">
        <f aca="false">IF(B378="","",IFERROR(INDEX(Leads!$G$2:$G$5001,MATCH(B378,Leads!$A$2:$A$5001,0)),""))</f>
        <v/>
      </c>
      <c r="E378" s="32"/>
      <c r="F378" s="32"/>
      <c r="G378" s="32"/>
    </row>
    <row r="379" customFormat="false" ht="15" hidden="false" customHeight="false" outlineLevel="0" collapsed="false">
      <c r="A379" s="31"/>
      <c r="B379" s="32"/>
      <c r="C379" s="35" t="str">
        <f aca="false">IF(B379="","",IFERROR(INDEX(Leads!$C$2:$C$5001,MATCH(B379,Leads!$A$2:$A$5001,0))&amp;" "&amp;INDEX(Leads!$D$2:$D$5001,MATCH(B379,Leads!$A$2:$A$5001,0)),"N° no encontrado"))</f>
        <v/>
      </c>
      <c r="D379" s="35" t="str">
        <f aca="false">IF(B379="","",IFERROR(INDEX(Leads!$G$2:$G$5001,MATCH(B379,Leads!$A$2:$A$5001,0)),""))</f>
        <v/>
      </c>
      <c r="E379" s="32"/>
      <c r="F379" s="32"/>
      <c r="G379" s="32"/>
    </row>
    <row r="380" customFormat="false" ht="15" hidden="false" customHeight="false" outlineLevel="0" collapsed="false">
      <c r="A380" s="31"/>
      <c r="B380" s="32"/>
      <c r="C380" s="35" t="str">
        <f aca="false">IF(B380="","",IFERROR(INDEX(Leads!$C$2:$C$5001,MATCH(B380,Leads!$A$2:$A$5001,0))&amp;" "&amp;INDEX(Leads!$D$2:$D$5001,MATCH(B380,Leads!$A$2:$A$5001,0)),"N° no encontrado"))</f>
        <v/>
      </c>
      <c r="D380" s="35" t="str">
        <f aca="false">IF(B380="","",IFERROR(INDEX(Leads!$G$2:$G$5001,MATCH(B380,Leads!$A$2:$A$5001,0)),""))</f>
        <v/>
      </c>
      <c r="E380" s="32"/>
      <c r="F380" s="32"/>
      <c r="G380" s="32"/>
    </row>
    <row r="381" customFormat="false" ht="15" hidden="false" customHeight="false" outlineLevel="0" collapsed="false">
      <c r="A381" s="31"/>
      <c r="B381" s="32"/>
      <c r="C381" s="35" t="str">
        <f aca="false">IF(B381="","",IFERROR(INDEX(Leads!$C$2:$C$5001,MATCH(B381,Leads!$A$2:$A$5001,0))&amp;" "&amp;INDEX(Leads!$D$2:$D$5001,MATCH(B381,Leads!$A$2:$A$5001,0)),"N° no encontrado"))</f>
        <v/>
      </c>
      <c r="D381" s="35" t="str">
        <f aca="false">IF(B381="","",IFERROR(INDEX(Leads!$G$2:$G$5001,MATCH(B381,Leads!$A$2:$A$5001,0)),""))</f>
        <v/>
      </c>
      <c r="E381" s="32"/>
      <c r="F381" s="32"/>
      <c r="G381" s="32"/>
    </row>
    <row r="382" customFormat="false" ht="15" hidden="false" customHeight="false" outlineLevel="0" collapsed="false">
      <c r="A382" s="31"/>
      <c r="B382" s="32"/>
      <c r="C382" s="35" t="str">
        <f aca="false">IF(B382="","",IFERROR(INDEX(Leads!$C$2:$C$5001,MATCH(B382,Leads!$A$2:$A$5001,0))&amp;" "&amp;INDEX(Leads!$D$2:$D$5001,MATCH(B382,Leads!$A$2:$A$5001,0)),"N° no encontrado"))</f>
        <v/>
      </c>
      <c r="D382" s="35" t="str">
        <f aca="false">IF(B382="","",IFERROR(INDEX(Leads!$G$2:$G$5001,MATCH(B382,Leads!$A$2:$A$5001,0)),""))</f>
        <v/>
      </c>
      <c r="E382" s="32"/>
      <c r="F382" s="32"/>
      <c r="G382" s="32"/>
    </row>
    <row r="383" customFormat="false" ht="15" hidden="false" customHeight="false" outlineLevel="0" collapsed="false">
      <c r="A383" s="31"/>
      <c r="B383" s="32"/>
      <c r="C383" s="35" t="str">
        <f aca="false">IF(B383="","",IFERROR(INDEX(Leads!$C$2:$C$5001,MATCH(B383,Leads!$A$2:$A$5001,0))&amp;" "&amp;INDEX(Leads!$D$2:$D$5001,MATCH(B383,Leads!$A$2:$A$5001,0)),"N° no encontrado"))</f>
        <v/>
      </c>
      <c r="D383" s="35" t="str">
        <f aca="false">IF(B383="","",IFERROR(INDEX(Leads!$G$2:$G$5001,MATCH(B383,Leads!$A$2:$A$5001,0)),""))</f>
        <v/>
      </c>
      <c r="E383" s="32"/>
      <c r="F383" s="32"/>
      <c r="G383" s="32"/>
    </row>
    <row r="384" customFormat="false" ht="15" hidden="false" customHeight="false" outlineLevel="0" collapsed="false">
      <c r="A384" s="31"/>
      <c r="B384" s="32"/>
      <c r="C384" s="35" t="str">
        <f aca="false">IF(B384="","",IFERROR(INDEX(Leads!$C$2:$C$5001,MATCH(B384,Leads!$A$2:$A$5001,0))&amp;" "&amp;INDEX(Leads!$D$2:$D$5001,MATCH(B384,Leads!$A$2:$A$5001,0)),"N° no encontrado"))</f>
        <v/>
      </c>
      <c r="D384" s="35" t="str">
        <f aca="false">IF(B384="","",IFERROR(INDEX(Leads!$G$2:$G$5001,MATCH(B384,Leads!$A$2:$A$5001,0)),""))</f>
        <v/>
      </c>
      <c r="E384" s="32"/>
      <c r="F384" s="32"/>
      <c r="G384" s="32"/>
    </row>
    <row r="385" customFormat="false" ht="15" hidden="false" customHeight="false" outlineLevel="0" collapsed="false">
      <c r="A385" s="31"/>
      <c r="B385" s="32"/>
      <c r="C385" s="35" t="str">
        <f aca="false">IF(B385="","",IFERROR(INDEX(Leads!$C$2:$C$5001,MATCH(B385,Leads!$A$2:$A$5001,0))&amp;" "&amp;INDEX(Leads!$D$2:$D$5001,MATCH(B385,Leads!$A$2:$A$5001,0)),"N° no encontrado"))</f>
        <v/>
      </c>
      <c r="D385" s="35" t="str">
        <f aca="false">IF(B385="","",IFERROR(INDEX(Leads!$G$2:$G$5001,MATCH(B385,Leads!$A$2:$A$5001,0)),""))</f>
        <v/>
      </c>
      <c r="E385" s="32"/>
      <c r="F385" s="32"/>
      <c r="G385" s="32"/>
    </row>
    <row r="386" customFormat="false" ht="15" hidden="false" customHeight="false" outlineLevel="0" collapsed="false">
      <c r="A386" s="31"/>
      <c r="B386" s="32"/>
      <c r="C386" s="35" t="str">
        <f aca="false">IF(B386="","",IFERROR(INDEX(Leads!$C$2:$C$5001,MATCH(B386,Leads!$A$2:$A$5001,0))&amp;" "&amp;INDEX(Leads!$D$2:$D$5001,MATCH(B386,Leads!$A$2:$A$5001,0)),"N° no encontrado"))</f>
        <v/>
      </c>
      <c r="D386" s="35" t="str">
        <f aca="false">IF(B386="","",IFERROR(INDEX(Leads!$G$2:$G$5001,MATCH(B386,Leads!$A$2:$A$5001,0)),""))</f>
        <v/>
      </c>
      <c r="E386" s="32"/>
      <c r="F386" s="32"/>
      <c r="G386" s="32"/>
    </row>
    <row r="387" customFormat="false" ht="15" hidden="false" customHeight="false" outlineLevel="0" collapsed="false">
      <c r="A387" s="31"/>
      <c r="B387" s="32"/>
      <c r="C387" s="35" t="str">
        <f aca="false">IF(B387="","",IFERROR(INDEX(Leads!$C$2:$C$5001,MATCH(B387,Leads!$A$2:$A$5001,0))&amp;" "&amp;INDEX(Leads!$D$2:$D$5001,MATCH(B387,Leads!$A$2:$A$5001,0)),"N° no encontrado"))</f>
        <v/>
      </c>
      <c r="D387" s="35" t="str">
        <f aca="false">IF(B387="","",IFERROR(INDEX(Leads!$G$2:$G$5001,MATCH(B387,Leads!$A$2:$A$5001,0)),""))</f>
        <v/>
      </c>
      <c r="E387" s="32"/>
      <c r="F387" s="32"/>
      <c r="G387" s="32"/>
    </row>
    <row r="388" customFormat="false" ht="15" hidden="false" customHeight="false" outlineLevel="0" collapsed="false">
      <c r="A388" s="31"/>
      <c r="B388" s="32"/>
      <c r="C388" s="35" t="str">
        <f aca="false">IF(B388="","",IFERROR(INDEX(Leads!$C$2:$C$5001,MATCH(B388,Leads!$A$2:$A$5001,0))&amp;" "&amp;INDEX(Leads!$D$2:$D$5001,MATCH(B388,Leads!$A$2:$A$5001,0)),"N° no encontrado"))</f>
        <v/>
      </c>
      <c r="D388" s="35" t="str">
        <f aca="false">IF(B388="","",IFERROR(INDEX(Leads!$G$2:$G$5001,MATCH(B388,Leads!$A$2:$A$5001,0)),""))</f>
        <v/>
      </c>
      <c r="E388" s="32"/>
      <c r="F388" s="32"/>
      <c r="G388" s="32"/>
    </row>
    <row r="389" customFormat="false" ht="15" hidden="false" customHeight="false" outlineLevel="0" collapsed="false">
      <c r="A389" s="31"/>
      <c r="B389" s="32"/>
      <c r="C389" s="35" t="str">
        <f aca="false">IF(B389="","",IFERROR(INDEX(Leads!$C$2:$C$5001,MATCH(B389,Leads!$A$2:$A$5001,0))&amp;" "&amp;INDEX(Leads!$D$2:$D$5001,MATCH(B389,Leads!$A$2:$A$5001,0)),"N° no encontrado"))</f>
        <v/>
      </c>
      <c r="D389" s="35" t="str">
        <f aca="false">IF(B389="","",IFERROR(INDEX(Leads!$G$2:$G$5001,MATCH(B389,Leads!$A$2:$A$5001,0)),""))</f>
        <v/>
      </c>
      <c r="E389" s="32"/>
      <c r="F389" s="32"/>
      <c r="G389" s="32"/>
    </row>
    <row r="390" customFormat="false" ht="15" hidden="false" customHeight="false" outlineLevel="0" collapsed="false">
      <c r="A390" s="31"/>
      <c r="B390" s="32"/>
      <c r="C390" s="35" t="str">
        <f aca="false">IF(B390="","",IFERROR(INDEX(Leads!$C$2:$C$5001,MATCH(B390,Leads!$A$2:$A$5001,0))&amp;" "&amp;INDEX(Leads!$D$2:$D$5001,MATCH(B390,Leads!$A$2:$A$5001,0)),"N° no encontrado"))</f>
        <v/>
      </c>
      <c r="D390" s="35" t="str">
        <f aca="false">IF(B390="","",IFERROR(INDEX(Leads!$G$2:$G$5001,MATCH(B390,Leads!$A$2:$A$5001,0)),""))</f>
        <v/>
      </c>
      <c r="E390" s="32"/>
      <c r="F390" s="32"/>
      <c r="G390" s="32"/>
    </row>
    <row r="391" customFormat="false" ht="15" hidden="false" customHeight="false" outlineLevel="0" collapsed="false">
      <c r="A391" s="31"/>
      <c r="B391" s="32"/>
      <c r="C391" s="35" t="str">
        <f aca="false">IF(B391="","",IFERROR(INDEX(Leads!$C$2:$C$5001,MATCH(B391,Leads!$A$2:$A$5001,0))&amp;" "&amp;INDEX(Leads!$D$2:$D$5001,MATCH(B391,Leads!$A$2:$A$5001,0)),"N° no encontrado"))</f>
        <v/>
      </c>
      <c r="D391" s="35" t="str">
        <f aca="false">IF(B391="","",IFERROR(INDEX(Leads!$G$2:$G$5001,MATCH(B391,Leads!$A$2:$A$5001,0)),""))</f>
        <v/>
      </c>
      <c r="E391" s="32"/>
      <c r="F391" s="32"/>
      <c r="G391" s="32"/>
    </row>
    <row r="392" customFormat="false" ht="15" hidden="false" customHeight="false" outlineLevel="0" collapsed="false">
      <c r="A392" s="31"/>
      <c r="B392" s="32"/>
      <c r="C392" s="35" t="str">
        <f aca="false">IF(B392="","",IFERROR(INDEX(Leads!$C$2:$C$5001,MATCH(B392,Leads!$A$2:$A$5001,0))&amp;" "&amp;INDEX(Leads!$D$2:$D$5001,MATCH(B392,Leads!$A$2:$A$5001,0)),"N° no encontrado"))</f>
        <v/>
      </c>
      <c r="D392" s="35" t="str">
        <f aca="false">IF(B392="","",IFERROR(INDEX(Leads!$G$2:$G$5001,MATCH(B392,Leads!$A$2:$A$5001,0)),""))</f>
        <v/>
      </c>
      <c r="E392" s="32"/>
      <c r="F392" s="32"/>
      <c r="G392" s="32"/>
    </row>
    <row r="393" customFormat="false" ht="15" hidden="false" customHeight="false" outlineLevel="0" collapsed="false">
      <c r="A393" s="31"/>
      <c r="B393" s="32"/>
      <c r="C393" s="35" t="str">
        <f aca="false">IF(B393="","",IFERROR(INDEX(Leads!$C$2:$C$5001,MATCH(B393,Leads!$A$2:$A$5001,0))&amp;" "&amp;INDEX(Leads!$D$2:$D$5001,MATCH(B393,Leads!$A$2:$A$5001,0)),"N° no encontrado"))</f>
        <v/>
      </c>
      <c r="D393" s="35" t="str">
        <f aca="false">IF(B393="","",IFERROR(INDEX(Leads!$G$2:$G$5001,MATCH(B393,Leads!$A$2:$A$5001,0)),""))</f>
        <v/>
      </c>
      <c r="E393" s="32"/>
      <c r="F393" s="32"/>
      <c r="G393" s="32"/>
    </row>
    <row r="394" customFormat="false" ht="15" hidden="false" customHeight="false" outlineLevel="0" collapsed="false">
      <c r="A394" s="31"/>
      <c r="B394" s="32"/>
      <c r="C394" s="35" t="str">
        <f aca="false">IF(B394="","",IFERROR(INDEX(Leads!$C$2:$C$5001,MATCH(B394,Leads!$A$2:$A$5001,0))&amp;" "&amp;INDEX(Leads!$D$2:$D$5001,MATCH(B394,Leads!$A$2:$A$5001,0)),"N° no encontrado"))</f>
        <v/>
      </c>
      <c r="D394" s="35" t="str">
        <f aca="false">IF(B394="","",IFERROR(INDEX(Leads!$G$2:$G$5001,MATCH(B394,Leads!$A$2:$A$5001,0)),""))</f>
        <v/>
      </c>
      <c r="E394" s="32"/>
      <c r="F394" s="32"/>
      <c r="G394" s="32"/>
    </row>
    <row r="395" customFormat="false" ht="15" hidden="false" customHeight="false" outlineLevel="0" collapsed="false">
      <c r="A395" s="31"/>
      <c r="B395" s="32"/>
      <c r="C395" s="35" t="str">
        <f aca="false">IF(B395="","",IFERROR(INDEX(Leads!$C$2:$C$5001,MATCH(B395,Leads!$A$2:$A$5001,0))&amp;" "&amp;INDEX(Leads!$D$2:$D$5001,MATCH(B395,Leads!$A$2:$A$5001,0)),"N° no encontrado"))</f>
        <v/>
      </c>
      <c r="D395" s="35" t="str">
        <f aca="false">IF(B395="","",IFERROR(INDEX(Leads!$G$2:$G$5001,MATCH(B395,Leads!$A$2:$A$5001,0)),""))</f>
        <v/>
      </c>
      <c r="E395" s="32"/>
      <c r="F395" s="32"/>
      <c r="G395" s="32"/>
    </row>
    <row r="396" customFormat="false" ht="15" hidden="false" customHeight="false" outlineLevel="0" collapsed="false">
      <c r="A396" s="31"/>
      <c r="B396" s="32"/>
      <c r="C396" s="35" t="str">
        <f aca="false">IF(B396="","",IFERROR(INDEX(Leads!$C$2:$C$5001,MATCH(B396,Leads!$A$2:$A$5001,0))&amp;" "&amp;INDEX(Leads!$D$2:$D$5001,MATCH(B396,Leads!$A$2:$A$5001,0)),"N° no encontrado"))</f>
        <v/>
      </c>
      <c r="D396" s="35" t="str">
        <f aca="false">IF(B396="","",IFERROR(INDEX(Leads!$G$2:$G$5001,MATCH(B396,Leads!$A$2:$A$5001,0)),""))</f>
        <v/>
      </c>
      <c r="E396" s="32"/>
      <c r="F396" s="32"/>
      <c r="G396" s="32"/>
    </row>
    <row r="397" customFormat="false" ht="15" hidden="false" customHeight="false" outlineLevel="0" collapsed="false">
      <c r="A397" s="31"/>
      <c r="B397" s="32"/>
      <c r="C397" s="35" t="str">
        <f aca="false">IF(B397="","",IFERROR(INDEX(Leads!$C$2:$C$5001,MATCH(B397,Leads!$A$2:$A$5001,0))&amp;" "&amp;INDEX(Leads!$D$2:$D$5001,MATCH(B397,Leads!$A$2:$A$5001,0)),"N° no encontrado"))</f>
        <v/>
      </c>
      <c r="D397" s="35" t="str">
        <f aca="false">IF(B397="","",IFERROR(INDEX(Leads!$G$2:$G$5001,MATCH(B397,Leads!$A$2:$A$5001,0)),""))</f>
        <v/>
      </c>
      <c r="E397" s="32"/>
      <c r="F397" s="32"/>
      <c r="G397" s="32"/>
    </row>
    <row r="398" customFormat="false" ht="15" hidden="false" customHeight="false" outlineLevel="0" collapsed="false">
      <c r="A398" s="31"/>
      <c r="B398" s="32"/>
      <c r="C398" s="35" t="str">
        <f aca="false">IF(B398="","",IFERROR(INDEX(Leads!$C$2:$C$5001,MATCH(B398,Leads!$A$2:$A$5001,0))&amp;" "&amp;INDEX(Leads!$D$2:$D$5001,MATCH(B398,Leads!$A$2:$A$5001,0)),"N° no encontrado"))</f>
        <v/>
      </c>
      <c r="D398" s="35" t="str">
        <f aca="false">IF(B398="","",IFERROR(INDEX(Leads!$G$2:$G$5001,MATCH(B398,Leads!$A$2:$A$5001,0)),""))</f>
        <v/>
      </c>
      <c r="E398" s="32"/>
      <c r="F398" s="32"/>
      <c r="G398" s="32"/>
    </row>
    <row r="399" customFormat="false" ht="15" hidden="false" customHeight="false" outlineLevel="0" collapsed="false">
      <c r="A399" s="31"/>
      <c r="B399" s="32"/>
      <c r="C399" s="35" t="str">
        <f aca="false">IF(B399="","",IFERROR(INDEX(Leads!$C$2:$C$5001,MATCH(B399,Leads!$A$2:$A$5001,0))&amp;" "&amp;INDEX(Leads!$D$2:$D$5001,MATCH(B399,Leads!$A$2:$A$5001,0)),"N° no encontrado"))</f>
        <v/>
      </c>
      <c r="D399" s="35" t="str">
        <f aca="false">IF(B399="","",IFERROR(INDEX(Leads!$G$2:$G$5001,MATCH(B399,Leads!$A$2:$A$5001,0)),""))</f>
        <v/>
      </c>
      <c r="E399" s="32"/>
      <c r="F399" s="32"/>
      <c r="G399" s="32"/>
    </row>
    <row r="400" customFormat="false" ht="15" hidden="false" customHeight="false" outlineLevel="0" collapsed="false">
      <c r="A400" s="31"/>
      <c r="B400" s="32"/>
      <c r="C400" s="35" t="str">
        <f aca="false">IF(B400="","",IFERROR(INDEX(Leads!$C$2:$C$5001,MATCH(B400,Leads!$A$2:$A$5001,0))&amp;" "&amp;INDEX(Leads!$D$2:$D$5001,MATCH(B400,Leads!$A$2:$A$5001,0)),"N° no encontrado"))</f>
        <v/>
      </c>
      <c r="D400" s="35" t="str">
        <f aca="false">IF(B400="","",IFERROR(INDEX(Leads!$G$2:$G$5001,MATCH(B400,Leads!$A$2:$A$5001,0)),""))</f>
        <v/>
      </c>
      <c r="E400" s="32"/>
      <c r="F400" s="32"/>
      <c r="G400" s="32"/>
    </row>
    <row r="401" customFormat="false" ht="15" hidden="false" customHeight="false" outlineLevel="0" collapsed="false">
      <c r="A401" s="31"/>
      <c r="B401" s="32"/>
      <c r="C401" s="35" t="str">
        <f aca="false">IF(B401="","",IFERROR(INDEX(Leads!$C$2:$C$5001,MATCH(B401,Leads!$A$2:$A$5001,0))&amp;" "&amp;INDEX(Leads!$D$2:$D$5001,MATCH(B401,Leads!$A$2:$A$5001,0)),"N° no encontrado"))</f>
        <v/>
      </c>
      <c r="D401" s="35" t="str">
        <f aca="false">IF(B401="","",IFERROR(INDEX(Leads!$G$2:$G$5001,MATCH(B401,Leads!$A$2:$A$5001,0)),""))</f>
        <v/>
      </c>
      <c r="E401" s="32"/>
      <c r="F401" s="32"/>
      <c r="G401" s="32"/>
    </row>
    <row r="402" customFormat="false" ht="15" hidden="false" customHeight="false" outlineLevel="0" collapsed="false">
      <c r="A402" s="31"/>
      <c r="B402" s="32"/>
      <c r="C402" s="35" t="str">
        <f aca="false">IF(B402="","",IFERROR(INDEX(Leads!$C$2:$C$5001,MATCH(B402,Leads!$A$2:$A$5001,0))&amp;" "&amp;INDEX(Leads!$D$2:$D$5001,MATCH(B402,Leads!$A$2:$A$5001,0)),"N° no encontrado"))</f>
        <v/>
      </c>
      <c r="D402" s="35" t="str">
        <f aca="false">IF(B402="","",IFERROR(INDEX(Leads!$G$2:$G$5001,MATCH(B402,Leads!$A$2:$A$5001,0)),""))</f>
        <v/>
      </c>
      <c r="E402" s="32"/>
      <c r="F402" s="32"/>
      <c r="G402" s="32"/>
    </row>
    <row r="403" customFormat="false" ht="15" hidden="false" customHeight="false" outlineLevel="0" collapsed="false">
      <c r="A403" s="31"/>
      <c r="B403" s="32"/>
      <c r="C403" s="35" t="str">
        <f aca="false">IF(B403="","",IFERROR(INDEX(Leads!$C$2:$C$5001,MATCH(B403,Leads!$A$2:$A$5001,0))&amp;" "&amp;INDEX(Leads!$D$2:$D$5001,MATCH(B403,Leads!$A$2:$A$5001,0)),"N° no encontrado"))</f>
        <v/>
      </c>
      <c r="D403" s="35" t="str">
        <f aca="false">IF(B403="","",IFERROR(INDEX(Leads!$G$2:$G$5001,MATCH(B403,Leads!$A$2:$A$5001,0)),""))</f>
        <v/>
      </c>
      <c r="E403" s="32"/>
      <c r="F403" s="32"/>
      <c r="G403" s="32"/>
    </row>
    <row r="404" customFormat="false" ht="15" hidden="false" customHeight="false" outlineLevel="0" collapsed="false">
      <c r="A404" s="31"/>
      <c r="B404" s="32"/>
      <c r="C404" s="35" t="str">
        <f aca="false">IF(B404="","",IFERROR(INDEX(Leads!$C$2:$C$5001,MATCH(B404,Leads!$A$2:$A$5001,0))&amp;" "&amp;INDEX(Leads!$D$2:$D$5001,MATCH(B404,Leads!$A$2:$A$5001,0)),"N° no encontrado"))</f>
        <v/>
      </c>
      <c r="D404" s="35" t="str">
        <f aca="false">IF(B404="","",IFERROR(INDEX(Leads!$G$2:$G$5001,MATCH(B404,Leads!$A$2:$A$5001,0)),""))</f>
        <v/>
      </c>
      <c r="E404" s="32"/>
      <c r="F404" s="32"/>
      <c r="G404" s="32"/>
    </row>
    <row r="405" customFormat="false" ht="15" hidden="false" customHeight="false" outlineLevel="0" collapsed="false">
      <c r="A405" s="31"/>
      <c r="B405" s="32"/>
      <c r="C405" s="35" t="str">
        <f aca="false">IF(B405="","",IFERROR(INDEX(Leads!$C$2:$C$5001,MATCH(B405,Leads!$A$2:$A$5001,0))&amp;" "&amp;INDEX(Leads!$D$2:$D$5001,MATCH(B405,Leads!$A$2:$A$5001,0)),"N° no encontrado"))</f>
        <v/>
      </c>
      <c r="D405" s="35" t="str">
        <f aca="false">IF(B405="","",IFERROR(INDEX(Leads!$G$2:$G$5001,MATCH(B405,Leads!$A$2:$A$5001,0)),""))</f>
        <v/>
      </c>
      <c r="E405" s="32"/>
      <c r="F405" s="32"/>
      <c r="G405" s="32"/>
    </row>
    <row r="406" customFormat="false" ht="15" hidden="false" customHeight="false" outlineLevel="0" collapsed="false">
      <c r="A406" s="31"/>
      <c r="B406" s="32"/>
      <c r="C406" s="35" t="str">
        <f aca="false">IF(B406="","",IFERROR(INDEX(Leads!$C$2:$C$5001,MATCH(B406,Leads!$A$2:$A$5001,0))&amp;" "&amp;INDEX(Leads!$D$2:$D$5001,MATCH(B406,Leads!$A$2:$A$5001,0)),"N° no encontrado"))</f>
        <v/>
      </c>
      <c r="D406" s="35" t="str">
        <f aca="false">IF(B406="","",IFERROR(INDEX(Leads!$G$2:$G$5001,MATCH(B406,Leads!$A$2:$A$5001,0)),""))</f>
        <v/>
      </c>
      <c r="E406" s="32"/>
      <c r="F406" s="32"/>
      <c r="G406" s="32"/>
    </row>
    <row r="407" customFormat="false" ht="15" hidden="false" customHeight="false" outlineLevel="0" collapsed="false">
      <c r="A407" s="31"/>
      <c r="B407" s="32"/>
      <c r="C407" s="35" t="str">
        <f aca="false">IF(B407="","",IFERROR(INDEX(Leads!$C$2:$C$5001,MATCH(B407,Leads!$A$2:$A$5001,0))&amp;" "&amp;INDEX(Leads!$D$2:$D$5001,MATCH(B407,Leads!$A$2:$A$5001,0)),"N° no encontrado"))</f>
        <v/>
      </c>
      <c r="D407" s="35" t="str">
        <f aca="false">IF(B407="","",IFERROR(INDEX(Leads!$G$2:$G$5001,MATCH(B407,Leads!$A$2:$A$5001,0)),""))</f>
        <v/>
      </c>
      <c r="E407" s="32"/>
      <c r="F407" s="32"/>
      <c r="G407" s="32"/>
    </row>
    <row r="408" customFormat="false" ht="15" hidden="false" customHeight="false" outlineLevel="0" collapsed="false">
      <c r="A408" s="31"/>
      <c r="B408" s="32"/>
      <c r="C408" s="35" t="str">
        <f aca="false">IF(B408="","",IFERROR(INDEX(Leads!$C$2:$C$5001,MATCH(B408,Leads!$A$2:$A$5001,0))&amp;" "&amp;INDEX(Leads!$D$2:$D$5001,MATCH(B408,Leads!$A$2:$A$5001,0)),"N° no encontrado"))</f>
        <v/>
      </c>
      <c r="D408" s="35" t="str">
        <f aca="false">IF(B408="","",IFERROR(INDEX(Leads!$G$2:$G$5001,MATCH(B408,Leads!$A$2:$A$5001,0)),""))</f>
        <v/>
      </c>
      <c r="E408" s="32"/>
      <c r="F408" s="32"/>
      <c r="G408" s="32"/>
    </row>
    <row r="409" customFormat="false" ht="15" hidden="false" customHeight="false" outlineLevel="0" collapsed="false">
      <c r="A409" s="31"/>
      <c r="B409" s="32"/>
      <c r="C409" s="35" t="str">
        <f aca="false">IF(B409="","",IFERROR(INDEX(Leads!$C$2:$C$5001,MATCH(B409,Leads!$A$2:$A$5001,0))&amp;" "&amp;INDEX(Leads!$D$2:$D$5001,MATCH(B409,Leads!$A$2:$A$5001,0)),"N° no encontrado"))</f>
        <v/>
      </c>
      <c r="D409" s="35" t="str">
        <f aca="false">IF(B409="","",IFERROR(INDEX(Leads!$G$2:$G$5001,MATCH(B409,Leads!$A$2:$A$5001,0)),""))</f>
        <v/>
      </c>
      <c r="E409" s="32"/>
      <c r="F409" s="32"/>
      <c r="G409" s="32"/>
    </row>
    <row r="410" customFormat="false" ht="15" hidden="false" customHeight="false" outlineLevel="0" collapsed="false">
      <c r="A410" s="31"/>
      <c r="B410" s="32"/>
      <c r="C410" s="35" t="str">
        <f aca="false">IF(B410="","",IFERROR(INDEX(Leads!$C$2:$C$5001,MATCH(B410,Leads!$A$2:$A$5001,0))&amp;" "&amp;INDEX(Leads!$D$2:$D$5001,MATCH(B410,Leads!$A$2:$A$5001,0)),"N° no encontrado"))</f>
        <v/>
      </c>
      <c r="D410" s="35" t="str">
        <f aca="false">IF(B410="","",IFERROR(INDEX(Leads!$G$2:$G$5001,MATCH(B410,Leads!$A$2:$A$5001,0)),""))</f>
        <v/>
      </c>
      <c r="E410" s="32"/>
      <c r="F410" s="32"/>
      <c r="G410" s="32"/>
    </row>
    <row r="411" customFormat="false" ht="15" hidden="false" customHeight="false" outlineLevel="0" collapsed="false">
      <c r="A411" s="31"/>
      <c r="B411" s="32"/>
      <c r="C411" s="35" t="str">
        <f aca="false">IF(B411="","",IFERROR(INDEX(Leads!$C$2:$C$5001,MATCH(B411,Leads!$A$2:$A$5001,0))&amp;" "&amp;INDEX(Leads!$D$2:$D$5001,MATCH(B411,Leads!$A$2:$A$5001,0)),"N° no encontrado"))</f>
        <v/>
      </c>
      <c r="D411" s="35" t="str">
        <f aca="false">IF(B411="","",IFERROR(INDEX(Leads!$G$2:$G$5001,MATCH(B411,Leads!$A$2:$A$5001,0)),""))</f>
        <v/>
      </c>
      <c r="E411" s="32"/>
      <c r="F411" s="32"/>
      <c r="G411" s="32"/>
    </row>
    <row r="412" customFormat="false" ht="15" hidden="false" customHeight="false" outlineLevel="0" collapsed="false">
      <c r="A412" s="31"/>
      <c r="B412" s="32"/>
      <c r="C412" s="35" t="str">
        <f aca="false">IF(B412="","",IFERROR(INDEX(Leads!$C$2:$C$5001,MATCH(B412,Leads!$A$2:$A$5001,0))&amp;" "&amp;INDEX(Leads!$D$2:$D$5001,MATCH(B412,Leads!$A$2:$A$5001,0)),"N° no encontrado"))</f>
        <v/>
      </c>
      <c r="D412" s="35" t="str">
        <f aca="false">IF(B412="","",IFERROR(INDEX(Leads!$G$2:$G$5001,MATCH(B412,Leads!$A$2:$A$5001,0)),""))</f>
        <v/>
      </c>
      <c r="E412" s="32"/>
      <c r="F412" s="32"/>
      <c r="G412" s="32"/>
    </row>
    <row r="413" customFormat="false" ht="15" hidden="false" customHeight="false" outlineLevel="0" collapsed="false">
      <c r="A413" s="31"/>
      <c r="B413" s="32"/>
      <c r="C413" s="35" t="str">
        <f aca="false">IF(B413="","",IFERROR(INDEX(Leads!$C$2:$C$5001,MATCH(B413,Leads!$A$2:$A$5001,0))&amp;" "&amp;INDEX(Leads!$D$2:$D$5001,MATCH(B413,Leads!$A$2:$A$5001,0)),"N° no encontrado"))</f>
        <v/>
      </c>
      <c r="D413" s="35" t="str">
        <f aca="false">IF(B413="","",IFERROR(INDEX(Leads!$G$2:$G$5001,MATCH(B413,Leads!$A$2:$A$5001,0)),""))</f>
        <v/>
      </c>
      <c r="E413" s="32"/>
      <c r="F413" s="32"/>
      <c r="G413" s="32"/>
    </row>
    <row r="414" customFormat="false" ht="15" hidden="false" customHeight="false" outlineLevel="0" collapsed="false">
      <c r="A414" s="31"/>
      <c r="B414" s="32"/>
      <c r="C414" s="35" t="str">
        <f aca="false">IF(B414="","",IFERROR(INDEX(Leads!$C$2:$C$5001,MATCH(B414,Leads!$A$2:$A$5001,0))&amp;" "&amp;INDEX(Leads!$D$2:$D$5001,MATCH(B414,Leads!$A$2:$A$5001,0)),"N° no encontrado"))</f>
        <v/>
      </c>
      <c r="D414" s="35" t="str">
        <f aca="false">IF(B414="","",IFERROR(INDEX(Leads!$G$2:$G$5001,MATCH(B414,Leads!$A$2:$A$5001,0)),""))</f>
        <v/>
      </c>
      <c r="E414" s="32"/>
      <c r="F414" s="32"/>
      <c r="G414" s="32"/>
    </row>
    <row r="415" customFormat="false" ht="15" hidden="false" customHeight="false" outlineLevel="0" collapsed="false">
      <c r="A415" s="31"/>
      <c r="B415" s="32"/>
      <c r="C415" s="35" t="str">
        <f aca="false">IF(B415="","",IFERROR(INDEX(Leads!$C$2:$C$5001,MATCH(B415,Leads!$A$2:$A$5001,0))&amp;" "&amp;INDEX(Leads!$D$2:$D$5001,MATCH(B415,Leads!$A$2:$A$5001,0)),"N° no encontrado"))</f>
        <v/>
      </c>
      <c r="D415" s="35" t="str">
        <f aca="false">IF(B415="","",IFERROR(INDEX(Leads!$G$2:$G$5001,MATCH(B415,Leads!$A$2:$A$5001,0)),""))</f>
        <v/>
      </c>
      <c r="E415" s="32"/>
      <c r="F415" s="32"/>
      <c r="G415" s="32"/>
    </row>
    <row r="416" customFormat="false" ht="15" hidden="false" customHeight="false" outlineLevel="0" collapsed="false">
      <c r="A416" s="31"/>
      <c r="B416" s="32"/>
      <c r="C416" s="35" t="str">
        <f aca="false">IF(B416="","",IFERROR(INDEX(Leads!$C$2:$C$5001,MATCH(B416,Leads!$A$2:$A$5001,0))&amp;" "&amp;INDEX(Leads!$D$2:$D$5001,MATCH(B416,Leads!$A$2:$A$5001,0)),"N° no encontrado"))</f>
        <v/>
      </c>
      <c r="D416" s="35" t="str">
        <f aca="false">IF(B416="","",IFERROR(INDEX(Leads!$G$2:$G$5001,MATCH(B416,Leads!$A$2:$A$5001,0)),""))</f>
        <v/>
      </c>
      <c r="E416" s="32"/>
      <c r="F416" s="32"/>
      <c r="G416" s="32"/>
    </row>
    <row r="417" customFormat="false" ht="15" hidden="false" customHeight="false" outlineLevel="0" collapsed="false">
      <c r="A417" s="31"/>
      <c r="B417" s="32"/>
      <c r="C417" s="35" t="str">
        <f aca="false">IF(B417="","",IFERROR(INDEX(Leads!$C$2:$C$5001,MATCH(B417,Leads!$A$2:$A$5001,0))&amp;" "&amp;INDEX(Leads!$D$2:$D$5001,MATCH(B417,Leads!$A$2:$A$5001,0)),"N° no encontrado"))</f>
        <v/>
      </c>
      <c r="D417" s="35" t="str">
        <f aca="false">IF(B417="","",IFERROR(INDEX(Leads!$G$2:$G$5001,MATCH(B417,Leads!$A$2:$A$5001,0)),""))</f>
        <v/>
      </c>
      <c r="E417" s="32"/>
      <c r="F417" s="32"/>
      <c r="G417" s="32"/>
    </row>
    <row r="418" customFormat="false" ht="15" hidden="false" customHeight="false" outlineLevel="0" collapsed="false">
      <c r="A418" s="31"/>
      <c r="B418" s="32"/>
      <c r="C418" s="35" t="str">
        <f aca="false">IF(B418="","",IFERROR(INDEX(Leads!$C$2:$C$5001,MATCH(B418,Leads!$A$2:$A$5001,0))&amp;" "&amp;INDEX(Leads!$D$2:$D$5001,MATCH(B418,Leads!$A$2:$A$5001,0)),"N° no encontrado"))</f>
        <v/>
      </c>
      <c r="D418" s="35" t="str">
        <f aca="false">IF(B418="","",IFERROR(INDEX(Leads!$G$2:$G$5001,MATCH(B418,Leads!$A$2:$A$5001,0)),""))</f>
        <v/>
      </c>
      <c r="E418" s="32"/>
      <c r="F418" s="32"/>
      <c r="G418" s="32"/>
    </row>
    <row r="419" customFormat="false" ht="15" hidden="false" customHeight="false" outlineLevel="0" collapsed="false">
      <c r="A419" s="31"/>
      <c r="B419" s="32"/>
      <c r="C419" s="35" t="str">
        <f aca="false">IF(B419="","",IFERROR(INDEX(Leads!$C$2:$C$5001,MATCH(B419,Leads!$A$2:$A$5001,0))&amp;" "&amp;INDEX(Leads!$D$2:$D$5001,MATCH(B419,Leads!$A$2:$A$5001,0)),"N° no encontrado"))</f>
        <v/>
      </c>
      <c r="D419" s="35" t="str">
        <f aca="false">IF(B419="","",IFERROR(INDEX(Leads!$G$2:$G$5001,MATCH(B419,Leads!$A$2:$A$5001,0)),""))</f>
        <v/>
      </c>
      <c r="E419" s="32"/>
      <c r="F419" s="32"/>
      <c r="G419" s="32"/>
    </row>
    <row r="420" customFormat="false" ht="15" hidden="false" customHeight="false" outlineLevel="0" collapsed="false">
      <c r="A420" s="31"/>
      <c r="B420" s="32"/>
      <c r="C420" s="35" t="str">
        <f aca="false">IF(B420="","",IFERROR(INDEX(Leads!$C$2:$C$5001,MATCH(B420,Leads!$A$2:$A$5001,0))&amp;" "&amp;INDEX(Leads!$D$2:$D$5001,MATCH(B420,Leads!$A$2:$A$5001,0)),"N° no encontrado"))</f>
        <v/>
      </c>
      <c r="D420" s="35" t="str">
        <f aca="false">IF(B420="","",IFERROR(INDEX(Leads!$G$2:$G$5001,MATCH(B420,Leads!$A$2:$A$5001,0)),""))</f>
        <v/>
      </c>
      <c r="E420" s="32"/>
      <c r="F420" s="32"/>
      <c r="G420" s="32"/>
    </row>
    <row r="421" customFormat="false" ht="15" hidden="false" customHeight="false" outlineLevel="0" collapsed="false">
      <c r="A421" s="31"/>
      <c r="B421" s="32"/>
      <c r="C421" s="35" t="str">
        <f aca="false">IF(B421="","",IFERROR(INDEX(Leads!$C$2:$C$5001,MATCH(B421,Leads!$A$2:$A$5001,0))&amp;" "&amp;INDEX(Leads!$D$2:$D$5001,MATCH(B421,Leads!$A$2:$A$5001,0)),"N° no encontrado"))</f>
        <v/>
      </c>
      <c r="D421" s="35" t="str">
        <f aca="false">IF(B421="","",IFERROR(INDEX(Leads!$G$2:$G$5001,MATCH(B421,Leads!$A$2:$A$5001,0)),""))</f>
        <v/>
      </c>
      <c r="E421" s="32"/>
      <c r="F421" s="32"/>
      <c r="G421" s="32"/>
    </row>
    <row r="422" customFormat="false" ht="15" hidden="false" customHeight="false" outlineLevel="0" collapsed="false">
      <c r="A422" s="31"/>
      <c r="B422" s="32"/>
      <c r="C422" s="35" t="str">
        <f aca="false">IF(B422="","",IFERROR(INDEX(Leads!$C$2:$C$5001,MATCH(B422,Leads!$A$2:$A$5001,0))&amp;" "&amp;INDEX(Leads!$D$2:$D$5001,MATCH(B422,Leads!$A$2:$A$5001,0)),"N° no encontrado"))</f>
        <v/>
      </c>
      <c r="D422" s="35" t="str">
        <f aca="false">IF(B422="","",IFERROR(INDEX(Leads!$G$2:$G$5001,MATCH(B422,Leads!$A$2:$A$5001,0)),""))</f>
        <v/>
      </c>
      <c r="E422" s="32"/>
      <c r="F422" s="32"/>
      <c r="G422" s="32"/>
    </row>
    <row r="423" customFormat="false" ht="15" hidden="false" customHeight="false" outlineLevel="0" collapsed="false">
      <c r="A423" s="31"/>
      <c r="B423" s="32"/>
      <c r="C423" s="35" t="str">
        <f aca="false">IF(B423="","",IFERROR(INDEX(Leads!$C$2:$C$5001,MATCH(B423,Leads!$A$2:$A$5001,0))&amp;" "&amp;INDEX(Leads!$D$2:$D$5001,MATCH(B423,Leads!$A$2:$A$5001,0)),"N° no encontrado"))</f>
        <v/>
      </c>
      <c r="D423" s="35" t="str">
        <f aca="false">IF(B423="","",IFERROR(INDEX(Leads!$G$2:$G$5001,MATCH(B423,Leads!$A$2:$A$5001,0)),""))</f>
        <v/>
      </c>
      <c r="E423" s="32"/>
      <c r="F423" s="32"/>
      <c r="G423" s="32"/>
    </row>
    <row r="424" customFormat="false" ht="15" hidden="false" customHeight="false" outlineLevel="0" collapsed="false">
      <c r="A424" s="31"/>
      <c r="B424" s="32"/>
      <c r="C424" s="35" t="str">
        <f aca="false">IF(B424="","",IFERROR(INDEX(Leads!$C$2:$C$5001,MATCH(B424,Leads!$A$2:$A$5001,0))&amp;" "&amp;INDEX(Leads!$D$2:$D$5001,MATCH(B424,Leads!$A$2:$A$5001,0)),"N° no encontrado"))</f>
        <v/>
      </c>
      <c r="D424" s="35" t="str">
        <f aca="false">IF(B424="","",IFERROR(INDEX(Leads!$G$2:$G$5001,MATCH(B424,Leads!$A$2:$A$5001,0)),""))</f>
        <v/>
      </c>
      <c r="E424" s="32"/>
      <c r="F424" s="32"/>
      <c r="G424" s="32"/>
    </row>
    <row r="425" customFormat="false" ht="15" hidden="false" customHeight="false" outlineLevel="0" collapsed="false">
      <c r="A425" s="31"/>
      <c r="B425" s="32"/>
      <c r="C425" s="35" t="str">
        <f aca="false">IF(B425="","",IFERROR(INDEX(Leads!$C$2:$C$5001,MATCH(B425,Leads!$A$2:$A$5001,0))&amp;" "&amp;INDEX(Leads!$D$2:$D$5001,MATCH(B425,Leads!$A$2:$A$5001,0)),"N° no encontrado"))</f>
        <v/>
      </c>
      <c r="D425" s="35" t="str">
        <f aca="false">IF(B425="","",IFERROR(INDEX(Leads!$G$2:$G$5001,MATCH(B425,Leads!$A$2:$A$5001,0)),""))</f>
        <v/>
      </c>
      <c r="E425" s="32"/>
      <c r="F425" s="32"/>
      <c r="G425" s="32"/>
    </row>
    <row r="426" customFormat="false" ht="15" hidden="false" customHeight="false" outlineLevel="0" collapsed="false">
      <c r="A426" s="31"/>
      <c r="B426" s="32"/>
      <c r="C426" s="35" t="str">
        <f aca="false">IF(B426="","",IFERROR(INDEX(Leads!$C$2:$C$5001,MATCH(B426,Leads!$A$2:$A$5001,0))&amp;" "&amp;INDEX(Leads!$D$2:$D$5001,MATCH(B426,Leads!$A$2:$A$5001,0)),"N° no encontrado"))</f>
        <v/>
      </c>
      <c r="D426" s="35" t="str">
        <f aca="false">IF(B426="","",IFERROR(INDEX(Leads!$G$2:$G$5001,MATCH(B426,Leads!$A$2:$A$5001,0)),""))</f>
        <v/>
      </c>
      <c r="E426" s="32"/>
      <c r="F426" s="32"/>
      <c r="G426" s="32"/>
    </row>
    <row r="427" customFormat="false" ht="15" hidden="false" customHeight="false" outlineLevel="0" collapsed="false">
      <c r="A427" s="31"/>
      <c r="B427" s="32"/>
      <c r="C427" s="35" t="str">
        <f aca="false">IF(B427="","",IFERROR(INDEX(Leads!$C$2:$C$5001,MATCH(B427,Leads!$A$2:$A$5001,0))&amp;" "&amp;INDEX(Leads!$D$2:$D$5001,MATCH(B427,Leads!$A$2:$A$5001,0)),"N° no encontrado"))</f>
        <v/>
      </c>
      <c r="D427" s="35" t="str">
        <f aca="false">IF(B427="","",IFERROR(INDEX(Leads!$G$2:$G$5001,MATCH(B427,Leads!$A$2:$A$5001,0)),""))</f>
        <v/>
      </c>
      <c r="E427" s="32"/>
      <c r="F427" s="32"/>
      <c r="G427" s="32"/>
    </row>
    <row r="428" customFormat="false" ht="15" hidden="false" customHeight="false" outlineLevel="0" collapsed="false">
      <c r="A428" s="31"/>
      <c r="B428" s="32"/>
      <c r="C428" s="35" t="str">
        <f aca="false">IF(B428="","",IFERROR(INDEX(Leads!$C$2:$C$5001,MATCH(B428,Leads!$A$2:$A$5001,0))&amp;" "&amp;INDEX(Leads!$D$2:$D$5001,MATCH(B428,Leads!$A$2:$A$5001,0)),"N° no encontrado"))</f>
        <v/>
      </c>
      <c r="D428" s="35" t="str">
        <f aca="false">IF(B428="","",IFERROR(INDEX(Leads!$G$2:$G$5001,MATCH(B428,Leads!$A$2:$A$5001,0)),""))</f>
        <v/>
      </c>
      <c r="E428" s="32"/>
      <c r="F428" s="32"/>
      <c r="G428" s="32"/>
    </row>
    <row r="429" customFormat="false" ht="15" hidden="false" customHeight="false" outlineLevel="0" collapsed="false">
      <c r="A429" s="31"/>
      <c r="B429" s="32"/>
      <c r="C429" s="35" t="str">
        <f aca="false">IF(B429="","",IFERROR(INDEX(Leads!$C$2:$C$5001,MATCH(B429,Leads!$A$2:$A$5001,0))&amp;" "&amp;INDEX(Leads!$D$2:$D$5001,MATCH(B429,Leads!$A$2:$A$5001,0)),"N° no encontrado"))</f>
        <v/>
      </c>
      <c r="D429" s="35" t="str">
        <f aca="false">IF(B429="","",IFERROR(INDEX(Leads!$G$2:$G$5001,MATCH(B429,Leads!$A$2:$A$5001,0)),""))</f>
        <v/>
      </c>
      <c r="E429" s="32"/>
      <c r="F429" s="32"/>
      <c r="G429" s="32"/>
    </row>
    <row r="430" customFormat="false" ht="15" hidden="false" customHeight="false" outlineLevel="0" collapsed="false">
      <c r="A430" s="31"/>
      <c r="B430" s="32"/>
      <c r="C430" s="35" t="str">
        <f aca="false">IF(B430="","",IFERROR(INDEX(Leads!$C$2:$C$5001,MATCH(B430,Leads!$A$2:$A$5001,0))&amp;" "&amp;INDEX(Leads!$D$2:$D$5001,MATCH(B430,Leads!$A$2:$A$5001,0)),"N° no encontrado"))</f>
        <v/>
      </c>
      <c r="D430" s="35" t="str">
        <f aca="false">IF(B430="","",IFERROR(INDEX(Leads!$G$2:$G$5001,MATCH(B430,Leads!$A$2:$A$5001,0)),""))</f>
        <v/>
      </c>
      <c r="E430" s="32"/>
      <c r="F430" s="32"/>
      <c r="G430" s="32"/>
    </row>
    <row r="431" customFormat="false" ht="15" hidden="false" customHeight="false" outlineLevel="0" collapsed="false">
      <c r="A431" s="31"/>
      <c r="B431" s="32"/>
      <c r="C431" s="35" t="str">
        <f aca="false">IF(B431="","",IFERROR(INDEX(Leads!$C$2:$C$5001,MATCH(B431,Leads!$A$2:$A$5001,0))&amp;" "&amp;INDEX(Leads!$D$2:$D$5001,MATCH(B431,Leads!$A$2:$A$5001,0)),"N° no encontrado"))</f>
        <v/>
      </c>
      <c r="D431" s="35" t="str">
        <f aca="false">IF(B431="","",IFERROR(INDEX(Leads!$G$2:$G$5001,MATCH(B431,Leads!$A$2:$A$5001,0)),""))</f>
        <v/>
      </c>
      <c r="E431" s="32"/>
      <c r="F431" s="32"/>
      <c r="G431" s="32"/>
    </row>
    <row r="432" customFormat="false" ht="15" hidden="false" customHeight="false" outlineLevel="0" collapsed="false">
      <c r="A432" s="31"/>
      <c r="B432" s="32"/>
      <c r="C432" s="35" t="str">
        <f aca="false">IF(B432="","",IFERROR(INDEX(Leads!$C$2:$C$5001,MATCH(B432,Leads!$A$2:$A$5001,0))&amp;" "&amp;INDEX(Leads!$D$2:$D$5001,MATCH(B432,Leads!$A$2:$A$5001,0)),"N° no encontrado"))</f>
        <v/>
      </c>
      <c r="D432" s="35" t="str">
        <f aca="false">IF(B432="","",IFERROR(INDEX(Leads!$G$2:$G$5001,MATCH(B432,Leads!$A$2:$A$5001,0)),""))</f>
        <v/>
      </c>
      <c r="E432" s="32"/>
      <c r="F432" s="32"/>
      <c r="G432" s="32"/>
    </row>
    <row r="433" customFormat="false" ht="15" hidden="false" customHeight="false" outlineLevel="0" collapsed="false">
      <c r="A433" s="31"/>
      <c r="B433" s="32"/>
      <c r="C433" s="35" t="str">
        <f aca="false">IF(B433="","",IFERROR(INDEX(Leads!$C$2:$C$5001,MATCH(B433,Leads!$A$2:$A$5001,0))&amp;" "&amp;INDEX(Leads!$D$2:$D$5001,MATCH(B433,Leads!$A$2:$A$5001,0)),"N° no encontrado"))</f>
        <v/>
      </c>
      <c r="D433" s="35" t="str">
        <f aca="false">IF(B433="","",IFERROR(INDEX(Leads!$G$2:$G$5001,MATCH(B433,Leads!$A$2:$A$5001,0)),""))</f>
        <v/>
      </c>
      <c r="E433" s="32"/>
      <c r="F433" s="32"/>
      <c r="G433" s="32"/>
    </row>
    <row r="434" customFormat="false" ht="15" hidden="false" customHeight="false" outlineLevel="0" collapsed="false">
      <c r="A434" s="31"/>
      <c r="B434" s="32"/>
      <c r="C434" s="35" t="str">
        <f aca="false">IF(B434="","",IFERROR(INDEX(Leads!$C$2:$C$5001,MATCH(B434,Leads!$A$2:$A$5001,0))&amp;" "&amp;INDEX(Leads!$D$2:$D$5001,MATCH(B434,Leads!$A$2:$A$5001,0)),"N° no encontrado"))</f>
        <v/>
      </c>
      <c r="D434" s="35" t="str">
        <f aca="false">IF(B434="","",IFERROR(INDEX(Leads!$G$2:$G$5001,MATCH(B434,Leads!$A$2:$A$5001,0)),""))</f>
        <v/>
      </c>
      <c r="E434" s="32"/>
      <c r="F434" s="32"/>
      <c r="G434" s="32"/>
    </row>
    <row r="435" customFormat="false" ht="15" hidden="false" customHeight="false" outlineLevel="0" collapsed="false">
      <c r="A435" s="31"/>
      <c r="B435" s="32"/>
      <c r="C435" s="35" t="str">
        <f aca="false">IF(B435="","",IFERROR(INDEX(Leads!$C$2:$C$5001,MATCH(B435,Leads!$A$2:$A$5001,0))&amp;" "&amp;INDEX(Leads!$D$2:$D$5001,MATCH(B435,Leads!$A$2:$A$5001,0)),"N° no encontrado"))</f>
        <v/>
      </c>
      <c r="D435" s="35" t="str">
        <f aca="false">IF(B435="","",IFERROR(INDEX(Leads!$G$2:$G$5001,MATCH(B435,Leads!$A$2:$A$5001,0)),""))</f>
        <v/>
      </c>
      <c r="E435" s="32"/>
      <c r="F435" s="32"/>
      <c r="G435" s="32"/>
    </row>
    <row r="436" customFormat="false" ht="15" hidden="false" customHeight="false" outlineLevel="0" collapsed="false">
      <c r="A436" s="31"/>
      <c r="B436" s="32"/>
      <c r="C436" s="35" t="str">
        <f aca="false">IF(B436="","",IFERROR(INDEX(Leads!$C$2:$C$5001,MATCH(B436,Leads!$A$2:$A$5001,0))&amp;" "&amp;INDEX(Leads!$D$2:$D$5001,MATCH(B436,Leads!$A$2:$A$5001,0)),"N° no encontrado"))</f>
        <v/>
      </c>
      <c r="D436" s="35" t="str">
        <f aca="false">IF(B436="","",IFERROR(INDEX(Leads!$G$2:$G$5001,MATCH(B436,Leads!$A$2:$A$5001,0)),""))</f>
        <v/>
      </c>
      <c r="E436" s="32"/>
      <c r="F436" s="32"/>
      <c r="G436" s="32"/>
    </row>
    <row r="437" customFormat="false" ht="15" hidden="false" customHeight="false" outlineLevel="0" collapsed="false">
      <c r="A437" s="31"/>
      <c r="B437" s="32"/>
      <c r="C437" s="35" t="str">
        <f aca="false">IF(B437="","",IFERROR(INDEX(Leads!$C$2:$C$5001,MATCH(B437,Leads!$A$2:$A$5001,0))&amp;" "&amp;INDEX(Leads!$D$2:$D$5001,MATCH(B437,Leads!$A$2:$A$5001,0)),"N° no encontrado"))</f>
        <v/>
      </c>
      <c r="D437" s="35" t="str">
        <f aca="false">IF(B437="","",IFERROR(INDEX(Leads!$G$2:$G$5001,MATCH(B437,Leads!$A$2:$A$5001,0)),""))</f>
        <v/>
      </c>
      <c r="E437" s="32"/>
      <c r="F437" s="32"/>
      <c r="G437" s="32"/>
    </row>
    <row r="438" customFormat="false" ht="15" hidden="false" customHeight="false" outlineLevel="0" collapsed="false">
      <c r="A438" s="31"/>
      <c r="B438" s="32"/>
      <c r="C438" s="35" t="str">
        <f aca="false">IF(B438="","",IFERROR(INDEX(Leads!$C$2:$C$5001,MATCH(B438,Leads!$A$2:$A$5001,0))&amp;" "&amp;INDEX(Leads!$D$2:$D$5001,MATCH(B438,Leads!$A$2:$A$5001,0)),"N° no encontrado"))</f>
        <v/>
      </c>
      <c r="D438" s="35" t="str">
        <f aca="false">IF(B438="","",IFERROR(INDEX(Leads!$G$2:$G$5001,MATCH(B438,Leads!$A$2:$A$5001,0)),""))</f>
        <v/>
      </c>
      <c r="E438" s="32"/>
      <c r="F438" s="32"/>
      <c r="G438" s="32"/>
    </row>
    <row r="439" customFormat="false" ht="15" hidden="false" customHeight="false" outlineLevel="0" collapsed="false">
      <c r="A439" s="31"/>
      <c r="B439" s="32"/>
      <c r="C439" s="35" t="str">
        <f aca="false">IF(B439="","",IFERROR(INDEX(Leads!$C$2:$C$5001,MATCH(B439,Leads!$A$2:$A$5001,0))&amp;" "&amp;INDEX(Leads!$D$2:$D$5001,MATCH(B439,Leads!$A$2:$A$5001,0)),"N° no encontrado"))</f>
        <v/>
      </c>
      <c r="D439" s="35" t="str">
        <f aca="false">IF(B439="","",IFERROR(INDEX(Leads!$G$2:$G$5001,MATCH(B439,Leads!$A$2:$A$5001,0)),""))</f>
        <v/>
      </c>
      <c r="E439" s="32"/>
      <c r="F439" s="32"/>
      <c r="G439" s="32"/>
    </row>
    <row r="440" customFormat="false" ht="15" hidden="false" customHeight="false" outlineLevel="0" collapsed="false">
      <c r="A440" s="31"/>
      <c r="B440" s="32"/>
      <c r="C440" s="35" t="str">
        <f aca="false">IF(B440="","",IFERROR(INDEX(Leads!$C$2:$C$5001,MATCH(B440,Leads!$A$2:$A$5001,0))&amp;" "&amp;INDEX(Leads!$D$2:$D$5001,MATCH(B440,Leads!$A$2:$A$5001,0)),"N° no encontrado"))</f>
        <v/>
      </c>
      <c r="D440" s="35" t="str">
        <f aca="false">IF(B440="","",IFERROR(INDEX(Leads!$G$2:$G$5001,MATCH(B440,Leads!$A$2:$A$5001,0)),""))</f>
        <v/>
      </c>
      <c r="E440" s="32"/>
      <c r="F440" s="32"/>
      <c r="G440" s="32"/>
    </row>
    <row r="441" customFormat="false" ht="15" hidden="false" customHeight="false" outlineLevel="0" collapsed="false">
      <c r="A441" s="31"/>
      <c r="B441" s="32"/>
      <c r="C441" s="35" t="str">
        <f aca="false">IF(B441="","",IFERROR(INDEX(Leads!$C$2:$C$5001,MATCH(B441,Leads!$A$2:$A$5001,0))&amp;" "&amp;INDEX(Leads!$D$2:$D$5001,MATCH(B441,Leads!$A$2:$A$5001,0)),"N° no encontrado"))</f>
        <v/>
      </c>
      <c r="D441" s="35" t="str">
        <f aca="false">IF(B441="","",IFERROR(INDEX(Leads!$G$2:$G$5001,MATCH(B441,Leads!$A$2:$A$5001,0)),""))</f>
        <v/>
      </c>
      <c r="E441" s="32"/>
      <c r="F441" s="32"/>
      <c r="G441" s="32"/>
    </row>
    <row r="442" customFormat="false" ht="15" hidden="false" customHeight="false" outlineLevel="0" collapsed="false">
      <c r="A442" s="31"/>
      <c r="B442" s="32"/>
      <c r="C442" s="35" t="str">
        <f aca="false">IF(B442="","",IFERROR(INDEX(Leads!$C$2:$C$5001,MATCH(B442,Leads!$A$2:$A$5001,0))&amp;" "&amp;INDEX(Leads!$D$2:$D$5001,MATCH(B442,Leads!$A$2:$A$5001,0)),"N° no encontrado"))</f>
        <v/>
      </c>
      <c r="D442" s="35" t="str">
        <f aca="false">IF(B442="","",IFERROR(INDEX(Leads!$G$2:$G$5001,MATCH(B442,Leads!$A$2:$A$5001,0)),""))</f>
        <v/>
      </c>
      <c r="E442" s="32"/>
      <c r="F442" s="32"/>
      <c r="G442" s="32"/>
    </row>
    <row r="443" customFormat="false" ht="15" hidden="false" customHeight="false" outlineLevel="0" collapsed="false">
      <c r="A443" s="31"/>
      <c r="B443" s="32"/>
      <c r="C443" s="35" t="str">
        <f aca="false">IF(B443="","",IFERROR(INDEX(Leads!$C$2:$C$5001,MATCH(B443,Leads!$A$2:$A$5001,0))&amp;" "&amp;INDEX(Leads!$D$2:$D$5001,MATCH(B443,Leads!$A$2:$A$5001,0)),"N° no encontrado"))</f>
        <v/>
      </c>
      <c r="D443" s="35" t="str">
        <f aca="false">IF(B443="","",IFERROR(INDEX(Leads!$G$2:$G$5001,MATCH(B443,Leads!$A$2:$A$5001,0)),""))</f>
        <v/>
      </c>
      <c r="E443" s="32"/>
      <c r="F443" s="32"/>
      <c r="G443" s="32"/>
    </row>
    <row r="444" customFormat="false" ht="15" hidden="false" customHeight="false" outlineLevel="0" collapsed="false">
      <c r="A444" s="31"/>
      <c r="B444" s="32"/>
      <c r="C444" s="35" t="str">
        <f aca="false">IF(B444="","",IFERROR(INDEX(Leads!$C$2:$C$5001,MATCH(B444,Leads!$A$2:$A$5001,0))&amp;" "&amp;INDEX(Leads!$D$2:$D$5001,MATCH(B444,Leads!$A$2:$A$5001,0)),"N° no encontrado"))</f>
        <v/>
      </c>
      <c r="D444" s="35" t="str">
        <f aca="false">IF(B444="","",IFERROR(INDEX(Leads!$G$2:$G$5001,MATCH(B444,Leads!$A$2:$A$5001,0)),""))</f>
        <v/>
      </c>
      <c r="E444" s="32"/>
      <c r="F444" s="32"/>
      <c r="G444" s="32"/>
    </row>
    <row r="445" customFormat="false" ht="15" hidden="false" customHeight="false" outlineLevel="0" collapsed="false">
      <c r="A445" s="31"/>
      <c r="B445" s="32"/>
      <c r="C445" s="35" t="str">
        <f aca="false">IF(B445="","",IFERROR(INDEX(Leads!$C$2:$C$5001,MATCH(B445,Leads!$A$2:$A$5001,0))&amp;" "&amp;INDEX(Leads!$D$2:$D$5001,MATCH(B445,Leads!$A$2:$A$5001,0)),"N° no encontrado"))</f>
        <v/>
      </c>
      <c r="D445" s="35" t="str">
        <f aca="false">IF(B445="","",IFERROR(INDEX(Leads!$G$2:$G$5001,MATCH(B445,Leads!$A$2:$A$5001,0)),""))</f>
        <v/>
      </c>
      <c r="E445" s="32"/>
      <c r="F445" s="32"/>
      <c r="G445" s="32"/>
    </row>
    <row r="446" customFormat="false" ht="15" hidden="false" customHeight="false" outlineLevel="0" collapsed="false">
      <c r="A446" s="31"/>
      <c r="B446" s="32"/>
      <c r="C446" s="35" t="str">
        <f aca="false">IF(B446="","",IFERROR(INDEX(Leads!$C$2:$C$5001,MATCH(B446,Leads!$A$2:$A$5001,0))&amp;" "&amp;INDEX(Leads!$D$2:$D$5001,MATCH(B446,Leads!$A$2:$A$5001,0)),"N° no encontrado"))</f>
        <v/>
      </c>
      <c r="D446" s="35" t="str">
        <f aca="false">IF(B446="","",IFERROR(INDEX(Leads!$G$2:$G$5001,MATCH(B446,Leads!$A$2:$A$5001,0)),""))</f>
        <v/>
      </c>
      <c r="E446" s="32"/>
      <c r="F446" s="32"/>
      <c r="G446" s="32"/>
    </row>
    <row r="447" customFormat="false" ht="15" hidden="false" customHeight="false" outlineLevel="0" collapsed="false">
      <c r="A447" s="31"/>
      <c r="B447" s="32"/>
      <c r="C447" s="35" t="str">
        <f aca="false">IF(B447="","",IFERROR(INDEX(Leads!$C$2:$C$5001,MATCH(B447,Leads!$A$2:$A$5001,0))&amp;" "&amp;INDEX(Leads!$D$2:$D$5001,MATCH(B447,Leads!$A$2:$A$5001,0)),"N° no encontrado"))</f>
        <v/>
      </c>
      <c r="D447" s="35" t="str">
        <f aca="false">IF(B447="","",IFERROR(INDEX(Leads!$G$2:$G$5001,MATCH(B447,Leads!$A$2:$A$5001,0)),""))</f>
        <v/>
      </c>
      <c r="E447" s="32"/>
      <c r="F447" s="32"/>
      <c r="G447" s="32"/>
    </row>
    <row r="448" customFormat="false" ht="15" hidden="false" customHeight="false" outlineLevel="0" collapsed="false">
      <c r="A448" s="31"/>
      <c r="B448" s="32"/>
      <c r="C448" s="35" t="str">
        <f aca="false">IF(B448="","",IFERROR(INDEX(Leads!$C$2:$C$5001,MATCH(B448,Leads!$A$2:$A$5001,0))&amp;" "&amp;INDEX(Leads!$D$2:$D$5001,MATCH(B448,Leads!$A$2:$A$5001,0)),"N° no encontrado"))</f>
        <v/>
      </c>
      <c r="D448" s="35" t="str">
        <f aca="false">IF(B448="","",IFERROR(INDEX(Leads!$G$2:$G$5001,MATCH(B448,Leads!$A$2:$A$5001,0)),""))</f>
        <v/>
      </c>
      <c r="E448" s="32"/>
      <c r="F448" s="32"/>
      <c r="G448" s="32"/>
    </row>
    <row r="449" customFormat="false" ht="15" hidden="false" customHeight="false" outlineLevel="0" collapsed="false">
      <c r="A449" s="31"/>
      <c r="B449" s="32"/>
      <c r="C449" s="35" t="str">
        <f aca="false">IF(B449="","",IFERROR(INDEX(Leads!$C$2:$C$5001,MATCH(B449,Leads!$A$2:$A$5001,0))&amp;" "&amp;INDEX(Leads!$D$2:$D$5001,MATCH(B449,Leads!$A$2:$A$5001,0)),"N° no encontrado"))</f>
        <v/>
      </c>
      <c r="D449" s="35" t="str">
        <f aca="false">IF(B449="","",IFERROR(INDEX(Leads!$G$2:$G$5001,MATCH(B449,Leads!$A$2:$A$5001,0)),""))</f>
        <v/>
      </c>
      <c r="E449" s="32"/>
      <c r="F449" s="32"/>
      <c r="G449" s="32"/>
    </row>
    <row r="450" customFormat="false" ht="15" hidden="false" customHeight="false" outlineLevel="0" collapsed="false">
      <c r="A450" s="31"/>
      <c r="B450" s="32"/>
      <c r="C450" s="35" t="str">
        <f aca="false">IF(B450="","",IFERROR(INDEX(Leads!$C$2:$C$5001,MATCH(B450,Leads!$A$2:$A$5001,0))&amp;" "&amp;INDEX(Leads!$D$2:$D$5001,MATCH(B450,Leads!$A$2:$A$5001,0)),"N° no encontrado"))</f>
        <v/>
      </c>
      <c r="D450" s="35" t="str">
        <f aca="false">IF(B450="","",IFERROR(INDEX(Leads!$G$2:$G$5001,MATCH(B450,Leads!$A$2:$A$5001,0)),""))</f>
        <v/>
      </c>
      <c r="E450" s="32"/>
      <c r="F450" s="32"/>
      <c r="G450" s="32"/>
    </row>
    <row r="451" customFormat="false" ht="15" hidden="false" customHeight="false" outlineLevel="0" collapsed="false">
      <c r="A451" s="31"/>
      <c r="B451" s="32"/>
      <c r="C451" s="35" t="str">
        <f aca="false">IF(B451="","",IFERROR(INDEX(Leads!$C$2:$C$5001,MATCH(B451,Leads!$A$2:$A$5001,0))&amp;" "&amp;INDEX(Leads!$D$2:$D$5001,MATCH(B451,Leads!$A$2:$A$5001,0)),"N° no encontrado"))</f>
        <v/>
      </c>
      <c r="D451" s="35" t="str">
        <f aca="false">IF(B451="","",IFERROR(INDEX(Leads!$G$2:$G$5001,MATCH(B451,Leads!$A$2:$A$5001,0)),""))</f>
        <v/>
      </c>
      <c r="E451" s="32"/>
      <c r="F451" s="32"/>
      <c r="G451" s="32"/>
    </row>
    <row r="452" customFormat="false" ht="15" hidden="false" customHeight="false" outlineLevel="0" collapsed="false">
      <c r="A452" s="31"/>
      <c r="B452" s="32"/>
      <c r="C452" s="35" t="str">
        <f aca="false">IF(B452="","",IFERROR(INDEX(Leads!$C$2:$C$5001,MATCH(B452,Leads!$A$2:$A$5001,0))&amp;" "&amp;INDEX(Leads!$D$2:$D$5001,MATCH(B452,Leads!$A$2:$A$5001,0)),"N° no encontrado"))</f>
        <v/>
      </c>
      <c r="D452" s="35" t="str">
        <f aca="false">IF(B452="","",IFERROR(INDEX(Leads!$G$2:$G$5001,MATCH(B452,Leads!$A$2:$A$5001,0)),""))</f>
        <v/>
      </c>
      <c r="E452" s="32"/>
      <c r="F452" s="32"/>
      <c r="G452" s="32"/>
    </row>
    <row r="453" customFormat="false" ht="15" hidden="false" customHeight="false" outlineLevel="0" collapsed="false">
      <c r="A453" s="31"/>
      <c r="B453" s="32"/>
      <c r="C453" s="35" t="str">
        <f aca="false">IF(B453="","",IFERROR(INDEX(Leads!$C$2:$C$5001,MATCH(B453,Leads!$A$2:$A$5001,0))&amp;" "&amp;INDEX(Leads!$D$2:$D$5001,MATCH(B453,Leads!$A$2:$A$5001,0)),"N° no encontrado"))</f>
        <v/>
      </c>
      <c r="D453" s="35" t="str">
        <f aca="false">IF(B453="","",IFERROR(INDEX(Leads!$G$2:$G$5001,MATCH(B453,Leads!$A$2:$A$5001,0)),""))</f>
        <v/>
      </c>
      <c r="E453" s="32"/>
      <c r="F453" s="32"/>
      <c r="G453" s="32"/>
    </row>
    <row r="454" customFormat="false" ht="15" hidden="false" customHeight="false" outlineLevel="0" collapsed="false">
      <c r="A454" s="31"/>
      <c r="B454" s="32"/>
      <c r="C454" s="35" t="str">
        <f aca="false">IF(B454="","",IFERROR(INDEX(Leads!$C$2:$C$5001,MATCH(B454,Leads!$A$2:$A$5001,0))&amp;" "&amp;INDEX(Leads!$D$2:$D$5001,MATCH(B454,Leads!$A$2:$A$5001,0)),"N° no encontrado"))</f>
        <v/>
      </c>
      <c r="D454" s="35" t="str">
        <f aca="false">IF(B454="","",IFERROR(INDEX(Leads!$G$2:$G$5001,MATCH(B454,Leads!$A$2:$A$5001,0)),""))</f>
        <v/>
      </c>
      <c r="E454" s="32"/>
      <c r="F454" s="32"/>
      <c r="G454" s="32"/>
    </row>
    <row r="455" customFormat="false" ht="15" hidden="false" customHeight="false" outlineLevel="0" collapsed="false">
      <c r="A455" s="31"/>
      <c r="B455" s="32"/>
      <c r="C455" s="35" t="str">
        <f aca="false">IF(B455="","",IFERROR(INDEX(Leads!$C$2:$C$5001,MATCH(B455,Leads!$A$2:$A$5001,0))&amp;" "&amp;INDEX(Leads!$D$2:$D$5001,MATCH(B455,Leads!$A$2:$A$5001,0)),"N° no encontrado"))</f>
        <v/>
      </c>
      <c r="D455" s="35" t="str">
        <f aca="false">IF(B455="","",IFERROR(INDEX(Leads!$G$2:$G$5001,MATCH(B455,Leads!$A$2:$A$5001,0)),""))</f>
        <v/>
      </c>
      <c r="E455" s="32"/>
      <c r="F455" s="32"/>
      <c r="G455" s="32"/>
    </row>
    <row r="456" customFormat="false" ht="15" hidden="false" customHeight="false" outlineLevel="0" collapsed="false">
      <c r="A456" s="31"/>
      <c r="B456" s="32"/>
      <c r="C456" s="35" t="str">
        <f aca="false">IF(B456="","",IFERROR(INDEX(Leads!$C$2:$C$5001,MATCH(B456,Leads!$A$2:$A$5001,0))&amp;" "&amp;INDEX(Leads!$D$2:$D$5001,MATCH(B456,Leads!$A$2:$A$5001,0)),"N° no encontrado"))</f>
        <v/>
      </c>
      <c r="D456" s="35" t="str">
        <f aca="false">IF(B456="","",IFERROR(INDEX(Leads!$G$2:$G$5001,MATCH(B456,Leads!$A$2:$A$5001,0)),""))</f>
        <v/>
      </c>
      <c r="E456" s="32"/>
      <c r="F456" s="32"/>
      <c r="G456" s="32"/>
    </row>
    <row r="457" customFormat="false" ht="15" hidden="false" customHeight="false" outlineLevel="0" collapsed="false">
      <c r="A457" s="31"/>
      <c r="B457" s="32"/>
      <c r="C457" s="35" t="str">
        <f aca="false">IF(B457="","",IFERROR(INDEX(Leads!$C$2:$C$5001,MATCH(B457,Leads!$A$2:$A$5001,0))&amp;" "&amp;INDEX(Leads!$D$2:$D$5001,MATCH(B457,Leads!$A$2:$A$5001,0)),"N° no encontrado"))</f>
        <v/>
      </c>
      <c r="D457" s="35" t="str">
        <f aca="false">IF(B457="","",IFERROR(INDEX(Leads!$G$2:$G$5001,MATCH(B457,Leads!$A$2:$A$5001,0)),""))</f>
        <v/>
      </c>
      <c r="E457" s="32"/>
      <c r="F457" s="32"/>
      <c r="G457" s="32"/>
    </row>
    <row r="458" customFormat="false" ht="15" hidden="false" customHeight="false" outlineLevel="0" collapsed="false">
      <c r="A458" s="31"/>
      <c r="B458" s="32"/>
      <c r="C458" s="35" t="str">
        <f aca="false">IF(B458="","",IFERROR(INDEX(Leads!$C$2:$C$5001,MATCH(B458,Leads!$A$2:$A$5001,0))&amp;" "&amp;INDEX(Leads!$D$2:$D$5001,MATCH(B458,Leads!$A$2:$A$5001,0)),"N° no encontrado"))</f>
        <v/>
      </c>
      <c r="D458" s="35" t="str">
        <f aca="false">IF(B458="","",IFERROR(INDEX(Leads!$G$2:$G$5001,MATCH(B458,Leads!$A$2:$A$5001,0)),""))</f>
        <v/>
      </c>
      <c r="E458" s="32"/>
      <c r="F458" s="32"/>
      <c r="G458" s="32"/>
    </row>
    <row r="459" customFormat="false" ht="15" hidden="false" customHeight="false" outlineLevel="0" collapsed="false">
      <c r="A459" s="31"/>
      <c r="B459" s="32"/>
      <c r="C459" s="35" t="str">
        <f aca="false">IF(B459="","",IFERROR(INDEX(Leads!$C$2:$C$5001,MATCH(B459,Leads!$A$2:$A$5001,0))&amp;" "&amp;INDEX(Leads!$D$2:$D$5001,MATCH(B459,Leads!$A$2:$A$5001,0)),"N° no encontrado"))</f>
        <v/>
      </c>
      <c r="D459" s="35" t="str">
        <f aca="false">IF(B459="","",IFERROR(INDEX(Leads!$G$2:$G$5001,MATCH(B459,Leads!$A$2:$A$5001,0)),""))</f>
        <v/>
      </c>
      <c r="E459" s="32"/>
      <c r="F459" s="32"/>
      <c r="G459" s="32"/>
    </row>
    <row r="460" customFormat="false" ht="15" hidden="false" customHeight="false" outlineLevel="0" collapsed="false">
      <c r="A460" s="31"/>
      <c r="B460" s="32"/>
      <c r="C460" s="35" t="str">
        <f aca="false">IF(B460="","",IFERROR(INDEX(Leads!$C$2:$C$5001,MATCH(B460,Leads!$A$2:$A$5001,0))&amp;" "&amp;INDEX(Leads!$D$2:$D$5001,MATCH(B460,Leads!$A$2:$A$5001,0)),"N° no encontrado"))</f>
        <v/>
      </c>
      <c r="D460" s="35" t="str">
        <f aca="false">IF(B460="","",IFERROR(INDEX(Leads!$G$2:$G$5001,MATCH(B460,Leads!$A$2:$A$5001,0)),""))</f>
        <v/>
      </c>
      <c r="E460" s="32"/>
      <c r="F460" s="32"/>
      <c r="G460" s="32"/>
    </row>
    <row r="461" customFormat="false" ht="15" hidden="false" customHeight="false" outlineLevel="0" collapsed="false">
      <c r="A461" s="31"/>
      <c r="B461" s="32"/>
      <c r="C461" s="35" t="str">
        <f aca="false">IF(B461="","",IFERROR(INDEX(Leads!$C$2:$C$5001,MATCH(B461,Leads!$A$2:$A$5001,0))&amp;" "&amp;INDEX(Leads!$D$2:$D$5001,MATCH(B461,Leads!$A$2:$A$5001,0)),"N° no encontrado"))</f>
        <v/>
      </c>
      <c r="D461" s="35" t="str">
        <f aca="false">IF(B461="","",IFERROR(INDEX(Leads!$G$2:$G$5001,MATCH(B461,Leads!$A$2:$A$5001,0)),""))</f>
        <v/>
      </c>
      <c r="E461" s="32"/>
      <c r="F461" s="32"/>
      <c r="G461" s="32"/>
    </row>
    <row r="462" customFormat="false" ht="15" hidden="false" customHeight="false" outlineLevel="0" collapsed="false">
      <c r="A462" s="31"/>
      <c r="B462" s="32"/>
      <c r="C462" s="35" t="str">
        <f aca="false">IF(B462="","",IFERROR(INDEX(Leads!$C$2:$C$5001,MATCH(B462,Leads!$A$2:$A$5001,0))&amp;" "&amp;INDEX(Leads!$D$2:$D$5001,MATCH(B462,Leads!$A$2:$A$5001,0)),"N° no encontrado"))</f>
        <v/>
      </c>
      <c r="D462" s="35" t="str">
        <f aca="false">IF(B462="","",IFERROR(INDEX(Leads!$G$2:$G$5001,MATCH(B462,Leads!$A$2:$A$5001,0)),""))</f>
        <v/>
      </c>
      <c r="E462" s="32"/>
      <c r="F462" s="32"/>
      <c r="G462" s="32"/>
    </row>
    <row r="463" customFormat="false" ht="15" hidden="false" customHeight="false" outlineLevel="0" collapsed="false">
      <c r="A463" s="31"/>
      <c r="B463" s="32"/>
      <c r="C463" s="35" t="str">
        <f aca="false">IF(B463="","",IFERROR(INDEX(Leads!$C$2:$C$5001,MATCH(B463,Leads!$A$2:$A$5001,0))&amp;" "&amp;INDEX(Leads!$D$2:$D$5001,MATCH(B463,Leads!$A$2:$A$5001,0)),"N° no encontrado"))</f>
        <v/>
      </c>
      <c r="D463" s="35" t="str">
        <f aca="false">IF(B463="","",IFERROR(INDEX(Leads!$G$2:$G$5001,MATCH(B463,Leads!$A$2:$A$5001,0)),""))</f>
        <v/>
      </c>
      <c r="E463" s="32"/>
      <c r="F463" s="32"/>
      <c r="G463" s="32"/>
    </row>
    <row r="464" customFormat="false" ht="15" hidden="false" customHeight="false" outlineLevel="0" collapsed="false">
      <c r="A464" s="31"/>
      <c r="B464" s="32"/>
      <c r="C464" s="35" t="str">
        <f aca="false">IF(B464="","",IFERROR(INDEX(Leads!$C$2:$C$5001,MATCH(B464,Leads!$A$2:$A$5001,0))&amp;" "&amp;INDEX(Leads!$D$2:$D$5001,MATCH(B464,Leads!$A$2:$A$5001,0)),"N° no encontrado"))</f>
        <v/>
      </c>
      <c r="D464" s="35" t="str">
        <f aca="false">IF(B464="","",IFERROR(INDEX(Leads!$G$2:$G$5001,MATCH(B464,Leads!$A$2:$A$5001,0)),""))</f>
        <v/>
      </c>
      <c r="E464" s="32"/>
      <c r="F464" s="32"/>
      <c r="G464" s="32"/>
    </row>
    <row r="465" customFormat="false" ht="15" hidden="false" customHeight="false" outlineLevel="0" collapsed="false">
      <c r="A465" s="31"/>
      <c r="B465" s="32"/>
      <c r="C465" s="35" t="str">
        <f aca="false">IF(B465="","",IFERROR(INDEX(Leads!$C$2:$C$5001,MATCH(B465,Leads!$A$2:$A$5001,0))&amp;" "&amp;INDEX(Leads!$D$2:$D$5001,MATCH(B465,Leads!$A$2:$A$5001,0)),"N° no encontrado"))</f>
        <v/>
      </c>
      <c r="D465" s="35" t="str">
        <f aca="false">IF(B465="","",IFERROR(INDEX(Leads!$G$2:$G$5001,MATCH(B465,Leads!$A$2:$A$5001,0)),""))</f>
        <v/>
      </c>
      <c r="E465" s="32"/>
      <c r="F465" s="32"/>
      <c r="G465" s="32"/>
    </row>
    <row r="466" customFormat="false" ht="15" hidden="false" customHeight="false" outlineLevel="0" collapsed="false">
      <c r="A466" s="31"/>
      <c r="B466" s="32"/>
      <c r="C466" s="35" t="str">
        <f aca="false">IF(B466="","",IFERROR(INDEX(Leads!$C$2:$C$5001,MATCH(B466,Leads!$A$2:$A$5001,0))&amp;" "&amp;INDEX(Leads!$D$2:$D$5001,MATCH(B466,Leads!$A$2:$A$5001,0)),"N° no encontrado"))</f>
        <v/>
      </c>
      <c r="D466" s="35" t="str">
        <f aca="false">IF(B466="","",IFERROR(INDEX(Leads!$G$2:$G$5001,MATCH(B466,Leads!$A$2:$A$5001,0)),""))</f>
        <v/>
      </c>
      <c r="E466" s="32"/>
      <c r="F466" s="32"/>
      <c r="G466" s="32"/>
    </row>
    <row r="467" customFormat="false" ht="15" hidden="false" customHeight="false" outlineLevel="0" collapsed="false">
      <c r="A467" s="31"/>
      <c r="B467" s="32"/>
      <c r="C467" s="35" t="str">
        <f aca="false">IF(B467="","",IFERROR(INDEX(Leads!$C$2:$C$5001,MATCH(B467,Leads!$A$2:$A$5001,0))&amp;" "&amp;INDEX(Leads!$D$2:$D$5001,MATCH(B467,Leads!$A$2:$A$5001,0)),"N° no encontrado"))</f>
        <v/>
      </c>
      <c r="D467" s="35" t="str">
        <f aca="false">IF(B467="","",IFERROR(INDEX(Leads!$G$2:$G$5001,MATCH(B467,Leads!$A$2:$A$5001,0)),""))</f>
        <v/>
      </c>
      <c r="E467" s="32"/>
      <c r="F467" s="32"/>
      <c r="G467" s="32"/>
    </row>
    <row r="468" customFormat="false" ht="15" hidden="false" customHeight="false" outlineLevel="0" collapsed="false">
      <c r="A468" s="31"/>
      <c r="B468" s="32"/>
      <c r="C468" s="35" t="str">
        <f aca="false">IF(B468="","",IFERROR(INDEX(Leads!$C$2:$C$5001,MATCH(B468,Leads!$A$2:$A$5001,0))&amp;" "&amp;INDEX(Leads!$D$2:$D$5001,MATCH(B468,Leads!$A$2:$A$5001,0)),"N° no encontrado"))</f>
        <v/>
      </c>
      <c r="D468" s="35" t="str">
        <f aca="false">IF(B468="","",IFERROR(INDEX(Leads!$G$2:$G$5001,MATCH(B468,Leads!$A$2:$A$5001,0)),""))</f>
        <v/>
      </c>
      <c r="E468" s="32"/>
      <c r="F468" s="32"/>
      <c r="G468" s="32"/>
    </row>
    <row r="469" customFormat="false" ht="15" hidden="false" customHeight="false" outlineLevel="0" collapsed="false">
      <c r="A469" s="31"/>
      <c r="B469" s="32"/>
      <c r="C469" s="35" t="str">
        <f aca="false">IF(B469="","",IFERROR(INDEX(Leads!$C$2:$C$5001,MATCH(B469,Leads!$A$2:$A$5001,0))&amp;" "&amp;INDEX(Leads!$D$2:$D$5001,MATCH(B469,Leads!$A$2:$A$5001,0)),"N° no encontrado"))</f>
        <v/>
      </c>
      <c r="D469" s="35" t="str">
        <f aca="false">IF(B469="","",IFERROR(INDEX(Leads!$G$2:$G$5001,MATCH(B469,Leads!$A$2:$A$5001,0)),""))</f>
        <v/>
      </c>
      <c r="E469" s="32"/>
      <c r="F469" s="32"/>
      <c r="G469" s="32"/>
    </row>
    <row r="470" customFormat="false" ht="15" hidden="false" customHeight="false" outlineLevel="0" collapsed="false">
      <c r="A470" s="31"/>
      <c r="B470" s="32"/>
      <c r="C470" s="35" t="str">
        <f aca="false">IF(B470="","",IFERROR(INDEX(Leads!$C$2:$C$5001,MATCH(B470,Leads!$A$2:$A$5001,0))&amp;" "&amp;INDEX(Leads!$D$2:$D$5001,MATCH(B470,Leads!$A$2:$A$5001,0)),"N° no encontrado"))</f>
        <v/>
      </c>
      <c r="D470" s="35" t="str">
        <f aca="false">IF(B470="","",IFERROR(INDEX(Leads!$G$2:$G$5001,MATCH(B470,Leads!$A$2:$A$5001,0)),""))</f>
        <v/>
      </c>
      <c r="E470" s="32"/>
      <c r="F470" s="32"/>
      <c r="G470" s="32"/>
    </row>
    <row r="471" customFormat="false" ht="15" hidden="false" customHeight="false" outlineLevel="0" collapsed="false">
      <c r="A471" s="31"/>
      <c r="B471" s="32"/>
      <c r="C471" s="35" t="str">
        <f aca="false">IF(B471="","",IFERROR(INDEX(Leads!$C$2:$C$5001,MATCH(B471,Leads!$A$2:$A$5001,0))&amp;" "&amp;INDEX(Leads!$D$2:$D$5001,MATCH(B471,Leads!$A$2:$A$5001,0)),"N° no encontrado"))</f>
        <v/>
      </c>
      <c r="D471" s="35" t="str">
        <f aca="false">IF(B471="","",IFERROR(INDEX(Leads!$G$2:$G$5001,MATCH(B471,Leads!$A$2:$A$5001,0)),""))</f>
        <v/>
      </c>
      <c r="E471" s="32"/>
      <c r="F471" s="32"/>
      <c r="G471" s="32"/>
    </row>
    <row r="472" customFormat="false" ht="15" hidden="false" customHeight="false" outlineLevel="0" collapsed="false">
      <c r="A472" s="31"/>
      <c r="B472" s="32"/>
      <c r="C472" s="35" t="str">
        <f aca="false">IF(B472="","",IFERROR(INDEX(Leads!$C$2:$C$5001,MATCH(B472,Leads!$A$2:$A$5001,0))&amp;" "&amp;INDEX(Leads!$D$2:$D$5001,MATCH(B472,Leads!$A$2:$A$5001,0)),"N° no encontrado"))</f>
        <v/>
      </c>
      <c r="D472" s="35" t="str">
        <f aca="false">IF(B472="","",IFERROR(INDEX(Leads!$G$2:$G$5001,MATCH(B472,Leads!$A$2:$A$5001,0)),""))</f>
        <v/>
      </c>
      <c r="E472" s="32"/>
      <c r="F472" s="32"/>
      <c r="G472" s="32"/>
    </row>
    <row r="473" customFormat="false" ht="15" hidden="false" customHeight="false" outlineLevel="0" collapsed="false">
      <c r="A473" s="31"/>
      <c r="B473" s="32"/>
      <c r="C473" s="35" t="str">
        <f aca="false">IF(B473="","",IFERROR(INDEX(Leads!$C$2:$C$5001,MATCH(B473,Leads!$A$2:$A$5001,0))&amp;" "&amp;INDEX(Leads!$D$2:$D$5001,MATCH(B473,Leads!$A$2:$A$5001,0)),"N° no encontrado"))</f>
        <v/>
      </c>
      <c r="D473" s="35" t="str">
        <f aca="false">IF(B473="","",IFERROR(INDEX(Leads!$G$2:$G$5001,MATCH(B473,Leads!$A$2:$A$5001,0)),""))</f>
        <v/>
      </c>
      <c r="E473" s="32"/>
      <c r="F473" s="32"/>
      <c r="G473" s="32"/>
    </row>
    <row r="474" customFormat="false" ht="15" hidden="false" customHeight="false" outlineLevel="0" collapsed="false">
      <c r="A474" s="31"/>
      <c r="B474" s="32"/>
      <c r="C474" s="35" t="str">
        <f aca="false">IF(B474="","",IFERROR(INDEX(Leads!$C$2:$C$5001,MATCH(B474,Leads!$A$2:$A$5001,0))&amp;" "&amp;INDEX(Leads!$D$2:$D$5001,MATCH(B474,Leads!$A$2:$A$5001,0)),"N° no encontrado"))</f>
        <v/>
      </c>
      <c r="D474" s="35" t="str">
        <f aca="false">IF(B474="","",IFERROR(INDEX(Leads!$G$2:$G$5001,MATCH(B474,Leads!$A$2:$A$5001,0)),""))</f>
        <v/>
      </c>
      <c r="E474" s="32"/>
      <c r="F474" s="32"/>
      <c r="G474" s="32"/>
    </row>
    <row r="475" customFormat="false" ht="15" hidden="false" customHeight="false" outlineLevel="0" collapsed="false">
      <c r="A475" s="31"/>
      <c r="B475" s="32"/>
      <c r="C475" s="35" t="str">
        <f aca="false">IF(B475="","",IFERROR(INDEX(Leads!$C$2:$C$5001,MATCH(B475,Leads!$A$2:$A$5001,0))&amp;" "&amp;INDEX(Leads!$D$2:$D$5001,MATCH(B475,Leads!$A$2:$A$5001,0)),"N° no encontrado"))</f>
        <v/>
      </c>
      <c r="D475" s="35" t="str">
        <f aca="false">IF(B475="","",IFERROR(INDEX(Leads!$G$2:$G$5001,MATCH(B475,Leads!$A$2:$A$5001,0)),""))</f>
        <v/>
      </c>
      <c r="E475" s="32"/>
      <c r="F475" s="32"/>
      <c r="G475" s="32"/>
    </row>
    <row r="476" customFormat="false" ht="15" hidden="false" customHeight="false" outlineLevel="0" collapsed="false">
      <c r="A476" s="31"/>
      <c r="B476" s="32"/>
      <c r="C476" s="35" t="str">
        <f aca="false">IF(B476="","",IFERROR(INDEX(Leads!$C$2:$C$5001,MATCH(B476,Leads!$A$2:$A$5001,0))&amp;" "&amp;INDEX(Leads!$D$2:$D$5001,MATCH(B476,Leads!$A$2:$A$5001,0)),"N° no encontrado"))</f>
        <v/>
      </c>
      <c r="D476" s="35" t="str">
        <f aca="false">IF(B476="","",IFERROR(INDEX(Leads!$G$2:$G$5001,MATCH(B476,Leads!$A$2:$A$5001,0)),""))</f>
        <v/>
      </c>
      <c r="E476" s="32"/>
      <c r="F476" s="32"/>
      <c r="G476" s="32"/>
    </row>
    <row r="477" customFormat="false" ht="15" hidden="false" customHeight="false" outlineLevel="0" collapsed="false">
      <c r="A477" s="31"/>
      <c r="B477" s="32"/>
      <c r="C477" s="35" t="str">
        <f aca="false">IF(B477="","",IFERROR(INDEX(Leads!$C$2:$C$5001,MATCH(B477,Leads!$A$2:$A$5001,0))&amp;" "&amp;INDEX(Leads!$D$2:$D$5001,MATCH(B477,Leads!$A$2:$A$5001,0)),"N° no encontrado"))</f>
        <v/>
      </c>
      <c r="D477" s="35" t="str">
        <f aca="false">IF(B477="","",IFERROR(INDEX(Leads!$G$2:$G$5001,MATCH(B477,Leads!$A$2:$A$5001,0)),""))</f>
        <v/>
      </c>
      <c r="E477" s="32"/>
      <c r="F477" s="32"/>
      <c r="G477" s="32"/>
    </row>
    <row r="478" customFormat="false" ht="15" hidden="false" customHeight="false" outlineLevel="0" collapsed="false">
      <c r="A478" s="31"/>
      <c r="B478" s="32"/>
      <c r="C478" s="35" t="str">
        <f aca="false">IF(B478="","",IFERROR(INDEX(Leads!$C$2:$C$5001,MATCH(B478,Leads!$A$2:$A$5001,0))&amp;" "&amp;INDEX(Leads!$D$2:$D$5001,MATCH(B478,Leads!$A$2:$A$5001,0)),"N° no encontrado"))</f>
        <v/>
      </c>
      <c r="D478" s="35" t="str">
        <f aca="false">IF(B478="","",IFERROR(INDEX(Leads!$G$2:$G$5001,MATCH(B478,Leads!$A$2:$A$5001,0)),""))</f>
        <v/>
      </c>
      <c r="E478" s="32"/>
      <c r="F478" s="32"/>
      <c r="G478" s="32"/>
    </row>
    <row r="479" customFormat="false" ht="15" hidden="false" customHeight="false" outlineLevel="0" collapsed="false">
      <c r="A479" s="31"/>
      <c r="B479" s="32"/>
      <c r="C479" s="35" t="str">
        <f aca="false">IF(B479="","",IFERROR(INDEX(Leads!$C$2:$C$5001,MATCH(B479,Leads!$A$2:$A$5001,0))&amp;" "&amp;INDEX(Leads!$D$2:$D$5001,MATCH(B479,Leads!$A$2:$A$5001,0)),"N° no encontrado"))</f>
        <v/>
      </c>
      <c r="D479" s="35" t="str">
        <f aca="false">IF(B479="","",IFERROR(INDEX(Leads!$G$2:$G$5001,MATCH(B479,Leads!$A$2:$A$5001,0)),""))</f>
        <v/>
      </c>
      <c r="E479" s="32"/>
      <c r="F479" s="32"/>
      <c r="G479" s="32"/>
    </row>
    <row r="480" customFormat="false" ht="15" hidden="false" customHeight="false" outlineLevel="0" collapsed="false">
      <c r="A480" s="31"/>
      <c r="B480" s="32"/>
      <c r="C480" s="35" t="str">
        <f aca="false">IF(B480="","",IFERROR(INDEX(Leads!$C$2:$C$5001,MATCH(B480,Leads!$A$2:$A$5001,0))&amp;" "&amp;INDEX(Leads!$D$2:$D$5001,MATCH(B480,Leads!$A$2:$A$5001,0)),"N° no encontrado"))</f>
        <v/>
      </c>
      <c r="D480" s="35" t="str">
        <f aca="false">IF(B480="","",IFERROR(INDEX(Leads!$G$2:$G$5001,MATCH(B480,Leads!$A$2:$A$5001,0)),""))</f>
        <v/>
      </c>
      <c r="E480" s="32"/>
      <c r="F480" s="32"/>
      <c r="G480" s="32"/>
    </row>
    <row r="481" customFormat="false" ht="15" hidden="false" customHeight="false" outlineLevel="0" collapsed="false">
      <c r="A481" s="31"/>
      <c r="B481" s="32"/>
      <c r="C481" s="35" t="str">
        <f aca="false">IF(B481="","",IFERROR(INDEX(Leads!$C$2:$C$5001,MATCH(B481,Leads!$A$2:$A$5001,0))&amp;" "&amp;INDEX(Leads!$D$2:$D$5001,MATCH(B481,Leads!$A$2:$A$5001,0)),"N° no encontrado"))</f>
        <v/>
      </c>
      <c r="D481" s="35" t="str">
        <f aca="false">IF(B481="","",IFERROR(INDEX(Leads!$G$2:$G$5001,MATCH(B481,Leads!$A$2:$A$5001,0)),""))</f>
        <v/>
      </c>
      <c r="E481" s="32"/>
      <c r="F481" s="32"/>
      <c r="G481" s="32"/>
    </row>
    <row r="482" customFormat="false" ht="15" hidden="false" customHeight="false" outlineLevel="0" collapsed="false">
      <c r="A482" s="31"/>
      <c r="B482" s="32"/>
      <c r="C482" s="35" t="str">
        <f aca="false">IF(B482="","",IFERROR(INDEX(Leads!$C$2:$C$5001,MATCH(B482,Leads!$A$2:$A$5001,0))&amp;" "&amp;INDEX(Leads!$D$2:$D$5001,MATCH(B482,Leads!$A$2:$A$5001,0)),"N° no encontrado"))</f>
        <v/>
      </c>
      <c r="D482" s="35" t="str">
        <f aca="false">IF(B482="","",IFERROR(INDEX(Leads!$G$2:$G$5001,MATCH(B482,Leads!$A$2:$A$5001,0)),""))</f>
        <v/>
      </c>
      <c r="E482" s="32"/>
      <c r="F482" s="32"/>
      <c r="G482" s="32"/>
    </row>
    <row r="483" customFormat="false" ht="15" hidden="false" customHeight="false" outlineLevel="0" collapsed="false">
      <c r="A483" s="31"/>
      <c r="B483" s="32"/>
      <c r="C483" s="35" t="str">
        <f aca="false">IF(B483="","",IFERROR(INDEX(Leads!$C$2:$C$5001,MATCH(B483,Leads!$A$2:$A$5001,0))&amp;" "&amp;INDEX(Leads!$D$2:$D$5001,MATCH(B483,Leads!$A$2:$A$5001,0)),"N° no encontrado"))</f>
        <v/>
      </c>
      <c r="D483" s="35" t="str">
        <f aca="false">IF(B483="","",IFERROR(INDEX(Leads!$G$2:$G$5001,MATCH(B483,Leads!$A$2:$A$5001,0)),""))</f>
        <v/>
      </c>
      <c r="E483" s="32"/>
      <c r="F483" s="32"/>
      <c r="G483" s="32"/>
    </row>
    <row r="484" customFormat="false" ht="15" hidden="false" customHeight="false" outlineLevel="0" collapsed="false">
      <c r="A484" s="31"/>
      <c r="B484" s="32"/>
      <c r="C484" s="35" t="str">
        <f aca="false">IF(B484="","",IFERROR(INDEX(Leads!$C$2:$C$5001,MATCH(B484,Leads!$A$2:$A$5001,0))&amp;" "&amp;INDEX(Leads!$D$2:$D$5001,MATCH(B484,Leads!$A$2:$A$5001,0)),"N° no encontrado"))</f>
        <v/>
      </c>
      <c r="D484" s="35" t="str">
        <f aca="false">IF(B484="","",IFERROR(INDEX(Leads!$G$2:$G$5001,MATCH(B484,Leads!$A$2:$A$5001,0)),""))</f>
        <v/>
      </c>
      <c r="E484" s="32"/>
      <c r="F484" s="32"/>
      <c r="G484" s="32"/>
    </row>
    <row r="485" customFormat="false" ht="15" hidden="false" customHeight="false" outlineLevel="0" collapsed="false">
      <c r="A485" s="31"/>
      <c r="B485" s="32"/>
      <c r="C485" s="35" t="str">
        <f aca="false">IF(B485="","",IFERROR(INDEX(Leads!$C$2:$C$5001,MATCH(B485,Leads!$A$2:$A$5001,0))&amp;" "&amp;INDEX(Leads!$D$2:$D$5001,MATCH(B485,Leads!$A$2:$A$5001,0)),"N° no encontrado"))</f>
        <v/>
      </c>
      <c r="D485" s="35" t="str">
        <f aca="false">IF(B485="","",IFERROR(INDEX(Leads!$G$2:$G$5001,MATCH(B485,Leads!$A$2:$A$5001,0)),""))</f>
        <v/>
      </c>
      <c r="E485" s="32"/>
      <c r="F485" s="32"/>
      <c r="G485" s="32"/>
    </row>
    <row r="486" customFormat="false" ht="15" hidden="false" customHeight="false" outlineLevel="0" collapsed="false">
      <c r="A486" s="31"/>
      <c r="B486" s="32"/>
      <c r="C486" s="35" t="str">
        <f aca="false">IF(B486="","",IFERROR(INDEX(Leads!$C$2:$C$5001,MATCH(B486,Leads!$A$2:$A$5001,0))&amp;" "&amp;INDEX(Leads!$D$2:$D$5001,MATCH(B486,Leads!$A$2:$A$5001,0)),"N° no encontrado"))</f>
        <v/>
      </c>
      <c r="D486" s="35" t="str">
        <f aca="false">IF(B486="","",IFERROR(INDEX(Leads!$G$2:$G$5001,MATCH(B486,Leads!$A$2:$A$5001,0)),""))</f>
        <v/>
      </c>
      <c r="E486" s="32"/>
      <c r="F486" s="32"/>
      <c r="G486" s="32"/>
    </row>
    <row r="487" customFormat="false" ht="15" hidden="false" customHeight="false" outlineLevel="0" collapsed="false">
      <c r="A487" s="31"/>
      <c r="B487" s="32"/>
      <c r="C487" s="35" t="str">
        <f aca="false">IF(B487="","",IFERROR(INDEX(Leads!$C$2:$C$5001,MATCH(B487,Leads!$A$2:$A$5001,0))&amp;" "&amp;INDEX(Leads!$D$2:$D$5001,MATCH(B487,Leads!$A$2:$A$5001,0)),"N° no encontrado"))</f>
        <v/>
      </c>
      <c r="D487" s="35" t="str">
        <f aca="false">IF(B487="","",IFERROR(INDEX(Leads!$G$2:$G$5001,MATCH(B487,Leads!$A$2:$A$5001,0)),""))</f>
        <v/>
      </c>
      <c r="E487" s="32"/>
      <c r="F487" s="32"/>
      <c r="G487" s="32"/>
    </row>
    <row r="488" customFormat="false" ht="15" hidden="false" customHeight="false" outlineLevel="0" collapsed="false">
      <c r="A488" s="31"/>
      <c r="B488" s="32"/>
      <c r="C488" s="35" t="str">
        <f aca="false">IF(B488="","",IFERROR(INDEX(Leads!$C$2:$C$5001,MATCH(B488,Leads!$A$2:$A$5001,0))&amp;" "&amp;INDEX(Leads!$D$2:$D$5001,MATCH(B488,Leads!$A$2:$A$5001,0)),"N° no encontrado"))</f>
        <v/>
      </c>
      <c r="D488" s="35" t="str">
        <f aca="false">IF(B488="","",IFERROR(INDEX(Leads!$G$2:$G$5001,MATCH(B488,Leads!$A$2:$A$5001,0)),""))</f>
        <v/>
      </c>
      <c r="E488" s="32"/>
      <c r="F488" s="32"/>
      <c r="G488" s="32"/>
    </row>
    <row r="489" customFormat="false" ht="15" hidden="false" customHeight="false" outlineLevel="0" collapsed="false">
      <c r="A489" s="31"/>
      <c r="B489" s="32"/>
      <c r="C489" s="35" t="str">
        <f aca="false">IF(B489="","",IFERROR(INDEX(Leads!$C$2:$C$5001,MATCH(B489,Leads!$A$2:$A$5001,0))&amp;" "&amp;INDEX(Leads!$D$2:$D$5001,MATCH(B489,Leads!$A$2:$A$5001,0)),"N° no encontrado"))</f>
        <v/>
      </c>
      <c r="D489" s="35" t="str">
        <f aca="false">IF(B489="","",IFERROR(INDEX(Leads!$G$2:$G$5001,MATCH(B489,Leads!$A$2:$A$5001,0)),""))</f>
        <v/>
      </c>
      <c r="E489" s="32"/>
      <c r="F489" s="32"/>
      <c r="G489" s="32"/>
    </row>
    <row r="490" customFormat="false" ht="15" hidden="false" customHeight="false" outlineLevel="0" collapsed="false">
      <c r="A490" s="31"/>
      <c r="B490" s="32"/>
      <c r="C490" s="35" t="str">
        <f aca="false">IF(B490="","",IFERROR(INDEX(Leads!$C$2:$C$5001,MATCH(B490,Leads!$A$2:$A$5001,0))&amp;" "&amp;INDEX(Leads!$D$2:$D$5001,MATCH(B490,Leads!$A$2:$A$5001,0)),"N° no encontrado"))</f>
        <v/>
      </c>
      <c r="D490" s="35" t="str">
        <f aca="false">IF(B490="","",IFERROR(INDEX(Leads!$G$2:$G$5001,MATCH(B490,Leads!$A$2:$A$5001,0)),""))</f>
        <v/>
      </c>
      <c r="E490" s="32"/>
      <c r="F490" s="32"/>
      <c r="G490" s="32"/>
    </row>
    <row r="491" customFormat="false" ht="15" hidden="false" customHeight="false" outlineLevel="0" collapsed="false">
      <c r="A491" s="31"/>
      <c r="B491" s="32"/>
      <c r="C491" s="35" t="str">
        <f aca="false">IF(B491="","",IFERROR(INDEX(Leads!$C$2:$C$5001,MATCH(B491,Leads!$A$2:$A$5001,0))&amp;" "&amp;INDEX(Leads!$D$2:$D$5001,MATCH(B491,Leads!$A$2:$A$5001,0)),"N° no encontrado"))</f>
        <v/>
      </c>
      <c r="D491" s="35" t="str">
        <f aca="false">IF(B491="","",IFERROR(INDEX(Leads!$G$2:$G$5001,MATCH(B491,Leads!$A$2:$A$5001,0)),""))</f>
        <v/>
      </c>
      <c r="E491" s="32"/>
      <c r="F491" s="32"/>
      <c r="G491" s="32"/>
    </row>
    <row r="492" customFormat="false" ht="15" hidden="false" customHeight="false" outlineLevel="0" collapsed="false">
      <c r="A492" s="31"/>
      <c r="B492" s="32"/>
      <c r="C492" s="35" t="str">
        <f aca="false">IF(B492="","",IFERROR(INDEX(Leads!$C$2:$C$5001,MATCH(B492,Leads!$A$2:$A$5001,0))&amp;" "&amp;INDEX(Leads!$D$2:$D$5001,MATCH(B492,Leads!$A$2:$A$5001,0)),"N° no encontrado"))</f>
        <v/>
      </c>
      <c r="D492" s="35" t="str">
        <f aca="false">IF(B492="","",IFERROR(INDEX(Leads!$G$2:$G$5001,MATCH(B492,Leads!$A$2:$A$5001,0)),""))</f>
        <v/>
      </c>
      <c r="E492" s="32"/>
      <c r="F492" s="32"/>
      <c r="G492" s="32"/>
    </row>
    <row r="493" customFormat="false" ht="15" hidden="false" customHeight="false" outlineLevel="0" collapsed="false">
      <c r="A493" s="31"/>
      <c r="B493" s="32"/>
      <c r="C493" s="35" t="str">
        <f aca="false">IF(B493="","",IFERROR(INDEX(Leads!$C$2:$C$5001,MATCH(B493,Leads!$A$2:$A$5001,0))&amp;" "&amp;INDEX(Leads!$D$2:$D$5001,MATCH(B493,Leads!$A$2:$A$5001,0)),"N° no encontrado"))</f>
        <v/>
      </c>
      <c r="D493" s="35" t="str">
        <f aca="false">IF(B493="","",IFERROR(INDEX(Leads!$G$2:$G$5001,MATCH(B493,Leads!$A$2:$A$5001,0)),""))</f>
        <v/>
      </c>
      <c r="E493" s="32"/>
      <c r="F493" s="32"/>
      <c r="G493" s="32"/>
    </row>
    <row r="494" customFormat="false" ht="15" hidden="false" customHeight="false" outlineLevel="0" collapsed="false">
      <c r="A494" s="31"/>
      <c r="B494" s="32"/>
      <c r="C494" s="35" t="str">
        <f aca="false">IF(B494="","",IFERROR(INDEX(Leads!$C$2:$C$5001,MATCH(B494,Leads!$A$2:$A$5001,0))&amp;" "&amp;INDEX(Leads!$D$2:$D$5001,MATCH(B494,Leads!$A$2:$A$5001,0)),"N° no encontrado"))</f>
        <v/>
      </c>
      <c r="D494" s="35" t="str">
        <f aca="false">IF(B494="","",IFERROR(INDEX(Leads!$G$2:$G$5001,MATCH(B494,Leads!$A$2:$A$5001,0)),""))</f>
        <v/>
      </c>
      <c r="E494" s="32"/>
      <c r="F494" s="32"/>
      <c r="G494" s="32"/>
    </row>
    <row r="495" customFormat="false" ht="15" hidden="false" customHeight="false" outlineLevel="0" collapsed="false">
      <c r="A495" s="31"/>
      <c r="B495" s="32"/>
      <c r="C495" s="35" t="str">
        <f aca="false">IF(B495="","",IFERROR(INDEX(Leads!$C$2:$C$5001,MATCH(B495,Leads!$A$2:$A$5001,0))&amp;" "&amp;INDEX(Leads!$D$2:$D$5001,MATCH(B495,Leads!$A$2:$A$5001,0)),"N° no encontrado"))</f>
        <v/>
      </c>
      <c r="D495" s="35" t="str">
        <f aca="false">IF(B495="","",IFERROR(INDEX(Leads!$G$2:$G$5001,MATCH(B495,Leads!$A$2:$A$5001,0)),""))</f>
        <v/>
      </c>
      <c r="E495" s="32"/>
      <c r="F495" s="32"/>
      <c r="G495" s="32"/>
    </row>
    <row r="496" customFormat="false" ht="15" hidden="false" customHeight="false" outlineLevel="0" collapsed="false">
      <c r="A496" s="31"/>
      <c r="B496" s="32"/>
      <c r="C496" s="35" t="str">
        <f aca="false">IF(B496="","",IFERROR(INDEX(Leads!$C$2:$C$5001,MATCH(B496,Leads!$A$2:$A$5001,0))&amp;" "&amp;INDEX(Leads!$D$2:$D$5001,MATCH(B496,Leads!$A$2:$A$5001,0)),"N° no encontrado"))</f>
        <v/>
      </c>
      <c r="D496" s="35" t="str">
        <f aca="false">IF(B496="","",IFERROR(INDEX(Leads!$G$2:$G$5001,MATCH(B496,Leads!$A$2:$A$5001,0)),""))</f>
        <v/>
      </c>
      <c r="E496" s="32"/>
      <c r="F496" s="32"/>
      <c r="G496" s="32"/>
    </row>
    <row r="497" customFormat="false" ht="15" hidden="false" customHeight="false" outlineLevel="0" collapsed="false">
      <c r="A497" s="31"/>
      <c r="B497" s="32"/>
      <c r="C497" s="35" t="str">
        <f aca="false">IF(B497="","",IFERROR(INDEX(Leads!$C$2:$C$5001,MATCH(B497,Leads!$A$2:$A$5001,0))&amp;" "&amp;INDEX(Leads!$D$2:$D$5001,MATCH(B497,Leads!$A$2:$A$5001,0)),"N° no encontrado"))</f>
        <v/>
      </c>
      <c r="D497" s="35" t="str">
        <f aca="false">IF(B497="","",IFERROR(INDEX(Leads!$G$2:$G$5001,MATCH(B497,Leads!$A$2:$A$5001,0)),""))</f>
        <v/>
      </c>
      <c r="E497" s="32"/>
      <c r="F497" s="32"/>
      <c r="G497" s="32"/>
    </row>
    <row r="498" customFormat="false" ht="15" hidden="false" customHeight="false" outlineLevel="0" collapsed="false">
      <c r="A498" s="31"/>
      <c r="B498" s="32"/>
      <c r="C498" s="35" t="str">
        <f aca="false">IF(B498="","",IFERROR(INDEX(Leads!$C$2:$C$5001,MATCH(B498,Leads!$A$2:$A$5001,0))&amp;" "&amp;INDEX(Leads!$D$2:$D$5001,MATCH(B498,Leads!$A$2:$A$5001,0)),"N° no encontrado"))</f>
        <v/>
      </c>
      <c r="D498" s="35" t="str">
        <f aca="false">IF(B498="","",IFERROR(INDEX(Leads!$G$2:$G$5001,MATCH(B498,Leads!$A$2:$A$5001,0)),""))</f>
        <v/>
      </c>
      <c r="E498" s="32"/>
      <c r="F498" s="32"/>
      <c r="G498" s="32"/>
    </row>
    <row r="499" customFormat="false" ht="15" hidden="false" customHeight="false" outlineLevel="0" collapsed="false">
      <c r="A499" s="31"/>
      <c r="B499" s="32"/>
      <c r="C499" s="35" t="str">
        <f aca="false">IF(B499="","",IFERROR(INDEX(Leads!$C$2:$C$5001,MATCH(B499,Leads!$A$2:$A$5001,0))&amp;" "&amp;INDEX(Leads!$D$2:$D$5001,MATCH(B499,Leads!$A$2:$A$5001,0)),"N° no encontrado"))</f>
        <v/>
      </c>
      <c r="D499" s="35" t="str">
        <f aca="false">IF(B499="","",IFERROR(INDEX(Leads!$G$2:$G$5001,MATCH(B499,Leads!$A$2:$A$5001,0)),""))</f>
        <v/>
      </c>
      <c r="E499" s="32"/>
      <c r="F499" s="32"/>
      <c r="G499" s="32"/>
    </row>
    <row r="500" customFormat="false" ht="15" hidden="false" customHeight="false" outlineLevel="0" collapsed="false">
      <c r="A500" s="31"/>
      <c r="B500" s="32"/>
      <c r="C500" s="35" t="str">
        <f aca="false">IF(B500="","",IFERROR(INDEX(Leads!$C$2:$C$5001,MATCH(B500,Leads!$A$2:$A$5001,0))&amp;" "&amp;INDEX(Leads!$D$2:$D$5001,MATCH(B500,Leads!$A$2:$A$5001,0)),"N° no encontrado"))</f>
        <v/>
      </c>
      <c r="D500" s="35" t="str">
        <f aca="false">IF(B500="","",IFERROR(INDEX(Leads!$G$2:$G$5001,MATCH(B500,Leads!$A$2:$A$5001,0)),""))</f>
        <v/>
      </c>
      <c r="E500" s="32"/>
      <c r="F500" s="32"/>
      <c r="G500" s="32"/>
    </row>
    <row r="501" customFormat="false" ht="15" hidden="false" customHeight="false" outlineLevel="0" collapsed="false">
      <c r="A501" s="31"/>
      <c r="B501" s="32"/>
      <c r="C501" s="35" t="str">
        <f aca="false">IF(B501="","",IFERROR(INDEX(Leads!$C$2:$C$5001,MATCH(B501,Leads!$A$2:$A$5001,0))&amp;" "&amp;INDEX(Leads!$D$2:$D$5001,MATCH(B501,Leads!$A$2:$A$5001,0)),"N° no encontrado"))</f>
        <v/>
      </c>
      <c r="D501" s="35" t="str">
        <f aca="false">IF(B501="","",IFERROR(INDEX(Leads!$G$2:$G$5001,MATCH(B501,Leads!$A$2:$A$5001,0)),""))</f>
        <v/>
      </c>
      <c r="E501" s="32"/>
      <c r="F501" s="32"/>
      <c r="G501" s="32"/>
    </row>
    <row r="502" customFormat="false" ht="15" hidden="false" customHeight="false" outlineLevel="0" collapsed="false">
      <c r="A502" s="31"/>
      <c r="B502" s="32"/>
      <c r="C502" s="35" t="str">
        <f aca="false">IF(B502="","",IFERROR(INDEX(Leads!$C$2:$C$5001,MATCH(B502,Leads!$A$2:$A$5001,0))&amp;" "&amp;INDEX(Leads!$D$2:$D$5001,MATCH(B502,Leads!$A$2:$A$5001,0)),"N° no encontrado"))</f>
        <v/>
      </c>
      <c r="D502" s="35" t="str">
        <f aca="false">IF(B502="","",IFERROR(INDEX(Leads!$G$2:$G$5001,MATCH(B502,Leads!$A$2:$A$5001,0)),""))</f>
        <v/>
      </c>
      <c r="E502" s="32"/>
      <c r="F502" s="32"/>
      <c r="G502" s="32"/>
    </row>
    <row r="503" customFormat="false" ht="15" hidden="false" customHeight="false" outlineLevel="0" collapsed="false">
      <c r="A503" s="31"/>
      <c r="B503" s="32"/>
      <c r="C503" s="35" t="str">
        <f aca="false">IF(B503="","",IFERROR(INDEX(Leads!$C$2:$C$5001,MATCH(B503,Leads!$A$2:$A$5001,0))&amp;" "&amp;INDEX(Leads!$D$2:$D$5001,MATCH(B503,Leads!$A$2:$A$5001,0)),"N° no encontrado"))</f>
        <v/>
      </c>
      <c r="D503" s="35" t="str">
        <f aca="false">IF(B503="","",IFERROR(INDEX(Leads!$G$2:$G$5001,MATCH(B503,Leads!$A$2:$A$5001,0)),""))</f>
        <v/>
      </c>
      <c r="E503" s="32"/>
      <c r="F503" s="32"/>
      <c r="G503" s="32"/>
    </row>
    <row r="504" customFormat="false" ht="15" hidden="false" customHeight="false" outlineLevel="0" collapsed="false">
      <c r="A504" s="31"/>
      <c r="B504" s="32"/>
      <c r="C504" s="35" t="str">
        <f aca="false">IF(B504="","",IFERROR(INDEX(Leads!$C$2:$C$5001,MATCH(B504,Leads!$A$2:$A$5001,0))&amp;" "&amp;INDEX(Leads!$D$2:$D$5001,MATCH(B504,Leads!$A$2:$A$5001,0)),"N° no encontrado"))</f>
        <v/>
      </c>
      <c r="D504" s="35" t="str">
        <f aca="false">IF(B504="","",IFERROR(INDEX(Leads!$G$2:$G$5001,MATCH(B504,Leads!$A$2:$A$5001,0)),""))</f>
        <v/>
      </c>
      <c r="E504" s="32"/>
      <c r="F504" s="32"/>
      <c r="G504" s="32"/>
    </row>
    <row r="505" customFormat="false" ht="15" hidden="false" customHeight="false" outlineLevel="0" collapsed="false">
      <c r="A505" s="31"/>
      <c r="B505" s="32"/>
      <c r="C505" s="35" t="str">
        <f aca="false">IF(B505="","",IFERROR(INDEX(Leads!$C$2:$C$5001,MATCH(B505,Leads!$A$2:$A$5001,0))&amp;" "&amp;INDEX(Leads!$D$2:$D$5001,MATCH(B505,Leads!$A$2:$A$5001,0)),"N° no encontrado"))</f>
        <v/>
      </c>
      <c r="D505" s="35" t="str">
        <f aca="false">IF(B505="","",IFERROR(INDEX(Leads!$G$2:$G$5001,MATCH(B505,Leads!$A$2:$A$5001,0)),""))</f>
        <v/>
      </c>
      <c r="E505" s="32"/>
      <c r="F505" s="32"/>
      <c r="G505" s="32"/>
    </row>
    <row r="506" customFormat="false" ht="15" hidden="false" customHeight="false" outlineLevel="0" collapsed="false">
      <c r="A506" s="31"/>
      <c r="B506" s="32"/>
      <c r="C506" s="35" t="str">
        <f aca="false">IF(B506="","",IFERROR(INDEX(Leads!$C$2:$C$5001,MATCH(B506,Leads!$A$2:$A$5001,0))&amp;" "&amp;INDEX(Leads!$D$2:$D$5001,MATCH(B506,Leads!$A$2:$A$5001,0)),"N° no encontrado"))</f>
        <v/>
      </c>
      <c r="D506" s="35" t="str">
        <f aca="false">IF(B506="","",IFERROR(INDEX(Leads!$G$2:$G$5001,MATCH(B506,Leads!$A$2:$A$5001,0)),""))</f>
        <v/>
      </c>
      <c r="E506" s="32"/>
      <c r="F506" s="32"/>
      <c r="G506" s="32"/>
    </row>
    <row r="507" customFormat="false" ht="15" hidden="false" customHeight="false" outlineLevel="0" collapsed="false">
      <c r="A507" s="31"/>
      <c r="B507" s="32"/>
      <c r="C507" s="35" t="str">
        <f aca="false">IF(B507="","",IFERROR(INDEX(Leads!$C$2:$C$5001,MATCH(B507,Leads!$A$2:$A$5001,0))&amp;" "&amp;INDEX(Leads!$D$2:$D$5001,MATCH(B507,Leads!$A$2:$A$5001,0)),"N° no encontrado"))</f>
        <v/>
      </c>
      <c r="D507" s="35" t="str">
        <f aca="false">IF(B507="","",IFERROR(INDEX(Leads!$G$2:$G$5001,MATCH(B507,Leads!$A$2:$A$5001,0)),""))</f>
        <v/>
      </c>
      <c r="E507" s="32"/>
      <c r="F507" s="32"/>
      <c r="G507" s="32"/>
    </row>
    <row r="508" customFormat="false" ht="15" hidden="false" customHeight="false" outlineLevel="0" collapsed="false">
      <c r="A508" s="31"/>
      <c r="B508" s="32"/>
      <c r="C508" s="35" t="str">
        <f aca="false">IF(B508="","",IFERROR(INDEX(Leads!$C$2:$C$5001,MATCH(B508,Leads!$A$2:$A$5001,0))&amp;" "&amp;INDEX(Leads!$D$2:$D$5001,MATCH(B508,Leads!$A$2:$A$5001,0)),"N° no encontrado"))</f>
        <v/>
      </c>
      <c r="D508" s="35" t="str">
        <f aca="false">IF(B508="","",IFERROR(INDEX(Leads!$G$2:$G$5001,MATCH(B508,Leads!$A$2:$A$5001,0)),""))</f>
        <v/>
      </c>
      <c r="E508" s="32"/>
      <c r="F508" s="32"/>
      <c r="G508" s="32"/>
    </row>
    <row r="509" customFormat="false" ht="15" hidden="false" customHeight="false" outlineLevel="0" collapsed="false">
      <c r="A509" s="31"/>
      <c r="B509" s="32"/>
      <c r="C509" s="35" t="str">
        <f aca="false">IF(B509="","",IFERROR(INDEX(Leads!$C$2:$C$5001,MATCH(B509,Leads!$A$2:$A$5001,0))&amp;" "&amp;INDEX(Leads!$D$2:$D$5001,MATCH(B509,Leads!$A$2:$A$5001,0)),"N° no encontrado"))</f>
        <v/>
      </c>
      <c r="D509" s="35" t="str">
        <f aca="false">IF(B509="","",IFERROR(INDEX(Leads!$G$2:$G$5001,MATCH(B509,Leads!$A$2:$A$5001,0)),""))</f>
        <v/>
      </c>
      <c r="E509" s="32"/>
      <c r="F509" s="32"/>
      <c r="G509" s="32"/>
    </row>
    <row r="510" customFormat="false" ht="15" hidden="false" customHeight="false" outlineLevel="0" collapsed="false">
      <c r="A510" s="31"/>
      <c r="B510" s="32"/>
      <c r="C510" s="35" t="str">
        <f aca="false">IF(B510="","",IFERROR(INDEX(Leads!$C$2:$C$5001,MATCH(B510,Leads!$A$2:$A$5001,0))&amp;" "&amp;INDEX(Leads!$D$2:$D$5001,MATCH(B510,Leads!$A$2:$A$5001,0)),"N° no encontrado"))</f>
        <v/>
      </c>
      <c r="D510" s="35" t="str">
        <f aca="false">IF(B510="","",IFERROR(INDEX(Leads!$G$2:$G$5001,MATCH(B510,Leads!$A$2:$A$5001,0)),""))</f>
        <v/>
      </c>
      <c r="E510" s="32"/>
      <c r="F510" s="32"/>
      <c r="G510" s="32"/>
    </row>
    <row r="511" customFormat="false" ht="15" hidden="false" customHeight="false" outlineLevel="0" collapsed="false">
      <c r="A511" s="31"/>
      <c r="B511" s="32"/>
      <c r="C511" s="35" t="str">
        <f aca="false">IF(B511="","",IFERROR(INDEX(Leads!$C$2:$C$5001,MATCH(B511,Leads!$A$2:$A$5001,0))&amp;" "&amp;INDEX(Leads!$D$2:$D$5001,MATCH(B511,Leads!$A$2:$A$5001,0)),"N° no encontrado"))</f>
        <v/>
      </c>
      <c r="D511" s="35" t="str">
        <f aca="false">IF(B511="","",IFERROR(INDEX(Leads!$G$2:$G$5001,MATCH(B511,Leads!$A$2:$A$5001,0)),""))</f>
        <v/>
      </c>
      <c r="E511" s="32"/>
      <c r="F511" s="32"/>
      <c r="G511" s="32"/>
    </row>
    <row r="512" customFormat="false" ht="15" hidden="false" customHeight="false" outlineLevel="0" collapsed="false">
      <c r="A512" s="31"/>
      <c r="B512" s="32"/>
      <c r="C512" s="35" t="str">
        <f aca="false">IF(B512="","",IFERROR(INDEX(Leads!$C$2:$C$5001,MATCH(B512,Leads!$A$2:$A$5001,0))&amp;" "&amp;INDEX(Leads!$D$2:$D$5001,MATCH(B512,Leads!$A$2:$A$5001,0)),"N° no encontrado"))</f>
        <v/>
      </c>
      <c r="D512" s="35" t="str">
        <f aca="false">IF(B512="","",IFERROR(INDEX(Leads!$G$2:$G$5001,MATCH(B512,Leads!$A$2:$A$5001,0)),""))</f>
        <v/>
      </c>
      <c r="E512" s="32"/>
      <c r="F512" s="32"/>
      <c r="G512" s="32"/>
    </row>
    <row r="513" customFormat="false" ht="15" hidden="false" customHeight="false" outlineLevel="0" collapsed="false">
      <c r="A513" s="31"/>
      <c r="B513" s="32"/>
      <c r="C513" s="35" t="str">
        <f aca="false">IF(B513="","",IFERROR(INDEX(Leads!$C$2:$C$5001,MATCH(B513,Leads!$A$2:$A$5001,0))&amp;" "&amp;INDEX(Leads!$D$2:$D$5001,MATCH(B513,Leads!$A$2:$A$5001,0)),"N° no encontrado"))</f>
        <v/>
      </c>
      <c r="D513" s="35" t="str">
        <f aca="false">IF(B513="","",IFERROR(INDEX(Leads!$G$2:$G$5001,MATCH(B513,Leads!$A$2:$A$5001,0)),""))</f>
        <v/>
      </c>
      <c r="E513" s="32"/>
      <c r="F513" s="32"/>
      <c r="G513" s="32"/>
    </row>
    <row r="514" customFormat="false" ht="15" hidden="false" customHeight="false" outlineLevel="0" collapsed="false">
      <c r="A514" s="31"/>
      <c r="B514" s="32"/>
      <c r="C514" s="35" t="str">
        <f aca="false">IF(B514="","",IFERROR(INDEX(Leads!$C$2:$C$5001,MATCH(B514,Leads!$A$2:$A$5001,0))&amp;" "&amp;INDEX(Leads!$D$2:$D$5001,MATCH(B514,Leads!$A$2:$A$5001,0)),"N° no encontrado"))</f>
        <v/>
      </c>
      <c r="D514" s="35" t="str">
        <f aca="false">IF(B514="","",IFERROR(INDEX(Leads!$G$2:$G$5001,MATCH(B514,Leads!$A$2:$A$5001,0)),""))</f>
        <v/>
      </c>
      <c r="E514" s="32"/>
      <c r="F514" s="32"/>
      <c r="G514" s="32"/>
    </row>
    <row r="515" customFormat="false" ht="15" hidden="false" customHeight="false" outlineLevel="0" collapsed="false">
      <c r="A515" s="31"/>
      <c r="B515" s="32"/>
      <c r="C515" s="35" t="str">
        <f aca="false">IF(B515="","",IFERROR(INDEX(Leads!$C$2:$C$5001,MATCH(B515,Leads!$A$2:$A$5001,0))&amp;" "&amp;INDEX(Leads!$D$2:$D$5001,MATCH(B515,Leads!$A$2:$A$5001,0)),"N° no encontrado"))</f>
        <v/>
      </c>
      <c r="D515" s="35" t="str">
        <f aca="false">IF(B515="","",IFERROR(INDEX(Leads!$G$2:$G$5001,MATCH(B515,Leads!$A$2:$A$5001,0)),""))</f>
        <v/>
      </c>
      <c r="E515" s="32"/>
      <c r="F515" s="32"/>
      <c r="G515" s="32"/>
    </row>
    <row r="516" customFormat="false" ht="15" hidden="false" customHeight="false" outlineLevel="0" collapsed="false">
      <c r="A516" s="31"/>
      <c r="B516" s="32"/>
      <c r="C516" s="35" t="str">
        <f aca="false">IF(B516="","",IFERROR(INDEX(Leads!$C$2:$C$5001,MATCH(B516,Leads!$A$2:$A$5001,0))&amp;" "&amp;INDEX(Leads!$D$2:$D$5001,MATCH(B516,Leads!$A$2:$A$5001,0)),"N° no encontrado"))</f>
        <v/>
      </c>
      <c r="D516" s="35" t="str">
        <f aca="false">IF(B516="","",IFERROR(INDEX(Leads!$G$2:$G$5001,MATCH(B516,Leads!$A$2:$A$5001,0)),""))</f>
        <v/>
      </c>
      <c r="E516" s="32"/>
      <c r="F516" s="32"/>
      <c r="G516" s="32"/>
    </row>
    <row r="517" customFormat="false" ht="15" hidden="false" customHeight="false" outlineLevel="0" collapsed="false">
      <c r="A517" s="31"/>
      <c r="B517" s="32"/>
      <c r="C517" s="35" t="str">
        <f aca="false">IF(B517="","",IFERROR(INDEX(Leads!$C$2:$C$5001,MATCH(B517,Leads!$A$2:$A$5001,0))&amp;" "&amp;INDEX(Leads!$D$2:$D$5001,MATCH(B517,Leads!$A$2:$A$5001,0)),"N° no encontrado"))</f>
        <v/>
      </c>
      <c r="D517" s="35" t="str">
        <f aca="false">IF(B517="","",IFERROR(INDEX(Leads!$G$2:$G$5001,MATCH(B517,Leads!$A$2:$A$5001,0)),""))</f>
        <v/>
      </c>
      <c r="E517" s="32"/>
      <c r="F517" s="32"/>
      <c r="G517" s="32"/>
    </row>
    <row r="518" customFormat="false" ht="15" hidden="false" customHeight="false" outlineLevel="0" collapsed="false">
      <c r="A518" s="31"/>
      <c r="B518" s="32"/>
      <c r="C518" s="35" t="str">
        <f aca="false">IF(B518="","",IFERROR(INDEX(Leads!$C$2:$C$5001,MATCH(B518,Leads!$A$2:$A$5001,0))&amp;" "&amp;INDEX(Leads!$D$2:$D$5001,MATCH(B518,Leads!$A$2:$A$5001,0)),"N° no encontrado"))</f>
        <v/>
      </c>
      <c r="D518" s="35" t="str">
        <f aca="false">IF(B518="","",IFERROR(INDEX(Leads!$G$2:$G$5001,MATCH(B518,Leads!$A$2:$A$5001,0)),""))</f>
        <v/>
      </c>
      <c r="E518" s="32"/>
      <c r="F518" s="32"/>
      <c r="G518" s="32"/>
    </row>
    <row r="519" customFormat="false" ht="15" hidden="false" customHeight="false" outlineLevel="0" collapsed="false">
      <c r="A519" s="31"/>
      <c r="B519" s="32"/>
      <c r="C519" s="35" t="str">
        <f aca="false">IF(B519="","",IFERROR(INDEX(Leads!$C$2:$C$5001,MATCH(B519,Leads!$A$2:$A$5001,0))&amp;" "&amp;INDEX(Leads!$D$2:$D$5001,MATCH(B519,Leads!$A$2:$A$5001,0)),"N° no encontrado"))</f>
        <v/>
      </c>
      <c r="D519" s="35" t="str">
        <f aca="false">IF(B519="","",IFERROR(INDEX(Leads!$G$2:$G$5001,MATCH(B519,Leads!$A$2:$A$5001,0)),""))</f>
        <v/>
      </c>
      <c r="E519" s="32"/>
      <c r="F519" s="32"/>
      <c r="G519" s="32"/>
    </row>
    <row r="520" customFormat="false" ht="15" hidden="false" customHeight="false" outlineLevel="0" collapsed="false">
      <c r="A520" s="31"/>
      <c r="B520" s="32"/>
      <c r="C520" s="35" t="str">
        <f aca="false">IF(B520="","",IFERROR(INDEX(Leads!$C$2:$C$5001,MATCH(B520,Leads!$A$2:$A$5001,0))&amp;" "&amp;INDEX(Leads!$D$2:$D$5001,MATCH(B520,Leads!$A$2:$A$5001,0)),"N° no encontrado"))</f>
        <v/>
      </c>
      <c r="D520" s="35" t="str">
        <f aca="false">IF(B520="","",IFERROR(INDEX(Leads!$G$2:$G$5001,MATCH(B520,Leads!$A$2:$A$5001,0)),""))</f>
        <v/>
      </c>
      <c r="E520" s="32"/>
      <c r="F520" s="32"/>
      <c r="G520" s="32"/>
    </row>
    <row r="521" customFormat="false" ht="15" hidden="false" customHeight="false" outlineLevel="0" collapsed="false">
      <c r="A521" s="31"/>
      <c r="B521" s="32"/>
      <c r="C521" s="35" t="str">
        <f aca="false">IF(B521="","",IFERROR(INDEX(Leads!$C$2:$C$5001,MATCH(B521,Leads!$A$2:$A$5001,0))&amp;" "&amp;INDEX(Leads!$D$2:$D$5001,MATCH(B521,Leads!$A$2:$A$5001,0)),"N° no encontrado"))</f>
        <v/>
      </c>
      <c r="D521" s="35" t="str">
        <f aca="false">IF(B521="","",IFERROR(INDEX(Leads!$G$2:$G$5001,MATCH(B521,Leads!$A$2:$A$5001,0)),""))</f>
        <v/>
      </c>
      <c r="E521" s="32"/>
      <c r="F521" s="32"/>
      <c r="G521" s="32"/>
    </row>
    <row r="522" customFormat="false" ht="15" hidden="false" customHeight="false" outlineLevel="0" collapsed="false">
      <c r="A522" s="31"/>
      <c r="B522" s="32"/>
      <c r="C522" s="35" t="str">
        <f aca="false">IF(B522="","",IFERROR(INDEX(Leads!$C$2:$C$5001,MATCH(B522,Leads!$A$2:$A$5001,0))&amp;" "&amp;INDEX(Leads!$D$2:$D$5001,MATCH(B522,Leads!$A$2:$A$5001,0)),"N° no encontrado"))</f>
        <v/>
      </c>
      <c r="D522" s="35" t="str">
        <f aca="false">IF(B522="","",IFERROR(INDEX(Leads!$G$2:$G$5001,MATCH(B522,Leads!$A$2:$A$5001,0)),""))</f>
        <v/>
      </c>
      <c r="E522" s="32"/>
      <c r="F522" s="32"/>
      <c r="G522" s="32"/>
    </row>
    <row r="523" customFormat="false" ht="15" hidden="false" customHeight="false" outlineLevel="0" collapsed="false">
      <c r="A523" s="31"/>
      <c r="B523" s="32"/>
      <c r="C523" s="35" t="str">
        <f aca="false">IF(B523="","",IFERROR(INDEX(Leads!$C$2:$C$5001,MATCH(B523,Leads!$A$2:$A$5001,0))&amp;" "&amp;INDEX(Leads!$D$2:$D$5001,MATCH(B523,Leads!$A$2:$A$5001,0)),"N° no encontrado"))</f>
        <v/>
      </c>
      <c r="D523" s="35" t="str">
        <f aca="false">IF(B523="","",IFERROR(INDEX(Leads!$G$2:$G$5001,MATCH(B523,Leads!$A$2:$A$5001,0)),""))</f>
        <v/>
      </c>
      <c r="E523" s="32"/>
      <c r="F523" s="32"/>
      <c r="G523" s="32"/>
    </row>
    <row r="524" customFormat="false" ht="15" hidden="false" customHeight="false" outlineLevel="0" collapsed="false">
      <c r="A524" s="31"/>
      <c r="B524" s="32"/>
      <c r="C524" s="35" t="str">
        <f aca="false">IF(B524="","",IFERROR(INDEX(Leads!$C$2:$C$5001,MATCH(B524,Leads!$A$2:$A$5001,0))&amp;" "&amp;INDEX(Leads!$D$2:$D$5001,MATCH(B524,Leads!$A$2:$A$5001,0)),"N° no encontrado"))</f>
        <v/>
      </c>
      <c r="D524" s="35" t="str">
        <f aca="false">IF(B524="","",IFERROR(INDEX(Leads!$G$2:$G$5001,MATCH(B524,Leads!$A$2:$A$5001,0)),""))</f>
        <v/>
      </c>
      <c r="E524" s="32"/>
      <c r="F524" s="32"/>
      <c r="G524" s="32"/>
    </row>
    <row r="525" customFormat="false" ht="15" hidden="false" customHeight="false" outlineLevel="0" collapsed="false">
      <c r="A525" s="31"/>
      <c r="B525" s="32"/>
      <c r="C525" s="35" t="str">
        <f aca="false">IF(B525="","",IFERROR(INDEX(Leads!$C$2:$C$5001,MATCH(B525,Leads!$A$2:$A$5001,0))&amp;" "&amp;INDEX(Leads!$D$2:$D$5001,MATCH(B525,Leads!$A$2:$A$5001,0)),"N° no encontrado"))</f>
        <v/>
      </c>
      <c r="D525" s="35" t="str">
        <f aca="false">IF(B525="","",IFERROR(INDEX(Leads!$G$2:$G$5001,MATCH(B525,Leads!$A$2:$A$5001,0)),""))</f>
        <v/>
      </c>
      <c r="E525" s="32"/>
      <c r="F525" s="32"/>
      <c r="G525" s="32"/>
    </row>
    <row r="526" customFormat="false" ht="15" hidden="false" customHeight="false" outlineLevel="0" collapsed="false">
      <c r="A526" s="31"/>
      <c r="B526" s="32"/>
      <c r="C526" s="35" t="str">
        <f aca="false">IF(B526="","",IFERROR(INDEX(Leads!$C$2:$C$5001,MATCH(B526,Leads!$A$2:$A$5001,0))&amp;" "&amp;INDEX(Leads!$D$2:$D$5001,MATCH(B526,Leads!$A$2:$A$5001,0)),"N° no encontrado"))</f>
        <v/>
      </c>
      <c r="D526" s="35" t="str">
        <f aca="false">IF(B526="","",IFERROR(INDEX(Leads!$G$2:$G$5001,MATCH(B526,Leads!$A$2:$A$5001,0)),""))</f>
        <v/>
      </c>
      <c r="E526" s="32"/>
      <c r="F526" s="32"/>
      <c r="G526" s="32"/>
    </row>
    <row r="527" customFormat="false" ht="15" hidden="false" customHeight="false" outlineLevel="0" collapsed="false">
      <c r="A527" s="31"/>
      <c r="B527" s="32"/>
      <c r="C527" s="35" t="str">
        <f aca="false">IF(B527="","",IFERROR(INDEX(Leads!$C$2:$C$5001,MATCH(B527,Leads!$A$2:$A$5001,0))&amp;" "&amp;INDEX(Leads!$D$2:$D$5001,MATCH(B527,Leads!$A$2:$A$5001,0)),"N° no encontrado"))</f>
        <v/>
      </c>
      <c r="D527" s="35" t="str">
        <f aca="false">IF(B527="","",IFERROR(INDEX(Leads!$G$2:$G$5001,MATCH(B527,Leads!$A$2:$A$5001,0)),""))</f>
        <v/>
      </c>
      <c r="E527" s="32"/>
      <c r="F527" s="32"/>
      <c r="G527" s="32"/>
    </row>
    <row r="528" customFormat="false" ht="15" hidden="false" customHeight="false" outlineLevel="0" collapsed="false">
      <c r="A528" s="31"/>
      <c r="B528" s="32"/>
      <c r="C528" s="35" t="str">
        <f aca="false">IF(B528="","",IFERROR(INDEX(Leads!$C$2:$C$5001,MATCH(B528,Leads!$A$2:$A$5001,0))&amp;" "&amp;INDEX(Leads!$D$2:$D$5001,MATCH(B528,Leads!$A$2:$A$5001,0)),"N° no encontrado"))</f>
        <v/>
      </c>
      <c r="D528" s="35" t="str">
        <f aca="false">IF(B528="","",IFERROR(INDEX(Leads!$G$2:$G$5001,MATCH(B528,Leads!$A$2:$A$5001,0)),""))</f>
        <v/>
      </c>
      <c r="E528" s="32"/>
      <c r="F528" s="32"/>
      <c r="G528" s="32"/>
    </row>
    <row r="529" customFormat="false" ht="15" hidden="false" customHeight="false" outlineLevel="0" collapsed="false">
      <c r="A529" s="31"/>
      <c r="B529" s="32"/>
      <c r="C529" s="35" t="str">
        <f aca="false">IF(B529="","",IFERROR(INDEX(Leads!$C$2:$C$5001,MATCH(B529,Leads!$A$2:$A$5001,0))&amp;" "&amp;INDEX(Leads!$D$2:$D$5001,MATCH(B529,Leads!$A$2:$A$5001,0)),"N° no encontrado"))</f>
        <v/>
      </c>
      <c r="D529" s="35" t="str">
        <f aca="false">IF(B529="","",IFERROR(INDEX(Leads!$G$2:$G$5001,MATCH(B529,Leads!$A$2:$A$5001,0)),""))</f>
        <v/>
      </c>
      <c r="E529" s="32"/>
      <c r="F529" s="32"/>
      <c r="G529" s="32"/>
    </row>
    <row r="530" customFormat="false" ht="15" hidden="false" customHeight="false" outlineLevel="0" collapsed="false">
      <c r="A530" s="31"/>
      <c r="B530" s="32"/>
      <c r="C530" s="35" t="str">
        <f aca="false">IF(B530="","",IFERROR(INDEX(Leads!$C$2:$C$5001,MATCH(B530,Leads!$A$2:$A$5001,0))&amp;" "&amp;INDEX(Leads!$D$2:$D$5001,MATCH(B530,Leads!$A$2:$A$5001,0)),"N° no encontrado"))</f>
        <v/>
      </c>
      <c r="D530" s="35" t="str">
        <f aca="false">IF(B530="","",IFERROR(INDEX(Leads!$G$2:$G$5001,MATCH(B530,Leads!$A$2:$A$5001,0)),""))</f>
        <v/>
      </c>
      <c r="E530" s="32"/>
      <c r="F530" s="32"/>
      <c r="G530" s="32"/>
    </row>
    <row r="531" customFormat="false" ht="15" hidden="false" customHeight="false" outlineLevel="0" collapsed="false">
      <c r="A531" s="31"/>
      <c r="B531" s="32"/>
      <c r="C531" s="35" t="str">
        <f aca="false">IF(B531="","",IFERROR(INDEX(Leads!$C$2:$C$5001,MATCH(B531,Leads!$A$2:$A$5001,0))&amp;" "&amp;INDEX(Leads!$D$2:$D$5001,MATCH(B531,Leads!$A$2:$A$5001,0)),"N° no encontrado"))</f>
        <v/>
      </c>
      <c r="D531" s="35" t="str">
        <f aca="false">IF(B531="","",IFERROR(INDEX(Leads!$G$2:$G$5001,MATCH(B531,Leads!$A$2:$A$5001,0)),""))</f>
        <v/>
      </c>
      <c r="E531" s="32"/>
      <c r="F531" s="32"/>
      <c r="G531" s="32"/>
    </row>
    <row r="532" customFormat="false" ht="15" hidden="false" customHeight="false" outlineLevel="0" collapsed="false">
      <c r="A532" s="31"/>
      <c r="B532" s="32"/>
      <c r="C532" s="35" t="str">
        <f aca="false">IF(B532="","",IFERROR(INDEX(Leads!$C$2:$C$5001,MATCH(B532,Leads!$A$2:$A$5001,0))&amp;" "&amp;INDEX(Leads!$D$2:$D$5001,MATCH(B532,Leads!$A$2:$A$5001,0)),"N° no encontrado"))</f>
        <v/>
      </c>
      <c r="D532" s="35" t="str">
        <f aca="false">IF(B532="","",IFERROR(INDEX(Leads!$G$2:$G$5001,MATCH(B532,Leads!$A$2:$A$5001,0)),""))</f>
        <v/>
      </c>
      <c r="E532" s="32"/>
      <c r="F532" s="32"/>
      <c r="G532" s="32"/>
    </row>
    <row r="533" customFormat="false" ht="15" hidden="false" customHeight="false" outlineLevel="0" collapsed="false">
      <c r="A533" s="31"/>
      <c r="B533" s="32"/>
      <c r="C533" s="35" t="str">
        <f aca="false">IF(B533="","",IFERROR(INDEX(Leads!$C$2:$C$5001,MATCH(B533,Leads!$A$2:$A$5001,0))&amp;" "&amp;INDEX(Leads!$D$2:$D$5001,MATCH(B533,Leads!$A$2:$A$5001,0)),"N° no encontrado"))</f>
        <v/>
      </c>
      <c r="D533" s="35" t="str">
        <f aca="false">IF(B533="","",IFERROR(INDEX(Leads!$G$2:$G$5001,MATCH(B533,Leads!$A$2:$A$5001,0)),""))</f>
        <v/>
      </c>
      <c r="E533" s="32"/>
      <c r="F533" s="32"/>
      <c r="G533" s="32"/>
    </row>
    <row r="534" customFormat="false" ht="15" hidden="false" customHeight="false" outlineLevel="0" collapsed="false">
      <c r="A534" s="31"/>
      <c r="B534" s="32"/>
      <c r="C534" s="35" t="str">
        <f aca="false">IF(B534="","",IFERROR(INDEX(Leads!$C$2:$C$5001,MATCH(B534,Leads!$A$2:$A$5001,0))&amp;" "&amp;INDEX(Leads!$D$2:$D$5001,MATCH(B534,Leads!$A$2:$A$5001,0)),"N° no encontrado"))</f>
        <v/>
      </c>
      <c r="D534" s="35" t="str">
        <f aca="false">IF(B534="","",IFERROR(INDEX(Leads!$G$2:$G$5001,MATCH(B534,Leads!$A$2:$A$5001,0)),""))</f>
        <v/>
      </c>
      <c r="E534" s="32"/>
      <c r="F534" s="32"/>
      <c r="G534" s="32"/>
    </row>
    <row r="535" customFormat="false" ht="15" hidden="false" customHeight="false" outlineLevel="0" collapsed="false">
      <c r="A535" s="31"/>
      <c r="B535" s="32"/>
      <c r="C535" s="35" t="str">
        <f aca="false">IF(B535="","",IFERROR(INDEX(Leads!$C$2:$C$5001,MATCH(B535,Leads!$A$2:$A$5001,0))&amp;" "&amp;INDEX(Leads!$D$2:$D$5001,MATCH(B535,Leads!$A$2:$A$5001,0)),"N° no encontrado"))</f>
        <v/>
      </c>
      <c r="D535" s="35" t="str">
        <f aca="false">IF(B535="","",IFERROR(INDEX(Leads!$G$2:$G$5001,MATCH(B535,Leads!$A$2:$A$5001,0)),""))</f>
        <v/>
      </c>
      <c r="E535" s="32"/>
      <c r="F535" s="32"/>
      <c r="G535" s="32"/>
    </row>
    <row r="536" customFormat="false" ht="15" hidden="false" customHeight="false" outlineLevel="0" collapsed="false">
      <c r="A536" s="31"/>
      <c r="B536" s="32"/>
      <c r="C536" s="35" t="str">
        <f aca="false">IF(B536="","",IFERROR(INDEX(Leads!$C$2:$C$5001,MATCH(B536,Leads!$A$2:$A$5001,0))&amp;" "&amp;INDEX(Leads!$D$2:$D$5001,MATCH(B536,Leads!$A$2:$A$5001,0)),"N° no encontrado"))</f>
        <v/>
      </c>
      <c r="D536" s="35" t="str">
        <f aca="false">IF(B536="","",IFERROR(INDEX(Leads!$G$2:$G$5001,MATCH(B536,Leads!$A$2:$A$5001,0)),""))</f>
        <v/>
      </c>
      <c r="E536" s="32"/>
      <c r="F536" s="32"/>
      <c r="G536" s="32"/>
    </row>
    <row r="537" customFormat="false" ht="15" hidden="false" customHeight="false" outlineLevel="0" collapsed="false">
      <c r="A537" s="31"/>
      <c r="B537" s="32"/>
      <c r="C537" s="35" t="str">
        <f aca="false">IF(B537="","",IFERROR(INDEX(Leads!$C$2:$C$5001,MATCH(B537,Leads!$A$2:$A$5001,0))&amp;" "&amp;INDEX(Leads!$D$2:$D$5001,MATCH(B537,Leads!$A$2:$A$5001,0)),"N° no encontrado"))</f>
        <v/>
      </c>
      <c r="D537" s="35" t="str">
        <f aca="false">IF(B537="","",IFERROR(INDEX(Leads!$G$2:$G$5001,MATCH(B537,Leads!$A$2:$A$5001,0)),""))</f>
        <v/>
      </c>
      <c r="E537" s="32"/>
      <c r="F537" s="32"/>
      <c r="G537" s="32"/>
    </row>
    <row r="538" customFormat="false" ht="15" hidden="false" customHeight="false" outlineLevel="0" collapsed="false">
      <c r="A538" s="31"/>
      <c r="B538" s="32"/>
      <c r="C538" s="35" t="str">
        <f aca="false">IF(B538="","",IFERROR(INDEX(Leads!$C$2:$C$5001,MATCH(B538,Leads!$A$2:$A$5001,0))&amp;" "&amp;INDEX(Leads!$D$2:$D$5001,MATCH(B538,Leads!$A$2:$A$5001,0)),"N° no encontrado"))</f>
        <v/>
      </c>
      <c r="D538" s="35" t="str">
        <f aca="false">IF(B538="","",IFERROR(INDEX(Leads!$G$2:$G$5001,MATCH(B538,Leads!$A$2:$A$5001,0)),""))</f>
        <v/>
      </c>
      <c r="E538" s="32"/>
      <c r="F538" s="32"/>
      <c r="G538" s="32"/>
    </row>
    <row r="539" customFormat="false" ht="15" hidden="false" customHeight="false" outlineLevel="0" collapsed="false">
      <c r="A539" s="31"/>
      <c r="B539" s="32"/>
      <c r="C539" s="35" t="str">
        <f aca="false">IF(B539="","",IFERROR(INDEX(Leads!$C$2:$C$5001,MATCH(B539,Leads!$A$2:$A$5001,0))&amp;" "&amp;INDEX(Leads!$D$2:$D$5001,MATCH(B539,Leads!$A$2:$A$5001,0)),"N° no encontrado"))</f>
        <v/>
      </c>
      <c r="D539" s="35" t="str">
        <f aca="false">IF(B539="","",IFERROR(INDEX(Leads!$G$2:$G$5001,MATCH(B539,Leads!$A$2:$A$5001,0)),""))</f>
        <v/>
      </c>
      <c r="E539" s="32"/>
      <c r="F539" s="32"/>
      <c r="G539" s="32"/>
    </row>
    <row r="540" customFormat="false" ht="15" hidden="false" customHeight="false" outlineLevel="0" collapsed="false">
      <c r="A540" s="31"/>
      <c r="B540" s="32"/>
      <c r="C540" s="35" t="str">
        <f aca="false">IF(B540="","",IFERROR(INDEX(Leads!$C$2:$C$5001,MATCH(B540,Leads!$A$2:$A$5001,0))&amp;" "&amp;INDEX(Leads!$D$2:$D$5001,MATCH(B540,Leads!$A$2:$A$5001,0)),"N° no encontrado"))</f>
        <v/>
      </c>
      <c r="D540" s="35" t="str">
        <f aca="false">IF(B540="","",IFERROR(INDEX(Leads!$G$2:$G$5001,MATCH(B540,Leads!$A$2:$A$5001,0)),""))</f>
        <v/>
      </c>
      <c r="E540" s="32"/>
      <c r="F540" s="32"/>
      <c r="G540" s="32"/>
    </row>
    <row r="541" customFormat="false" ht="15" hidden="false" customHeight="false" outlineLevel="0" collapsed="false">
      <c r="A541" s="31"/>
      <c r="B541" s="32"/>
      <c r="C541" s="35" t="str">
        <f aca="false">IF(B541="","",IFERROR(INDEX(Leads!$C$2:$C$5001,MATCH(B541,Leads!$A$2:$A$5001,0))&amp;" "&amp;INDEX(Leads!$D$2:$D$5001,MATCH(B541,Leads!$A$2:$A$5001,0)),"N° no encontrado"))</f>
        <v/>
      </c>
      <c r="D541" s="35" t="str">
        <f aca="false">IF(B541="","",IFERROR(INDEX(Leads!$G$2:$G$5001,MATCH(B541,Leads!$A$2:$A$5001,0)),""))</f>
        <v/>
      </c>
      <c r="E541" s="32"/>
      <c r="F541" s="32"/>
      <c r="G541" s="32"/>
    </row>
    <row r="542" customFormat="false" ht="15" hidden="false" customHeight="false" outlineLevel="0" collapsed="false">
      <c r="A542" s="31"/>
      <c r="B542" s="32"/>
      <c r="C542" s="35" t="str">
        <f aca="false">IF(B542="","",IFERROR(INDEX(Leads!$C$2:$C$5001,MATCH(B542,Leads!$A$2:$A$5001,0))&amp;" "&amp;INDEX(Leads!$D$2:$D$5001,MATCH(B542,Leads!$A$2:$A$5001,0)),"N° no encontrado"))</f>
        <v/>
      </c>
      <c r="D542" s="35" t="str">
        <f aca="false">IF(B542="","",IFERROR(INDEX(Leads!$G$2:$G$5001,MATCH(B542,Leads!$A$2:$A$5001,0)),""))</f>
        <v/>
      </c>
      <c r="E542" s="32"/>
      <c r="F542" s="32"/>
      <c r="G542" s="32"/>
    </row>
    <row r="543" customFormat="false" ht="15" hidden="false" customHeight="false" outlineLevel="0" collapsed="false">
      <c r="A543" s="31"/>
      <c r="B543" s="32"/>
      <c r="C543" s="35" t="str">
        <f aca="false">IF(B543="","",IFERROR(INDEX(Leads!$C$2:$C$5001,MATCH(B543,Leads!$A$2:$A$5001,0))&amp;" "&amp;INDEX(Leads!$D$2:$D$5001,MATCH(B543,Leads!$A$2:$A$5001,0)),"N° no encontrado"))</f>
        <v/>
      </c>
      <c r="D543" s="35" t="str">
        <f aca="false">IF(B543="","",IFERROR(INDEX(Leads!$G$2:$G$5001,MATCH(B543,Leads!$A$2:$A$5001,0)),""))</f>
        <v/>
      </c>
      <c r="E543" s="32"/>
      <c r="F543" s="32"/>
      <c r="G543" s="32"/>
    </row>
    <row r="544" customFormat="false" ht="15" hidden="false" customHeight="false" outlineLevel="0" collapsed="false">
      <c r="A544" s="31"/>
      <c r="B544" s="32"/>
      <c r="C544" s="35" t="str">
        <f aca="false">IF(B544="","",IFERROR(INDEX(Leads!$C$2:$C$5001,MATCH(B544,Leads!$A$2:$A$5001,0))&amp;" "&amp;INDEX(Leads!$D$2:$D$5001,MATCH(B544,Leads!$A$2:$A$5001,0)),"N° no encontrado"))</f>
        <v/>
      </c>
      <c r="D544" s="35" t="str">
        <f aca="false">IF(B544="","",IFERROR(INDEX(Leads!$G$2:$G$5001,MATCH(B544,Leads!$A$2:$A$5001,0)),""))</f>
        <v/>
      </c>
      <c r="E544" s="32"/>
      <c r="F544" s="32"/>
      <c r="G544" s="32"/>
    </row>
    <row r="545" customFormat="false" ht="15" hidden="false" customHeight="false" outlineLevel="0" collapsed="false">
      <c r="A545" s="31"/>
      <c r="B545" s="32"/>
      <c r="C545" s="35" t="str">
        <f aca="false">IF(B545="","",IFERROR(INDEX(Leads!$C$2:$C$5001,MATCH(B545,Leads!$A$2:$A$5001,0))&amp;" "&amp;INDEX(Leads!$D$2:$D$5001,MATCH(B545,Leads!$A$2:$A$5001,0)),"N° no encontrado"))</f>
        <v/>
      </c>
      <c r="D545" s="35" t="str">
        <f aca="false">IF(B545="","",IFERROR(INDEX(Leads!$G$2:$G$5001,MATCH(B545,Leads!$A$2:$A$5001,0)),""))</f>
        <v/>
      </c>
      <c r="E545" s="32"/>
      <c r="F545" s="32"/>
      <c r="G545" s="32"/>
    </row>
    <row r="546" customFormat="false" ht="15" hidden="false" customHeight="false" outlineLevel="0" collapsed="false">
      <c r="A546" s="31"/>
      <c r="B546" s="32"/>
      <c r="C546" s="35" t="str">
        <f aca="false">IF(B546="","",IFERROR(INDEX(Leads!$C$2:$C$5001,MATCH(B546,Leads!$A$2:$A$5001,0))&amp;" "&amp;INDEX(Leads!$D$2:$D$5001,MATCH(B546,Leads!$A$2:$A$5001,0)),"N° no encontrado"))</f>
        <v/>
      </c>
      <c r="D546" s="35" t="str">
        <f aca="false">IF(B546="","",IFERROR(INDEX(Leads!$G$2:$G$5001,MATCH(B546,Leads!$A$2:$A$5001,0)),""))</f>
        <v/>
      </c>
      <c r="E546" s="32"/>
      <c r="F546" s="32"/>
      <c r="G546" s="32"/>
    </row>
    <row r="547" customFormat="false" ht="15" hidden="false" customHeight="false" outlineLevel="0" collapsed="false">
      <c r="A547" s="31"/>
      <c r="B547" s="32"/>
      <c r="C547" s="35" t="str">
        <f aca="false">IF(B547="","",IFERROR(INDEX(Leads!$C$2:$C$5001,MATCH(B547,Leads!$A$2:$A$5001,0))&amp;" "&amp;INDEX(Leads!$D$2:$D$5001,MATCH(B547,Leads!$A$2:$A$5001,0)),"N° no encontrado"))</f>
        <v/>
      </c>
      <c r="D547" s="35" t="str">
        <f aca="false">IF(B547="","",IFERROR(INDEX(Leads!$G$2:$G$5001,MATCH(B547,Leads!$A$2:$A$5001,0)),""))</f>
        <v/>
      </c>
      <c r="E547" s="32"/>
      <c r="F547" s="32"/>
      <c r="G547" s="32"/>
    </row>
    <row r="548" customFormat="false" ht="15" hidden="false" customHeight="false" outlineLevel="0" collapsed="false">
      <c r="A548" s="31"/>
      <c r="B548" s="32"/>
      <c r="C548" s="35" t="str">
        <f aca="false">IF(B548="","",IFERROR(INDEX(Leads!$C$2:$C$5001,MATCH(B548,Leads!$A$2:$A$5001,0))&amp;" "&amp;INDEX(Leads!$D$2:$D$5001,MATCH(B548,Leads!$A$2:$A$5001,0)),"N° no encontrado"))</f>
        <v/>
      </c>
      <c r="D548" s="35" t="str">
        <f aca="false">IF(B548="","",IFERROR(INDEX(Leads!$G$2:$G$5001,MATCH(B548,Leads!$A$2:$A$5001,0)),""))</f>
        <v/>
      </c>
      <c r="E548" s="32"/>
      <c r="F548" s="32"/>
      <c r="G548" s="32"/>
    </row>
    <row r="549" customFormat="false" ht="15" hidden="false" customHeight="false" outlineLevel="0" collapsed="false">
      <c r="A549" s="31"/>
      <c r="B549" s="32"/>
      <c r="C549" s="35" t="str">
        <f aca="false">IF(B549="","",IFERROR(INDEX(Leads!$C$2:$C$5001,MATCH(B549,Leads!$A$2:$A$5001,0))&amp;" "&amp;INDEX(Leads!$D$2:$D$5001,MATCH(B549,Leads!$A$2:$A$5001,0)),"N° no encontrado"))</f>
        <v/>
      </c>
      <c r="D549" s="35" t="str">
        <f aca="false">IF(B549="","",IFERROR(INDEX(Leads!$G$2:$G$5001,MATCH(B549,Leads!$A$2:$A$5001,0)),""))</f>
        <v/>
      </c>
      <c r="E549" s="32"/>
      <c r="F549" s="32"/>
      <c r="G549" s="32"/>
    </row>
    <row r="550" customFormat="false" ht="15" hidden="false" customHeight="false" outlineLevel="0" collapsed="false">
      <c r="A550" s="31"/>
      <c r="B550" s="32"/>
      <c r="C550" s="35" t="str">
        <f aca="false">IF(B550="","",IFERROR(INDEX(Leads!$C$2:$C$5001,MATCH(B550,Leads!$A$2:$A$5001,0))&amp;" "&amp;INDEX(Leads!$D$2:$D$5001,MATCH(B550,Leads!$A$2:$A$5001,0)),"N° no encontrado"))</f>
        <v/>
      </c>
      <c r="D550" s="35" t="str">
        <f aca="false">IF(B550="","",IFERROR(INDEX(Leads!$G$2:$G$5001,MATCH(B550,Leads!$A$2:$A$5001,0)),""))</f>
        <v/>
      </c>
      <c r="E550" s="32"/>
      <c r="F550" s="32"/>
      <c r="G550" s="32"/>
    </row>
    <row r="551" customFormat="false" ht="15" hidden="false" customHeight="false" outlineLevel="0" collapsed="false">
      <c r="A551" s="31"/>
      <c r="B551" s="32"/>
      <c r="C551" s="35" t="str">
        <f aca="false">IF(B551="","",IFERROR(INDEX(Leads!$C$2:$C$5001,MATCH(B551,Leads!$A$2:$A$5001,0))&amp;" "&amp;INDEX(Leads!$D$2:$D$5001,MATCH(B551,Leads!$A$2:$A$5001,0)),"N° no encontrado"))</f>
        <v/>
      </c>
      <c r="D551" s="35" t="str">
        <f aca="false">IF(B551="","",IFERROR(INDEX(Leads!$G$2:$G$5001,MATCH(B551,Leads!$A$2:$A$5001,0)),""))</f>
        <v/>
      </c>
      <c r="E551" s="32"/>
      <c r="F551" s="32"/>
      <c r="G551" s="32"/>
    </row>
    <row r="552" customFormat="false" ht="15" hidden="false" customHeight="false" outlineLevel="0" collapsed="false">
      <c r="A552" s="31"/>
      <c r="B552" s="32"/>
      <c r="C552" s="35" t="str">
        <f aca="false">IF(B552="","",IFERROR(INDEX(Leads!$C$2:$C$5001,MATCH(B552,Leads!$A$2:$A$5001,0))&amp;" "&amp;INDEX(Leads!$D$2:$D$5001,MATCH(B552,Leads!$A$2:$A$5001,0)),"N° no encontrado"))</f>
        <v/>
      </c>
      <c r="D552" s="35" t="str">
        <f aca="false">IF(B552="","",IFERROR(INDEX(Leads!$G$2:$G$5001,MATCH(B552,Leads!$A$2:$A$5001,0)),""))</f>
        <v/>
      </c>
      <c r="E552" s="32"/>
      <c r="F552" s="32"/>
      <c r="G552" s="32"/>
    </row>
    <row r="553" customFormat="false" ht="15" hidden="false" customHeight="false" outlineLevel="0" collapsed="false">
      <c r="A553" s="31"/>
      <c r="B553" s="32"/>
      <c r="C553" s="35" t="str">
        <f aca="false">IF(B553="","",IFERROR(INDEX(Leads!$C$2:$C$5001,MATCH(B553,Leads!$A$2:$A$5001,0))&amp;" "&amp;INDEX(Leads!$D$2:$D$5001,MATCH(B553,Leads!$A$2:$A$5001,0)),"N° no encontrado"))</f>
        <v/>
      </c>
      <c r="D553" s="35" t="str">
        <f aca="false">IF(B553="","",IFERROR(INDEX(Leads!$G$2:$G$5001,MATCH(B553,Leads!$A$2:$A$5001,0)),""))</f>
        <v/>
      </c>
      <c r="E553" s="32"/>
      <c r="F553" s="32"/>
      <c r="G553" s="32"/>
    </row>
    <row r="554" customFormat="false" ht="15" hidden="false" customHeight="false" outlineLevel="0" collapsed="false">
      <c r="A554" s="31"/>
      <c r="B554" s="32"/>
      <c r="C554" s="35" t="str">
        <f aca="false">IF(B554="","",IFERROR(INDEX(Leads!$C$2:$C$5001,MATCH(B554,Leads!$A$2:$A$5001,0))&amp;" "&amp;INDEX(Leads!$D$2:$D$5001,MATCH(B554,Leads!$A$2:$A$5001,0)),"N° no encontrado"))</f>
        <v/>
      </c>
      <c r="D554" s="35" t="str">
        <f aca="false">IF(B554="","",IFERROR(INDEX(Leads!$G$2:$G$5001,MATCH(B554,Leads!$A$2:$A$5001,0)),""))</f>
        <v/>
      </c>
      <c r="E554" s="32"/>
      <c r="F554" s="32"/>
      <c r="G554" s="32"/>
    </row>
    <row r="555" customFormat="false" ht="15" hidden="false" customHeight="false" outlineLevel="0" collapsed="false">
      <c r="A555" s="31"/>
      <c r="B555" s="32"/>
      <c r="C555" s="35" t="str">
        <f aca="false">IF(B555="","",IFERROR(INDEX(Leads!$C$2:$C$5001,MATCH(B555,Leads!$A$2:$A$5001,0))&amp;" "&amp;INDEX(Leads!$D$2:$D$5001,MATCH(B555,Leads!$A$2:$A$5001,0)),"N° no encontrado"))</f>
        <v/>
      </c>
      <c r="D555" s="35" t="str">
        <f aca="false">IF(B555="","",IFERROR(INDEX(Leads!$G$2:$G$5001,MATCH(B555,Leads!$A$2:$A$5001,0)),""))</f>
        <v/>
      </c>
      <c r="E555" s="32"/>
      <c r="F555" s="32"/>
      <c r="G555" s="32"/>
    </row>
    <row r="556" customFormat="false" ht="15" hidden="false" customHeight="false" outlineLevel="0" collapsed="false">
      <c r="A556" s="31"/>
      <c r="B556" s="32"/>
      <c r="C556" s="35" t="str">
        <f aca="false">IF(B556="","",IFERROR(INDEX(Leads!$C$2:$C$5001,MATCH(B556,Leads!$A$2:$A$5001,0))&amp;" "&amp;INDEX(Leads!$D$2:$D$5001,MATCH(B556,Leads!$A$2:$A$5001,0)),"N° no encontrado"))</f>
        <v/>
      </c>
      <c r="D556" s="35" t="str">
        <f aca="false">IF(B556="","",IFERROR(INDEX(Leads!$G$2:$G$5001,MATCH(B556,Leads!$A$2:$A$5001,0)),""))</f>
        <v/>
      </c>
      <c r="E556" s="32"/>
      <c r="F556" s="32"/>
      <c r="G556" s="32"/>
    </row>
    <row r="557" customFormat="false" ht="15" hidden="false" customHeight="false" outlineLevel="0" collapsed="false">
      <c r="A557" s="31"/>
      <c r="B557" s="32"/>
      <c r="C557" s="35" t="str">
        <f aca="false">IF(B557="","",IFERROR(INDEX(Leads!$C$2:$C$5001,MATCH(B557,Leads!$A$2:$A$5001,0))&amp;" "&amp;INDEX(Leads!$D$2:$D$5001,MATCH(B557,Leads!$A$2:$A$5001,0)),"N° no encontrado"))</f>
        <v/>
      </c>
      <c r="D557" s="35" t="str">
        <f aca="false">IF(B557="","",IFERROR(INDEX(Leads!$G$2:$G$5001,MATCH(B557,Leads!$A$2:$A$5001,0)),""))</f>
        <v/>
      </c>
      <c r="E557" s="32"/>
      <c r="F557" s="32"/>
      <c r="G557" s="32"/>
    </row>
    <row r="558" customFormat="false" ht="15" hidden="false" customHeight="false" outlineLevel="0" collapsed="false">
      <c r="A558" s="31"/>
      <c r="B558" s="32"/>
      <c r="C558" s="35" t="str">
        <f aca="false">IF(B558="","",IFERROR(INDEX(Leads!$C$2:$C$5001,MATCH(B558,Leads!$A$2:$A$5001,0))&amp;" "&amp;INDEX(Leads!$D$2:$D$5001,MATCH(B558,Leads!$A$2:$A$5001,0)),"N° no encontrado"))</f>
        <v/>
      </c>
      <c r="D558" s="35" t="str">
        <f aca="false">IF(B558="","",IFERROR(INDEX(Leads!$G$2:$G$5001,MATCH(B558,Leads!$A$2:$A$5001,0)),""))</f>
        <v/>
      </c>
      <c r="E558" s="32"/>
      <c r="F558" s="32"/>
      <c r="G558" s="32"/>
    </row>
    <row r="559" customFormat="false" ht="15" hidden="false" customHeight="false" outlineLevel="0" collapsed="false">
      <c r="A559" s="31"/>
      <c r="B559" s="32"/>
      <c r="C559" s="35" t="str">
        <f aca="false">IF(B559="","",IFERROR(INDEX(Leads!$C$2:$C$5001,MATCH(B559,Leads!$A$2:$A$5001,0))&amp;" "&amp;INDEX(Leads!$D$2:$D$5001,MATCH(B559,Leads!$A$2:$A$5001,0)),"N° no encontrado"))</f>
        <v/>
      </c>
      <c r="D559" s="35" t="str">
        <f aca="false">IF(B559="","",IFERROR(INDEX(Leads!$G$2:$G$5001,MATCH(B559,Leads!$A$2:$A$5001,0)),""))</f>
        <v/>
      </c>
      <c r="E559" s="32"/>
      <c r="F559" s="32"/>
      <c r="G559" s="32"/>
    </row>
    <row r="560" customFormat="false" ht="15" hidden="false" customHeight="false" outlineLevel="0" collapsed="false">
      <c r="A560" s="31"/>
      <c r="B560" s="32"/>
      <c r="C560" s="35" t="str">
        <f aca="false">IF(B560="","",IFERROR(INDEX(Leads!$C$2:$C$5001,MATCH(B560,Leads!$A$2:$A$5001,0))&amp;" "&amp;INDEX(Leads!$D$2:$D$5001,MATCH(B560,Leads!$A$2:$A$5001,0)),"N° no encontrado"))</f>
        <v/>
      </c>
      <c r="D560" s="35" t="str">
        <f aca="false">IF(B560="","",IFERROR(INDEX(Leads!$G$2:$G$5001,MATCH(B560,Leads!$A$2:$A$5001,0)),""))</f>
        <v/>
      </c>
      <c r="E560" s="32"/>
      <c r="F560" s="32"/>
      <c r="G560" s="32"/>
    </row>
    <row r="561" customFormat="false" ht="15" hidden="false" customHeight="false" outlineLevel="0" collapsed="false">
      <c r="A561" s="31"/>
      <c r="B561" s="32"/>
      <c r="C561" s="35" t="str">
        <f aca="false">IF(B561="","",IFERROR(INDEX(Leads!$C$2:$C$5001,MATCH(B561,Leads!$A$2:$A$5001,0))&amp;" "&amp;INDEX(Leads!$D$2:$D$5001,MATCH(B561,Leads!$A$2:$A$5001,0)),"N° no encontrado"))</f>
        <v/>
      </c>
      <c r="D561" s="35" t="str">
        <f aca="false">IF(B561="","",IFERROR(INDEX(Leads!$G$2:$G$5001,MATCH(B561,Leads!$A$2:$A$5001,0)),""))</f>
        <v/>
      </c>
      <c r="E561" s="32"/>
      <c r="F561" s="32"/>
      <c r="G561" s="32"/>
    </row>
    <row r="562" customFormat="false" ht="15" hidden="false" customHeight="false" outlineLevel="0" collapsed="false">
      <c r="A562" s="31"/>
      <c r="B562" s="32"/>
      <c r="C562" s="35" t="str">
        <f aca="false">IF(B562="","",IFERROR(INDEX(Leads!$C$2:$C$5001,MATCH(B562,Leads!$A$2:$A$5001,0))&amp;" "&amp;INDEX(Leads!$D$2:$D$5001,MATCH(B562,Leads!$A$2:$A$5001,0)),"N° no encontrado"))</f>
        <v/>
      </c>
      <c r="D562" s="35" t="str">
        <f aca="false">IF(B562="","",IFERROR(INDEX(Leads!$G$2:$G$5001,MATCH(B562,Leads!$A$2:$A$5001,0)),""))</f>
        <v/>
      </c>
      <c r="E562" s="32"/>
      <c r="F562" s="32"/>
      <c r="G562" s="32"/>
    </row>
    <row r="563" customFormat="false" ht="15" hidden="false" customHeight="false" outlineLevel="0" collapsed="false">
      <c r="A563" s="31"/>
      <c r="B563" s="32"/>
      <c r="C563" s="35" t="str">
        <f aca="false">IF(B563="","",IFERROR(INDEX(Leads!$C$2:$C$5001,MATCH(B563,Leads!$A$2:$A$5001,0))&amp;" "&amp;INDEX(Leads!$D$2:$D$5001,MATCH(B563,Leads!$A$2:$A$5001,0)),"N° no encontrado"))</f>
        <v/>
      </c>
      <c r="D563" s="35" t="str">
        <f aca="false">IF(B563="","",IFERROR(INDEX(Leads!$G$2:$G$5001,MATCH(B563,Leads!$A$2:$A$5001,0)),""))</f>
        <v/>
      </c>
      <c r="E563" s="32"/>
      <c r="F563" s="32"/>
      <c r="G563" s="32"/>
    </row>
    <row r="564" customFormat="false" ht="15" hidden="false" customHeight="false" outlineLevel="0" collapsed="false">
      <c r="A564" s="31"/>
      <c r="B564" s="32"/>
      <c r="C564" s="35" t="str">
        <f aca="false">IF(B564="","",IFERROR(INDEX(Leads!$C$2:$C$5001,MATCH(B564,Leads!$A$2:$A$5001,0))&amp;" "&amp;INDEX(Leads!$D$2:$D$5001,MATCH(B564,Leads!$A$2:$A$5001,0)),"N° no encontrado"))</f>
        <v/>
      </c>
      <c r="D564" s="35" t="str">
        <f aca="false">IF(B564="","",IFERROR(INDEX(Leads!$G$2:$G$5001,MATCH(B564,Leads!$A$2:$A$5001,0)),""))</f>
        <v/>
      </c>
      <c r="E564" s="32"/>
      <c r="F564" s="32"/>
      <c r="G564" s="32"/>
    </row>
    <row r="565" customFormat="false" ht="15" hidden="false" customHeight="false" outlineLevel="0" collapsed="false">
      <c r="A565" s="31"/>
      <c r="B565" s="32"/>
      <c r="C565" s="35" t="str">
        <f aca="false">IF(B565="","",IFERROR(INDEX(Leads!$C$2:$C$5001,MATCH(B565,Leads!$A$2:$A$5001,0))&amp;" "&amp;INDEX(Leads!$D$2:$D$5001,MATCH(B565,Leads!$A$2:$A$5001,0)),"N° no encontrado"))</f>
        <v/>
      </c>
      <c r="D565" s="35" t="str">
        <f aca="false">IF(B565="","",IFERROR(INDEX(Leads!$G$2:$G$5001,MATCH(B565,Leads!$A$2:$A$5001,0)),""))</f>
        <v/>
      </c>
      <c r="E565" s="32"/>
      <c r="F565" s="32"/>
      <c r="G565" s="32"/>
    </row>
    <row r="566" customFormat="false" ht="15" hidden="false" customHeight="false" outlineLevel="0" collapsed="false">
      <c r="A566" s="31"/>
      <c r="B566" s="32"/>
      <c r="C566" s="35" t="str">
        <f aca="false">IF(B566="","",IFERROR(INDEX(Leads!$C$2:$C$5001,MATCH(B566,Leads!$A$2:$A$5001,0))&amp;" "&amp;INDEX(Leads!$D$2:$D$5001,MATCH(B566,Leads!$A$2:$A$5001,0)),"N° no encontrado"))</f>
        <v/>
      </c>
      <c r="D566" s="35" t="str">
        <f aca="false">IF(B566="","",IFERROR(INDEX(Leads!$G$2:$G$5001,MATCH(B566,Leads!$A$2:$A$5001,0)),""))</f>
        <v/>
      </c>
      <c r="E566" s="32"/>
      <c r="F566" s="32"/>
      <c r="G566" s="32"/>
    </row>
    <row r="567" customFormat="false" ht="15" hidden="false" customHeight="false" outlineLevel="0" collapsed="false">
      <c r="A567" s="31"/>
      <c r="B567" s="32"/>
      <c r="C567" s="35" t="str">
        <f aca="false">IF(B567="","",IFERROR(INDEX(Leads!$C$2:$C$5001,MATCH(B567,Leads!$A$2:$A$5001,0))&amp;" "&amp;INDEX(Leads!$D$2:$D$5001,MATCH(B567,Leads!$A$2:$A$5001,0)),"N° no encontrado"))</f>
        <v/>
      </c>
      <c r="D567" s="35" t="str">
        <f aca="false">IF(B567="","",IFERROR(INDEX(Leads!$G$2:$G$5001,MATCH(B567,Leads!$A$2:$A$5001,0)),""))</f>
        <v/>
      </c>
      <c r="E567" s="32"/>
      <c r="F567" s="32"/>
      <c r="G567" s="32"/>
    </row>
    <row r="568" customFormat="false" ht="15" hidden="false" customHeight="false" outlineLevel="0" collapsed="false">
      <c r="A568" s="31"/>
      <c r="B568" s="32"/>
      <c r="C568" s="35" t="str">
        <f aca="false">IF(B568="","",IFERROR(INDEX(Leads!$C$2:$C$5001,MATCH(B568,Leads!$A$2:$A$5001,0))&amp;" "&amp;INDEX(Leads!$D$2:$D$5001,MATCH(B568,Leads!$A$2:$A$5001,0)),"N° no encontrado"))</f>
        <v/>
      </c>
      <c r="D568" s="35" t="str">
        <f aca="false">IF(B568="","",IFERROR(INDEX(Leads!$G$2:$G$5001,MATCH(B568,Leads!$A$2:$A$5001,0)),""))</f>
        <v/>
      </c>
      <c r="E568" s="32"/>
      <c r="F568" s="32"/>
      <c r="G568" s="32"/>
    </row>
    <row r="569" customFormat="false" ht="15" hidden="false" customHeight="false" outlineLevel="0" collapsed="false">
      <c r="A569" s="31"/>
      <c r="B569" s="32"/>
      <c r="C569" s="35" t="str">
        <f aca="false">IF(B569="","",IFERROR(INDEX(Leads!$C$2:$C$5001,MATCH(B569,Leads!$A$2:$A$5001,0))&amp;" "&amp;INDEX(Leads!$D$2:$D$5001,MATCH(B569,Leads!$A$2:$A$5001,0)),"N° no encontrado"))</f>
        <v/>
      </c>
      <c r="D569" s="35" t="str">
        <f aca="false">IF(B569="","",IFERROR(INDEX(Leads!$G$2:$G$5001,MATCH(B569,Leads!$A$2:$A$5001,0)),""))</f>
        <v/>
      </c>
      <c r="E569" s="32"/>
      <c r="F569" s="32"/>
      <c r="G569" s="32"/>
    </row>
    <row r="570" customFormat="false" ht="15" hidden="false" customHeight="false" outlineLevel="0" collapsed="false">
      <c r="A570" s="31"/>
      <c r="B570" s="32"/>
      <c r="C570" s="35" t="str">
        <f aca="false">IF(B570="","",IFERROR(INDEX(Leads!$C$2:$C$5001,MATCH(B570,Leads!$A$2:$A$5001,0))&amp;" "&amp;INDEX(Leads!$D$2:$D$5001,MATCH(B570,Leads!$A$2:$A$5001,0)),"N° no encontrado"))</f>
        <v/>
      </c>
      <c r="D570" s="35" t="str">
        <f aca="false">IF(B570="","",IFERROR(INDEX(Leads!$G$2:$G$5001,MATCH(B570,Leads!$A$2:$A$5001,0)),""))</f>
        <v/>
      </c>
      <c r="E570" s="32"/>
      <c r="F570" s="32"/>
      <c r="G570" s="32"/>
    </row>
    <row r="571" customFormat="false" ht="15" hidden="false" customHeight="false" outlineLevel="0" collapsed="false">
      <c r="A571" s="31"/>
      <c r="B571" s="32"/>
      <c r="C571" s="35" t="str">
        <f aca="false">IF(B571="","",IFERROR(INDEX(Leads!$C$2:$C$5001,MATCH(B571,Leads!$A$2:$A$5001,0))&amp;" "&amp;INDEX(Leads!$D$2:$D$5001,MATCH(B571,Leads!$A$2:$A$5001,0)),"N° no encontrado"))</f>
        <v/>
      </c>
      <c r="D571" s="35" t="str">
        <f aca="false">IF(B571="","",IFERROR(INDEX(Leads!$G$2:$G$5001,MATCH(B571,Leads!$A$2:$A$5001,0)),""))</f>
        <v/>
      </c>
      <c r="E571" s="32"/>
      <c r="F571" s="32"/>
      <c r="G571" s="32"/>
    </row>
    <row r="572" customFormat="false" ht="15" hidden="false" customHeight="false" outlineLevel="0" collapsed="false">
      <c r="A572" s="31"/>
      <c r="B572" s="32"/>
      <c r="C572" s="35" t="str">
        <f aca="false">IF(B572="","",IFERROR(INDEX(Leads!$C$2:$C$5001,MATCH(B572,Leads!$A$2:$A$5001,0))&amp;" "&amp;INDEX(Leads!$D$2:$D$5001,MATCH(B572,Leads!$A$2:$A$5001,0)),"N° no encontrado"))</f>
        <v/>
      </c>
      <c r="D572" s="35" t="str">
        <f aca="false">IF(B572="","",IFERROR(INDEX(Leads!$G$2:$G$5001,MATCH(B572,Leads!$A$2:$A$5001,0)),""))</f>
        <v/>
      </c>
      <c r="E572" s="32"/>
      <c r="F572" s="32"/>
      <c r="G572" s="32"/>
    </row>
    <row r="573" customFormat="false" ht="15" hidden="false" customHeight="false" outlineLevel="0" collapsed="false">
      <c r="A573" s="31"/>
      <c r="B573" s="32"/>
      <c r="C573" s="35" t="str">
        <f aca="false">IF(B573="","",IFERROR(INDEX(Leads!$C$2:$C$5001,MATCH(B573,Leads!$A$2:$A$5001,0))&amp;" "&amp;INDEX(Leads!$D$2:$D$5001,MATCH(B573,Leads!$A$2:$A$5001,0)),"N° no encontrado"))</f>
        <v/>
      </c>
      <c r="D573" s="35" t="str">
        <f aca="false">IF(B573="","",IFERROR(INDEX(Leads!$G$2:$G$5001,MATCH(B573,Leads!$A$2:$A$5001,0)),""))</f>
        <v/>
      </c>
      <c r="E573" s="32"/>
      <c r="F573" s="32"/>
      <c r="G573" s="32"/>
    </row>
    <row r="574" customFormat="false" ht="15" hidden="false" customHeight="false" outlineLevel="0" collapsed="false">
      <c r="A574" s="31"/>
      <c r="B574" s="32"/>
      <c r="C574" s="35" t="str">
        <f aca="false">IF(B574="","",IFERROR(INDEX(Leads!$C$2:$C$5001,MATCH(B574,Leads!$A$2:$A$5001,0))&amp;" "&amp;INDEX(Leads!$D$2:$D$5001,MATCH(B574,Leads!$A$2:$A$5001,0)),"N° no encontrado"))</f>
        <v/>
      </c>
      <c r="D574" s="35" t="str">
        <f aca="false">IF(B574="","",IFERROR(INDEX(Leads!$G$2:$G$5001,MATCH(B574,Leads!$A$2:$A$5001,0)),""))</f>
        <v/>
      </c>
      <c r="E574" s="32"/>
      <c r="F574" s="32"/>
      <c r="G574" s="32"/>
    </row>
    <row r="575" customFormat="false" ht="15" hidden="false" customHeight="false" outlineLevel="0" collapsed="false">
      <c r="A575" s="31"/>
      <c r="B575" s="32"/>
      <c r="C575" s="35" t="str">
        <f aca="false">IF(B575="","",IFERROR(INDEX(Leads!$C$2:$C$5001,MATCH(B575,Leads!$A$2:$A$5001,0))&amp;" "&amp;INDEX(Leads!$D$2:$D$5001,MATCH(B575,Leads!$A$2:$A$5001,0)),"N° no encontrado"))</f>
        <v/>
      </c>
      <c r="D575" s="35" t="str">
        <f aca="false">IF(B575="","",IFERROR(INDEX(Leads!$G$2:$G$5001,MATCH(B575,Leads!$A$2:$A$5001,0)),""))</f>
        <v/>
      </c>
      <c r="E575" s="32"/>
      <c r="F575" s="32"/>
      <c r="G575" s="32"/>
    </row>
    <row r="576" customFormat="false" ht="15" hidden="false" customHeight="false" outlineLevel="0" collapsed="false">
      <c r="A576" s="31"/>
      <c r="B576" s="32"/>
      <c r="C576" s="35" t="str">
        <f aca="false">IF(B576="","",IFERROR(INDEX(Leads!$C$2:$C$5001,MATCH(B576,Leads!$A$2:$A$5001,0))&amp;" "&amp;INDEX(Leads!$D$2:$D$5001,MATCH(B576,Leads!$A$2:$A$5001,0)),"N° no encontrado"))</f>
        <v/>
      </c>
      <c r="D576" s="35" t="str">
        <f aca="false">IF(B576="","",IFERROR(INDEX(Leads!$G$2:$G$5001,MATCH(B576,Leads!$A$2:$A$5001,0)),""))</f>
        <v/>
      </c>
      <c r="E576" s="32"/>
      <c r="F576" s="32"/>
      <c r="G576" s="32"/>
    </row>
    <row r="577" customFormat="false" ht="15" hidden="false" customHeight="false" outlineLevel="0" collapsed="false">
      <c r="A577" s="31"/>
      <c r="B577" s="32"/>
      <c r="C577" s="35" t="str">
        <f aca="false">IF(B577="","",IFERROR(INDEX(Leads!$C$2:$C$5001,MATCH(B577,Leads!$A$2:$A$5001,0))&amp;" "&amp;INDEX(Leads!$D$2:$D$5001,MATCH(B577,Leads!$A$2:$A$5001,0)),"N° no encontrado"))</f>
        <v/>
      </c>
      <c r="D577" s="35" t="str">
        <f aca="false">IF(B577="","",IFERROR(INDEX(Leads!$G$2:$G$5001,MATCH(B577,Leads!$A$2:$A$5001,0)),""))</f>
        <v/>
      </c>
      <c r="E577" s="32"/>
      <c r="F577" s="32"/>
      <c r="G577" s="32"/>
    </row>
    <row r="578" customFormat="false" ht="15" hidden="false" customHeight="false" outlineLevel="0" collapsed="false">
      <c r="A578" s="31"/>
      <c r="B578" s="32"/>
      <c r="C578" s="35" t="str">
        <f aca="false">IF(B578="","",IFERROR(INDEX(Leads!$C$2:$C$5001,MATCH(B578,Leads!$A$2:$A$5001,0))&amp;" "&amp;INDEX(Leads!$D$2:$D$5001,MATCH(B578,Leads!$A$2:$A$5001,0)),"N° no encontrado"))</f>
        <v/>
      </c>
      <c r="D578" s="35" t="str">
        <f aca="false">IF(B578="","",IFERROR(INDEX(Leads!$G$2:$G$5001,MATCH(B578,Leads!$A$2:$A$5001,0)),""))</f>
        <v/>
      </c>
      <c r="E578" s="32"/>
      <c r="F578" s="32"/>
      <c r="G578" s="32"/>
    </row>
    <row r="579" customFormat="false" ht="15" hidden="false" customHeight="false" outlineLevel="0" collapsed="false">
      <c r="A579" s="31"/>
      <c r="B579" s="32"/>
      <c r="C579" s="35" t="str">
        <f aca="false">IF(B579="","",IFERROR(INDEX(Leads!$C$2:$C$5001,MATCH(B579,Leads!$A$2:$A$5001,0))&amp;" "&amp;INDEX(Leads!$D$2:$D$5001,MATCH(B579,Leads!$A$2:$A$5001,0)),"N° no encontrado"))</f>
        <v/>
      </c>
      <c r="D579" s="35" t="str">
        <f aca="false">IF(B579="","",IFERROR(INDEX(Leads!$G$2:$G$5001,MATCH(B579,Leads!$A$2:$A$5001,0)),""))</f>
        <v/>
      </c>
      <c r="E579" s="32"/>
      <c r="F579" s="32"/>
      <c r="G579" s="32"/>
    </row>
    <row r="580" customFormat="false" ht="15" hidden="false" customHeight="false" outlineLevel="0" collapsed="false">
      <c r="A580" s="31"/>
      <c r="B580" s="32"/>
      <c r="C580" s="35" t="str">
        <f aca="false">IF(B580="","",IFERROR(INDEX(Leads!$C$2:$C$5001,MATCH(B580,Leads!$A$2:$A$5001,0))&amp;" "&amp;INDEX(Leads!$D$2:$D$5001,MATCH(B580,Leads!$A$2:$A$5001,0)),"N° no encontrado"))</f>
        <v/>
      </c>
      <c r="D580" s="35" t="str">
        <f aca="false">IF(B580="","",IFERROR(INDEX(Leads!$G$2:$G$5001,MATCH(B580,Leads!$A$2:$A$5001,0)),""))</f>
        <v/>
      </c>
      <c r="E580" s="32"/>
      <c r="F580" s="32"/>
      <c r="G580" s="32"/>
    </row>
    <row r="581" customFormat="false" ht="15" hidden="false" customHeight="false" outlineLevel="0" collapsed="false">
      <c r="A581" s="31"/>
      <c r="B581" s="32"/>
      <c r="C581" s="35" t="str">
        <f aca="false">IF(B581="","",IFERROR(INDEX(Leads!$C$2:$C$5001,MATCH(B581,Leads!$A$2:$A$5001,0))&amp;" "&amp;INDEX(Leads!$D$2:$D$5001,MATCH(B581,Leads!$A$2:$A$5001,0)),"N° no encontrado"))</f>
        <v/>
      </c>
      <c r="D581" s="35" t="str">
        <f aca="false">IF(B581="","",IFERROR(INDEX(Leads!$G$2:$G$5001,MATCH(B581,Leads!$A$2:$A$5001,0)),""))</f>
        <v/>
      </c>
      <c r="E581" s="32"/>
      <c r="F581" s="32"/>
      <c r="G581" s="32"/>
    </row>
    <row r="582" customFormat="false" ht="15" hidden="false" customHeight="false" outlineLevel="0" collapsed="false">
      <c r="A582" s="31"/>
      <c r="B582" s="32"/>
      <c r="C582" s="35" t="str">
        <f aca="false">IF(B582="","",IFERROR(INDEX(Leads!$C$2:$C$5001,MATCH(B582,Leads!$A$2:$A$5001,0))&amp;" "&amp;INDEX(Leads!$D$2:$D$5001,MATCH(B582,Leads!$A$2:$A$5001,0)),"N° no encontrado"))</f>
        <v/>
      </c>
      <c r="D582" s="35" t="str">
        <f aca="false">IF(B582="","",IFERROR(INDEX(Leads!$G$2:$G$5001,MATCH(B582,Leads!$A$2:$A$5001,0)),""))</f>
        <v/>
      </c>
      <c r="E582" s="32"/>
      <c r="F582" s="32"/>
      <c r="G582" s="32"/>
    </row>
    <row r="583" customFormat="false" ht="15" hidden="false" customHeight="false" outlineLevel="0" collapsed="false">
      <c r="A583" s="31"/>
      <c r="B583" s="32"/>
      <c r="C583" s="35" t="str">
        <f aca="false">IF(B583="","",IFERROR(INDEX(Leads!$C$2:$C$5001,MATCH(B583,Leads!$A$2:$A$5001,0))&amp;" "&amp;INDEX(Leads!$D$2:$D$5001,MATCH(B583,Leads!$A$2:$A$5001,0)),"N° no encontrado"))</f>
        <v/>
      </c>
      <c r="D583" s="35" t="str">
        <f aca="false">IF(B583="","",IFERROR(INDEX(Leads!$G$2:$G$5001,MATCH(B583,Leads!$A$2:$A$5001,0)),""))</f>
        <v/>
      </c>
      <c r="E583" s="32"/>
      <c r="F583" s="32"/>
      <c r="G583" s="32"/>
    </row>
    <row r="584" customFormat="false" ht="15" hidden="false" customHeight="false" outlineLevel="0" collapsed="false">
      <c r="A584" s="31"/>
      <c r="B584" s="32"/>
      <c r="C584" s="35" t="str">
        <f aca="false">IF(B584="","",IFERROR(INDEX(Leads!$C$2:$C$5001,MATCH(B584,Leads!$A$2:$A$5001,0))&amp;" "&amp;INDEX(Leads!$D$2:$D$5001,MATCH(B584,Leads!$A$2:$A$5001,0)),"N° no encontrado"))</f>
        <v/>
      </c>
      <c r="D584" s="35" t="str">
        <f aca="false">IF(B584="","",IFERROR(INDEX(Leads!$G$2:$G$5001,MATCH(B584,Leads!$A$2:$A$5001,0)),""))</f>
        <v/>
      </c>
      <c r="E584" s="32"/>
      <c r="F584" s="32"/>
      <c r="G584" s="32"/>
    </row>
    <row r="585" customFormat="false" ht="15" hidden="false" customHeight="false" outlineLevel="0" collapsed="false">
      <c r="A585" s="31"/>
      <c r="B585" s="32"/>
      <c r="C585" s="35" t="str">
        <f aca="false">IF(B585="","",IFERROR(INDEX(Leads!$C$2:$C$5001,MATCH(B585,Leads!$A$2:$A$5001,0))&amp;" "&amp;INDEX(Leads!$D$2:$D$5001,MATCH(B585,Leads!$A$2:$A$5001,0)),"N° no encontrado"))</f>
        <v/>
      </c>
      <c r="D585" s="35" t="str">
        <f aca="false">IF(B585="","",IFERROR(INDEX(Leads!$G$2:$G$5001,MATCH(B585,Leads!$A$2:$A$5001,0)),""))</f>
        <v/>
      </c>
      <c r="E585" s="32"/>
      <c r="F585" s="32"/>
      <c r="G585" s="32"/>
    </row>
    <row r="586" customFormat="false" ht="15" hidden="false" customHeight="false" outlineLevel="0" collapsed="false">
      <c r="A586" s="31"/>
      <c r="B586" s="32"/>
      <c r="C586" s="35" t="str">
        <f aca="false">IF(B586="","",IFERROR(INDEX(Leads!$C$2:$C$5001,MATCH(B586,Leads!$A$2:$A$5001,0))&amp;" "&amp;INDEX(Leads!$D$2:$D$5001,MATCH(B586,Leads!$A$2:$A$5001,0)),"N° no encontrado"))</f>
        <v/>
      </c>
      <c r="D586" s="35" t="str">
        <f aca="false">IF(B586="","",IFERROR(INDEX(Leads!$G$2:$G$5001,MATCH(B586,Leads!$A$2:$A$5001,0)),""))</f>
        <v/>
      </c>
      <c r="E586" s="32"/>
      <c r="F586" s="32"/>
      <c r="G586" s="32"/>
    </row>
    <row r="587" customFormat="false" ht="15" hidden="false" customHeight="false" outlineLevel="0" collapsed="false">
      <c r="A587" s="31"/>
      <c r="B587" s="32"/>
      <c r="C587" s="35" t="str">
        <f aca="false">IF(B587="","",IFERROR(INDEX(Leads!$C$2:$C$5001,MATCH(B587,Leads!$A$2:$A$5001,0))&amp;" "&amp;INDEX(Leads!$D$2:$D$5001,MATCH(B587,Leads!$A$2:$A$5001,0)),"N° no encontrado"))</f>
        <v/>
      </c>
      <c r="D587" s="35" t="str">
        <f aca="false">IF(B587="","",IFERROR(INDEX(Leads!$G$2:$G$5001,MATCH(B587,Leads!$A$2:$A$5001,0)),""))</f>
        <v/>
      </c>
      <c r="E587" s="32"/>
      <c r="F587" s="32"/>
      <c r="G587" s="32"/>
    </row>
    <row r="588" customFormat="false" ht="15" hidden="false" customHeight="false" outlineLevel="0" collapsed="false">
      <c r="A588" s="31"/>
      <c r="B588" s="32"/>
      <c r="C588" s="35" t="str">
        <f aca="false">IF(B588="","",IFERROR(INDEX(Leads!$C$2:$C$5001,MATCH(B588,Leads!$A$2:$A$5001,0))&amp;" "&amp;INDEX(Leads!$D$2:$D$5001,MATCH(B588,Leads!$A$2:$A$5001,0)),"N° no encontrado"))</f>
        <v/>
      </c>
      <c r="D588" s="35" t="str">
        <f aca="false">IF(B588="","",IFERROR(INDEX(Leads!$G$2:$G$5001,MATCH(B588,Leads!$A$2:$A$5001,0)),""))</f>
        <v/>
      </c>
      <c r="E588" s="32"/>
      <c r="F588" s="32"/>
      <c r="G588" s="32"/>
    </row>
    <row r="589" customFormat="false" ht="15" hidden="false" customHeight="false" outlineLevel="0" collapsed="false">
      <c r="A589" s="31"/>
      <c r="B589" s="32"/>
      <c r="C589" s="35" t="str">
        <f aca="false">IF(B589="","",IFERROR(INDEX(Leads!$C$2:$C$5001,MATCH(B589,Leads!$A$2:$A$5001,0))&amp;" "&amp;INDEX(Leads!$D$2:$D$5001,MATCH(B589,Leads!$A$2:$A$5001,0)),"N° no encontrado"))</f>
        <v/>
      </c>
      <c r="D589" s="35" t="str">
        <f aca="false">IF(B589="","",IFERROR(INDEX(Leads!$G$2:$G$5001,MATCH(B589,Leads!$A$2:$A$5001,0)),""))</f>
        <v/>
      </c>
      <c r="E589" s="32"/>
      <c r="F589" s="32"/>
      <c r="G589" s="32"/>
    </row>
    <row r="590" customFormat="false" ht="15" hidden="false" customHeight="false" outlineLevel="0" collapsed="false">
      <c r="A590" s="31"/>
      <c r="B590" s="32"/>
      <c r="C590" s="35" t="str">
        <f aca="false">IF(B590="","",IFERROR(INDEX(Leads!$C$2:$C$5001,MATCH(B590,Leads!$A$2:$A$5001,0))&amp;" "&amp;INDEX(Leads!$D$2:$D$5001,MATCH(B590,Leads!$A$2:$A$5001,0)),"N° no encontrado"))</f>
        <v/>
      </c>
      <c r="D590" s="35" t="str">
        <f aca="false">IF(B590="","",IFERROR(INDEX(Leads!$G$2:$G$5001,MATCH(B590,Leads!$A$2:$A$5001,0)),""))</f>
        <v/>
      </c>
      <c r="E590" s="32"/>
      <c r="F590" s="32"/>
      <c r="G590" s="32"/>
    </row>
    <row r="591" customFormat="false" ht="15" hidden="false" customHeight="false" outlineLevel="0" collapsed="false">
      <c r="A591" s="31"/>
      <c r="B591" s="32"/>
      <c r="C591" s="35" t="str">
        <f aca="false">IF(B591="","",IFERROR(INDEX(Leads!$C$2:$C$5001,MATCH(B591,Leads!$A$2:$A$5001,0))&amp;" "&amp;INDEX(Leads!$D$2:$D$5001,MATCH(B591,Leads!$A$2:$A$5001,0)),"N° no encontrado"))</f>
        <v/>
      </c>
      <c r="D591" s="35" t="str">
        <f aca="false">IF(B591="","",IFERROR(INDEX(Leads!$G$2:$G$5001,MATCH(B591,Leads!$A$2:$A$5001,0)),""))</f>
        <v/>
      </c>
      <c r="E591" s="32"/>
      <c r="F591" s="32"/>
      <c r="G591" s="32"/>
    </row>
    <row r="592" customFormat="false" ht="15" hidden="false" customHeight="false" outlineLevel="0" collapsed="false">
      <c r="A592" s="31"/>
      <c r="B592" s="32"/>
      <c r="C592" s="35" t="str">
        <f aca="false">IF(B592="","",IFERROR(INDEX(Leads!$C$2:$C$5001,MATCH(B592,Leads!$A$2:$A$5001,0))&amp;" "&amp;INDEX(Leads!$D$2:$D$5001,MATCH(B592,Leads!$A$2:$A$5001,0)),"N° no encontrado"))</f>
        <v/>
      </c>
      <c r="D592" s="35" t="str">
        <f aca="false">IF(B592="","",IFERROR(INDEX(Leads!$G$2:$G$5001,MATCH(B592,Leads!$A$2:$A$5001,0)),""))</f>
        <v/>
      </c>
      <c r="E592" s="32"/>
      <c r="F592" s="32"/>
      <c r="G592" s="32"/>
    </row>
    <row r="593" customFormat="false" ht="15" hidden="false" customHeight="false" outlineLevel="0" collapsed="false">
      <c r="A593" s="31"/>
      <c r="B593" s="32"/>
      <c r="C593" s="35" t="str">
        <f aca="false">IF(B593="","",IFERROR(INDEX(Leads!$C$2:$C$5001,MATCH(B593,Leads!$A$2:$A$5001,0))&amp;" "&amp;INDEX(Leads!$D$2:$D$5001,MATCH(B593,Leads!$A$2:$A$5001,0)),"N° no encontrado"))</f>
        <v/>
      </c>
      <c r="D593" s="35" t="str">
        <f aca="false">IF(B593="","",IFERROR(INDEX(Leads!$G$2:$G$5001,MATCH(B593,Leads!$A$2:$A$5001,0)),""))</f>
        <v/>
      </c>
      <c r="E593" s="32"/>
      <c r="F593" s="32"/>
      <c r="G593" s="32"/>
    </row>
    <row r="594" customFormat="false" ht="15" hidden="false" customHeight="false" outlineLevel="0" collapsed="false">
      <c r="A594" s="31"/>
      <c r="B594" s="32"/>
      <c r="C594" s="35" t="str">
        <f aca="false">IF(B594="","",IFERROR(INDEX(Leads!$C$2:$C$5001,MATCH(B594,Leads!$A$2:$A$5001,0))&amp;" "&amp;INDEX(Leads!$D$2:$D$5001,MATCH(B594,Leads!$A$2:$A$5001,0)),"N° no encontrado"))</f>
        <v/>
      </c>
      <c r="D594" s="35" t="str">
        <f aca="false">IF(B594="","",IFERROR(INDEX(Leads!$G$2:$G$5001,MATCH(B594,Leads!$A$2:$A$5001,0)),""))</f>
        <v/>
      </c>
      <c r="E594" s="32"/>
      <c r="F594" s="32"/>
      <c r="G594" s="32"/>
    </row>
    <row r="595" customFormat="false" ht="15" hidden="false" customHeight="false" outlineLevel="0" collapsed="false">
      <c r="A595" s="31"/>
      <c r="B595" s="32"/>
      <c r="C595" s="35" t="str">
        <f aca="false">IF(B595="","",IFERROR(INDEX(Leads!$C$2:$C$5001,MATCH(B595,Leads!$A$2:$A$5001,0))&amp;" "&amp;INDEX(Leads!$D$2:$D$5001,MATCH(B595,Leads!$A$2:$A$5001,0)),"N° no encontrado"))</f>
        <v/>
      </c>
      <c r="D595" s="35" t="str">
        <f aca="false">IF(B595="","",IFERROR(INDEX(Leads!$G$2:$G$5001,MATCH(B595,Leads!$A$2:$A$5001,0)),""))</f>
        <v/>
      </c>
      <c r="E595" s="32"/>
      <c r="F595" s="32"/>
      <c r="G595" s="32"/>
    </row>
    <row r="596" customFormat="false" ht="15" hidden="false" customHeight="false" outlineLevel="0" collapsed="false">
      <c r="A596" s="31"/>
      <c r="B596" s="32"/>
      <c r="C596" s="35" t="str">
        <f aca="false">IF(B596="","",IFERROR(INDEX(Leads!$C$2:$C$5001,MATCH(B596,Leads!$A$2:$A$5001,0))&amp;" "&amp;INDEX(Leads!$D$2:$D$5001,MATCH(B596,Leads!$A$2:$A$5001,0)),"N° no encontrado"))</f>
        <v/>
      </c>
      <c r="D596" s="35" t="str">
        <f aca="false">IF(B596="","",IFERROR(INDEX(Leads!$G$2:$G$5001,MATCH(B596,Leads!$A$2:$A$5001,0)),""))</f>
        <v/>
      </c>
      <c r="E596" s="32"/>
      <c r="F596" s="32"/>
      <c r="G596" s="32"/>
    </row>
    <row r="597" customFormat="false" ht="15" hidden="false" customHeight="false" outlineLevel="0" collapsed="false">
      <c r="A597" s="31"/>
      <c r="B597" s="32"/>
      <c r="C597" s="35" t="str">
        <f aca="false">IF(B597="","",IFERROR(INDEX(Leads!$C$2:$C$5001,MATCH(B597,Leads!$A$2:$A$5001,0))&amp;" "&amp;INDEX(Leads!$D$2:$D$5001,MATCH(B597,Leads!$A$2:$A$5001,0)),"N° no encontrado"))</f>
        <v/>
      </c>
      <c r="D597" s="35" t="str">
        <f aca="false">IF(B597="","",IFERROR(INDEX(Leads!$G$2:$G$5001,MATCH(B597,Leads!$A$2:$A$5001,0)),""))</f>
        <v/>
      </c>
      <c r="E597" s="32"/>
      <c r="F597" s="32"/>
      <c r="G597" s="32"/>
    </row>
    <row r="598" customFormat="false" ht="15" hidden="false" customHeight="false" outlineLevel="0" collapsed="false">
      <c r="A598" s="31"/>
      <c r="B598" s="32"/>
      <c r="C598" s="35" t="str">
        <f aca="false">IF(B598="","",IFERROR(INDEX(Leads!$C$2:$C$5001,MATCH(B598,Leads!$A$2:$A$5001,0))&amp;" "&amp;INDEX(Leads!$D$2:$D$5001,MATCH(B598,Leads!$A$2:$A$5001,0)),"N° no encontrado"))</f>
        <v/>
      </c>
      <c r="D598" s="35" t="str">
        <f aca="false">IF(B598="","",IFERROR(INDEX(Leads!$G$2:$G$5001,MATCH(B598,Leads!$A$2:$A$5001,0)),""))</f>
        <v/>
      </c>
      <c r="E598" s="32"/>
      <c r="F598" s="32"/>
      <c r="G598" s="32"/>
    </row>
    <row r="599" customFormat="false" ht="15" hidden="false" customHeight="false" outlineLevel="0" collapsed="false">
      <c r="A599" s="31"/>
      <c r="B599" s="32"/>
      <c r="C599" s="35" t="str">
        <f aca="false">IF(B599="","",IFERROR(INDEX(Leads!$C$2:$C$5001,MATCH(B599,Leads!$A$2:$A$5001,0))&amp;" "&amp;INDEX(Leads!$D$2:$D$5001,MATCH(B599,Leads!$A$2:$A$5001,0)),"N° no encontrado"))</f>
        <v/>
      </c>
      <c r="D599" s="35" t="str">
        <f aca="false">IF(B599="","",IFERROR(INDEX(Leads!$G$2:$G$5001,MATCH(B599,Leads!$A$2:$A$5001,0)),""))</f>
        <v/>
      </c>
      <c r="E599" s="32"/>
      <c r="F599" s="32"/>
      <c r="G599" s="32"/>
    </row>
    <row r="600" customFormat="false" ht="15" hidden="false" customHeight="false" outlineLevel="0" collapsed="false">
      <c r="A600" s="31"/>
      <c r="B600" s="32"/>
      <c r="C600" s="35" t="str">
        <f aca="false">IF(B600="","",IFERROR(INDEX(Leads!$C$2:$C$5001,MATCH(B600,Leads!$A$2:$A$5001,0))&amp;" "&amp;INDEX(Leads!$D$2:$D$5001,MATCH(B600,Leads!$A$2:$A$5001,0)),"N° no encontrado"))</f>
        <v/>
      </c>
      <c r="D600" s="35" t="str">
        <f aca="false">IF(B600="","",IFERROR(INDEX(Leads!$G$2:$G$5001,MATCH(B600,Leads!$A$2:$A$5001,0)),""))</f>
        <v/>
      </c>
      <c r="E600" s="32"/>
      <c r="F600" s="32"/>
      <c r="G600" s="32"/>
    </row>
    <row r="601" customFormat="false" ht="15" hidden="false" customHeight="false" outlineLevel="0" collapsed="false">
      <c r="A601" s="31"/>
      <c r="B601" s="32"/>
      <c r="C601" s="35" t="str">
        <f aca="false">IF(B601="","",IFERROR(INDEX(Leads!$C$2:$C$5001,MATCH(B601,Leads!$A$2:$A$5001,0))&amp;" "&amp;INDEX(Leads!$D$2:$D$5001,MATCH(B601,Leads!$A$2:$A$5001,0)),"N° no encontrado"))</f>
        <v/>
      </c>
      <c r="D601" s="35" t="str">
        <f aca="false">IF(B601="","",IFERROR(INDEX(Leads!$G$2:$G$5001,MATCH(B601,Leads!$A$2:$A$5001,0)),""))</f>
        <v/>
      </c>
      <c r="E601" s="32"/>
      <c r="F601" s="32"/>
      <c r="G601" s="32"/>
    </row>
    <row r="602" customFormat="false" ht="15" hidden="false" customHeight="false" outlineLevel="0" collapsed="false">
      <c r="A602" s="31"/>
      <c r="B602" s="32"/>
      <c r="C602" s="35" t="str">
        <f aca="false">IF(B602="","",IFERROR(INDEX(Leads!$C$2:$C$5001,MATCH(B602,Leads!$A$2:$A$5001,0))&amp;" "&amp;INDEX(Leads!$D$2:$D$5001,MATCH(B602,Leads!$A$2:$A$5001,0)),"N° no encontrado"))</f>
        <v/>
      </c>
      <c r="D602" s="35" t="str">
        <f aca="false">IF(B602="","",IFERROR(INDEX(Leads!$G$2:$G$5001,MATCH(B602,Leads!$A$2:$A$5001,0)),""))</f>
        <v/>
      </c>
      <c r="E602" s="32"/>
      <c r="F602" s="32"/>
      <c r="G602" s="32"/>
    </row>
    <row r="603" customFormat="false" ht="15" hidden="false" customHeight="false" outlineLevel="0" collapsed="false">
      <c r="A603" s="31"/>
      <c r="B603" s="32"/>
      <c r="C603" s="35" t="str">
        <f aca="false">IF(B603="","",IFERROR(INDEX(Leads!$C$2:$C$5001,MATCH(B603,Leads!$A$2:$A$5001,0))&amp;" "&amp;INDEX(Leads!$D$2:$D$5001,MATCH(B603,Leads!$A$2:$A$5001,0)),"N° no encontrado"))</f>
        <v/>
      </c>
      <c r="D603" s="35" t="str">
        <f aca="false">IF(B603="","",IFERROR(INDEX(Leads!$G$2:$G$5001,MATCH(B603,Leads!$A$2:$A$5001,0)),""))</f>
        <v/>
      </c>
      <c r="E603" s="32"/>
      <c r="F603" s="32"/>
      <c r="G603" s="32"/>
    </row>
    <row r="604" customFormat="false" ht="15" hidden="false" customHeight="false" outlineLevel="0" collapsed="false">
      <c r="A604" s="31"/>
      <c r="B604" s="32"/>
      <c r="C604" s="35" t="str">
        <f aca="false">IF(B604="","",IFERROR(INDEX(Leads!$C$2:$C$5001,MATCH(B604,Leads!$A$2:$A$5001,0))&amp;" "&amp;INDEX(Leads!$D$2:$D$5001,MATCH(B604,Leads!$A$2:$A$5001,0)),"N° no encontrado"))</f>
        <v/>
      </c>
      <c r="D604" s="35" t="str">
        <f aca="false">IF(B604="","",IFERROR(INDEX(Leads!$G$2:$G$5001,MATCH(B604,Leads!$A$2:$A$5001,0)),""))</f>
        <v/>
      </c>
      <c r="E604" s="32"/>
      <c r="F604" s="32"/>
      <c r="G604" s="32"/>
    </row>
    <row r="605" customFormat="false" ht="15" hidden="false" customHeight="false" outlineLevel="0" collapsed="false">
      <c r="A605" s="31"/>
      <c r="B605" s="32"/>
      <c r="C605" s="35" t="str">
        <f aca="false">IF(B605="","",IFERROR(INDEX(Leads!$C$2:$C$5001,MATCH(B605,Leads!$A$2:$A$5001,0))&amp;" "&amp;INDEX(Leads!$D$2:$D$5001,MATCH(B605,Leads!$A$2:$A$5001,0)),"N° no encontrado"))</f>
        <v/>
      </c>
      <c r="D605" s="35" t="str">
        <f aca="false">IF(B605="","",IFERROR(INDEX(Leads!$G$2:$G$5001,MATCH(B605,Leads!$A$2:$A$5001,0)),""))</f>
        <v/>
      </c>
      <c r="E605" s="32"/>
      <c r="F605" s="32"/>
      <c r="G605" s="32"/>
    </row>
    <row r="606" customFormat="false" ht="15" hidden="false" customHeight="false" outlineLevel="0" collapsed="false">
      <c r="A606" s="31"/>
      <c r="B606" s="32"/>
      <c r="C606" s="35" t="str">
        <f aca="false">IF(B606="","",IFERROR(INDEX(Leads!$C$2:$C$5001,MATCH(B606,Leads!$A$2:$A$5001,0))&amp;" "&amp;INDEX(Leads!$D$2:$D$5001,MATCH(B606,Leads!$A$2:$A$5001,0)),"N° no encontrado"))</f>
        <v/>
      </c>
      <c r="D606" s="35" t="str">
        <f aca="false">IF(B606="","",IFERROR(INDEX(Leads!$G$2:$G$5001,MATCH(B606,Leads!$A$2:$A$5001,0)),""))</f>
        <v/>
      </c>
      <c r="E606" s="32"/>
      <c r="F606" s="32"/>
      <c r="G606" s="32"/>
    </row>
    <row r="607" customFormat="false" ht="15" hidden="false" customHeight="false" outlineLevel="0" collapsed="false">
      <c r="A607" s="31"/>
      <c r="B607" s="32"/>
      <c r="C607" s="35" t="str">
        <f aca="false">IF(B607="","",IFERROR(INDEX(Leads!$C$2:$C$5001,MATCH(B607,Leads!$A$2:$A$5001,0))&amp;" "&amp;INDEX(Leads!$D$2:$D$5001,MATCH(B607,Leads!$A$2:$A$5001,0)),"N° no encontrado"))</f>
        <v/>
      </c>
      <c r="D607" s="35" t="str">
        <f aca="false">IF(B607="","",IFERROR(INDEX(Leads!$G$2:$G$5001,MATCH(B607,Leads!$A$2:$A$5001,0)),""))</f>
        <v/>
      </c>
      <c r="E607" s="32"/>
      <c r="F607" s="32"/>
      <c r="G607" s="32"/>
    </row>
    <row r="608" customFormat="false" ht="15" hidden="false" customHeight="false" outlineLevel="0" collapsed="false">
      <c r="A608" s="31"/>
      <c r="B608" s="32"/>
      <c r="C608" s="35" t="str">
        <f aca="false">IF(B608="","",IFERROR(INDEX(Leads!$C$2:$C$5001,MATCH(B608,Leads!$A$2:$A$5001,0))&amp;" "&amp;INDEX(Leads!$D$2:$D$5001,MATCH(B608,Leads!$A$2:$A$5001,0)),"N° no encontrado"))</f>
        <v/>
      </c>
      <c r="D608" s="35" t="str">
        <f aca="false">IF(B608="","",IFERROR(INDEX(Leads!$G$2:$G$5001,MATCH(B608,Leads!$A$2:$A$5001,0)),""))</f>
        <v/>
      </c>
      <c r="E608" s="32"/>
      <c r="F608" s="32"/>
      <c r="G608" s="32"/>
    </row>
    <row r="609" customFormat="false" ht="15" hidden="false" customHeight="false" outlineLevel="0" collapsed="false">
      <c r="A609" s="31"/>
      <c r="B609" s="32"/>
      <c r="C609" s="35" t="str">
        <f aca="false">IF(B609="","",IFERROR(INDEX(Leads!$C$2:$C$5001,MATCH(B609,Leads!$A$2:$A$5001,0))&amp;" "&amp;INDEX(Leads!$D$2:$D$5001,MATCH(B609,Leads!$A$2:$A$5001,0)),"N° no encontrado"))</f>
        <v/>
      </c>
      <c r="D609" s="35" t="str">
        <f aca="false">IF(B609="","",IFERROR(INDEX(Leads!$G$2:$G$5001,MATCH(B609,Leads!$A$2:$A$5001,0)),""))</f>
        <v/>
      </c>
      <c r="E609" s="32"/>
      <c r="F609" s="32"/>
      <c r="G609" s="32"/>
    </row>
    <row r="610" customFormat="false" ht="15" hidden="false" customHeight="false" outlineLevel="0" collapsed="false">
      <c r="A610" s="31"/>
      <c r="B610" s="32"/>
      <c r="C610" s="35" t="str">
        <f aca="false">IF(B610="","",IFERROR(INDEX(Leads!$C$2:$C$5001,MATCH(B610,Leads!$A$2:$A$5001,0))&amp;" "&amp;INDEX(Leads!$D$2:$D$5001,MATCH(B610,Leads!$A$2:$A$5001,0)),"N° no encontrado"))</f>
        <v/>
      </c>
      <c r="D610" s="35" t="str">
        <f aca="false">IF(B610="","",IFERROR(INDEX(Leads!$G$2:$G$5001,MATCH(B610,Leads!$A$2:$A$5001,0)),""))</f>
        <v/>
      </c>
      <c r="E610" s="32"/>
      <c r="F610" s="32"/>
      <c r="G610" s="32"/>
    </row>
    <row r="611" customFormat="false" ht="15" hidden="false" customHeight="false" outlineLevel="0" collapsed="false">
      <c r="A611" s="31"/>
      <c r="B611" s="32"/>
      <c r="C611" s="35" t="str">
        <f aca="false">IF(B611="","",IFERROR(INDEX(Leads!$C$2:$C$5001,MATCH(B611,Leads!$A$2:$A$5001,0))&amp;" "&amp;INDEX(Leads!$D$2:$D$5001,MATCH(B611,Leads!$A$2:$A$5001,0)),"N° no encontrado"))</f>
        <v/>
      </c>
      <c r="D611" s="35" t="str">
        <f aca="false">IF(B611="","",IFERROR(INDEX(Leads!$G$2:$G$5001,MATCH(B611,Leads!$A$2:$A$5001,0)),""))</f>
        <v/>
      </c>
      <c r="E611" s="32"/>
      <c r="F611" s="32"/>
      <c r="G611" s="32"/>
    </row>
    <row r="612" customFormat="false" ht="15" hidden="false" customHeight="false" outlineLevel="0" collapsed="false">
      <c r="A612" s="31"/>
      <c r="B612" s="32"/>
      <c r="C612" s="35" t="str">
        <f aca="false">IF(B612="","",IFERROR(INDEX(Leads!$C$2:$C$5001,MATCH(B612,Leads!$A$2:$A$5001,0))&amp;" "&amp;INDEX(Leads!$D$2:$D$5001,MATCH(B612,Leads!$A$2:$A$5001,0)),"N° no encontrado"))</f>
        <v/>
      </c>
      <c r="D612" s="35" t="str">
        <f aca="false">IF(B612="","",IFERROR(INDEX(Leads!$G$2:$G$5001,MATCH(B612,Leads!$A$2:$A$5001,0)),""))</f>
        <v/>
      </c>
      <c r="E612" s="32"/>
      <c r="F612" s="32"/>
      <c r="G612" s="32"/>
    </row>
    <row r="613" customFormat="false" ht="15" hidden="false" customHeight="false" outlineLevel="0" collapsed="false">
      <c r="A613" s="31"/>
      <c r="B613" s="32"/>
      <c r="C613" s="35" t="str">
        <f aca="false">IF(B613="","",IFERROR(INDEX(Leads!$C$2:$C$5001,MATCH(B613,Leads!$A$2:$A$5001,0))&amp;" "&amp;INDEX(Leads!$D$2:$D$5001,MATCH(B613,Leads!$A$2:$A$5001,0)),"N° no encontrado"))</f>
        <v/>
      </c>
      <c r="D613" s="35" t="str">
        <f aca="false">IF(B613="","",IFERROR(INDEX(Leads!$G$2:$G$5001,MATCH(B613,Leads!$A$2:$A$5001,0)),""))</f>
        <v/>
      </c>
      <c r="E613" s="32"/>
      <c r="F613" s="32"/>
      <c r="G613" s="32"/>
    </row>
    <row r="614" customFormat="false" ht="15" hidden="false" customHeight="false" outlineLevel="0" collapsed="false">
      <c r="A614" s="31"/>
      <c r="B614" s="32"/>
      <c r="C614" s="35" t="str">
        <f aca="false">IF(B614="","",IFERROR(INDEX(Leads!$C$2:$C$5001,MATCH(B614,Leads!$A$2:$A$5001,0))&amp;" "&amp;INDEX(Leads!$D$2:$D$5001,MATCH(B614,Leads!$A$2:$A$5001,0)),"N° no encontrado"))</f>
        <v/>
      </c>
      <c r="D614" s="35" t="str">
        <f aca="false">IF(B614="","",IFERROR(INDEX(Leads!$G$2:$G$5001,MATCH(B614,Leads!$A$2:$A$5001,0)),""))</f>
        <v/>
      </c>
      <c r="E614" s="32"/>
      <c r="F614" s="32"/>
      <c r="G614" s="32"/>
    </row>
    <row r="615" customFormat="false" ht="15" hidden="false" customHeight="false" outlineLevel="0" collapsed="false">
      <c r="A615" s="31"/>
      <c r="B615" s="32"/>
      <c r="C615" s="35" t="str">
        <f aca="false">IF(B615="","",IFERROR(INDEX(Leads!$C$2:$C$5001,MATCH(B615,Leads!$A$2:$A$5001,0))&amp;" "&amp;INDEX(Leads!$D$2:$D$5001,MATCH(B615,Leads!$A$2:$A$5001,0)),"N° no encontrado"))</f>
        <v/>
      </c>
      <c r="D615" s="35" t="str">
        <f aca="false">IF(B615="","",IFERROR(INDEX(Leads!$G$2:$G$5001,MATCH(B615,Leads!$A$2:$A$5001,0)),""))</f>
        <v/>
      </c>
      <c r="E615" s="32"/>
      <c r="F615" s="32"/>
      <c r="G615" s="32"/>
    </row>
    <row r="616" customFormat="false" ht="15" hidden="false" customHeight="false" outlineLevel="0" collapsed="false">
      <c r="A616" s="31"/>
      <c r="B616" s="32"/>
      <c r="C616" s="35" t="str">
        <f aca="false">IF(B616="","",IFERROR(INDEX(Leads!$C$2:$C$5001,MATCH(B616,Leads!$A$2:$A$5001,0))&amp;" "&amp;INDEX(Leads!$D$2:$D$5001,MATCH(B616,Leads!$A$2:$A$5001,0)),"N° no encontrado"))</f>
        <v/>
      </c>
      <c r="D616" s="35" t="str">
        <f aca="false">IF(B616="","",IFERROR(INDEX(Leads!$G$2:$G$5001,MATCH(B616,Leads!$A$2:$A$5001,0)),""))</f>
        <v/>
      </c>
      <c r="E616" s="32"/>
      <c r="F616" s="32"/>
      <c r="G616" s="32"/>
    </row>
    <row r="617" customFormat="false" ht="15" hidden="false" customHeight="false" outlineLevel="0" collapsed="false">
      <c r="A617" s="31"/>
      <c r="B617" s="32"/>
      <c r="C617" s="35" t="str">
        <f aca="false">IF(B617="","",IFERROR(INDEX(Leads!$C$2:$C$5001,MATCH(B617,Leads!$A$2:$A$5001,0))&amp;" "&amp;INDEX(Leads!$D$2:$D$5001,MATCH(B617,Leads!$A$2:$A$5001,0)),"N° no encontrado"))</f>
        <v/>
      </c>
      <c r="D617" s="35" t="str">
        <f aca="false">IF(B617="","",IFERROR(INDEX(Leads!$G$2:$G$5001,MATCH(B617,Leads!$A$2:$A$5001,0)),""))</f>
        <v/>
      </c>
      <c r="E617" s="32"/>
      <c r="F617" s="32"/>
      <c r="G617" s="32"/>
    </row>
    <row r="618" customFormat="false" ht="15" hidden="false" customHeight="false" outlineLevel="0" collapsed="false">
      <c r="A618" s="31"/>
      <c r="B618" s="32"/>
      <c r="C618" s="35" t="str">
        <f aca="false">IF(B618="","",IFERROR(INDEX(Leads!$C$2:$C$5001,MATCH(B618,Leads!$A$2:$A$5001,0))&amp;" "&amp;INDEX(Leads!$D$2:$D$5001,MATCH(B618,Leads!$A$2:$A$5001,0)),"N° no encontrado"))</f>
        <v/>
      </c>
      <c r="D618" s="35" t="str">
        <f aca="false">IF(B618="","",IFERROR(INDEX(Leads!$G$2:$G$5001,MATCH(B618,Leads!$A$2:$A$5001,0)),""))</f>
        <v/>
      </c>
      <c r="E618" s="32"/>
      <c r="F618" s="32"/>
      <c r="G618" s="32"/>
    </row>
    <row r="619" customFormat="false" ht="15" hidden="false" customHeight="false" outlineLevel="0" collapsed="false">
      <c r="A619" s="31"/>
      <c r="B619" s="32"/>
      <c r="C619" s="35" t="str">
        <f aca="false">IF(B619="","",IFERROR(INDEX(Leads!$C$2:$C$5001,MATCH(B619,Leads!$A$2:$A$5001,0))&amp;" "&amp;INDEX(Leads!$D$2:$D$5001,MATCH(B619,Leads!$A$2:$A$5001,0)),"N° no encontrado"))</f>
        <v/>
      </c>
      <c r="D619" s="35" t="str">
        <f aca="false">IF(B619="","",IFERROR(INDEX(Leads!$G$2:$G$5001,MATCH(B619,Leads!$A$2:$A$5001,0)),""))</f>
        <v/>
      </c>
      <c r="E619" s="32"/>
      <c r="F619" s="32"/>
      <c r="G619" s="32"/>
    </row>
    <row r="620" customFormat="false" ht="15" hidden="false" customHeight="false" outlineLevel="0" collapsed="false">
      <c r="A620" s="31"/>
      <c r="B620" s="32"/>
      <c r="C620" s="35" t="str">
        <f aca="false">IF(B620="","",IFERROR(INDEX(Leads!$C$2:$C$5001,MATCH(B620,Leads!$A$2:$A$5001,0))&amp;" "&amp;INDEX(Leads!$D$2:$D$5001,MATCH(B620,Leads!$A$2:$A$5001,0)),"N° no encontrado"))</f>
        <v/>
      </c>
      <c r="D620" s="35" t="str">
        <f aca="false">IF(B620="","",IFERROR(INDEX(Leads!$G$2:$G$5001,MATCH(B620,Leads!$A$2:$A$5001,0)),""))</f>
        <v/>
      </c>
      <c r="E620" s="32"/>
      <c r="F620" s="32"/>
      <c r="G620" s="32"/>
    </row>
    <row r="621" customFormat="false" ht="15" hidden="false" customHeight="false" outlineLevel="0" collapsed="false">
      <c r="A621" s="31"/>
      <c r="B621" s="32"/>
      <c r="C621" s="35" t="str">
        <f aca="false">IF(B621="","",IFERROR(INDEX(Leads!$C$2:$C$5001,MATCH(B621,Leads!$A$2:$A$5001,0))&amp;" "&amp;INDEX(Leads!$D$2:$D$5001,MATCH(B621,Leads!$A$2:$A$5001,0)),"N° no encontrado"))</f>
        <v/>
      </c>
      <c r="D621" s="35" t="str">
        <f aca="false">IF(B621="","",IFERROR(INDEX(Leads!$G$2:$G$5001,MATCH(B621,Leads!$A$2:$A$5001,0)),""))</f>
        <v/>
      </c>
      <c r="E621" s="32"/>
      <c r="F621" s="32"/>
      <c r="G621" s="32"/>
    </row>
    <row r="622" customFormat="false" ht="15" hidden="false" customHeight="false" outlineLevel="0" collapsed="false">
      <c r="A622" s="31"/>
      <c r="B622" s="32"/>
      <c r="C622" s="35" t="str">
        <f aca="false">IF(B622="","",IFERROR(INDEX(Leads!$C$2:$C$5001,MATCH(B622,Leads!$A$2:$A$5001,0))&amp;" "&amp;INDEX(Leads!$D$2:$D$5001,MATCH(B622,Leads!$A$2:$A$5001,0)),"N° no encontrado"))</f>
        <v/>
      </c>
      <c r="D622" s="35" t="str">
        <f aca="false">IF(B622="","",IFERROR(INDEX(Leads!$G$2:$G$5001,MATCH(B622,Leads!$A$2:$A$5001,0)),""))</f>
        <v/>
      </c>
      <c r="E622" s="32"/>
      <c r="F622" s="32"/>
      <c r="G622" s="32"/>
    </row>
    <row r="623" customFormat="false" ht="15" hidden="false" customHeight="false" outlineLevel="0" collapsed="false">
      <c r="A623" s="31"/>
      <c r="B623" s="32"/>
      <c r="C623" s="35" t="str">
        <f aca="false">IF(B623="","",IFERROR(INDEX(Leads!$C$2:$C$5001,MATCH(B623,Leads!$A$2:$A$5001,0))&amp;" "&amp;INDEX(Leads!$D$2:$D$5001,MATCH(B623,Leads!$A$2:$A$5001,0)),"N° no encontrado"))</f>
        <v/>
      </c>
      <c r="D623" s="35" t="str">
        <f aca="false">IF(B623="","",IFERROR(INDEX(Leads!$G$2:$G$5001,MATCH(B623,Leads!$A$2:$A$5001,0)),""))</f>
        <v/>
      </c>
      <c r="E623" s="32"/>
      <c r="F623" s="32"/>
      <c r="G623" s="32"/>
    </row>
    <row r="624" customFormat="false" ht="15" hidden="false" customHeight="false" outlineLevel="0" collapsed="false">
      <c r="A624" s="31"/>
      <c r="B624" s="32"/>
      <c r="C624" s="35" t="str">
        <f aca="false">IF(B624="","",IFERROR(INDEX(Leads!$C$2:$C$5001,MATCH(B624,Leads!$A$2:$A$5001,0))&amp;" "&amp;INDEX(Leads!$D$2:$D$5001,MATCH(B624,Leads!$A$2:$A$5001,0)),"N° no encontrado"))</f>
        <v/>
      </c>
      <c r="D624" s="35" t="str">
        <f aca="false">IF(B624="","",IFERROR(INDEX(Leads!$G$2:$G$5001,MATCH(B624,Leads!$A$2:$A$5001,0)),""))</f>
        <v/>
      </c>
      <c r="E624" s="32"/>
      <c r="F624" s="32"/>
      <c r="G624" s="32"/>
    </row>
    <row r="625" customFormat="false" ht="15" hidden="false" customHeight="false" outlineLevel="0" collapsed="false">
      <c r="A625" s="31"/>
      <c r="B625" s="32"/>
      <c r="C625" s="35" t="str">
        <f aca="false">IF(B625="","",IFERROR(INDEX(Leads!$C$2:$C$5001,MATCH(B625,Leads!$A$2:$A$5001,0))&amp;" "&amp;INDEX(Leads!$D$2:$D$5001,MATCH(B625,Leads!$A$2:$A$5001,0)),"N° no encontrado"))</f>
        <v/>
      </c>
      <c r="D625" s="35" t="str">
        <f aca="false">IF(B625="","",IFERROR(INDEX(Leads!$G$2:$G$5001,MATCH(B625,Leads!$A$2:$A$5001,0)),""))</f>
        <v/>
      </c>
      <c r="E625" s="32"/>
      <c r="F625" s="32"/>
      <c r="G625" s="32"/>
    </row>
    <row r="626" customFormat="false" ht="15" hidden="false" customHeight="false" outlineLevel="0" collapsed="false">
      <c r="A626" s="31"/>
      <c r="B626" s="32"/>
      <c r="C626" s="35" t="str">
        <f aca="false">IF(B626="","",IFERROR(INDEX(Leads!$C$2:$C$5001,MATCH(B626,Leads!$A$2:$A$5001,0))&amp;" "&amp;INDEX(Leads!$D$2:$D$5001,MATCH(B626,Leads!$A$2:$A$5001,0)),"N° no encontrado"))</f>
        <v/>
      </c>
      <c r="D626" s="35" t="str">
        <f aca="false">IF(B626="","",IFERROR(INDEX(Leads!$G$2:$G$5001,MATCH(B626,Leads!$A$2:$A$5001,0)),""))</f>
        <v/>
      </c>
      <c r="E626" s="32"/>
      <c r="F626" s="32"/>
      <c r="G626" s="32"/>
    </row>
    <row r="627" customFormat="false" ht="15" hidden="false" customHeight="false" outlineLevel="0" collapsed="false">
      <c r="A627" s="31"/>
      <c r="B627" s="32"/>
      <c r="C627" s="35" t="str">
        <f aca="false">IF(B627="","",IFERROR(INDEX(Leads!$C$2:$C$5001,MATCH(B627,Leads!$A$2:$A$5001,0))&amp;" "&amp;INDEX(Leads!$D$2:$D$5001,MATCH(B627,Leads!$A$2:$A$5001,0)),"N° no encontrado"))</f>
        <v/>
      </c>
      <c r="D627" s="35" t="str">
        <f aca="false">IF(B627="","",IFERROR(INDEX(Leads!$G$2:$G$5001,MATCH(B627,Leads!$A$2:$A$5001,0)),""))</f>
        <v/>
      </c>
      <c r="E627" s="32"/>
      <c r="F627" s="32"/>
      <c r="G627" s="32"/>
    </row>
    <row r="628" customFormat="false" ht="15" hidden="false" customHeight="false" outlineLevel="0" collapsed="false">
      <c r="A628" s="31"/>
      <c r="B628" s="32"/>
      <c r="C628" s="35" t="str">
        <f aca="false">IF(B628="","",IFERROR(INDEX(Leads!$C$2:$C$5001,MATCH(B628,Leads!$A$2:$A$5001,0))&amp;" "&amp;INDEX(Leads!$D$2:$D$5001,MATCH(B628,Leads!$A$2:$A$5001,0)),"N° no encontrado"))</f>
        <v/>
      </c>
      <c r="D628" s="35" t="str">
        <f aca="false">IF(B628="","",IFERROR(INDEX(Leads!$G$2:$G$5001,MATCH(B628,Leads!$A$2:$A$5001,0)),""))</f>
        <v/>
      </c>
      <c r="E628" s="32"/>
      <c r="F628" s="32"/>
      <c r="G628" s="32"/>
    </row>
    <row r="629" customFormat="false" ht="15" hidden="false" customHeight="false" outlineLevel="0" collapsed="false">
      <c r="A629" s="31"/>
      <c r="B629" s="32"/>
      <c r="C629" s="35" t="str">
        <f aca="false">IF(B629="","",IFERROR(INDEX(Leads!$C$2:$C$5001,MATCH(B629,Leads!$A$2:$A$5001,0))&amp;" "&amp;INDEX(Leads!$D$2:$D$5001,MATCH(B629,Leads!$A$2:$A$5001,0)),"N° no encontrado"))</f>
        <v/>
      </c>
      <c r="D629" s="35" t="str">
        <f aca="false">IF(B629="","",IFERROR(INDEX(Leads!$G$2:$G$5001,MATCH(B629,Leads!$A$2:$A$5001,0)),""))</f>
        <v/>
      </c>
      <c r="E629" s="32"/>
      <c r="F629" s="32"/>
      <c r="G629" s="32"/>
    </row>
    <row r="630" customFormat="false" ht="15" hidden="false" customHeight="false" outlineLevel="0" collapsed="false">
      <c r="A630" s="31"/>
      <c r="B630" s="32"/>
      <c r="C630" s="35" t="str">
        <f aca="false">IF(B630="","",IFERROR(INDEX(Leads!$C$2:$C$5001,MATCH(B630,Leads!$A$2:$A$5001,0))&amp;" "&amp;INDEX(Leads!$D$2:$D$5001,MATCH(B630,Leads!$A$2:$A$5001,0)),"N° no encontrado"))</f>
        <v/>
      </c>
      <c r="D630" s="35" t="str">
        <f aca="false">IF(B630="","",IFERROR(INDEX(Leads!$G$2:$G$5001,MATCH(B630,Leads!$A$2:$A$5001,0)),""))</f>
        <v/>
      </c>
      <c r="E630" s="32"/>
      <c r="F630" s="32"/>
      <c r="G630" s="32"/>
    </row>
    <row r="631" customFormat="false" ht="15" hidden="false" customHeight="false" outlineLevel="0" collapsed="false">
      <c r="A631" s="31"/>
      <c r="B631" s="32"/>
      <c r="C631" s="35" t="str">
        <f aca="false">IF(B631="","",IFERROR(INDEX(Leads!$C$2:$C$5001,MATCH(B631,Leads!$A$2:$A$5001,0))&amp;" "&amp;INDEX(Leads!$D$2:$D$5001,MATCH(B631,Leads!$A$2:$A$5001,0)),"N° no encontrado"))</f>
        <v/>
      </c>
      <c r="D631" s="35" t="str">
        <f aca="false">IF(B631="","",IFERROR(INDEX(Leads!$G$2:$G$5001,MATCH(B631,Leads!$A$2:$A$5001,0)),""))</f>
        <v/>
      </c>
      <c r="E631" s="32"/>
      <c r="F631" s="32"/>
      <c r="G631" s="32"/>
    </row>
    <row r="632" customFormat="false" ht="15" hidden="false" customHeight="false" outlineLevel="0" collapsed="false">
      <c r="A632" s="31"/>
      <c r="B632" s="32"/>
      <c r="C632" s="35" t="str">
        <f aca="false">IF(B632="","",IFERROR(INDEX(Leads!$C$2:$C$5001,MATCH(B632,Leads!$A$2:$A$5001,0))&amp;" "&amp;INDEX(Leads!$D$2:$D$5001,MATCH(B632,Leads!$A$2:$A$5001,0)),"N° no encontrado"))</f>
        <v/>
      </c>
      <c r="D632" s="35" t="str">
        <f aca="false">IF(B632="","",IFERROR(INDEX(Leads!$G$2:$G$5001,MATCH(B632,Leads!$A$2:$A$5001,0)),""))</f>
        <v/>
      </c>
      <c r="E632" s="32"/>
      <c r="F632" s="32"/>
      <c r="G632" s="32"/>
    </row>
    <row r="633" customFormat="false" ht="15" hidden="false" customHeight="false" outlineLevel="0" collapsed="false">
      <c r="A633" s="31"/>
      <c r="B633" s="32"/>
      <c r="C633" s="35" t="str">
        <f aca="false">IF(B633="","",IFERROR(INDEX(Leads!$C$2:$C$5001,MATCH(B633,Leads!$A$2:$A$5001,0))&amp;" "&amp;INDEX(Leads!$D$2:$D$5001,MATCH(B633,Leads!$A$2:$A$5001,0)),"N° no encontrado"))</f>
        <v/>
      </c>
      <c r="D633" s="35" t="str">
        <f aca="false">IF(B633="","",IFERROR(INDEX(Leads!$G$2:$G$5001,MATCH(B633,Leads!$A$2:$A$5001,0)),""))</f>
        <v/>
      </c>
      <c r="E633" s="32"/>
      <c r="F633" s="32"/>
      <c r="G633" s="32"/>
    </row>
    <row r="634" customFormat="false" ht="15" hidden="false" customHeight="false" outlineLevel="0" collapsed="false">
      <c r="A634" s="31"/>
      <c r="B634" s="32"/>
      <c r="C634" s="35" t="str">
        <f aca="false">IF(B634="","",IFERROR(INDEX(Leads!$C$2:$C$5001,MATCH(B634,Leads!$A$2:$A$5001,0))&amp;" "&amp;INDEX(Leads!$D$2:$D$5001,MATCH(B634,Leads!$A$2:$A$5001,0)),"N° no encontrado"))</f>
        <v/>
      </c>
      <c r="D634" s="35" t="str">
        <f aca="false">IF(B634="","",IFERROR(INDEX(Leads!$G$2:$G$5001,MATCH(B634,Leads!$A$2:$A$5001,0)),""))</f>
        <v/>
      </c>
      <c r="E634" s="32"/>
      <c r="F634" s="32"/>
      <c r="G634" s="32"/>
    </row>
    <row r="635" customFormat="false" ht="15" hidden="false" customHeight="false" outlineLevel="0" collapsed="false">
      <c r="A635" s="31"/>
      <c r="B635" s="32"/>
      <c r="C635" s="35" t="str">
        <f aca="false">IF(B635="","",IFERROR(INDEX(Leads!$C$2:$C$5001,MATCH(B635,Leads!$A$2:$A$5001,0))&amp;" "&amp;INDEX(Leads!$D$2:$D$5001,MATCH(B635,Leads!$A$2:$A$5001,0)),"N° no encontrado"))</f>
        <v/>
      </c>
      <c r="D635" s="35" t="str">
        <f aca="false">IF(B635="","",IFERROR(INDEX(Leads!$G$2:$G$5001,MATCH(B635,Leads!$A$2:$A$5001,0)),""))</f>
        <v/>
      </c>
      <c r="E635" s="32"/>
      <c r="F635" s="32"/>
      <c r="G635" s="32"/>
    </row>
    <row r="636" customFormat="false" ht="15" hidden="false" customHeight="false" outlineLevel="0" collapsed="false">
      <c r="A636" s="31"/>
      <c r="B636" s="32"/>
      <c r="C636" s="35" t="str">
        <f aca="false">IF(B636="","",IFERROR(INDEX(Leads!$C$2:$C$5001,MATCH(B636,Leads!$A$2:$A$5001,0))&amp;" "&amp;INDEX(Leads!$D$2:$D$5001,MATCH(B636,Leads!$A$2:$A$5001,0)),"N° no encontrado"))</f>
        <v/>
      </c>
      <c r="D636" s="35" t="str">
        <f aca="false">IF(B636="","",IFERROR(INDEX(Leads!$G$2:$G$5001,MATCH(B636,Leads!$A$2:$A$5001,0)),""))</f>
        <v/>
      </c>
      <c r="E636" s="32"/>
      <c r="F636" s="32"/>
      <c r="G636" s="32"/>
    </row>
    <row r="637" customFormat="false" ht="15" hidden="false" customHeight="false" outlineLevel="0" collapsed="false">
      <c r="A637" s="31"/>
      <c r="B637" s="32"/>
      <c r="C637" s="35" t="str">
        <f aca="false">IF(B637="","",IFERROR(INDEX(Leads!$C$2:$C$5001,MATCH(B637,Leads!$A$2:$A$5001,0))&amp;" "&amp;INDEX(Leads!$D$2:$D$5001,MATCH(B637,Leads!$A$2:$A$5001,0)),"N° no encontrado"))</f>
        <v/>
      </c>
      <c r="D637" s="35" t="str">
        <f aca="false">IF(B637="","",IFERROR(INDEX(Leads!$G$2:$G$5001,MATCH(B637,Leads!$A$2:$A$5001,0)),""))</f>
        <v/>
      </c>
      <c r="E637" s="32"/>
      <c r="F637" s="32"/>
      <c r="G637" s="32"/>
    </row>
    <row r="638" customFormat="false" ht="15" hidden="false" customHeight="false" outlineLevel="0" collapsed="false">
      <c r="A638" s="31"/>
      <c r="B638" s="32"/>
      <c r="C638" s="35" t="str">
        <f aca="false">IF(B638="","",IFERROR(INDEX(Leads!$C$2:$C$5001,MATCH(B638,Leads!$A$2:$A$5001,0))&amp;" "&amp;INDEX(Leads!$D$2:$D$5001,MATCH(B638,Leads!$A$2:$A$5001,0)),"N° no encontrado"))</f>
        <v/>
      </c>
      <c r="D638" s="35" t="str">
        <f aca="false">IF(B638="","",IFERROR(INDEX(Leads!$G$2:$G$5001,MATCH(B638,Leads!$A$2:$A$5001,0)),""))</f>
        <v/>
      </c>
      <c r="E638" s="32"/>
      <c r="F638" s="32"/>
      <c r="G638" s="32"/>
    </row>
    <row r="639" customFormat="false" ht="15" hidden="false" customHeight="false" outlineLevel="0" collapsed="false">
      <c r="A639" s="31"/>
      <c r="B639" s="32"/>
      <c r="C639" s="35" t="str">
        <f aca="false">IF(B639="","",IFERROR(INDEX(Leads!$C$2:$C$5001,MATCH(B639,Leads!$A$2:$A$5001,0))&amp;" "&amp;INDEX(Leads!$D$2:$D$5001,MATCH(B639,Leads!$A$2:$A$5001,0)),"N° no encontrado"))</f>
        <v/>
      </c>
      <c r="D639" s="35" t="str">
        <f aca="false">IF(B639="","",IFERROR(INDEX(Leads!$G$2:$G$5001,MATCH(B639,Leads!$A$2:$A$5001,0)),""))</f>
        <v/>
      </c>
      <c r="E639" s="32"/>
      <c r="F639" s="32"/>
      <c r="G639" s="32"/>
    </row>
    <row r="640" customFormat="false" ht="15" hidden="false" customHeight="false" outlineLevel="0" collapsed="false">
      <c r="A640" s="31"/>
      <c r="B640" s="32"/>
      <c r="C640" s="35" t="str">
        <f aca="false">IF(B640="","",IFERROR(INDEX(Leads!$C$2:$C$5001,MATCH(B640,Leads!$A$2:$A$5001,0))&amp;" "&amp;INDEX(Leads!$D$2:$D$5001,MATCH(B640,Leads!$A$2:$A$5001,0)),"N° no encontrado"))</f>
        <v/>
      </c>
      <c r="D640" s="35" t="str">
        <f aca="false">IF(B640="","",IFERROR(INDEX(Leads!$G$2:$G$5001,MATCH(B640,Leads!$A$2:$A$5001,0)),""))</f>
        <v/>
      </c>
      <c r="E640" s="32"/>
      <c r="F640" s="32"/>
      <c r="G640" s="32"/>
    </row>
    <row r="641" customFormat="false" ht="15" hidden="false" customHeight="false" outlineLevel="0" collapsed="false">
      <c r="A641" s="31"/>
      <c r="B641" s="32"/>
      <c r="C641" s="35" t="str">
        <f aca="false">IF(B641="","",IFERROR(INDEX(Leads!$C$2:$C$5001,MATCH(B641,Leads!$A$2:$A$5001,0))&amp;" "&amp;INDEX(Leads!$D$2:$D$5001,MATCH(B641,Leads!$A$2:$A$5001,0)),"N° no encontrado"))</f>
        <v/>
      </c>
      <c r="D641" s="35" t="str">
        <f aca="false">IF(B641="","",IFERROR(INDEX(Leads!$G$2:$G$5001,MATCH(B641,Leads!$A$2:$A$5001,0)),""))</f>
        <v/>
      </c>
      <c r="E641" s="32"/>
      <c r="F641" s="32"/>
      <c r="G641" s="32"/>
    </row>
    <row r="642" customFormat="false" ht="15" hidden="false" customHeight="false" outlineLevel="0" collapsed="false">
      <c r="A642" s="31"/>
      <c r="B642" s="32"/>
      <c r="C642" s="35" t="str">
        <f aca="false">IF(B642="","",IFERROR(INDEX(Leads!$C$2:$C$5001,MATCH(B642,Leads!$A$2:$A$5001,0))&amp;" "&amp;INDEX(Leads!$D$2:$D$5001,MATCH(B642,Leads!$A$2:$A$5001,0)),"N° no encontrado"))</f>
        <v/>
      </c>
      <c r="D642" s="35" t="str">
        <f aca="false">IF(B642="","",IFERROR(INDEX(Leads!$G$2:$G$5001,MATCH(B642,Leads!$A$2:$A$5001,0)),""))</f>
        <v/>
      </c>
      <c r="E642" s="32"/>
      <c r="F642" s="32"/>
      <c r="G642" s="32"/>
    </row>
    <row r="643" customFormat="false" ht="15" hidden="false" customHeight="false" outlineLevel="0" collapsed="false">
      <c r="A643" s="31"/>
      <c r="B643" s="32"/>
      <c r="C643" s="35" t="str">
        <f aca="false">IF(B643="","",IFERROR(INDEX(Leads!$C$2:$C$5001,MATCH(B643,Leads!$A$2:$A$5001,0))&amp;" "&amp;INDEX(Leads!$D$2:$D$5001,MATCH(B643,Leads!$A$2:$A$5001,0)),"N° no encontrado"))</f>
        <v/>
      </c>
      <c r="D643" s="35" t="str">
        <f aca="false">IF(B643="","",IFERROR(INDEX(Leads!$G$2:$G$5001,MATCH(B643,Leads!$A$2:$A$5001,0)),""))</f>
        <v/>
      </c>
      <c r="E643" s="32"/>
      <c r="F643" s="32"/>
      <c r="G643" s="32"/>
    </row>
    <row r="644" customFormat="false" ht="15" hidden="false" customHeight="false" outlineLevel="0" collapsed="false">
      <c r="A644" s="31"/>
      <c r="B644" s="32"/>
      <c r="C644" s="35" t="str">
        <f aca="false">IF(B644="","",IFERROR(INDEX(Leads!$C$2:$C$5001,MATCH(B644,Leads!$A$2:$A$5001,0))&amp;" "&amp;INDEX(Leads!$D$2:$D$5001,MATCH(B644,Leads!$A$2:$A$5001,0)),"N° no encontrado"))</f>
        <v/>
      </c>
      <c r="D644" s="35" t="str">
        <f aca="false">IF(B644="","",IFERROR(INDEX(Leads!$G$2:$G$5001,MATCH(B644,Leads!$A$2:$A$5001,0)),""))</f>
        <v/>
      </c>
      <c r="E644" s="32"/>
      <c r="F644" s="32"/>
      <c r="G644" s="32"/>
    </row>
    <row r="645" customFormat="false" ht="15" hidden="false" customHeight="false" outlineLevel="0" collapsed="false">
      <c r="A645" s="31"/>
      <c r="B645" s="32"/>
      <c r="C645" s="35" t="str">
        <f aca="false">IF(B645="","",IFERROR(INDEX(Leads!$C$2:$C$5001,MATCH(B645,Leads!$A$2:$A$5001,0))&amp;" "&amp;INDEX(Leads!$D$2:$D$5001,MATCH(B645,Leads!$A$2:$A$5001,0)),"N° no encontrado"))</f>
        <v/>
      </c>
      <c r="D645" s="35" t="str">
        <f aca="false">IF(B645="","",IFERROR(INDEX(Leads!$G$2:$G$5001,MATCH(B645,Leads!$A$2:$A$5001,0)),""))</f>
        <v/>
      </c>
      <c r="E645" s="32"/>
      <c r="F645" s="32"/>
      <c r="G645" s="32"/>
    </row>
    <row r="646" customFormat="false" ht="15" hidden="false" customHeight="false" outlineLevel="0" collapsed="false">
      <c r="A646" s="31"/>
      <c r="B646" s="32"/>
      <c r="C646" s="35" t="str">
        <f aca="false">IF(B646="","",IFERROR(INDEX(Leads!$C$2:$C$5001,MATCH(B646,Leads!$A$2:$A$5001,0))&amp;" "&amp;INDEX(Leads!$D$2:$D$5001,MATCH(B646,Leads!$A$2:$A$5001,0)),"N° no encontrado"))</f>
        <v/>
      </c>
      <c r="D646" s="35" t="str">
        <f aca="false">IF(B646="","",IFERROR(INDEX(Leads!$G$2:$G$5001,MATCH(B646,Leads!$A$2:$A$5001,0)),""))</f>
        <v/>
      </c>
      <c r="E646" s="32"/>
      <c r="F646" s="32"/>
      <c r="G646" s="32"/>
    </row>
    <row r="647" customFormat="false" ht="15" hidden="false" customHeight="false" outlineLevel="0" collapsed="false">
      <c r="A647" s="31"/>
      <c r="B647" s="32"/>
      <c r="C647" s="35" t="str">
        <f aca="false">IF(B647="","",IFERROR(INDEX(Leads!$C$2:$C$5001,MATCH(B647,Leads!$A$2:$A$5001,0))&amp;" "&amp;INDEX(Leads!$D$2:$D$5001,MATCH(B647,Leads!$A$2:$A$5001,0)),"N° no encontrado"))</f>
        <v/>
      </c>
      <c r="D647" s="35" t="str">
        <f aca="false">IF(B647="","",IFERROR(INDEX(Leads!$G$2:$G$5001,MATCH(B647,Leads!$A$2:$A$5001,0)),""))</f>
        <v/>
      </c>
      <c r="E647" s="32"/>
      <c r="F647" s="32"/>
      <c r="G647" s="32"/>
    </row>
    <row r="648" customFormat="false" ht="15" hidden="false" customHeight="false" outlineLevel="0" collapsed="false">
      <c r="A648" s="31"/>
      <c r="B648" s="32"/>
      <c r="C648" s="35" t="str">
        <f aca="false">IF(B648="","",IFERROR(INDEX(Leads!$C$2:$C$5001,MATCH(B648,Leads!$A$2:$A$5001,0))&amp;" "&amp;INDEX(Leads!$D$2:$D$5001,MATCH(B648,Leads!$A$2:$A$5001,0)),"N° no encontrado"))</f>
        <v/>
      </c>
      <c r="D648" s="35" t="str">
        <f aca="false">IF(B648="","",IFERROR(INDEX(Leads!$G$2:$G$5001,MATCH(B648,Leads!$A$2:$A$5001,0)),""))</f>
        <v/>
      </c>
      <c r="E648" s="32"/>
      <c r="F648" s="32"/>
      <c r="G648" s="32"/>
    </row>
    <row r="649" customFormat="false" ht="15" hidden="false" customHeight="false" outlineLevel="0" collapsed="false">
      <c r="A649" s="31"/>
      <c r="B649" s="32"/>
      <c r="C649" s="35" t="str">
        <f aca="false">IF(B649="","",IFERROR(INDEX(Leads!$C$2:$C$5001,MATCH(B649,Leads!$A$2:$A$5001,0))&amp;" "&amp;INDEX(Leads!$D$2:$D$5001,MATCH(B649,Leads!$A$2:$A$5001,0)),"N° no encontrado"))</f>
        <v/>
      </c>
      <c r="D649" s="35" t="str">
        <f aca="false">IF(B649="","",IFERROR(INDEX(Leads!$G$2:$G$5001,MATCH(B649,Leads!$A$2:$A$5001,0)),""))</f>
        <v/>
      </c>
      <c r="E649" s="32"/>
      <c r="F649" s="32"/>
      <c r="G649" s="32"/>
    </row>
    <row r="650" customFormat="false" ht="15" hidden="false" customHeight="false" outlineLevel="0" collapsed="false">
      <c r="A650" s="31"/>
      <c r="B650" s="32"/>
      <c r="C650" s="35" t="str">
        <f aca="false">IF(B650="","",IFERROR(INDEX(Leads!$C$2:$C$5001,MATCH(B650,Leads!$A$2:$A$5001,0))&amp;" "&amp;INDEX(Leads!$D$2:$D$5001,MATCH(B650,Leads!$A$2:$A$5001,0)),"N° no encontrado"))</f>
        <v/>
      </c>
      <c r="D650" s="35" t="str">
        <f aca="false">IF(B650="","",IFERROR(INDEX(Leads!$G$2:$G$5001,MATCH(B650,Leads!$A$2:$A$5001,0)),""))</f>
        <v/>
      </c>
      <c r="E650" s="32"/>
      <c r="F650" s="32"/>
      <c r="G650" s="32"/>
    </row>
    <row r="651" customFormat="false" ht="15" hidden="false" customHeight="false" outlineLevel="0" collapsed="false">
      <c r="A651" s="31"/>
      <c r="B651" s="32"/>
      <c r="C651" s="35" t="str">
        <f aca="false">IF(B651="","",IFERROR(INDEX(Leads!$C$2:$C$5001,MATCH(B651,Leads!$A$2:$A$5001,0))&amp;" "&amp;INDEX(Leads!$D$2:$D$5001,MATCH(B651,Leads!$A$2:$A$5001,0)),"N° no encontrado"))</f>
        <v/>
      </c>
      <c r="D651" s="35" t="str">
        <f aca="false">IF(B651="","",IFERROR(INDEX(Leads!$G$2:$G$5001,MATCH(B651,Leads!$A$2:$A$5001,0)),""))</f>
        <v/>
      </c>
      <c r="E651" s="32"/>
      <c r="F651" s="32"/>
      <c r="G651" s="32"/>
    </row>
    <row r="652" customFormat="false" ht="15" hidden="false" customHeight="false" outlineLevel="0" collapsed="false">
      <c r="A652" s="31"/>
      <c r="B652" s="32"/>
      <c r="C652" s="35" t="str">
        <f aca="false">IF(B652="","",IFERROR(INDEX(Leads!$C$2:$C$5001,MATCH(B652,Leads!$A$2:$A$5001,0))&amp;" "&amp;INDEX(Leads!$D$2:$D$5001,MATCH(B652,Leads!$A$2:$A$5001,0)),"N° no encontrado"))</f>
        <v/>
      </c>
      <c r="D652" s="35" t="str">
        <f aca="false">IF(B652="","",IFERROR(INDEX(Leads!$G$2:$G$5001,MATCH(B652,Leads!$A$2:$A$5001,0)),""))</f>
        <v/>
      </c>
      <c r="E652" s="32"/>
      <c r="F652" s="32"/>
      <c r="G652" s="32"/>
    </row>
    <row r="653" customFormat="false" ht="15" hidden="false" customHeight="false" outlineLevel="0" collapsed="false">
      <c r="A653" s="31"/>
      <c r="B653" s="32"/>
      <c r="C653" s="35" t="str">
        <f aca="false">IF(B653="","",IFERROR(INDEX(Leads!$C$2:$C$5001,MATCH(B653,Leads!$A$2:$A$5001,0))&amp;" "&amp;INDEX(Leads!$D$2:$D$5001,MATCH(B653,Leads!$A$2:$A$5001,0)),"N° no encontrado"))</f>
        <v/>
      </c>
      <c r="D653" s="35" t="str">
        <f aca="false">IF(B653="","",IFERROR(INDEX(Leads!$G$2:$G$5001,MATCH(B653,Leads!$A$2:$A$5001,0)),""))</f>
        <v/>
      </c>
      <c r="E653" s="32"/>
      <c r="F653" s="32"/>
      <c r="G653" s="32"/>
    </row>
    <row r="654" customFormat="false" ht="15" hidden="false" customHeight="false" outlineLevel="0" collapsed="false">
      <c r="A654" s="31"/>
      <c r="B654" s="32"/>
      <c r="C654" s="35" t="str">
        <f aca="false">IF(B654="","",IFERROR(INDEX(Leads!$C$2:$C$5001,MATCH(B654,Leads!$A$2:$A$5001,0))&amp;" "&amp;INDEX(Leads!$D$2:$D$5001,MATCH(B654,Leads!$A$2:$A$5001,0)),"N° no encontrado"))</f>
        <v/>
      </c>
      <c r="D654" s="35" t="str">
        <f aca="false">IF(B654="","",IFERROR(INDEX(Leads!$G$2:$G$5001,MATCH(B654,Leads!$A$2:$A$5001,0)),""))</f>
        <v/>
      </c>
      <c r="E654" s="32"/>
      <c r="F654" s="32"/>
      <c r="G654" s="32"/>
    </row>
    <row r="655" customFormat="false" ht="15" hidden="false" customHeight="false" outlineLevel="0" collapsed="false">
      <c r="A655" s="31"/>
      <c r="B655" s="32"/>
      <c r="C655" s="35" t="str">
        <f aca="false">IF(B655="","",IFERROR(INDEX(Leads!$C$2:$C$5001,MATCH(B655,Leads!$A$2:$A$5001,0))&amp;" "&amp;INDEX(Leads!$D$2:$D$5001,MATCH(B655,Leads!$A$2:$A$5001,0)),"N° no encontrado"))</f>
        <v/>
      </c>
      <c r="D655" s="35" t="str">
        <f aca="false">IF(B655="","",IFERROR(INDEX(Leads!$G$2:$G$5001,MATCH(B655,Leads!$A$2:$A$5001,0)),""))</f>
        <v/>
      </c>
      <c r="E655" s="32"/>
      <c r="F655" s="32"/>
      <c r="G655" s="32"/>
    </row>
    <row r="656" customFormat="false" ht="15" hidden="false" customHeight="false" outlineLevel="0" collapsed="false">
      <c r="A656" s="31"/>
      <c r="B656" s="32"/>
      <c r="C656" s="35" t="str">
        <f aca="false">IF(B656="","",IFERROR(INDEX(Leads!$C$2:$C$5001,MATCH(B656,Leads!$A$2:$A$5001,0))&amp;" "&amp;INDEX(Leads!$D$2:$D$5001,MATCH(B656,Leads!$A$2:$A$5001,0)),"N° no encontrado"))</f>
        <v/>
      </c>
      <c r="D656" s="35" t="str">
        <f aca="false">IF(B656="","",IFERROR(INDEX(Leads!$G$2:$G$5001,MATCH(B656,Leads!$A$2:$A$5001,0)),""))</f>
        <v/>
      </c>
      <c r="E656" s="32"/>
      <c r="F656" s="32"/>
      <c r="G656" s="32"/>
    </row>
    <row r="657" customFormat="false" ht="15" hidden="false" customHeight="false" outlineLevel="0" collapsed="false">
      <c r="A657" s="31"/>
      <c r="B657" s="32"/>
      <c r="C657" s="35" t="str">
        <f aca="false">IF(B657="","",IFERROR(INDEX(Leads!$C$2:$C$5001,MATCH(B657,Leads!$A$2:$A$5001,0))&amp;" "&amp;INDEX(Leads!$D$2:$D$5001,MATCH(B657,Leads!$A$2:$A$5001,0)),"N° no encontrado"))</f>
        <v/>
      </c>
      <c r="D657" s="35" t="str">
        <f aca="false">IF(B657="","",IFERROR(INDEX(Leads!$G$2:$G$5001,MATCH(B657,Leads!$A$2:$A$5001,0)),""))</f>
        <v/>
      </c>
      <c r="E657" s="32"/>
      <c r="F657" s="32"/>
      <c r="G657" s="32"/>
    </row>
    <row r="658" customFormat="false" ht="15" hidden="false" customHeight="false" outlineLevel="0" collapsed="false">
      <c r="A658" s="31"/>
      <c r="B658" s="32"/>
      <c r="C658" s="35" t="str">
        <f aca="false">IF(B658="","",IFERROR(INDEX(Leads!$C$2:$C$5001,MATCH(B658,Leads!$A$2:$A$5001,0))&amp;" "&amp;INDEX(Leads!$D$2:$D$5001,MATCH(B658,Leads!$A$2:$A$5001,0)),"N° no encontrado"))</f>
        <v/>
      </c>
      <c r="D658" s="35" t="str">
        <f aca="false">IF(B658="","",IFERROR(INDEX(Leads!$G$2:$G$5001,MATCH(B658,Leads!$A$2:$A$5001,0)),""))</f>
        <v/>
      </c>
      <c r="E658" s="32"/>
      <c r="F658" s="32"/>
      <c r="G658" s="32"/>
    </row>
    <row r="659" customFormat="false" ht="15" hidden="false" customHeight="false" outlineLevel="0" collapsed="false">
      <c r="A659" s="31"/>
      <c r="B659" s="32"/>
      <c r="C659" s="35" t="str">
        <f aca="false">IF(B659="","",IFERROR(INDEX(Leads!$C$2:$C$5001,MATCH(B659,Leads!$A$2:$A$5001,0))&amp;" "&amp;INDEX(Leads!$D$2:$D$5001,MATCH(B659,Leads!$A$2:$A$5001,0)),"N° no encontrado"))</f>
        <v/>
      </c>
      <c r="D659" s="35" t="str">
        <f aca="false">IF(B659="","",IFERROR(INDEX(Leads!$G$2:$G$5001,MATCH(B659,Leads!$A$2:$A$5001,0)),""))</f>
        <v/>
      </c>
      <c r="E659" s="32"/>
      <c r="F659" s="32"/>
      <c r="G659" s="32"/>
    </row>
    <row r="660" customFormat="false" ht="15" hidden="false" customHeight="false" outlineLevel="0" collapsed="false">
      <c r="A660" s="31"/>
      <c r="B660" s="32"/>
      <c r="C660" s="35" t="str">
        <f aca="false">IF(B660="","",IFERROR(INDEX(Leads!$C$2:$C$5001,MATCH(B660,Leads!$A$2:$A$5001,0))&amp;" "&amp;INDEX(Leads!$D$2:$D$5001,MATCH(B660,Leads!$A$2:$A$5001,0)),"N° no encontrado"))</f>
        <v/>
      </c>
      <c r="D660" s="35" t="str">
        <f aca="false">IF(B660="","",IFERROR(INDEX(Leads!$G$2:$G$5001,MATCH(B660,Leads!$A$2:$A$5001,0)),""))</f>
        <v/>
      </c>
      <c r="E660" s="32"/>
      <c r="F660" s="32"/>
      <c r="G660" s="32"/>
    </row>
    <row r="661" customFormat="false" ht="15" hidden="false" customHeight="false" outlineLevel="0" collapsed="false">
      <c r="A661" s="31"/>
      <c r="B661" s="32"/>
      <c r="C661" s="35" t="str">
        <f aca="false">IF(B661="","",IFERROR(INDEX(Leads!$C$2:$C$5001,MATCH(B661,Leads!$A$2:$A$5001,0))&amp;" "&amp;INDEX(Leads!$D$2:$D$5001,MATCH(B661,Leads!$A$2:$A$5001,0)),"N° no encontrado"))</f>
        <v/>
      </c>
      <c r="D661" s="35" t="str">
        <f aca="false">IF(B661="","",IFERROR(INDEX(Leads!$G$2:$G$5001,MATCH(B661,Leads!$A$2:$A$5001,0)),""))</f>
        <v/>
      </c>
      <c r="E661" s="32"/>
      <c r="F661" s="32"/>
      <c r="G661" s="32"/>
    </row>
    <row r="662" customFormat="false" ht="15" hidden="false" customHeight="false" outlineLevel="0" collapsed="false">
      <c r="A662" s="31"/>
      <c r="B662" s="32"/>
      <c r="C662" s="35" t="str">
        <f aca="false">IF(B662="","",IFERROR(INDEX(Leads!$C$2:$C$5001,MATCH(B662,Leads!$A$2:$A$5001,0))&amp;" "&amp;INDEX(Leads!$D$2:$D$5001,MATCH(B662,Leads!$A$2:$A$5001,0)),"N° no encontrado"))</f>
        <v/>
      </c>
      <c r="D662" s="35" t="str">
        <f aca="false">IF(B662="","",IFERROR(INDEX(Leads!$G$2:$G$5001,MATCH(B662,Leads!$A$2:$A$5001,0)),""))</f>
        <v/>
      </c>
      <c r="E662" s="32"/>
      <c r="F662" s="32"/>
      <c r="G662" s="32"/>
    </row>
    <row r="663" customFormat="false" ht="15" hidden="false" customHeight="false" outlineLevel="0" collapsed="false">
      <c r="A663" s="31"/>
      <c r="B663" s="32"/>
      <c r="C663" s="35" t="str">
        <f aca="false">IF(B663="","",IFERROR(INDEX(Leads!$C$2:$C$5001,MATCH(B663,Leads!$A$2:$A$5001,0))&amp;" "&amp;INDEX(Leads!$D$2:$D$5001,MATCH(B663,Leads!$A$2:$A$5001,0)),"N° no encontrado"))</f>
        <v/>
      </c>
      <c r="D663" s="35" t="str">
        <f aca="false">IF(B663="","",IFERROR(INDEX(Leads!$G$2:$G$5001,MATCH(B663,Leads!$A$2:$A$5001,0)),""))</f>
        <v/>
      </c>
      <c r="E663" s="32"/>
      <c r="F663" s="32"/>
      <c r="G663" s="32"/>
    </row>
    <row r="664" customFormat="false" ht="15" hidden="false" customHeight="false" outlineLevel="0" collapsed="false">
      <c r="A664" s="31"/>
      <c r="B664" s="32"/>
      <c r="C664" s="35" t="str">
        <f aca="false">IF(B664="","",IFERROR(INDEX(Leads!$C$2:$C$5001,MATCH(B664,Leads!$A$2:$A$5001,0))&amp;" "&amp;INDEX(Leads!$D$2:$D$5001,MATCH(B664,Leads!$A$2:$A$5001,0)),"N° no encontrado"))</f>
        <v/>
      </c>
      <c r="D664" s="35" t="str">
        <f aca="false">IF(B664="","",IFERROR(INDEX(Leads!$G$2:$G$5001,MATCH(B664,Leads!$A$2:$A$5001,0)),""))</f>
        <v/>
      </c>
      <c r="E664" s="32"/>
      <c r="F664" s="32"/>
      <c r="G664" s="32"/>
    </row>
    <row r="665" customFormat="false" ht="15" hidden="false" customHeight="false" outlineLevel="0" collapsed="false">
      <c r="A665" s="31"/>
      <c r="B665" s="32"/>
      <c r="C665" s="35" t="str">
        <f aca="false">IF(B665="","",IFERROR(INDEX(Leads!$C$2:$C$5001,MATCH(B665,Leads!$A$2:$A$5001,0))&amp;" "&amp;INDEX(Leads!$D$2:$D$5001,MATCH(B665,Leads!$A$2:$A$5001,0)),"N° no encontrado"))</f>
        <v/>
      </c>
      <c r="D665" s="35" t="str">
        <f aca="false">IF(B665="","",IFERROR(INDEX(Leads!$G$2:$G$5001,MATCH(B665,Leads!$A$2:$A$5001,0)),""))</f>
        <v/>
      </c>
      <c r="E665" s="32"/>
      <c r="F665" s="32"/>
      <c r="G665" s="32"/>
    </row>
    <row r="666" customFormat="false" ht="15" hidden="false" customHeight="false" outlineLevel="0" collapsed="false">
      <c r="A666" s="31"/>
      <c r="B666" s="32"/>
      <c r="C666" s="35" t="str">
        <f aca="false">IF(B666="","",IFERROR(INDEX(Leads!$C$2:$C$5001,MATCH(B666,Leads!$A$2:$A$5001,0))&amp;" "&amp;INDEX(Leads!$D$2:$D$5001,MATCH(B666,Leads!$A$2:$A$5001,0)),"N° no encontrado"))</f>
        <v/>
      </c>
      <c r="D666" s="35" t="str">
        <f aca="false">IF(B666="","",IFERROR(INDEX(Leads!$G$2:$G$5001,MATCH(B666,Leads!$A$2:$A$5001,0)),""))</f>
        <v/>
      </c>
      <c r="E666" s="32"/>
      <c r="F666" s="32"/>
      <c r="G666" s="32"/>
    </row>
    <row r="667" customFormat="false" ht="15" hidden="false" customHeight="false" outlineLevel="0" collapsed="false">
      <c r="A667" s="31"/>
      <c r="B667" s="32"/>
      <c r="C667" s="35" t="str">
        <f aca="false">IF(B667="","",IFERROR(INDEX(Leads!$C$2:$C$5001,MATCH(B667,Leads!$A$2:$A$5001,0))&amp;" "&amp;INDEX(Leads!$D$2:$D$5001,MATCH(B667,Leads!$A$2:$A$5001,0)),"N° no encontrado"))</f>
        <v/>
      </c>
      <c r="D667" s="35" t="str">
        <f aca="false">IF(B667="","",IFERROR(INDEX(Leads!$G$2:$G$5001,MATCH(B667,Leads!$A$2:$A$5001,0)),""))</f>
        <v/>
      </c>
      <c r="E667" s="32"/>
      <c r="F667" s="32"/>
      <c r="G667" s="32"/>
    </row>
    <row r="668" customFormat="false" ht="15" hidden="false" customHeight="false" outlineLevel="0" collapsed="false">
      <c r="A668" s="31"/>
      <c r="B668" s="32"/>
      <c r="C668" s="35" t="str">
        <f aca="false">IF(B668="","",IFERROR(INDEX(Leads!$C$2:$C$5001,MATCH(B668,Leads!$A$2:$A$5001,0))&amp;" "&amp;INDEX(Leads!$D$2:$D$5001,MATCH(B668,Leads!$A$2:$A$5001,0)),"N° no encontrado"))</f>
        <v/>
      </c>
      <c r="D668" s="35" t="str">
        <f aca="false">IF(B668="","",IFERROR(INDEX(Leads!$G$2:$G$5001,MATCH(B668,Leads!$A$2:$A$5001,0)),""))</f>
        <v/>
      </c>
      <c r="E668" s="32"/>
      <c r="F668" s="32"/>
      <c r="G668" s="32"/>
    </row>
    <row r="669" customFormat="false" ht="15" hidden="false" customHeight="false" outlineLevel="0" collapsed="false">
      <c r="A669" s="31"/>
      <c r="B669" s="32"/>
      <c r="C669" s="35" t="str">
        <f aca="false">IF(B669="","",IFERROR(INDEX(Leads!$C$2:$C$5001,MATCH(B669,Leads!$A$2:$A$5001,0))&amp;" "&amp;INDEX(Leads!$D$2:$D$5001,MATCH(B669,Leads!$A$2:$A$5001,0)),"N° no encontrado"))</f>
        <v/>
      </c>
      <c r="D669" s="35" t="str">
        <f aca="false">IF(B669="","",IFERROR(INDEX(Leads!$G$2:$G$5001,MATCH(B669,Leads!$A$2:$A$5001,0)),""))</f>
        <v/>
      </c>
      <c r="E669" s="32"/>
      <c r="F669" s="32"/>
      <c r="G669" s="32"/>
    </row>
    <row r="670" customFormat="false" ht="15" hidden="false" customHeight="false" outlineLevel="0" collapsed="false">
      <c r="A670" s="31"/>
      <c r="B670" s="32"/>
      <c r="C670" s="35" t="str">
        <f aca="false">IF(B670="","",IFERROR(INDEX(Leads!$C$2:$C$5001,MATCH(B670,Leads!$A$2:$A$5001,0))&amp;" "&amp;INDEX(Leads!$D$2:$D$5001,MATCH(B670,Leads!$A$2:$A$5001,0)),"N° no encontrado"))</f>
        <v/>
      </c>
      <c r="D670" s="35" t="str">
        <f aca="false">IF(B670="","",IFERROR(INDEX(Leads!$G$2:$G$5001,MATCH(B670,Leads!$A$2:$A$5001,0)),""))</f>
        <v/>
      </c>
      <c r="E670" s="32"/>
      <c r="F670" s="32"/>
      <c r="G670" s="32"/>
    </row>
    <row r="671" customFormat="false" ht="15" hidden="false" customHeight="false" outlineLevel="0" collapsed="false">
      <c r="A671" s="31"/>
      <c r="B671" s="32"/>
      <c r="C671" s="35" t="str">
        <f aca="false">IF(B671="","",IFERROR(INDEX(Leads!$C$2:$C$5001,MATCH(B671,Leads!$A$2:$A$5001,0))&amp;" "&amp;INDEX(Leads!$D$2:$D$5001,MATCH(B671,Leads!$A$2:$A$5001,0)),"N° no encontrado"))</f>
        <v/>
      </c>
      <c r="D671" s="35" t="str">
        <f aca="false">IF(B671="","",IFERROR(INDEX(Leads!$G$2:$G$5001,MATCH(B671,Leads!$A$2:$A$5001,0)),""))</f>
        <v/>
      </c>
      <c r="E671" s="32"/>
      <c r="F671" s="32"/>
      <c r="G671" s="32"/>
    </row>
    <row r="672" customFormat="false" ht="15" hidden="false" customHeight="false" outlineLevel="0" collapsed="false">
      <c r="A672" s="31"/>
      <c r="B672" s="32"/>
      <c r="C672" s="35" t="str">
        <f aca="false">IF(B672="","",IFERROR(INDEX(Leads!$C$2:$C$5001,MATCH(B672,Leads!$A$2:$A$5001,0))&amp;" "&amp;INDEX(Leads!$D$2:$D$5001,MATCH(B672,Leads!$A$2:$A$5001,0)),"N° no encontrado"))</f>
        <v/>
      </c>
      <c r="D672" s="35" t="str">
        <f aca="false">IF(B672="","",IFERROR(INDEX(Leads!$G$2:$G$5001,MATCH(B672,Leads!$A$2:$A$5001,0)),""))</f>
        <v/>
      </c>
      <c r="E672" s="32"/>
      <c r="F672" s="32"/>
      <c r="G672" s="32"/>
    </row>
    <row r="673" customFormat="false" ht="15" hidden="false" customHeight="false" outlineLevel="0" collapsed="false">
      <c r="A673" s="31"/>
      <c r="B673" s="32"/>
      <c r="C673" s="35" t="str">
        <f aca="false">IF(B673="","",IFERROR(INDEX(Leads!$C$2:$C$5001,MATCH(B673,Leads!$A$2:$A$5001,0))&amp;" "&amp;INDEX(Leads!$D$2:$D$5001,MATCH(B673,Leads!$A$2:$A$5001,0)),"N° no encontrado"))</f>
        <v/>
      </c>
      <c r="D673" s="35" t="str">
        <f aca="false">IF(B673="","",IFERROR(INDEX(Leads!$G$2:$G$5001,MATCH(B673,Leads!$A$2:$A$5001,0)),""))</f>
        <v/>
      </c>
      <c r="E673" s="32"/>
      <c r="F673" s="32"/>
      <c r="G673" s="32"/>
    </row>
    <row r="674" customFormat="false" ht="15" hidden="false" customHeight="false" outlineLevel="0" collapsed="false">
      <c r="A674" s="31"/>
      <c r="B674" s="32"/>
      <c r="C674" s="35" t="str">
        <f aca="false">IF(B674="","",IFERROR(INDEX(Leads!$C$2:$C$5001,MATCH(B674,Leads!$A$2:$A$5001,0))&amp;" "&amp;INDEX(Leads!$D$2:$D$5001,MATCH(B674,Leads!$A$2:$A$5001,0)),"N° no encontrado"))</f>
        <v/>
      </c>
      <c r="D674" s="35" t="str">
        <f aca="false">IF(B674="","",IFERROR(INDEX(Leads!$G$2:$G$5001,MATCH(B674,Leads!$A$2:$A$5001,0)),""))</f>
        <v/>
      </c>
      <c r="E674" s="32"/>
      <c r="F674" s="32"/>
      <c r="G674" s="32"/>
    </row>
    <row r="675" customFormat="false" ht="15" hidden="false" customHeight="false" outlineLevel="0" collapsed="false">
      <c r="A675" s="31"/>
      <c r="B675" s="32"/>
      <c r="C675" s="35" t="str">
        <f aca="false">IF(B675="","",IFERROR(INDEX(Leads!$C$2:$C$5001,MATCH(B675,Leads!$A$2:$A$5001,0))&amp;" "&amp;INDEX(Leads!$D$2:$D$5001,MATCH(B675,Leads!$A$2:$A$5001,0)),"N° no encontrado"))</f>
        <v/>
      </c>
      <c r="D675" s="35" t="str">
        <f aca="false">IF(B675="","",IFERROR(INDEX(Leads!$G$2:$G$5001,MATCH(B675,Leads!$A$2:$A$5001,0)),""))</f>
        <v/>
      </c>
      <c r="E675" s="32"/>
      <c r="F675" s="32"/>
      <c r="G675" s="32"/>
    </row>
    <row r="676" customFormat="false" ht="15" hidden="false" customHeight="false" outlineLevel="0" collapsed="false">
      <c r="A676" s="31"/>
      <c r="B676" s="32"/>
      <c r="C676" s="35" t="str">
        <f aca="false">IF(B676="","",IFERROR(INDEX(Leads!$C$2:$C$5001,MATCH(B676,Leads!$A$2:$A$5001,0))&amp;" "&amp;INDEX(Leads!$D$2:$D$5001,MATCH(B676,Leads!$A$2:$A$5001,0)),"N° no encontrado"))</f>
        <v/>
      </c>
      <c r="D676" s="35" t="str">
        <f aca="false">IF(B676="","",IFERROR(INDEX(Leads!$G$2:$G$5001,MATCH(B676,Leads!$A$2:$A$5001,0)),""))</f>
        <v/>
      </c>
      <c r="E676" s="32"/>
      <c r="F676" s="32"/>
      <c r="G676" s="32"/>
    </row>
    <row r="677" customFormat="false" ht="15" hidden="false" customHeight="false" outlineLevel="0" collapsed="false">
      <c r="A677" s="31"/>
      <c r="B677" s="32"/>
      <c r="C677" s="35" t="str">
        <f aca="false">IF(B677="","",IFERROR(INDEX(Leads!$C$2:$C$5001,MATCH(B677,Leads!$A$2:$A$5001,0))&amp;" "&amp;INDEX(Leads!$D$2:$D$5001,MATCH(B677,Leads!$A$2:$A$5001,0)),"N° no encontrado"))</f>
        <v/>
      </c>
      <c r="D677" s="35" t="str">
        <f aca="false">IF(B677="","",IFERROR(INDEX(Leads!$G$2:$G$5001,MATCH(B677,Leads!$A$2:$A$5001,0)),""))</f>
        <v/>
      </c>
      <c r="E677" s="32"/>
      <c r="F677" s="32"/>
      <c r="G677" s="32"/>
    </row>
    <row r="678" customFormat="false" ht="15" hidden="false" customHeight="false" outlineLevel="0" collapsed="false">
      <c r="A678" s="31"/>
      <c r="B678" s="32"/>
      <c r="C678" s="35" t="str">
        <f aca="false">IF(B678="","",IFERROR(INDEX(Leads!$C$2:$C$5001,MATCH(B678,Leads!$A$2:$A$5001,0))&amp;" "&amp;INDEX(Leads!$D$2:$D$5001,MATCH(B678,Leads!$A$2:$A$5001,0)),"N° no encontrado"))</f>
        <v/>
      </c>
      <c r="D678" s="35" t="str">
        <f aca="false">IF(B678="","",IFERROR(INDEX(Leads!$G$2:$G$5001,MATCH(B678,Leads!$A$2:$A$5001,0)),""))</f>
        <v/>
      </c>
      <c r="E678" s="32"/>
      <c r="F678" s="32"/>
      <c r="G678" s="32"/>
    </row>
    <row r="679" customFormat="false" ht="15" hidden="false" customHeight="false" outlineLevel="0" collapsed="false">
      <c r="A679" s="31"/>
      <c r="B679" s="32"/>
      <c r="C679" s="35" t="str">
        <f aca="false">IF(B679="","",IFERROR(INDEX(Leads!$C$2:$C$5001,MATCH(B679,Leads!$A$2:$A$5001,0))&amp;" "&amp;INDEX(Leads!$D$2:$D$5001,MATCH(B679,Leads!$A$2:$A$5001,0)),"N° no encontrado"))</f>
        <v/>
      </c>
      <c r="D679" s="35" t="str">
        <f aca="false">IF(B679="","",IFERROR(INDEX(Leads!$G$2:$G$5001,MATCH(B679,Leads!$A$2:$A$5001,0)),""))</f>
        <v/>
      </c>
      <c r="E679" s="32"/>
      <c r="F679" s="32"/>
      <c r="G679" s="32"/>
    </row>
    <row r="680" customFormat="false" ht="15" hidden="false" customHeight="false" outlineLevel="0" collapsed="false">
      <c r="A680" s="31"/>
      <c r="B680" s="32"/>
      <c r="C680" s="35" t="str">
        <f aca="false">IF(B680="","",IFERROR(INDEX(Leads!$C$2:$C$5001,MATCH(B680,Leads!$A$2:$A$5001,0))&amp;" "&amp;INDEX(Leads!$D$2:$D$5001,MATCH(B680,Leads!$A$2:$A$5001,0)),"N° no encontrado"))</f>
        <v/>
      </c>
      <c r="D680" s="35" t="str">
        <f aca="false">IF(B680="","",IFERROR(INDEX(Leads!$G$2:$G$5001,MATCH(B680,Leads!$A$2:$A$5001,0)),""))</f>
        <v/>
      </c>
      <c r="E680" s="32"/>
      <c r="F680" s="32"/>
      <c r="G680" s="32"/>
    </row>
    <row r="681" customFormat="false" ht="15" hidden="false" customHeight="false" outlineLevel="0" collapsed="false">
      <c r="A681" s="31"/>
      <c r="B681" s="32"/>
      <c r="C681" s="35" t="str">
        <f aca="false">IF(B681="","",IFERROR(INDEX(Leads!$C$2:$C$5001,MATCH(B681,Leads!$A$2:$A$5001,0))&amp;" "&amp;INDEX(Leads!$D$2:$D$5001,MATCH(B681,Leads!$A$2:$A$5001,0)),"N° no encontrado"))</f>
        <v/>
      </c>
      <c r="D681" s="35" t="str">
        <f aca="false">IF(B681="","",IFERROR(INDEX(Leads!$G$2:$G$5001,MATCH(B681,Leads!$A$2:$A$5001,0)),""))</f>
        <v/>
      </c>
      <c r="E681" s="32"/>
      <c r="F681" s="32"/>
      <c r="G681" s="32"/>
    </row>
    <row r="682" customFormat="false" ht="15" hidden="false" customHeight="false" outlineLevel="0" collapsed="false">
      <c r="A682" s="31"/>
      <c r="B682" s="32"/>
      <c r="C682" s="35" t="str">
        <f aca="false">IF(B682="","",IFERROR(INDEX(Leads!$C$2:$C$5001,MATCH(B682,Leads!$A$2:$A$5001,0))&amp;" "&amp;INDEX(Leads!$D$2:$D$5001,MATCH(B682,Leads!$A$2:$A$5001,0)),"N° no encontrado"))</f>
        <v/>
      </c>
      <c r="D682" s="35" t="str">
        <f aca="false">IF(B682="","",IFERROR(INDEX(Leads!$G$2:$G$5001,MATCH(B682,Leads!$A$2:$A$5001,0)),""))</f>
        <v/>
      </c>
      <c r="E682" s="32"/>
      <c r="F682" s="32"/>
      <c r="G682" s="32"/>
    </row>
    <row r="683" customFormat="false" ht="15" hidden="false" customHeight="false" outlineLevel="0" collapsed="false">
      <c r="A683" s="31"/>
      <c r="B683" s="32"/>
      <c r="C683" s="35" t="str">
        <f aca="false">IF(B683="","",IFERROR(INDEX(Leads!$C$2:$C$5001,MATCH(B683,Leads!$A$2:$A$5001,0))&amp;" "&amp;INDEX(Leads!$D$2:$D$5001,MATCH(B683,Leads!$A$2:$A$5001,0)),"N° no encontrado"))</f>
        <v/>
      </c>
      <c r="D683" s="35" t="str">
        <f aca="false">IF(B683="","",IFERROR(INDEX(Leads!$G$2:$G$5001,MATCH(B683,Leads!$A$2:$A$5001,0)),""))</f>
        <v/>
      </c>
      <c r="E683" s="32"/>
      <c r="F683" s="32"/>
      <c r="G683" s="32"/>
    </row>
    <row r="684" customFormat="false" ht="15" hidden="false" customHeight="false" outlineLevel="0" collapsed="false">
      <c r="A684" s="31"/>
      <c r="B684" s="32"/>
      <c r="C684" s="35" t="str">
        <f aca="false">IF(B684="","",IFERROR(INDEX(Leads!$C$2:$C$5001,MATCH(B684,Leads!$A$2:$A$5001,0))&amp;" "&amp;INDEX(Leads!$D$2:$D$5001,MATCH(B684,Leads!$A$2:$A$5001,0)),"N° no encontrado"))</f>
        <v/>
      </c>
      <c r="D684" s="35" t="str">
        <f aca="false">IF(B684="","",IFERROR(INDEX(Leads!$G$2:$G$5001,MATCH(B684,Leads!$A$2:$A$5001,0)),""))</f>
        <v/>
      </c>
      <c r="E684" s="32"/>
      <c r="F684" s="32"/>
      <c r="G684" s="32"/>
    </row>
    <row r="685" customFormat="false" ht="15" hidden="false" customHeight="false" outlineLevel="0" collapsed="false">
      <c r="A685" s="31"/>
      <c r="B685" s="32"/>
      <c r="C685" s="35" t="str">
        <f aca="false">IF(B685="","",IFERROR(INDEX(Leads!$C$2:$C$5001,MATCH(B685,Leads!$A$2:$A$5001,0))&amp;" "&amp;INDEX(Leads!$D$2:$D$5001,MATCH(B685,Leads!$A$2:$A$5001,0)),"N° no encontrado"))</f>
        <v/>
      </c>
      <c r="D685" s="35" t="str">
        <f aca="false">IF(B685="","",IFERROR(INDEX(Leads!$G$2:$G$5001,MATCH(B685,Leads!$A$2:$A$5001,0)),""))</f>
        <v/>
      </c>
      <c r="E685" s="32"/>
      <c r="F685" s="32"/>
      <c r="G685" s="32"/>
    </row>
    <row r="686" customFormat="false" ht="15" hidden="false" customHeight="false" outlineLevel="0" collapsed="false">
      <c r="A686" s="31"/>
      <c r="B686" s="32"/>
      <c r="C686" s="35" t="str">
        <f aca="false">IF(B686="","",IFERROR(INDEX(Leads!$C$2:$C$5001,MATCH(B686,Leads!$A$2:$A$5001,0))&amp;" "&amp;INDEX(Leads!$D$2:$D$5001,MATCH(B686,Leads!$A$2:$A$5001,0)),"N° no encontrado"))</f>
        <v/>
      </c>
      <c r="D686" s="35" t="str">
        <f aca="false">IF(B686="","",IFERROR(INDEX(Leads!$G$2:$G$5001,MATCH(B686,Leads!$A$2:$A$5001,0)),""))</f>
        <v/>
      </c>
      <c r="E686" s="32"/>
      <c r="F686" s="32"/>
      <c r="G686" s="32"/>
    </row>
    <row r="687" customFormat="false" ht="15" hidden="false" customHeight="false" outlineLevel="0" collapsed="false">
      <c r="A687" s="31"/>
      <c r="B687" s="32"/>
      <c r="C687" s="35" t="str">
        <f aca="false">IF(B687="","",IFERROR(INDEX(Leads!$C$2:$C$5001,MATCH(B687,Leads!$A$2:$A$5001,0))&amp;" "&amp;INDEX(Leads!$D$2:$D$5001,MATCH(B687,Leads!$A$2:$A$5001,0)),"N° no encontrado"))</f>
        <v/>
      </c>
      <c r="D687" s="35" t="str">
        <f aca="false">IF(B687="","",IFERROR(INDEX(Leads!$G$2:$G$5001,MATCH(B687,Leads!$A$2:$A$5001,0)),""))</f>
        <v/>
      </c>
      <c r="E687" s="32"/>
      <c r="F687" s="32"/>
      <c r="G687" s="32"/>
    </row>
    <row r="688" customFormat="false" ht="15" hidden="false" customHeight="false" outlineLevel="0" collapsed="false">
      <c r="A688" s="31"/>
      <c r="B688" s="32"/>
      <c r="C688" s="35" t="str">
        <f aca="false">IF(B688="","",IFERROR(INDEX(Leads!$C$2:$C$5001,MATCH(B688,Leads!$A$2:$A$5001,0))&amp;" "&amp;INDEX(Leads!$D$2:$D$5001,MATCH(B688,Leads!$A$2:$A$5001,0)),"N° no encontrado"))</f>
        <v/>
      </c>
      <c r="D688" s="35" t="str">
        <f aca="false">IF(B688="","",IFERROR(INDEX(Leads!$G$2:$G$5001,MATCH(B688,Leads!$A$2:$A$5001,0)),""))</f>
        <v/>
      </c>
      <c r="E688" s="32"/>
      <c r="F688" s="32"/>
      <c r="G688" s="32"/>
    </row>
    <row r="689" customFormat="false" ht="15" hidden="false" customHeight="false" outlineLevel="0" collapsed="false">
      <c r="A689" s="31"/>
      <c r="B689" s="32"/>
      <c r="C689" s="35" t="str">
        <f aca="false">IF(B689="","",IFERROR(INDEX(Leads!$C$2:$C$5001,MATCH(B689,Leads!$A$2:$A$5001,0))&amp;" "&amp;INDEX(Leads!$D$2:$D$5001,MATCH(B689,Leads!$A$2:$A$5001,0)),"N° no encontrado"))</f>
        <v/>
      </c>
      <c r="D689" s="35" t="str">
        <f aca="false">IF(B689="","",IFERROR(INDEX(Leads!$G$2:$G$5001,MATCH(B689,Leads!$A$2:$A$5001,0)),""))</f>
        <v/>
      </c>
      <c r="E689" s="32"/>
      <c r="F689" s="32"/>
      <c r="G689" s="32"/>
    </row>
    <row r="690" customFormat="false" ht="15" hidden="false" customHeight="false" outlineLevel="0" collapsed="false">
      <c r="A690" s="31"/>
      <c r="B690" s="32"/>
      <c r="C690" s="35" t="str">
        <f aca="false">IF(B690="","",IFERROR(INDEX(Leads!$C$2:$C$5001,MATCH(B690,Leads!$A$2:$A$5001,0))&amp;" "&amp;INDEX(Leads!$D$2:$D$5001,MATCH(B690,Leads!$A$2:$A$5001,0)),"N° no encontrado"))</f>
        <v/>
      </c>
      <c r="D690" s="35" t="str">
        <f aca="false">IF(B690="","",IFERROR(INDEX(Leads!$G$2:$G$5001,MATCH(B690,Leads!$A$2:$A$5001,0)),""))</f>
        <v/>
      </c>
      <c r="E690" s="32"/>
      <c r="F690" s="32"/>
      <c r="G690" s="32"/>
    </row>
    <row r="691" customFormat="false" ht="15" hidden="false" customHeight="false" outlineLevel="0" collapsed="false">
      <c r="A691" s="31"/>
      <c r="B691" s="32"/>
      <c r="C691" s="35" t="str">
        <f aca="false">IF(B691="","",IFERROR(INDEX(Leads!$C$2:$C$5001,MATCH(B691,Leads!$A$2:$A$5001,0))&amp;" "&amp;INDEX(Leads!$D$2:$D$5001,MATCH(B691,Leads!$A$2:$A$5001,0)),"N° no encontrado"))</f>
        <v/>
      </c>
      <c r="D691" s="35" t="str">
        <f aca="false">IF(B691="","",IFERROR(INDEX(Leads!$G$2:$G$5001,MATCH(B691,Leads!$A$2:$A$5001,0)),""))</f>
        <v/>
      </c>
      <c r="E691" s="32"/>
      <c r="F691" s="32"/>
      <c r="G691" s="32"/>
    </row>
    <row r="692" customFormat="false" ht="15" hidden="false" customHeight="false" outlineLevel="0" collapsed="false">
      <c r="A692" s="31"/>
      <c r="B692" s="32"/>
      <c r="C692" s="35" t="str">
        <f aca="false">IF(B692="","",IFERROR(INDEX(Leads!$C$2:$C$5001,MATCH(B692,Leads!$A$2:$A$5001,0))&amp;" "&amp;INDEX(Leads!$D$2:$D$5001,MATCH(B692,Leads!$A$2:$A$5001,0)),"N° no encontrado"))</f>
        <v/>
      </c>
      <c r="D692" s="35" t="str">
        <f aca="false">IF(B692="","",IFERROR(INDEX(Leads!$G$2:$G$5001,MATCH(B692,Leads!$A$2:$A$5001,0)),""))</f>
        <v/>
      </c>
      <c r="E692" s="32"/>
      <c r="F692" s="32"/>
      <c r="G692" s="32"/>
    </row>
    <row r="693" customFormat="false" ht="15" hidden="false" customHeight="false" outlineLevel="0" collapsed="false">
      <c r="A693" s="31"/>
      <c r="B693" s="32"/>
      <c r="C693" s="35" t="str">
        <f aca="false">IF(B693="","",IFERROR(INDEX(Leads!$C$2:$C$5001,MATCH(B693,Leads!$A$2:$A$5001,0))&amp;" "&amp;INDEX(Leads!$D$2:$D$5001,MATCH(B693,Leads!$A$2:$A$5001,0)),"N° no encontrado"))</f>
        <v/>
      </c>
      <c r="D693" s="35" t="str">
        <f aca="false">IF(B693="","",IFERROR(INDEX(Leads!$G$2:$G$5001,MATCH(B693,Leads!$A$2:$A$5001,0)),""))</f>
        <v/>
      </c>
      <c r="E693" s="32"/>
      <c r="F693" s="32"/>
      <c r="G693" s="32"/>
    </row>
    <row r="694" customFormat="false" ht="15" hidden="false" customHeight="false" outlineLevel="0" collapsed="false">
      <c r="A694" s="31"/>
      <c r="B694" s="32"/>
      <c r="C694" s="35" t="str">
        <f aca="false">IF(B694="","",IFERROR(INDEX(Leads!$C$2:$C$5001,MATCH(B694,Leads!$A$2:$A$5001,0))&amp;" "&amp;INDEX(Leads!$D$2:$D$5001,MATCH(B694,Leads!$A$2:$A$5001,0)),"N° no encontrado"))</f>
        <v/>
      </c>
      <c r="D694" s="35" t="str">
        <f aca="false">IF(B694="","",IFERROR(INDEX(Leads!$G$2:$G$5001,MATCH(B694,Leads!$A$2:$A$5001,0)),""))</f>
        <v/>
      </c>
      <c r="E694" s="32"/>
      <c r="F694" s="32"/>
      <c r="G694" s="32"/>
    </row>
    <row r="695" customFormat="false" ht="15" hidden="false" customHeight="false" outlineLevel="0" collapsed="false">
      <c r="A695" s="31"/>
      <c r="B695" s="32"/>
      <c r="C695" s="35" t="str">
        <f aca="false">IF(B695="","",IFERROR(INDEX(Leads!$C$2:$C$5001,MATCH(B695,Leads!$A$2:$A$5001,0))&amp;" "&amp;INDEX(Leads!$D$2:$D$5001,MATCH(B695,Leads!$A$2:$A$5001,0)),"N° no encontrado"))</f>
        <v/>
      </c>
      <c r="D695" s="35" t="str">
        <f aca="false">IF(B695="","",IFERROR(INDEX(Leads!$G$2:$G$5001,MATCH(B695,Leads!$A$2:$A$5001,0)),""))</f>
        <v/>
      </c>
      <c r="E695" s="32"/>
      <c r="F695" s="32"/>
      <c r="G695" s="32"/>
    </row>
    <row r="696" customFormat="false" ht="15" hidden="false" customHeight="false" outlineLevel="0" collapsed="false">
      <c r="A696" s="31"/>
      <c r="B696" s="32"/>
      <c r="C696" s="35" t="str">
        <f aca="false">IF(B696="","",IFERROR(INDEX(Leads!$C$2:$C$5001,MATCH(B696,Leads!$A$2:$A$5001,0))&amp;" "&amp;INDEX(Leads!$D$2:$D$5001,MATCH(B696,Leads!$A$2:$A$5001,0)),"N° no encontrado"))</f>
        <v/>
      </c>
      <c r="D696" s="35" t="str">
        <f aca="false">IF(B696="","",IFERROR(INDEX(Leads!$G$2:$G$5001,MATCH(B696,Leads!$A$2:$A$5001,0)),""))</f>
        <v/>
      </c>
      <c r="E696" s="32"/>
      <c r="F696" s="32"/>
      <c r="G696" s="32"/>
    </row>
    <row r="697" customFormat="false" ht="15" hidden="false" customHeight="false" outlineLevel="0" collapsed="false">
      <c r="A697" s="31"/>
      <c r="B697" s="32"/>
      <c r="C697" s="35" t="str">
        <f aca="false">IF(B697="","",IFERROR(INDEX(Leads!$C$2:$C$5001,MATCH(B697,Leads!$A$2:$A$5001,0))&amp;" "&amp;INDEX(Leads!$D$2:$D$5001,MATCH(B697,Leads!$A$2:$A$5001,0)),"N° no encontrado"))</f>
        <v/>
      </c>
      <c r="D697" s="35" t="str">
        <f aca="false">IF(B697="","",IFERROR(INDEX(Leads!$G$2:$G$5001,MATCH(B697,Leads!$A$2:$A$5001,0)),""))</f>
        <v/>
      </c>
      <c r="E697" s="32"/>
      <c r="F697" s="32"/>
      <c r="G697" s="32"/>
    </row>
    <row r="698" customFormat="false" ht="15" hidden="false" customHeight="false" outlineLevel="0" collapsed="false">
      <c r="A698" s="31"/>
      <c r="B698" s="32"/>
      <c r="C698" s="35" t="str">
        <f aca="false">IF(B698="","",IFERROR(INDEX(Leads!$C$2:$C$5001,MATCH(B698,Leads!$A$2:$A$5001,0))&amp;" "&amp;INDEX(Leads!$D$2:$D$5001,MATCH(B698,Leads!$A$2:$A$5001,0)),"N° no encontrado"))</f>
        <v/>
      </c>
      <c r="D698" s="35" t="str">
        <f aca="false">IF(B698="","",IFERROR(INDEX(Leads!$G$2:$G$5001,MATCH(B698,Leads!$A$2:$A$5001,0)),""))</f>
        <v/>
      </c>
      <c r="E698" s="32"/>
      <c r="F698" s="32"/>
      <c r="G698" s="32"/>
    </row>
    <row r="699" customFormat="false" ht="15" hidden="false" customHeight="false" outlineLevel="0" collapsed="false">
      <c r="A699" s="31"/>
      <c r="B699" s="32"/>
      <c r="C699" s="35" t="str">
        <f aca="false">IF(B699="","",IFERROR(INDEX(Leads!$C$2:$C$5001,MATCH(B699,Leads!$A$2:$A$5001,0))&amp;" "&amp;INDEX(Leads!$D$2:$D$5001,MATCH(B699,Leads!$A$2:$A$5001,0)),"N° no encontrado"))</f>
        <v/>
      </c>
      <c r="D699" s="35" t="str">
        <f aca="false">IF(B699="","",IFERROR(INDEX(Leads!$G$2:$G$5001,MATCH(B699,Leads!$A$2:$A$5001,0)),""))</f>
        <v/>
      </c>
      <c r="E699" s="32"/>
      <c r="F699" s="32"/>
      <c r="G699" s="32"/>
    </row>
    <row r="700" customFormat="false" ht="15" hidden="false" customHeight="false" outlineLevel="0" collapsed="false">
      <c r="A700" s="31"/>
      <c r="B700" s="32"/>
      <c r="C700" s="35" t="str">
        <f aca="false">IF(B700="","",IFERROR(INDEX(Leads!$C$2:$C$5001,MATCH(B700,Leads!$A$2:$A$5001,0))&amp;" "&amp;INDEX(Leads!$D$2:$D$5001,MATCH(B700,Leads!$A$2:$A$5001,0)),"N° no encontrado"))</f>
        <v/>
      </c>
      <c r="D700" s="35" t="str">
        <f aca="false">IF(B700="","",IFERROR(INDEX(Leads!$G$2:$G$5001,MATCH(B700,Leads!$A$2:$A$5001,0)),""))</f>
        <v/>
      </c>
      <c r="E700" s="32"/>
      <c r="F700" s="32"/>
      <c r="G700" s="32"/>
    </row>
    <row r="701" customFormat="false" ht="15" hidden="false" customHeight="false" outlineLevel="0" collapsed="false">
      <c r="A701" s="31"/>
      <c r="B701" s="32"/>
      <c r="C701" s="35" t="str">
        <f aca="false">IF(B701="","",IFERROR(INDEX(Leads!$C$2:$C$5001,MATCH(B701,Leads!$A$2:$A$5001,0))&amp;" "&amp;INDEX(Leads!$D$2:$D$5001,MATCH(B701,Leads!$A$2:$A$5001,0)),"N° no encontrado"))</f>
        <v/>
      </c>
      <c r="D701" s="35" t="str">
        <f aca="false">IF(B701="","",IFERROR(INDEX(Leads!$G$2:$G$5001,MATCH(B701,Leads!$A$2:$A$5001,0)),""))</f>
        <v/>
      </c>
      <c r="E701" s="32"/>
      <c r="F701" s="32"/>
      <c r="G701" s="32"/>
    </row>
    <row r="702" customFormat="false" ht="15" hidden="false" customHeight="false" outlineLevel="0" collapsed="false">
      <c r="A702" s="31"/>
      <c r="B702" s="32"/>
      <c r="C702" s="35" t="str">
        <f aca="false">IF(B702="","",IFERROR(INDEX(Leads!$C$2:$C$5001,MATCH(B702,Leads!$A$2:$A$5001,0))&amp;" "&amp;INDEX(Leads!$D$2:$D$5001,MATCH(B702,Leads!$A$2:$A$5001,0)),"N° no encontrado"))</f>
        <v/>
      </c>
      <c r="D702" s="35" t="str">
        <f aca="false">IF(B702="","",IFERROR(INDEX(Leads!$G$2:$G$5001,MATCH(B702,Leads!$A$2:$A$5001,0)),""))</f>
        <v/>
      </c>
      <c r="E702" s="32"/>
      <c r="F702" s="32"/>
      <c r="G702" s="32"/>
    </row>
    <row r="703" customFormat="false" ht="15" hidden="false" customHeight="false" outlineLevel="0" collapsed="false">
      <c r="A703" s="31"/>
      <c r="B703" s="32"/>
      <c r="C703" s="35" t="str">
        <f aca="false">IF(B703="","",IFERROR(INDEX(Leads!$C$2:$C$5001,MATCH(B703,Leads!$A$2:$A$5001,0))&amp;" "&amp;INDEX(Leads!$D$2:$D$5001,MATCH(B703,Leads!$A$2:$A$5001,0)),"N° no encontrado"))</f>
        <v/>
      </c>
      <c r="D703" s="35" t="str">
        <f aca="false">IF(B703="","",IFERROR(INDEX(Leads!$G$2:$G$5001,MATCH(B703,Leads!$A$2:$A$5001,0)),""))</f>
        <v/>
      </c>
      <c r="E703" s="32"/>
      <c r="F703" s="32"/>
      <c r="G703" s="32"/>
    </row>
    <row r="704" customFormat="false" ht="15" hidden="false" customHeight="false" outlineLevel="0" collapsed="false">
      <c r="A704" s="31"/>
      <c r="B704" s="32"/>
      <c r="C704" s="35" t="str">
        <f aca="false">IF(B704="","",IFERROR(INDEX(Leads!$C$2:$C$5001,MATCH(B704,Leads!$A$2:$A$5001,0))&amp;" "&amp;INDEX(Leads!$D$2:$D$5001,MATCH(B704,Leads!$A$2:$A$5001,0)),"N° no encontrado"))</f>
        <v/>
      </c>
      <c r="D704" s="35" t="str">
        <f aca="false">IF(B704="","",IFERROR(INDEX(Leads!$G$2:$G$5001,MATCH(B704,Leads!$A$2:$A$5001,0)),""))</f>
        <v/>
      </c>
      <c r="E704" s="32"/>
      <c r="F704" s="32"/>
      <c r="G704" s="32"/>
    </row>
    <row r="705" customFormat="false" ht="15" hidden="false" customHeight="false" outlineLevel="0" collapsed="false">
      <c r="A705" s="31"/>
      <c r="B705" s="32"/>
      <c r="C705" s="35" t="str">
        <f aca="false">IF(B705="","",IFERROR(INDEX(Leads!$C$2:$C$5001,MATCH(B705,Leads!$A$2:$A$5001,0))&amp;" "&amp;INDEX(Leads!$D$2:$D$5001,MATCH(B705,Leads!$A$2:$A$5001,0)),"N° no encontrado"))</f>
        <v/>
      </c>
      <c r="D705" s="35" t="str">
        <f aca="false">IF(B705="","",IFERROR(INDEX(Leads!$G$2:$G$5001,MATCH(B705,Leads!$A$2:$A$5001,0)),""))</f>
        <v/>
      </c>
      <c r="E705" s="32"/>
      <c r="F705" s="32"/>
      <c r="G705" s="32"/>
    </row>
    <row r="706" customFormat="false" ht="15" hidden="false" customHeight="false" outlineLevel="0" collapsed="false">
      <c r="A706" s="31"/>
      <c r="B706" s="32"/>
      <c r="C706" s="35" t="str">
        <f aca="false">IF(B706="","",IFERROR(INDEX(Leads!$C$2:$C$5001,MATCH(B706,Leads!$A$2:$A$5001,0))&amp;" "&amp;INDEX(Leads!$D$2:$D$5001,MATCH(B706,Leads!$A$2:$A$5001,0)),"N° no encontrado"))</f>
        <v/>
      </c>
      <c r="D706" s="35" t="str">
        <f aca="false">IF(B706="","",IFERROR(INDEX(Leads!$G$2:$G$5001,MATCH(B706,Leads!$A$2:$A$5001,0)),""))</f>
        <v/>
      </c>
      <c r="E706" s="32"/>
      <c r="F706" s="32"/>
      <c r="G706" s="32"/>
    </row>
    <row r="707" customFormat="false" ht="15" hidden="false" customHeight="false" outlineLevel="0" collapsed="false">
      <c r="A707" s="31"/>
      <c r="B707" s="32"/>
      <c r="C707" s="35" t="str">
        <f aca="false">IF(B707="","",IFERROR(INDEX(Leads!$C$2:$C$5001,MATCH(B707,Leads!$A$2:$A$5001,0))&amp;" "&amp;INDEX(Leads!$D$2:$D$5001,MATCH(B707,Leads!$A$2:$A$5001,0)),"N° no encontrado"))</f>
        <v/>
      </c>
      <c r="D707" s="35" t="str">
        <f aca="false">IF(B707="","",IFERROR(INDEX(Leads!$G$2:$G$5001,MATCH(B707,Leads!$A$2:$A$5001,0)),""))</f>
        <v/>
      </c>
      <c r="E707" s="32"/>
      <c r="F707" s="32"/>
      <c r="G707" s="32"/>
    </row>
    <row r="708" customFormat="false" ht="15" hidden="false" customHeight="false" outlineLevel="0" collapsed="false">
      <c r="A708" s="31"/>
      <c r="B708" s="32"/>
      <c r="C708" s="35" t="str">
        <f aca="false">IF(B708="","",IFERROR(INDEX(Leads!$C$2:$C$5001,MATCH(B708,Leads!$A$2:$A$5001,0))&amp;" "&amp;INDEX(Leads!$D$2:$D$5001,MATCH(B708,Leads!$A$2:$A$5001,0)),"N° no encontrado"))</f>
        <v/>
      </c>
      <c r="D708" s="35" t="str">
        <f aca="false">IF(B708="","",IFERROR(INDEX(Leads!$G$2:$G$5001,MATCH(B708,Leads!$A$2:$A$5001,0)),""))</f>
        <v/>
      </c>
      <c r="E708" s="32"/>
      <c r="F708" s="32"/>
      <c r="G708" s="32"/>
    </row>
    <row r="709" customFormat="false" ht="15" hidden="false" customHeight="false" outlineLevel="0" collapsed="false">
      <c r="A709" s="31"/>
      <c r="B709" s="32"/>
      <c r="C709" s="35" t="str">
        <f aca="false">IF(B709="","",IFERROR(INDEX(Leads!$C$2:$C$5001,MATCH(B709,Leads!$A$2:$A$5001,0))&amp;" "&amp;INDEX(Leads!$D$2:$D$5001,MATCH(B709,Leads!$A$2:$A$5001,0)),"N° no encontrado"))</f>
        <v/>
      </c>
      <c r="D709" s="35" t="str">
        <f aca="false">IF(B709="","",IFERROR(INDEX(Leads!$G$2:$G$5001,MATCH(B709,Leads!$A$2:$A$5001,0)),""))</f>
        <v/>
      </c>
      <c r="E709" s="32"/>
      <c r="F709" s="32"/>
      <c r="G709" s="32"/>
    </row>
    <row r="710" customFormat="false" ht="15" hidden="false" customHeight="false" outlineLevel="0" collapsed="false">
      <c r="A710" s="31"/>
      <c r="B710" s="32"/>
      <c r="C710" s="35" t="str">
        <f aca="false">IF(B710="","",IFERROR(INDEX(Leads!$C$2:$C$5001,MATCH(B710,Leads!$A$2:$A$5001,0))&amp;" "&amp;INDEX(Leads!$D$2:$D$5001,MATCH(B710,Leads!$A$2:$A$5001,0)),"N° no encontrado"))</f>
        <v/>
      </c>
      <c r="D710" s="35" t="str">
        <f aca="false">IF(B710="","",IFERROR(INDEX(Leads!$G$2:$G$5001,MATCH(B710,Leads!$A$2:$A$5001,0)),""))</f>
        <v/>
      </c>
      <c r="E710" s="32"/>
      <c r="F710" s="32"/>
      <c r="G710" s="32"/>
    </row>
    <row r="711" customFormat="false" ht="15" hidden="false" customHeight="false" outlineLevel="0" collapsed="false">
      <c r="A711" s="31"/>
      <c r="B711" s="32"/>
      <c r="C711" s="35" t="str">
        <f aca="false">IF(B711="","",IFERROR(INDEX(Leads!$C$2:$C$5001,MATCH(B711,Leads!$A$2:$A$5001,0))&amp;" "&amp;INDEX(Leads!$D$2:$D$5001,MATCH(B711,Leads!$A$2:$A$5001,0)),"N° no encontrado"))</f>
        <v/>
      </c>
      <c r="D711" s="35" t="str">
        <f aca="false">IF(B711="","",IFERROR(INDEX(Leads!$G$2:$G$5001,MATCH(B711,Leads!$A$2:$A$5001,0)),""))</f>
        <v/>
      </c>
      <c r="E711" s="32"/>
      <c r="F711" s="32"/>
      <c r="G711" s="32"/>
    </row>
    <row r="712" customFormat="false" ht="15" hidden="false" customHeight="false" outlineLevel="0" collapsed="false">
      <c r="A712" s="31"/>
      <c r="B712" s="32"/>
      <c r="C712" s="35" t="str">
        <f aca="false">IF(B712="","",IFERROR(INDEX(Leads!$C$2:$C$5001,MATCH(B712,Leads!$A$2:$A$5001,0))&amp;" "&amp;INDEX(Leads!$D$2:$D$5001,MATCH(B712,Leads!$A$2:$A$5001,0)),"N° no encontrado"))</f>
        <v/>
      </c>
      <c r="D712" s="35" t="str">
        <f aca="false">IF(B712="","",IFERROR(INDEX(Leads!$G$2:$G$5001,MATCH(B712,Leads!$A$2:$A$5001,0)),""))</f>
        <v/>
      </c>
      <c r="E712" s="32"/>
      <c r="F712" s="32"/>
      <c r="G712" s="32"/>
    </row>
    <row r="713" customFormat="false" ht="15" hidden="false" customHeight="false" outlineLevel="0" collapsed="false">
      <c r="A713" s="31"/>
      <c r="B713" s="32"/>
      <c r="C713" s="35" t="str">
        <f aca="false">IF(B713="","",IFERROR(INDEX(Leads!$C$2:$C$5001,MATCH(B713,Leads!$A$2:$A$5001,0))&amp;" "&amp;INDEX(Leads!$D$2:$D$5001,MATCH(B713,Leads!$A$2:$A$5001,0)),"N° no encontrado"))</f>
        <v/>
      </c>
      <c r="D713" s="35" t="str">
        <f aca="false">IF(B713="","",IFERROR(INDEX(Leads!$G$2:$G$5001,MATCH(B713,Leads!$A$2:$A$5001,0)),""))</f>
        <v/>
      </c>
      <c r="E713" s="32"/>
      <c r="F713" s="32"/>
      <c r="G713" s="32"/>
    </row>
    <row r="714" customFormat="false" ht="15" hidden="false" customHeight="false" outlineLevel="0" collapsed="false">
      <c r="A714" s="31"/>
      <c r="B714" s="32"/>
      <c r="C714" s="35" t="str">
        <f aca="false">IF(B714="","",IFERROR(INDEX(Leads!$C$2:$C$5001,MATCH(B714,Leads!$A$2:$A$5001,0))&amp;" "&amp;INDEX(Leads!$D$2:$D$5001,MATCH(B714,Leads!$A$2:$A$5001,0)),"N° no encontrado"))</f>
        <v/>
      </c>
      <c r="D714" s="35" t="str">
        <f aca="false">IF(B714="","",IFERROR(INDEX(Leads!$G$2:$G$5001,MATCH(B714,Leads!$A$2:$A$5001,0)),""))</f>
        <v/>
      </c>
      <c r="E714" s="32"/>
      <c r="F714" s="32"/>
      <c r="G714" s="32"/>
    </row>
    <row r="715" customFormat="false" ht="15" hidden="false" customHeight="false" outlineLevel="0" collapsed="false">
      <c r="A715" s="31"/>
      <c r="B715" s="32"/>
      <c r="C715" s="35" t="str">
        <f aca="false">IF(B715="","",IFERROR(INDEX(Leads!$C$2:$C$5001,MATCH(B715,Leads!$A$2:$A$5001,0))&amp;" "&amp;INDEX(Leads!$D$2:$D$5001,MATCH(B715,Leads!$A$2:$A$5001,0)),"N° no encontrado"))</f>
        <v/>
      </c>
      <c r="D715" s="35" t="str">
        <f aca="false">IF(B715="","",IFERROR(INDEX(Leads!$G$2:$G$5001,MATCH(B715,Leads!$A$2:$A$5001,0)),""))</f>
        <v/>
      </c>
      <c r="E715" s="32"/>
      <c r="F715" s="32"/>
      <c r="G715" s="32"/>
    </row>
    <row r="716" customFormat="false" ht="15" hidden="false" customHeight="false" outlineLevel="0" collapsed="false">
      <c r="A716" s="31"/>
      <c r="B716" s="32"/>
      <c r="C716" s="35" t="str">
        <f aca="false">IF(B716="","",IFERROR(INDEX(Leads!$C$2:$C$5001,MATCH(B716,Leads!$A$2:$A$5001,0))&amp;" "&amp;INDEX(Leads!$D$2:$D$5001,MATCH(B716,Leads!$A$2:$A$5001,0)),"N° no encontrado"))</f>
        <v/>
      </c>
      <c r="D716" s="35" t="str">
        <f aca="false">IF(B716="","",IFERROR(INDEX(Leads!$G$2:$G$5001,MATCH(B716,Leads!$A$2:$A$5001,0)),""))</f>
        <v/>
      </c>
      <c r="E716" s="32"/>
      <c r="F716" s="32"/>
      <c r="G716" s="32"/>
    </row>
    <row r="717" customFormat="false" ht="15" hidden="false" customHeight="false" outlineLevel="0" collapsed="false">
      <c r="A717" s="31"/>
      <c r="B717" s="32"/>
      <c r="C717" s="35" t="str">
        <f aca="false">IF(B717="","",IFERROR(INDEX(Leads!$C$2:$C$5001,MATCH(B717,Leads!$A$2:$A$5001,0))&amp;" "&amp;INDEX(Leads!$D$2:$D$5001,MATCH(B717,Leads!$A$2:$A$5001,0)),"N° no encontrado"))</f>
        <v/>
      </c>
      <c r="D717" s="35" t="str">
        <f aca="false">IF(B717="","",IFERROR(INDEX(Leads!$G$2:$G$5001,MATCH(B717,Leads!$A$2:$A$5001,0)),""))</f>
        <v/>
      </c>
      <c r="E717" s="32"/>
      <c r="F717" s="32"/>
      <c r="G717" s="32"/>
    </row>
    <row r="718" customFormat="false" ht="15" hidden="false" customHeight="false" outlineLevel="0" collapsed="false">
      <c r="A718" s="31"/>
      <c r="B718" s="32"/>
      <c r="C718" s="35" t="str">
        <f aca="false">IF(B718="","",IFERROR(INDEX(Leads!$C$2:$C$5001,MATCH(B718,Leads!$A$2:$A$5001,0))&amp;" "&amp;INDEX(Leads!$D$2:$D$5001,MATCH(B718,Leads!$A$2:$A$5001,0)),"N° no encontrado"))</f>
        <v/>
      </c>
      <c r="D718" s="35" t="str">
        <f aca="false">IF(B718="","",IFERROR(INDEX(Leads!$G$2:$G$5001,MATCH(B718,Leads!$A$2:$A$5001,0)),""))</f>
        <v/>
      </c>
      <c r="E718" s="32"/>
      <c r="F718" s="32"/>
      <c r="G718" s="32"/>
    </row>
    <row r="719" customFormat="false" ht="15" hidden="false" customHeight="false" outlineLevel="0" collapsed="false">
      <c r="A719" s="31"/>
      <c r="B719" s="32"/>
      <c r="C719" s="35" t="str">
        <f aca="false">IF(B719="","",IFERROR(INDEX(Leads!$C$2:$C$5001,MATCH(B719,Leads!$A$2:$A$5001,0))&amp;" "&amp;INDEX(Leads!$D$2:$D$5001,MATCH(B719,Leads!$A$2:$A$5001,0)),"N° no encontrado"))</f>
        <v/>
      </c>
      <c r="D719" s="35" t="str">
        <f aca="false">IF(B719="","",IFERROR(INDEX(Leads!$G$2:$G$5001,MATCH(B719,Leads!$A$2:$A$5001,0)),""))</f>
        <v/>
      </c>
      <c r="E719" s="32"/>
      <c r="F719" s="32"/>
      <c r="G719" s="32"/>
    </row>
    <row r="720" customFormat="false" ht="15" hidden="false" customHeight="false" outlineLevel="0" collapsed="false">
      <c r="A720" s="31"/>
      <c r="B720" s="32"/>
      <c r="C720" s="35" t="str">
        <f aca="false">IF(B720="","",IFERROR(INDEX(Leads!$C$2:$C$5001,MATCH(B720,Leads!$A$2:$A$5001,0))&amp;" "&amp;INDEX(Leads!$D$2:$D$5001,MATCH(B720,Leads!$A$2:$A$5001,0)),"N° no encontrado"))</f>
        <v/>
      </c>
      <c r="D720" s="35" t="str">
        <f aca="false">IF(B720="","",IFERROR(INDEX(Leads!$G$2:$G$5001,MATCH(B720,Leads!$A$2:$A$5001,0)),""))</f>
        <v/>
      </c>
      <c r="E720" s="32"/>
      <c r="F720" s="32"/>
      <c r="G720" s="32"/>
    </row>
    <row r="721" customFormat="false" ht="15" hidden="false" customHeight="false" outlineLevel="0" collapsed="false">
      <c r="A721" s="31"/>
      <c r="B721" s="32"/>
      <c r="C721" s="35" t="str">
        <f aca="false">IF(B721="","",IFERROR(INDEX(Leads!$C$2:$C$5001,MATCH(B721,Leads!$A$2:$A$5001,0))&amp;" "&amp;INDEX(Leads!$D$2:$D$5001,MATCH(B721,Leads!$A$2:$A$5001,0)),"N° no encontrado"))</f>
        <v/>
      </c>
      <c r="D721" s="35" t="str">
        <f aca="false">IF(B721="","",IFERROR(INDEX(Leads!$G$2:$G$5001,MATCH(B721,Leads!$A$2:$A$5001,0)),""))</f>
        <v/>
      </c>
      <c r="E721" s="32"/>
      <c r="F721" s="32"/>
      <c r="G721" s="32"/>
    </row>
    <row r="722" customFormat="false" ht="15" hidden="false" customHeight="false" outlineLevel="0" collapsed="false">
      <c r="A722" s="31"/>
      <c r="B722" s="32"/>
      <c r="C722" s="35" t="str">
        <f aca="false">IF(B722="","",IFERROR(INDEX(Leads!$C$2:$C$5001,MATCH(B722,Leads!$A$2:$A$5001,0))&amp;" "&amp;INDEX(Leads!$D$2:$D$5001,MATCH(B722,Leads!$A$2:$A$5001,0)),"N° no encontrado"))</f>
        <v/>
      </c>
      <c r="D722" s="35" t="str">
        <f aca="false">IF(B722="","",IFERROR(INDEX(Leads!$G$2:$G$5001,MATCH(B722,Leads!$A$2:$A$5001,0)),""))</f>
        <v/>
      </c>
      <c r="E722" s="32"/>
      <c r="F722" s="32"/>
      <c r="G722" s="32"/>
    </row>
    <row r="723" customFormat="false" ht="15" hidden="false" customHeight="false" outlineLevel="0" collapsed="false">
      <c r="A723" s="31"/>
      <c r="B723" s="32"/>
      <c r="C723" s="35" t="str">
        <f aca="false">IF(B723="","",IFERROR(INDEX(Leads!$C$2:$C$5001,MATCH(B723,Leads!$A$2:$A$5001,0))&amp;" "&amp;INDEX(Leads!$D$2:$D$5001,MATCH(B723,Leads!$A$2:$A$5001,0)),"N° no encontrado"))</f>
        <v/>
      </c>
      <c r="D723" s="35" t="str">
        <f aca="false">IF(B723="","",IFERROR(INDEX(Leads!$G$2:$G$5001,MATCH(B723,Leads!$A$2:$A$5001,0)),""))</f>
        <v/>
      </c>
      <c r="E723" s="32"/>
      <c r="F723" s="32"/>
      <c r="G723" s="32"/>
    </row>
    <row r="724" customFormat="false" ht="15" hidden="false" customHeight="false" outlineLevel="0" collapsed="false">
      <c r="A724" s="31"/>
      <c r="B724" s="32"/>
      <c r="C724" s="35" t="str">
        <f aca="false">IF(B724="","",IFERROR(INDEX(Leads!$C$2:$C$5001,MATCH(B724,Leads!$A$2:$A$5001,0))&amp;" "&amp;INDEX(Leads!$D$2:$D$5001,MATCH(B724,Leads!$A$2:$A$5001,0)),"N° no encontrado"))</f>
        <v/>
      </c>
      <c r="D724" s="35" t="str">
        <f aca="false">IF(B724="","",IFERROR(INDEX(Leads!$G$2:$G$5001,MATCH(B724,Leads!$A$2:$A$5001,0)),""))</f>
        <v/>
      </c>
      <c r="E724" s="32"/>
      <c r="F724" s="32"/>
      <c r="G724" s="32"/>
    </row>
    <row r="725" customFormat="false" ht="15" hidden="false" customHeight="false" outlineLevel="0" collapsed="false">
      <c r="A725" s="31"/>
      <c r="B725" s="32"/>
      <c r="C725" s="35" t="str">
        <f aca="false">IF(B725="","",IFERROR(INDEX(Leads!$C$2:$C$5001,MATCH(B725,Leads!$A$2:$A$5001,0))&amp;" "&amp;INDEX(Leads!$D$2:$D$5001,MATCH(B725,Leads!$A$2:$A$5001,0)),"N° no encontrado"))</f>
        <v/>
      </c>
      <c r="D725" s="35" t="str">
        <f aca="false">IF(B725="","",IFERROR(INDEX(Leads!$G$2:$G$5001,MATCH(B725,Leads!$A$2:$A$5001,0)),""))</f>
        <v/>
      </c>
      <c r="E725" s="32"/>
      <c r="F725" s="32"/>
      <c r="G725" s="32"/>
    </row>
    <row r="726" customFormat="false" ht="15" hidden="false" customHeight="false" outlineLevel="0" collapsed="false">
      <c r="A726" s="31"/>
      <c r="B726" s="32"/>
      <c r="C726" s="35" t="str">
        <f aca="false">IF(B726="","",IFERROR(INDEX(Leads!$C$2:$C$5001,MATCH(B726,Leads!$A$2:$A$5001,0))&amp;" "&amp;INDEX(Leads!$D$2:$D$5001,MATCH(B726,Leads!$A$2:$A$5001,0)),"N° no encontrado"))</f>
        <v/>
      </c>
      <c r="D726" s="35" t="str">
        <f aca="false">IF(B726="","",IFERROR(INDEX(Leads!$G$2:$G$5001,MATCH(B726,Leads!$A$2:$A$5001,0)),""))</f>
        <v/>
      </c>
      <c r="E726" s="32"/>
      <c r="F726" s="32"/>
      <c r="G726" s="32"/>
    </row>
    <row r="727" customFormat="false" ht="15" hidden="false" customHeight="false" outlineLevel="0" collapsed="false">
      <c r="A727" s="31"/>
      <c r="B727" s="32"/>
      <c r="C727" s="35" t="str">
        <f aca="false">IF(B727="","",IFERROR(INDEX(Leads!$C$2:$C$5001,MATCH(B727,Leads!$A$2:$A$5001,0))&amp;" "&amp;INDEX(Leads!$D$2:$D$5001,MATCH(B727,Leads!$A$2:$A$5001,0)),"N° no encontrado"))</f>
        <v/>
      </c>
      <c r="D727" s="35" t="str">
        <f aca="false">IF(B727="","",IFERROR(INDEX(Leads!$G$2:$G$5001,MATCH(B727,Leads!$A$2:$A$5001,0)),""))</f>
        <v/>
      </c>
      <c r="E727" s="32"/>
      <c r="F727" s="32"/>
      <c r="G727" s="32"/>
    </row>
    <row r="728" customFormat="false" ht="15" hidden="false" customHeight="false" outlineLevel="0" collapsed="false">
      <c r="A728" s="31"/>
      <c r="B728" s="32"/>
      <c r="C728" s="35" t="str">
        <f aca="false">IF(B728="","",IFERROR(INDEX(Leads!$C$2:$C$5001,MATCH(B728,Leads!$A$2:$A$5001,0))&amp;" "&amp;INDEX(Leads!$D$2:$D$5001,MATCH(B728,Leads!$A$2:$A$5001,0)),"N° no encontrado"))</f>
        <v/>
      </c>
      <c r="D728" s="35" t="str">
        <f aca="false">IF(B728="","",IFERROR(INDEX(Leads!$G$2:$G$5001,MATCH(B728,Leads!$A$2:$A$5001,0)),""))</f>
        <v/>
      </c>
      <c r="E728" s="32"/>
      <c r="F728" s="32"/>
      <c r="G728" s="32"/>
    </row>
    <row r="729" customFormat="false" ht="15" hidden="false" customHeight="false" outlineLevel="0" collapsed="false">
      <c r="A729" s="31"/>
      <c r="B729" s="32"/>
      <c r="C729" s="35" t="str">
        <f aca="false">IF(B729="","",IFERROR(INDEX(Leads!$C$2:$C$5001,MATCH(B729,Leads!$A$2:$A$5001,0))&amp;" "&amp;INDEX(Leads!$D$2:$D$5001,MATCH(B729,Leads!$A$2:$A$5001,0)),"N° no encontrado"))</f>
        <v/>
      </c>
      <c r="D729" s="35" t="str">
        <f aca="false">IF(B729="","",IFERROR(INDEX(Leads!$G$2:$G$5001,MATCH(B729,Leads!$A$2:$A$5001,0)),""))</f>
        <v/>
      </c>
      <c r="E729" s="32"/>
      <c r="F729" s="32"/>
      <c r="G729" s="32"/>
    </row>
    <row r="730" customFormat="false" ht="15" hidden="false" customHeight="false" outlineLevel="0" collapsed="false">
      <c r="A730" s="31"/>
      <c r="B730" s="32"/>
      <c r="C730" s="35" t="str">
        <f aca="false">IF(B730="","",IFERROR(INDEX(Leads!$C$2:$C$5001,MATCH(B730,Leads!$A$2:$A$5001,0))&amp;" "&amp;INDEX(Leads!$D$2:$D$5001,MATCH(B730,Leads!$A$2:$A$5001,0)),"N° no encontrado"))</f>
        <v/>
      </c>
      <c r="D730" s="35" t="str">
        <f aca="false">IF(B730="","",IFERROR(INDEX(Leads!$G$2:$G$5001,MATCH(B730,Leads!$A$2:$A$5001,0)),""))</f>
        <v/>
      </c>
      <c r="E730" s="32"/>
      <c r="F730" s="32"/>
      <c r="G730" s="32"/>
    </row>
    <row r="731" customFormat="false" ht="15" hidden="false" customHeight="false" outlineLevel="0" collapsed="false">
      <c r="A731" s="31"/>
      <c r="B731" s="32"/>
      <c r="C731" s="35" t="str">
        <f aca="false">IF(B731="","",IFERROR(INDEX(Leads!$C$2:$C$5001,MATCH(B731,Leads!$A$2:$A$5001,0))&amp;" "&amp;INDEX(Leads!$D$2:$D$5001,MATCH(B731,Leads!$A$2:$A$5001,0)),"N° no encontrado"))</f>
        <v/>
      </c>
      <c r="D731" s="35" t="str">
        <f aca="false">IF(B731="","",IFERROR(INDEX(Leads!$G$2:$G$5001,MATCH(B731,Leads!$A$2:$A$5001,0)),""))</f>
        <v/>
      </c>
      <c r="E731" s="32"/>
      <c r="F731" s="32"/>
      <c r="G731" s="32"/>
    </row>
    <row r="732" customFormat="false" ht="15" hidden="false" customHeight="false" outlineLevel="0" collapsed="false">
      <c r="A732" s="31"/>
      <c r="B732" s="32"/>
      <c r="C732" s="35" t="str">
        <f aca="false">IF(B732="","",IFERROR(INDEX(Leads!$C$2:$C$5001,MATCH(B732,Leads!$A$2:$A$5001,0))&amp;" "&amp;INDEX(Leads!$D$2:$D$5001,MATCH(B732,Leads!$A$2:$A$5001,0)),"N° no encontrado"))</f>
        <v/>
      </c>
      <c r="D732" s="35" t="str">
        <f aca="false">IF(B732="","",IFERROR(INDEX(Leads!$G$2:$G$5001,MATCH(B732,Leads!$A$2:$A$5001,0)),""))</f>
        <v/>
      </c>
      <c r="E732" s="32"/>
      <c r="F732" s="32"/>
      <c r="G732" s="32"/>
    </row>
    <row r="733" customFormat="false" ht="15" hidden="false" customHeight="false" outlineLevel="0" collapsed="false">
      <c r="A733" s="31"/>
      <c r="B733" s="32"/>
      <c r="C733" s="35" t="str">
        <f aca="false">IF(B733="","",IFERROR(INDEX(Leads!$C$2:$C$5001,MATCH(B733,Leads!$A$2:$A$5001,0))&amp;" "&amp;INDEX(Leads!$D$2:$D$5001,MATCH(B733,Leads!$A$2:$A$5001,0)),"N° no encontrado"))</f>
        <v/>
      </c>
      <c r="D733" s="35" t="str">
        <f aca="false">IF(B733="","",IFERROR(INDEX(Leads!$G$2:$G$5001,MATCH(B733,Leads!$A$2:$A$5001,0)),""))</f>
        <v/>
      </c>
      <c r="E733" s="32"/>
      <c r="F733" s="32"/>
      <c r="G733" s="32"/>
    </row>
    <row r="734" customFormat="false" ht="15" hidden="false" customHeight="false" outlineLevel="0" collapsed="false">
      <c r="A734" s="31"/>
      <c r="B734" s="32"/>
      <c r="C734" s="35" t="str">
        <f aca="false">IF(B734="","",IFERROR(INDEX(Leads!$C$2:$C$5001,MATCH(B734,Leads!$A$2:$A$5001,0))&amp;" "&amp;INDEX(Leads!$D$2:$D$5001,MATCH(B734,Leads!$A$2:$A$5001,0)),"N° no encontrado"))</f>
        <v/>
      </c>
      <c r="D734" s="35" t="str">
        <f aca="false">IF(B734="","",IFERROR(INDEX(Leads!$G$2:$G$5001,MATCH(B734,Leads!$A$2:$A$5001,0)),""))</f>
        <v/>
      </c>
      <c r="E734" s="32"/>
      <c r="F734" s="32"/>
      <c r="G734" s="32"/>
    </row>
    <row r="735" customFormat="false" ht="15" hidden="false" customHeight="false" outlineLevel="0" collapsed="false">
      <c r="A735" s="31"/>
      <c r="B735" s="32"/>
      <c r="C735" s="35" t="str">
        <f aca="false">IF(B735="","",IFERROR(INDEX(Leads!$C$2:$C$5001,MATCH(B735,Leads!$A$2:$A$5001,0))&amp;" "&amp;INDEX(Leads!$D$2:$D$5001,MATCH(B735,Leads!$A$2:$A$5001,0)),"N° no encontrado"))</f>
        <v/>
      </c>
      <c r="D735" s="35" t="str">
        <f aca="false">IF(B735="","",IFERROR(INDEX(Leads!$G$2:$G$5001,MATCH(B735,Leads!$A$2:$A$5001,0)),""))</f>
        <v/>
      </c>
      <c r="E735" s="32"/>
      <c r="F735" s="32"/>
      <c r="G735" s="32"/>
    </row>
    <row r="736" customFormat="false" ht="15" hidden="false" customHeight="false" outlineLevel="0" collapsed="false">
      <c r="A736" s="31"/>
      <c r="B736" s="32"/>
      <c r="C736" s="35" t="str">
        <f aca="false">IF(B736="","",IFERROR(INDEX(Leads!$C$2:$C$5001,MATCH(B736,Leads!$A$2:$A$5001,0))&amp;" "&amp;INDEX(Leads!$D$2:$D$5001,MATCH(B736,Leads!$A$2:$A$5001,0)),"N° no encontrado"))</f>
        <v/>
      </c>
      <c r="D736" s="35" t="str">
        <f aca="false">IF(B736="","",IFERROR(INDEX(Leads!$G$2:$G$5001,MATCH(B736,Leads!$A$2:$A$5001,0)),""))</f>
        <v/>
      </c>
      <c r="E736" s="32"/>
      <c r="F736" s="32"/>
      <c r="G736" s="32"/>
    </row>
    <row r="737" customFormat="false" ht="15" hidden="false" customHeight="false" outlineLevel="0" collapsed="false">
      <c r="A737" s="31"/>
      <c r="B737" s="32"/>
      <c r="C737" s="35" t="str">
        <f aca="false">IF(B737="","",IFERROR(INDEX(Leads!$C$2:$C$5001,MATCH(B737,Leads!$A$2:$A$5001,0))&amp;" "&amp;INDEX(Leads!$D$2:$D$5001,MATCH(B737,Leads!$A$2:$A$5001,0)),"N° no encontrado"))</f>
        <v/>
      </c>
      <c r="D737" s="35" t="str">
        <f aca="false">IF(B737="","",IFERROR(INDEX(Leads!$G$2:$G$5001,MATCH(B737,Leads!$A$2:$A$5001,0)),""))</f>
        <v/>
      </c>
      <c r="E737" s="32"/>
      <c r="F737" s="32"/>
      <c r="G737" s="32"/>
    </row>
    <row r="738" customFormat="false" ht="15" hidden="false" customHeight="false" outlineLevel="0" collapsed="false">
      <c r="A738" s="31"/>
      <c r="B738" s="32"/>
      <c r="C738" s="35" t="str">
        <f aca="false">IF(B738="","",IFERROR(INDEX(Leads!$C$2:$C$5001,MATCH(B738,Leads!$A$2:$A$5001,0))&amp;" "&amp;INDEX(Leads!$D$2:$D$5001,MATCH(B738,Leads!$A$2:$A$5001,0)),"N° no encontrado"))</f>
        <v/>
      </c>
      <c r="D738" s="35" t="str">
        <f aca="false">IF(B738="","",IFERROR(INDEX(Leads!$G$2:$G$5001,MATCH(B738,Leads!$A$2:$A$5001,0)),""))</f>
        <v/>
      </c>
      <c r="E738" s="32"/>
      <c r="F738" s="32"/>
      <c r="G738" s="32"/>
    </row>
    <row r="739" customFormat="false" ht="15" hidden="false" customHeight="false" outlineLevel="0" collapsed="false">
      <c r="A739" s="31"/>
      <c r="B739" s="32"/>
      <c r="C739" s="35" t="str">
        <f aca="false">IF(B739="","",IFERROR(INDEX(Leads!$C$2:$C$5001,MATCH(B739,Leads!$A$2:$A$5001,0))&amp;" "&amp;INDEX(Leads!$D$2:$D$5001,MATCH(B739,Leads!$A$2:$A$5001,0)),"N° no encontrado"))</f>
        <v/>
      </c>
      <c r="D739" s="35" t="str">
        <f aca="false">IF(B739="","",IFERROR(INDEX(Leads!$G$2:$G$5001,MATCH(B739,Leads!$A$2:$A$5001,0)),""))</f>
        <v/>
      </c>
      <c r="E739" s="32"/>
      <c r="F739" s="32"/>
      <c r="G739" s="32"/>
    </row>
    <row r="740" customFormat="false" ht="15" hidden="false" customHeight="false" outlineLevel="0" collapsed="false">
      <c r="A740" s="31"/>
      <c r="B740" s="32"/>
      <c r="C740" s="35" t="str">
        <f aca="false">IF(B740="","",IFERROR(INDEX(Leads!$C$2:$C$5001,MATCH(B740,Leads!$A$2:$A$5001,0))&amp;" "&amp;INDEX(Leads!$D$2:$D$5001,MATCH(B740,Leads!$A$2:$A$5001,0)),"N° no encontrado"))</f>
        <v/>
      </c>
      <c r="D740" s="35" t="str">
        <f aca="false">IF(B740="","",IFERROR(INDEX(Leads!$G$2:$G$5001,MATCH(B740,Leads!$A$2:$A$5001,0)),""))</f>
        <v/>
      </c>
      <c r="E740" s="32"/>
      <c r="F740" s="32"/>
      <c r="G740" s="32"/>
    </row>
    <row r="741" customFormat="false" ht="15" hidden="false" customHeight="false" outlineLevel="0" collapsed="false">
      <c r="A741" s="31"/>
      <c r="B741" s="32"/>
      <c r="C741" s="35" t="str">
        <f aca="false">IF(B741="","",IFERROR(INDEX(Leads!$C$2:$C$5001,MATCH(B741,Leads!$A$2:$A$5001,0))&amp;" "&amp;INDEX(Leads!$D$2:$D$5001,MATCH(B741,Leads!$A$2:$A$5001,0)),"N° no encontrado"))</f>
        <v/>
      </c>
      <c r="D741" s="35" t="str">
        <f aca="false">IF(B741="","",IFERROR(INDEX(Leads!$G$2:$G$5001,MATCH(B741,Leads!$A$2:$A$5001,0)),""))</f>
        <v/>
      </c>
      <c r="E741" s="32"/>
      <c r="F741" s="32"/>
      <c r="G741" s="32"/>
    </row>
    <row r="742" customFormat="false" ht="15" hidden="false" customHeight="false" outlineLevel="0" collapsed="false">
      <c r="A742" s="31"/>
      <c r="B742" s="32"/>
      <c r="C742" s="35" t="str">
        <f aca="false">IF(B742="","",IFERROR(INDEX(Leads!$C$2:$C$5001,MATCH(B742,Leads!$A$2:$A$5001,0))&amp;" "&amp;INDEX(Leads!$D$2:$D$5001,MATCH(B742,Leads!$A$2:$A$5001,0)),"N° no encontrado"))</f>
        <v/>
      </c>
      <c r="D742" s="35" t="str">
        <f aca="false">IF(B742="","",IFERROR(INDEX(Leads!$G$2:$G$5001,MATCH(B742,Leads!$A$2:$A$5001,0)),""))</f>
        <v/>
      </c>
      <c r="E742" s="32"/>
      <c r="F742" s="32"/>
      <c r="G742" s="32"/>
    </row>
    <row r="743" customFormat="false" ht="15" hidden="false" customHeight="false" outlineLevel="0" collapsed="false">
      <c r="A743" s="31"/>
      <c r="B743" s="32"/>
      <c r="C743" s="35" t="str">
        <f aca="false">IF(B743="","",IFERROR(INDEX(Leads!$C$2:$C$5001,MATCH(B743,Leads!$A$2:$A$5001,0))&amp;" "&amp;INDEX(Leads!$D$2:$D$5001,MATCH(B743,Leads!$A$2:$A$5001,0)),"N° no encontrado"))</f>
        <v/>
      </c>
      <c r="D743" s="35" t="str">
        <f aca="false">IF(B743="","",IFERROR(INDEX(Leads!$G$2:$G$5001,MATCH(B743,Leads!$A$2:$A$5001,0)),""))</f>
        <v/>
      </c>
      <c r="E743" s="32"/>
      <c r="F743" s="32"/>
      <c r="G743" s="32"/>
    </row>
    <row r="744" customFormat="false" ht="15" hidden="false" customHeight="false" outlineLevel="0" collapsed="false">
      <c r="A744" s="31"/>
      <c r="B744" s="32"/>
      <c r="C744" s="35" t="str">
        <f aca="false">IF(B744="","",IFERROR(INDEX(Leads!$C$2:$C$5001,MATCH(B744,Leads!$A$2:$A$5001,0))&amp;" "&amp;INDEX(Leads!$D$2:$D$5001,MATCH(B744,Leads!$A$2:$A$5001,0)),"N° no encontrado"))</f>
        <v/>
      </c>
      <c r="D744" s="35" t="str">
        <f aca="false">IF(B744="","",IFERROR(INDEX(Leads!$G$2:$G$5001,MATCH(B744,Leads!$A$2:$A$5001,0)),""))</f>
        <v/>
      </c>
      <c r="E744" s="32"/>
      <c r="F744" s="32"/>
      <c r="G744" s="32"/>
    </row>
    <row r="745" customFormat="false" ht="15" hidden="false" customHeight="false" outlineLevel="0" collapsed="false">
      <c r="A745" s="31"/>
      <c r="B745" s="32"/>
      <c r="C745" s="35" t="str">
        <f aca="false">IF(B745="","",IFERROR(INDEX(Leads!$C$2:$C$5001,MATCH(B745,Leads!$A$2:$A$5001,0))&amp;" "&amp;INDEX(Leads!$D$2:$D$5001,MATCH(B745,Leads!$A$2:$A$5001,0)),"N° no encontrado"))</f>
        <v/>
      </c>
      <c r="D745" s="35" t="str">
        <f aca="false">IF(B745="","",IFERROR(INDEX(Leads!$G$2:$G$5001,MATCH(B745,Leads!$A$2:$A$5001,0)),""))</f>
        <v/>
      </c>
      <c r="E745" s="32"/>
      <c r="F745" s="32"/>
      <c r="G745" s="32"/>
    </row>
    <row r="746" customFormat="false" ht="15" hidden="false" customHeight="false" outlineLevel="0" collapsed="false">
      <c r="A746" s="31"/>
      <c r="B746" s="32"/>
      <c r="C746" s="35" t="str">
        <f aca="false">IF(B746="","",IFERROR(INDEX(Leads!$C$2:$C$5001,MATCH(B746,Leads!$A$2:$A$5001,0))&amp;" "&amp;INDEX(Leads!$D$2:$D$5001,MATCH(B746,Leads!$A$2:$A$5001,0)),"N° no encontrado"))</f>
        <v/>
      </c>
      <c r="D746" s="35" t="str">
        <f aca="false">IF(B746="","",IFERROR(INDEX(Leads!$G$2:$G$5001,MATCH(B746,Leads!$A$2:$A$5001,0)),""))</f>
        <v/>
      </c>
      <c r="E746" s="32"/>
      <c r="F746" s="32"/>
      <c r="G746" s="32"/>
    </row>
    <row r="747" customFormat="false" ht="15" hidden="false" customHeight="false" outlineLevel="0" collapsed="false">
      <c r="A747" s="31"/>
      <c r="B747" s="32"/>
      <c r="C747" s="35" t="str">
        <f aca="false">IF(B747="","",IFERROR(INDEX(Leads!$C$2:$C$5001,MATCH(B747,Leads!$A$2:$A$5001,0))&amp;" "&amp;INDEX(Leads!$D$2:$D$5001,MATCH(B747,Leads!$A$2:$A$5001,0)),"N° no encontrado"))</f>
        <v/>
      </c>
      <c r="D747" s="35" t="str">
        <f aca="false">IF(B747="","",IFERROR(INDEX(Leads!$G$2:$G$5001,MATCH(B747,Leads!$A$2:$A$5001,0)),""))</f>
        <v/>
      </c>
      <c r="E747" s="32"/>
      <c r="F747" s="32"/>
      <c r="G747" s="32"/>
    </row>
    <row r="748" customFormat="false" ht="15" hidden="false" customHeight="false" outlineLevel="0" collapsed="false">
      <c r="A748" s="31"/>
      <c r="B748" s="32"/>
      <c r="C748" s="35" t="str">
        <f aca="false">IF(B748="","",IFERROR(INDEX(Leads!$C$2:$C$5001,MATCH(B748,Leads!$A$2:$A$5001,0))&amp;" "&amp;INDEX(Leads!$D$2:$D$5001,MATCH(B748,Leads!$A$2:$A$5001,0)),"N° no encontrado"))</f>
        <v/>
      </c>
      <c r="D748" s="35" t="str">
        <f aca="false">IF(B748="","",IFERROR(INDEX(Leads!$G$2:$G$5001,MATCH(B748,Leads!$A$2:$A$5001,0)),""))</f>
        <v/>
      </c>
      <c r="E748" s="32"/>
      <c r="F748" s="32"/>
      <c r="G748" s="32"/>
    </row>
    <row r="749" customFormat="false" ht="15" hidden="false" customHeight="false" outlineLevel="0" collapsed="false">
      <c r="A749" s="31"/>
      <c r="B749" s="32"/>
      <c r="C749" s="35" t="str">
        <f aca="false">IF(B749="","",IFERROR(INDEX(Leads!$C$2:$C$5001,MATCH(B749,Leads!$A$2:$A$5001,0))&amp;" "&amp;INDEX(Leads!$D$2:$D$5001,MATCH(B749,Leads!$A$2:$A$5001,0)),"N° no encontrado"))</f>
        <v/>
      </c>
      <c r="D749" s="35" t="str">
        <f aca="false">IF(B749="","",IFERROR(INDEX(Leads!$G$2:$G$5001,MATCH(B749,Leads!$A$2:$A$5001,0)),""))</f>
        <v/>
      </c>
      <c r="E749" s="32"/>
      <c r="F749" s="32"/>
      <c r="G749" s="32"/>
    </row>
    <row r="750" customFormat="false" ht="15" hidden="false" customHeight="false" outlineLevel="0" collapsed="false">
      <c r="A750" s="31"/>
      <c r="B750" s="32"/>
      <c r="C750" s="35" t="str">
        <f aca="false">IF(B750="","",IFERROR(INDEX(Leads!$C$2:$C$5001,MATCH(B750,Leads!$A$2:$A$5001,0))&amp;" "&amp;INDEX(Leads!$D$2:$D$5001,MATCH(B750,Leads!$A$2:$A$5001,0)),"N° no encontrado"))</f>
        <v/>
      </c>
      <c r="D750" s="35" t="str">
        <f aca="false">IF(B750="","",IFERROR(INDEX(Leads!$G$2:$G$5001,MATCH(B750,Leads!$A$2:$A$5001,0)),""))</f>
        <v/>
      </c>
      <c r="E750" s="32"/>
      <c r="F750" s="32"/>
      <c r="G750" s="32"/>
    </row>
    <row r="751" customFormat="false" ht="15" hidden="false" customHeight="false" outlineLevel="0" collapsed="false">
      <c r="A751" s="31"/>
      <c r="B751" s="32"/>
      <c r="C751" s="35" t="str">
        <f aca="false">IF(B751="","",IFERROR(INDEX(Leads!$C$2:$C$5001,MATCH(B751,Leads!$A$2:$A$5001,0))&amp;" "&amp;INDEX(Leads!$D$2:$D$5001,MATCH(B751,Leads!$A$2:$A$5001,0)),"N° no encontrado"))</f>
        <v/>
      </c>
      <c r="D751" s="35" t="str">
        <f aca="false">IF(B751="","",IFERROR(INDEX(Leads!$G$2:$G$5001,MATCH(B751,Leads!$A$2:$A$5001,0)),""))</f>
        <v/>
      </c>
      <c r="E751" s="32"/>
      <c r="F751" s="32"/>
      <c r="G751" s="32"/>
    </row>
    <row r="752" customFormat="false" ht="15" hidden="false" customHeight="false" outlineLevel="0" collapsed="false">
      <c r="A752" s="31"/>
      <c r="B752" s="32"/>
      <c r="C752" s="35" t="str">
        <f aca="false">IF(B752="","",IFERROR(INDEX(Leads!$C$2:$C$5001,MATCH(B752,Leads!$A$2:$A$5001,0))&amp;" "&amp;INDEX(Leads!$D$2:$D$5001,MATCH(B752,Leads!$A$2:$A$5001,0)),"N° no encontrado"))</f>
        <v/>
      </c>
      <c r="D752" s="35" t="str">
        <f aca="false">IF(B752="","",IFERROR(INDEX(Leads!$G$2:$G$5001,MATCH(B752,Leads!$A$2:$A$5001,0)),""))</f>
        <v/>
      </c>
      <c r="E752" s="32"/>
      <c r="F752" s="32"/>
      <c r="G752" s="32"/>
    </row>
    <row r="753" customFormat="false" ht="15" hidden="false" customHeight="false" outlineLevel="0" collapsed="false">
      <c r="A753" s="31"/>
      <c r="B753" s="32"/>
      <c r="C753" s="35" t="str">
        <f aca="false">IF(B753="","",IFERROR(INDEX(Leads!$C$2:$C$5001,MATCH(B753,Leads!$A$2:$A$5001,0))&amp;" "&amp;INDEX(Leads!$D$2:$D$5001,MATCH(B753,Leads!$A$2:$A$5001,0)),"N° no encontrado"))</f>
        <v/>
      </c>
      <c r="D753" s="35" t="str">
        <f aca="false">IF(B753="","",IFERROR(INDEX(Leads!$G$2:$G$5001,MATCH(B753,Leads!$A$2:$A$5001,0)),""))</f>
        <v/>
      </c>
      <c r="E753" s="32"/>
      <c r="F753" s="32"/>
      <c r="G753" s="32"/>
    </row>
    <row r="754" customFormat="false" ht="15" hidden="false" customHeight="false" outlineLevel="0" collapsed="false">
      <c r="A754" s="31"/>
      <c r="B754" s="32"/>
      <c r="C754" s="35" t="str">
        <f aca="false">IF(B754="","",IFERROR(INDEX(Leads!$C$2:$C$5001,MATCH(B754,Leads!$A$2:$A$5001,0))&amp;" "&amp;INDEX(Leads!$D$2:$D$5001,MATCH(B754,Leads!$A$2:$A$5001,0)),"N° no encontrado"))</f>
        <v/>
      </c>
      <c r="D754" s="35" t="str">
        <f aca="false">IF(B754="","",IFERROR(INDEX(Leads!$G$2:$G$5001,MATCH(B754,Leads!$A$2:$A$5001,0)),""))</f>
        <v/>
      </c>
      <c r="E754" s="32"/>
      <c r="F754" s="32"/>
      <c r="G754" s="32"/>
    </row>
    <row r="755" customFormat="false" ht="15" hidden="false" customHeight="false" outlineLevel="0" collapsed="false">
      <c r="A755" s="31"/>
      <c r="B755" s="32"/>
      <c r="C755" s="35" t="str">
        <f aca="false">IF(B755="","",IFERROR(INDEX(Leads!$C$2:$C$5001,MATCH(B755,Leads!$A$2:$A$5001,0))&amp;" "&amp;INDEX(Leads!$D$2:$D$5001,MATCH(B755,Leads!$A$2:$A$5001,0)),"N° no encontrado"))</f>
        <v/>
      </c>
      <c r="D755" s="35" t="str">
        <f aca="false">IF(B755="","",IFERROR(INDEX(Leads!$G$2:$G$5001,MATCH(B755,Leads!$A$2:$A$5001,0)),""))</f>
        <v/>
      </c>
      <c r="E755" s="32"/>
      <c r="F755" s="32"/>
      <c r="G755" s="32"/>
    </row>
    <row r="756" customFormat="false" ht="15" hidden="false" customHeight="false" outlineLevel="0" collapsed="false">
      <c r="A756" s="31"/>
      <c r="B756" s="32"/>
      <c r="C756" s="35" t="str">
        <f aca="false">IF(B756="","",IFERROR(INDEX(Leads!$C$2:$C$5001,MATCH(B756,Leads!$A$2:$A$5001,0))&amp;" "&amp;INDEX(Leads!$D$2:$D$5001,MATCH(B756,Leads!$A$2:$A$5001,0)),"N° no encontrado"))</f>
        <v/>
      </c>
      <c r="D756" s="35" t="str">
        <f aca="false">IF(B756="","",IFERROR(INDEX(Leads!$G$2:$G$5001,MATCH(B756,Leads!$A$2:$A$5001,0)),""))</f>
        <v/>
      </c>
      <c r="E756" s="32"/>
      <c r="F756" s="32"/>
      <c r="G756" s="32"/>
    </row>
    <row r="757" customFormat="false" ht="15" hidden="false" customHeight="false" outlineLevel="0" collapsed="false">
      <c r="A757" s="31"/>
      <c r="B757" s="32"/>
      <c r="C757" s="35" t="str">
        <f aca="false">IF(B757="","",IFERROR(INDEX(Leads!$C$2:$C$5001,MATCH(B757,Leads!$A$2:$A$5001,0))&amp;" "&amp;INDEX(Leads!$D$2:$D$5001,MATCH(B757,Leads!$A$2:$A$5001,0)),"N° no encontrado"))</f>
        <v/>
      </c>
      <c r="D757" s="35" t="str">
        <f aca="false">IF(B757="","",IFERROR(INDEX(Leads!$G$2:$G$5001,MATCH(B757,Leads!$A$2:$A$5001,0)),""))</f>
        <v/>
      </c>
      <c r="E757" s="32"/>
      <c r="F757" s="32"/>
      <c r="G757" s="32"/>
    </row>
    <row r="758" customFormat="false" ht="15" hidden="false" customHeight="false" outlineLevel="0" collapsed="false">
      <c r="A758" s="31"/>
      <c r="B758" s="32"/>
      <c r="C758" s="35" t="str">
        <f aca="false">IF(B758="","",IFERROR(INDEX(Leads!$C$2:$C$5001,MATCH(B758,Leads!$A$2:$A$5001,0))&amp;" "&amp;INDEX(Leads!$D$2:$D$5001,MATCH(B758,Leads!$A$2:$A$5001,0)),"N° no encontrado"))</f>
        <v/>
      </c>
      <c r="D758" s="35" t="str">
        <f aca="false">IF(B758="","",IFERROR(INDEX(Leads!$G$2:$G$5001,MATCH(B758,Leads!$A$2:$A$5001,0)),""))</f>
        <v/>
      </c>
      <c r="E758" s="32"/>
      <c r="F758" s="32"/>
      <c r="G758" s="32"/>
    </row>
    <row r="759" customFormat="false" ht="15" hidden="false" customHeight="false" outlineLevel="0" collapsed="false">
      <c r="A759" s="31"/>
      <c r="B759" s="32"/>
      <c r="C759" s="35" t="str">
        <f aca="false">IF(B759="","",IFERROR(INDEX(Leads!$C$2:$C$5001,MATCH(B759,Leads!$A$2:$A$5001,0))&amp;" "&amp;INDEX(Leads!$D$2:$D$5001,MATCH(B759,Leads!$A$2:$A$5001,0)),"N° no encontrado"))</f>
        <v/>
      </c>
      <c r="D759" s="35" t="str">
        <f aca="false">IF(B759="","",IFERROR(INDEX(Leads!$G$2:$G$5001,MATCH(B759,Leads!$A$2:$A$5001,0)),""))</f>
        <v/>
      </c>
      <c r="E759" s="32"/>
      <c r="F759" s="32"/>
      <c r="G759" s="32"/>
    </row>
    <row r="760" customFormat="false" ht="15" hidden="false" customHeight="false" outlineLevel="0" collapsed="false">
      <c r="A760" s="31"/>
      <c r="B760" s="32"/>
      <c r="C760" s="35" t="str">
        <f aca="false">IF(B760="","",IFERROR(INDEX(Leads!$C$2:$C$5001,MATCH(B760,Leads!$A$2:$A$5001,0))&amp;" "&amp;INDEX(Leads!$D$2:$D$5001,MATCH(B760,Leads!$A$2:$A$5001,0)),"N° no encontrado"))</f>
        <v/>
      </c>
      <c r="D760" s="35" t="str">
        <f aca="false">IF(B760="","",IFERROR(INDEX(Leads!$G$2:$G$5001,MATCH(B760,Leads!$A$2:$A$5001,0)),""))</f>
        <v/>
      </c>
      <c r="E760" s="32"/>
      <c r="F760" s="32"/>
      <c r="G760" s="32"/>
    </row>
    <row r="761" customFormat="false" ht="15" hidden="false" customHeight="false" outlineLevel="0" collapsed="false">
      <c r="A761" s="31"/>
      <c r="B761" s="32"/>
      <c r="C761" s="35" t="str">
        <f aca="false">IF(B761="","",IFERROR(INDEX(Leads!$C$2:$C$5001,MATCH(B761,Leads!$A$2:$A$5001,0))&amp;" "&amp;INDEX(Leads!$D$2:$D$5001,MATCH(B761,Leads!$A$2:$A$5001,0)),"N° no encontrado"))</f>
        <v/>
      </c>
      <c r="D761" s="35" t="str">
        <f aca="false">IF(B761="","",IFERROR(INDEX(Leads!$G$2:$G$5001,MATCH(B761,Leads!$A$2:$A$5001,0)),""))</f>
        <v/>
      </c>
      <c r="E761" s="32"/>
      <c r="F761" s="32"/>
      <c r="G761" s="32"/>
    </row>
    <row r="762" customFormat="false" ht="15" hidden="false" customHeight="false" outlineLevel="0" collapsed="false">
      <c r="A762" s="31"/>
      <c r="B762" s="32"/>
      <c r="C762" s="35" t="str">
        <f aca="false">IF(B762="","",IFERROR(INDEX(Leads!$C$2:$C$5001,MATCH(B762,Leads!$A$2:$A$5001,0))&amp;" "&amp;INDEX(Leads!$D$2:$D$5001,MATCH(B762,Leads!$A$2:$A$5001,0)),"N° no encontrado"))</f>
        <v/>
      </c>
      <c r="D762" s="35" t="str">
        <f aca="false">IF(B762="","",IFERROR(INDEX(Leads!$G$2:$G$5001,MATCH(B762,Leads!$A$2:$A$5001,0)),""))</f>
        <v/>
      </c>
      <c r="E762" s="32"/>
      <c r="F762" s="32"/>
      <c r="G762" s="32"/>
    </row>
    <row r="763" customFormat="false" ht="15" hidden="false" customHeight="false" outlineLevel="0" collapsed="false">
      <c r="A763" s="31"/>
      <c r="B763" s="32"/>
      <c r="C763" s="35" t="str">
        <f aca="false">IF(B763="","",IFERROR(INDEX(Leads!$C$2:$C$5001,MATCH(B763,Leads!$A$2:$A$5001,0))&amp;" "&amp;INDEX(Leads!$D$2:$D$5001,MATCH(B763,Leads!$A$2:$A$5001,0)),"N° no encontrado"))</f>
        <v/>
      </c>
      <c r="D763" s="35" t="str">
        <f aca="false">IF(B763="","",IFERROR(INDEX(Leads!$G$2:$G$5001,MATCH(B763,Leads!$A$2:$A$5001,0)),""))</f>
        <v/>
      </c>
      <c r="E763" s="32"/>
      <c r="F763" s="32"/>
      <c r="G763" s="32"/>
    </row>
    <row r="764" customFormat="false" ht="15" hidden="false" customHeight="false" outlineLevel="0" collapsed="false">
      <c r="A764" s="31"/>
      <c r="B764" s="32"/>
      <c r="C764" s="35" t="str">
        <f aca="false">IF(B764="","",IFERROR(INDEX(Leads!$C$2:$C$5001,MATCH(B764,Leads!$A$2:$A$5001,0))&amp;" "&amp;INDEX(Leads!$D$2:$D$5001,MATCH(B764,Leads!$A$2:$A$5001,0)),"N° no encontrado"))</f>
        <v/>
      </c>
      <c r="D764" s="35" t="str">
        <f aca="false">IF(B764="","",IFERROR(INDEX(Leads!$G$2:$G$5001,MATCH(B764,Leads!$A$2:$A$5001,0)),""))</f>
        <v/>
      </c>
      <c r="E764" s="32"/>
      <c r="F764" s="32"/>
      <c r="G764" s="32"/>
    </row>
    <row r="765" customFormat="false" ht="15" hidden="false" customHeight="false" outlineLevel="0" collapsed="false">
      <c r="A765" s="31"/>
      <c r="B765" s="32"/>
      <c r="C765" s="35" t="str">
        <f aca="false">IF(B765="","",IFERROR(INDEX(Leads!$C$2:$C$5001,MATCH(B765,Leads!$A$2:$A$5001,0))&amp;" "&amp;INDEX(Leads!$D$2:$D$5001,MATCH(B765,Leads!$A$2:$A$5001,0)),"N° no encontrado"))</f>
        <v/>
      </c>
      <c r="D765" s="35" t="str">
        <f aca="false">IF(B765="","",IFERROR(INDEX(Leads!$G$2:$G$5001,MATCH(B765,Leads!$A$2:$A$5001,0)),""))</f>
        <v/>
      </c>
      <c r="E765" s="32"/>
      <c r="F765" s="32"/>
      <c r="G765" s="32"/>
    </row>
    <row r="766" customFormat="false" ht="15" hidden="false" customHeight="false" outlineLevel="0" collapsed="false">
      <c r="A766" s="31"/>
      <c r="B766" s="32"/>
      <c r="C766" s="35" t="str">
        <f aca="false">IF(B766="","",IFERROR(INDEX(Leads!$C$2:$C$5001,MATCH(B766,Leads!$A$2:$A$5001,0))&amp;" "&amp;INDEX(Leads!$D$2:$D$5001,MATCH(B766,Leads!$A$2:$A$5001,0)),"N° no encontrado"))</f>
        <v/>
      </c>
      <c r="D766" s="35" t="str">
        <f aca="false">IF(B766="","",IFERROR(INDEX(Leads!$G$2:$G$5001,MATCH(B766,Leads!$A$2:$A$5001,0)),""))</f>
        <v/>
      </c>
      <c r="E766" s="32"/>
      <c r="F766" s="32"/>
      <c r="G766" s="32"/>
    </row>
    <row r="767" customFormat="false" ht="15" hidden="false" customHeight="false" outlineLevel="0" collapsed="false">
      <c r="A767" s="31"/>
      <c r="B767" s="32"/>
      <c r="C767" s="35" t="str">
        <f aca="false">IF(B767="","",IFERROR(INDEX(Leads!$C$2:$C$5001,MATCH(B767,Leads!$A$2:$A$5001,0))&amp;" "&amp;INDEX(Leads!$D$2:$D$5001,MATCH(B767,Leads!$A$2:$A$5001,0)),"N° no encontrado"))</f>
        <v/>
      </c>
      <c r="D767" s="35" t="str">
        <f aca="false">IF(B767="","",IFERROR(INDEX(Leads!$G$2:$G$5001,MATCH(B767,Leads!$A$2:$A$5001,0)),""))</f>
        <v/>
      </c>
      <c r="E767" s="32"/>
      <c r="F767" s="32"/>
      <c r="G767" s="32"/>
    </row>
    <row r="768" customFormat="false" ht="15" hidden="false" customHeight="false" outlineLevel="0" collapsed="false">
      <c r="A768" s="31"/>
      <c r="B768" s="32"/>
      <c r="C768" s="35" t="str">
        <f aca="false">IF(B768="","",IFERROR(INDEX(Leads!$C$2:$C$5001,MATCH(B768,Leads!$A$2:$A$5001,0))&amp;" "&amp;INDEX(Leads!$D$2:$D$5001,MATCH(B768,Leads!$A$2:$A$5001,0)),"N° no encontrado"))</f>
        <v/>
      </c>
      <c r="D768" s="35" t="str">
        <f aca="false">IF(B768="","",IFERROR(INDEX(Leads!$G$2:$G$5001,MATCH(B768,Leads!$A$2:$A$5001,0)),""))</f>
        <v/>
      </c>
      <c r="E768" s="32"/>
      <c r="F768" s="32"/>
      <c r="G768" s="32"/>
    </row>
    <row r="769" customFormat="false" ht="15" hidden="false" customHeight="false" outlineLevel="0" collapsed="false">
      <c r="A769" s="31"/>
      <c r="B769" s="32"/>
      <c r="C769" s="35" t="str">
        <f aca="false">IF(B769="","",IFERROR(INDEX(Leads!$C$2:$C$5001,MATCH(B769,Leads!$A$2:$A$5001,0))&amp;" "&amp;INDEX(Leads!$D$2:$D$5001,MATCH(B769,Leads!$A$2:$A$5001,0)),"N° no encontrado"))</f>
        <v/>
      </c>
      <c r="D769" s="35" t="str">
        <f aca="false">IF(B769="","",IFERROR(INDEX(Leads!$G$2:$G$5001,MATCH(B769,Leads!$A$2:$A$5001,0)),""))</f>
        <v/>
      </c>
      <c r="E769" s="32"/>
      <c r="F769" s="32"/>
      <c r="G769" s="32"/>
    </row>
    <row r="770" customFormat="false" ht="15" hidden="false" customHeight="false" outlineLevel="0" collapsed="false">
      <c r="A770" s="31"/>
      <c r="B770" s="32"/>
      <c r="C770" s="35" t="str">
        <f aca="false">IF(B770="","",IFERROR(INDEX(Leads!$C$2:$C$5001,MATCH(B770,Leads!$A$2:$A$5001,0))&amp;" "&amp;INDEX(Leads!$D$2:$D$5001,MATCH(B770,Leads!$A$2:$A$5001,0)),"N° no encontrado"))</f>
        <v/>
      </c>
      <c r="D770" s="35" t="str">
        <f aca="false">IF(B770="","",IFERROR(INDEX(Leads!$G$2:$G$5001,MATCH(B770,Leads!$A$2:$A$5001,0)),""))</f>
        <v/>
      </c>
      <c r="E770" s="32"/>
      <c r="F770" s="32"/>
      <c r="G770" s="32"/>
    </row>
    <row r="771" customFormat="false" ht="15" hidden="false" customHeight="false" outlineLevel="0" collapsed="false">
      <c r="A771" s="31"/>
      <c r="B771" s="32"/>
      <c r="C771" s="35" t="str">
        <f aca="false">IF(B771="","",IFERROR(INDEX(Leads!$C$2:$C$5001,MATCH(B771,Leads!$A$2:$A$5001,0))&amp;" "&amp;INDEX(Leads!$D$2:$D$5001,MATCH(B771,Leads!$A$2:$A$5001,0)),"N° no encontrado"))</f>
        <v/>
      </c>
      <c r="D771" s="35" t="str">
        <f aca="false">IF(B771="","",IFERROR(INDEX(Leads!$G$2:$G$5001,MATCH(B771,Leads!$A$2:$A$5001,0)),""))</f>
        <v/>
      </c>
      <c r="E771" s="32"/>
      <c r="F771" s="32"/>
      <c r="G771" s="32"/>
    </row>
    <row r="772" customFormat="false" ht="15" hidden="false" customHeight="false" outlineLevel="0" collapsed="false">
      <c r="A772" s="31"/>
      <c r="B772" s="32"/>
      <c r="C772" s="35" t="str">
        <f aca="false">IF(B772="","",IFERROR(INDEX(Leads!$C$2:$C$5001,MATCH(B772,Leads!$A$2:$A$5001,0))&amp;" "&amp;INDEX(Leads!$D$2:$D$5001,MATCH(B772,Leads!$A$2:$A$5001,0)),"N° no encontrado"))</f>
        <v/>
      </c>
      <c r="D772" s="35" t="str">
        <f aca="false">IF(B772="","",IFERROR(INDEX(Leads!$G$2:$G$5001,MATCH(B772,Leads!$A$2:$A$5001,0)),""))</f>
        <v/>
      </c>
      <c r="E772" s="32"/>
      <c r="F772" s="32"/>
      <c r="G772" s="32"/>
    </row>
    <row r="773" customFormat="false" ht="15" hidden="false" customHeight="false" outlineLevel="0" collapsed="false">
      <c r="A773" s="31"/>
      <c r="B773" s="32"/>
      <c r="C773" s="35" t="str">
        <f aca="false">IF(B773="","",IFERROR(INDEX(Leads!$C$2:$C$5001,MATCH(B773,Leads!$A$2:$A$5001,0))&amp;" "&amp;INDEX(Leads!$D$2:$D$5001,MATCH(B773,Leads!$A$2:$A$5001,0)),"N° no encontrado"))</f>
        <v/>
      </c>
      <c r="D773" s="35" t="str">
        <f aca="false">IF(B773="","",IFERROR(INDEX(Leads!$G$2:$G$5001,MATCH(B773,Leads!$A$2:$A$5001,0)),""))</f>
        <v/>
      </c>
      <c r="E773" s="32"/>
      <c r="F773" s="32"/>
      <c r="G773" s="32"/>
    </row>
    <row r="774" customFormat="false" ht="15" hidden="false" customHeight="false" outlineLevel="0" collapsed="false">
      <c r="A774" s="31"/>
      <c r="B774" s="32"/>
      <c r="C774" s="35" t="str">
        <f aca="false">IF(B774="","",IFERROR(INDEX(Leads!$C$2:$C$5001,MATCH(B774,Leads!$A$2:$A$5001,0))&amp;" "&amp;INDEX(Leads!$D$2:$D$5001,MATCH(B774,Leads!$A$2:$A$5001,0)),"N° no encontrado"))</f>
        <v/>
      </c>
      <c r="D774" s="35" t="str">
        <f aca="false">IF(B774="","",IFERROR(INDEX(Leads!$G$2:$G$5001,MATCH(B774,Leads!$A$2:$A$5001,0)),""))</f>
        <v/>
      </c>
      <c r="E774" s="32"/>
      <c r="F774" s="32"/>
      <c r="G774" s="32"/>
    </row>
    <row r="775" customFormat="false" ht="15" hidden="false" customHeight="false" outlineLevel="0" collapsed="false">
      <c r="A775" s="31"/>
      <c r="B775" s="32"/>
      <c r="C775" s="35" t="str">
        <f aca="false">IF(B775="","",IFERROR(INDEX(Leads!$C$2:$C$5001,MATCH(B775,Leads!$A$2:$A$5001,0))&amp;" "&amp;INDEX(Leads!$D$2:$D$5001,MATCH(B775,Leads!$A$2:$A$5001,0)),"N° no encontrado"))</f>
        <v/>
      </c>
      <c r="D775" s="35" t="str">
        <f aca="false">IF(B775="","",IFERROR(INDEX(Leads!$G$2:$G$5001,MATCH(B775,Leads!$A$2:$A$5001,0)),""))</f>
        <v/>
      </c>
      <c r="E775" s="32"/>
      <c r="F775" s="32"/>
      <c r="G775" s="32"/>
    </row>
    <row r="776" customFormat="false" ht="15" hidden="false" customHeight="false" outlineLevel="0" collapsed="false">
      <c r="A776" s="31"/>
      <c r="B776" s="32"/>
      <c r="C776" s="35" t="str">
        <f aca="false">IF(B776="","",IFERROR(INDEX(Leads!$C$2:$C$5001,MATCH(B776,Leads!$A$2:$A$5001,0))&amp;" "&amp;INDEX(Leads!$D$2:$D$5001,MATCH(B776,Leads!$A$2:$A$5001,0)),"N° no encontrado"))</f>
        <v/>
      </c>
      <c r="D776" s="35" t="str">
        <f aca="false">IF(B776="","",IFERROR(INDEX(Leads!$G$2:$G$5001,MATCH(B776,Leads!$A$2:$A$5001,0)),""))</f>
        <v/>
      </c>
      <c r="E776" s="32"/>
      <c r="F776" s="32"/>
      <c r="G776" s="32"/>
    </row>
    <row r="777" customFormat="false" ht="15" hidden="false" customHeight="false" outlineLevel="0" collapsed="false">
      <c r="A777" s="31"/>
      <c r="B777" s="32"/>
      <c r="C777" s="35" t="str">
        <f aca="false">IF(B777="","",IFERROR(INDEX(Leads!$C$2:$C$5001,MATCH(B777,Leads!$A$2:$A$5001,0))&amp;" "&amp;INDEX(Leads!$D$2:$D$5001,MATCH(B777,Leads!$A$2:$A$5001,0)),"N° no encontrado"))</f>
        <v/>
      </c>
      <c r="D777" s="35" t="str">
        <f aca="false">IF(B777="","",IFERROR(INDEX(Leads!$G$2:$G$5001,MATCH(B777,Leads!$A$2:$A$5001,0)),""))</f>
        <v/>
      </c>
      <c r="E777" s="32"/>
      <c r="F777" s="32"/>
      <c r="G777" s="32"/>
    </row>
    <row r="778" customFormat="false" ht="15" hidden="false" customHeight="false" outlineLevel="0" collapsed="false">
      <c r="A778" s="31"/>
      <c r="B778" s="32"/>
      <c r="C778" s="35" t="str">
        <f aca="false">IF(B778="","",IFERROR(INDEX(Leads!$C$2:$C$5001,MATCH(B778,Leads!$A$2:$A$5001,0))&amp;" "&amp;INDEX(Leads!$D$2:$D$5001,MATCH(B778,Leads!$A$2:$A$5001,0)),"N° no encontrado"))</f>
        <v/>
      </c>
      <c r="D778" s="35" t="str">
        <f aca="false">IF(B778="","",IFERROR(INDEX(Leads!$G$2:$G$5001,MATCH(B778,Leads!$A$2:$A$5001,0)),""))</f>
        <v/>
      </c>
      <c r="E778" s="32"/>
      <c r="F778" s="32"/>
      <c r="G778" s="32"/>
    </row>
    <row r="779" customFormat="false" ht="15" hidden="false" customHeight="false" outlineLevel="0" collapsed="false">
      <c r="A779" s="31"/>
      <c r="B779" s="32"/>
      <c r="C779" s="35" t="str">
        <f aca="false">IF(B779="","",IFERROR(INDEX(Leads!$C$2:$C$5001,MATCH(B779,Leads!$A$2:$A$5001,0))&amp;" "&amp;INDEX(Leads!$D$2:$D$5001,MATCH(B779,Leads!$A$2:$A$5001,0)),"N° no encontrado"))</f>
        <v/>
      </c>
      <c r="D779" s="35" t="str">
        <f aca="false">IF(B779="","",IFERROR(INDEX(Leads!$G$2:$G$5001,MATCH(B779,Leads!$A$2:$A$5001,0)),""))</f>
        <v/>
      </c>
      <c r="E779" s="32"/>
      <c r="F779" s="32"/>
      <c r="G779" s="32"/>
    </row>
    <row r="780" customFormat="false" ht="15" hidden="false" customHeight="false" outlineLevel="0" collapsed="false">
      <c r="A780" s="31"/>
      <c r="B780" s="32"/>
      <c r="C780" s="35" t="str">
        <f aca="false">IF(B780="","",IFERROR(INDEX(Leads!$C$2:$C$5001,MATCH(B780,Leads!$A$2:$A$5001,0))&amp;" "&amp;INDEX(Leads!$D$2:$D$5001,MATCH(B780,Leads!$A$2:$A$5001,0)),"N° no encontrado"))</f>
        <v/>
      </c>
      <c r="D780" s="35" t="str">
        <f aca="false">IF(B780="","",IFERROR(INDEX(Leads!$G$2:$G$5001,MATCH(B780,Leads!$A$2:$A$5001,0)),""))</f>
        <v/>
      </c>
      <c r="E780" s="32"/>
      <c r="F780" s="32"/>
      <c r="G780" s="32"/>
    </row>
    <row r="781" customFormat="false" ht="15" hidden="false" customHeight="false" outlineLevel="0" collapsed="false">
      <c r="A781" s="31"/>
      <c r="B781" s="32"/>
      <c r="C781" s="35" t="str">
        <f aca="false">IF(B781="","",IFERROR(INDEX(Leads!$C$2:$C$5001,MATCH(B781,Leads!$A$2:$A$5001,0))&amp;" "&amp;INDEX(Leads!$D$2:$D$5001,MATCH(B781,Leads!$A$2:$A$5001,0)),"N° no encontrado"))</f>
        <v/>
      </c>
      <c r="D781" s="35" t="str">
        <f aca="false">IF(B781="","",IFERROR(INDEX(Leads!$G$2:$G$5001,MATCH(B781,Leads!$A$2:$A$5001,0)),""))</f>
        <v/>
      </c>
      <c r="E781" s="32"/>
      <c r="F781" s="32"/>
      <c r="G781" s="32"/>
    </row>
    <row r="782" customFormat="false" ht="15" hidden="false" customHeight="false" outlineLevel="0" collapsed="false">
      <c r="A782" s="31"/>
      <c r="B782" s="32"/>
      <c r="C782" s="35" t="str">
        <f aca="false">IF(B782="","",IFERROR(INDEX(Leads!$C$2:$C$5001,MATCH(B782,Leads!$A$2:$A$5001,0))&amp;" "&amp;INDEX(Leads!$D$2:$D$5001,MATCH(B782,Leads!$A$2:$A$5001,0)),"N° no encontrado"))</f>
        <v/>
      </c>
      <c r="D782" s="35" t="str">
        <f aca="false">IF(B782="","",IFERROR(INDEX(Leads!$G$2:$G$5001,MATCH(B782,Leads!$A$2:$A$5001,0)),""))</f>
        <v/>
      </c>
      <c r="E782" s="32"/>
      <c r="F782" s="32"/>
      <c r="G782" s="32"/>
    </row>
    <row r="783" customFormat="false" ht="15" hidden="false" customHeight="false" outlineLevel="0" collapsed="false">
      <c r="A783" s="31"/>
      <c r="B783" s="32"/>
      <c r="C783" s="35" t="str">
        <f aca="false">IF(B783="","",IFERROR(INDEX(Leads!$C$2:$C$5001,MATCH(B783,Leads!$A$2:$A$5001,0))&amp;" "&amp;INDEX(Leads!$D$2:$D$5001,MATCH(B783,Leads!$A$2:$A$5001,0)),"N° no encontrado"))</f>
        <v/>
      </c>
      <c r="D783" s="35" t="str">
        <f aca="false">IF(B783="","",IFERROR(INDEX(Leads!$G$2:$G$5001,MATCH(B783,Leads!$A$2:$A$5001,0)),""))</f>
        <v/>
      </c>
      <c r="E783" s="32"/>
      <c r="F783" s="32"/>
      <c r="G783" s="32"/>
    </row>
    <row r="784" customFormat="false" ht="15" hidden="false" customHeight="false" outlineLevel="0" collapsed="false">
      <c r="A784" s="31"/>
      <c r="B784" s="32"/>
      <c r="C784" s="35" t="str">
        <f aca="false">IF(B784="","",IFERROR(INDEX(Leads!$C$2:$C$5001,MATCH(B784,Leads!$A$2:$A$5001,0))&amp;" "&amp;INDEX(Leads!$D$2:$D$5001,MATCH(B784,Leads!$A$2:$A$5001,0)),"N° no encontrado"))</f>
        <v/>
      </c>
      <c r="D784" s="35" t="str">
        <f aca="false">IF(B784="","",IFERROR(INDEX(Leads!$G$2:$G$5001,MATCH(B784,Leads!$A$2:$A$5001,0)),""))</f>
        <v/>
      </c>
      <c r="E784" s="32"/>
      <c r="F784" s="32"/>
      <c r="G784" s="32"/>
    </row>
    <row r="785" customFormat="false" ht="15" hidden="false" customHeight="false" outlineLevel="0" collapsed="false">
      <c r="A785" s="31"/>
      <c r="B785" s="32"/>
      <c r="C785" s="35" t="str">
        <f aca="false">IF(B785="","",IFERROR(INDEX(Leads!$C$2:$C$5001,MATCH(B785,Leads!$A$2:$A$5001,0))&amp;" "&amp;INDEX(Leads!$D$2:$D$5001,MATCH(B785,Leads!$A$2:$A$5001,0)),"N° no encontrado"))</f>
        <v/>
      </c>
      <c r="D785" s="35" t="str">
        <f aca="false">IF(B785="","",IFERROR(INDEX(Leads!$G$2:$G$5001,MATCH(B785,Leads!$A$2:$A$5001,0)),""))</f>
        <v/>
      </c>
      <c r="E785" s="32"/>
      <c r="F785" s="32"/>
      <c r="G785" s="32"/>
    </row>
    <row r="786" customFormat="false" ht="15" hidden="false" customHeight="false" outlineLevel="0" collapsed="false">
      <c r="A786" s="31"/>
      <c r="B786" s="32"/>
      <c r="C786" s="35" t="str">
        <f aca="false">IF(B786="","",IFERROR(INDEX(Leads!$C$2:$C$5001,MATCH(B786,Leads!$A$2:$A$5001,0))&amp;" "&amp;INDEX(Leads!$D$2:$D$5001,MATCH(B786,Leads!$A$2:$A$5001,0)),"N° no encontrado"))</f>
        <v/>
      </c>
      <c r="D786" s="35" t="str">
        <f aca="false">IF(B786="","",IFERROR(INDEX(Leads!$G$2:$G$5001,MATCH(B786,Leads!$A$2:$A$5001,0)),""))</f>
        <v/>
      </c>
      <c r="E786" s="32"/>
      <c r="F786" s="32"/>
      <c r="G786" s="32"/>
    </row>
    <row r="787" customFormat="false" ht="15" hidden="false" customHeight="false" outlineLevel="0" collapsed="false">
      <c r="A787" s="31"/>
      <c r="B787" s="32"/>
      <c r="C787" s="35" t="str">
        <f aca="false">IF(B787="","",IFERROR(INDEX(Leads!$C$2:$C$5001,MATCH(B787,Leads!$A$2:$A$5001,0))&amp;" "&amp;INDEX(Leads!$D$2:$D$5001,MATCH(B787,Leads!$A$2:$A$5001,0)),"N° no encontrado"))</f>
        <v/>
      </c>
      <c r="D787" s="35" t="str">
        <f aca="false">IF(B787="","",IFERROR(INDEX(Leads!$G$2:$G$5001,MATCH(B787,Leads!$A$2:$A$5001,0)),""))</f>
        <v/>
      </c>
      <c r="E787" s="32"/>
      <c r="F787" s="32"/>
      <c r="G787" s="32"/>
    </row>
    <row r="788" customFormat="false" ht="15" hidden="false" customHeight="false" outlineLevel="0" collapsed="false">
      <c r="A788" s="31"/>
      <c r="B788" s="32"/>
      <c r="C788" s="35" t="str">
        <f aca="false">IF(B788="","",IFERROR(INDEX(Leads!$C$2:$C$5001,MATCH(B788,Leads!$A$2:$A$5001,0))&amp;" "&amp;INDEX(Leads!$D$2:$D$5001,MATCH(B788,Leads!$A$2:$A$5001,0)),"N° no encontrado"))</f>
        <v/>
      </c>
      <c r="D788" s="35" t="str">
        <f aca="false">IF(B788="","",IFERROR(INDEX(Leads!$G$2:$G$5001,MATCH(B788,Leads!$A$2:$A$5001,0)),""))</f>
        <v/>
      </c>
      <c r="E788" s="32"/>
      <c r="F788" s="32"/>
      <c r="G788" s="32"/>
    </row>
    <row r="789" customFormat="false" ht="15" hidden="false" customHeight="false" outlineLevel="0" collapsed="false">
      <c r="A789" s="31"/>
      <c r="B789" s="32"/>
      <c r="C789" s="35" t="str">
        <f aca="false">IF(B789="","",IFERROR(INDEX(Leads!$C$2:$C$5001,MATCH(B789,Leads!$A$2:$A$5001,0))&amp;" "&amp;INDEX(Leads!$D$2:$D$5001,MATCH(B789,Leads!$A$2:$A$5001,0)),"N° no encontrado"))</f>
        <v/>
      </c>
      <c r="D789" s="35" t="str">
        <f aca="false">IF(B789="","",IFERROR(INDEX(Leads!$G$2:$G$5001,MATCH(B789,Leads!$A$2:$A$5001,0)),""))</f>
        <v/>
      </c>
      <c r="E789" s="32"/>
      <c r="F789" s="32"/>
      <c r="G789" s="32"/>
    </row>
    <row r="790" customFormat="false" ht="15" hidden="false" customHeight="false" outlineLevel="0" collapsed="false">
      <c r="A790" s="31"/>
      <c r="B790" s="32"/>
      <c r="C790" s="35" t="str">
        <f aca="false">IF(B790="","",IFERROR(INDEX(Leads!$C$2:$C$5001,MATCH(B790,Leads!$A$2:$A$5001,0))&amp;" "&amp;INDEX(Leads!$D$2:$D$5001,MATCH(B790,Leads!$A$2:$A$5001,0)),"N° no encontrado"))</f>
        <v/>
      </c>
      <c r="D790" s="35" t="str">
        <f aca="false">IF(B790="","",IFERROR(INDEX(Leads!$G$2:$G$5001,MATCH(B790,Leads!$A$2:$A$5001,0)),""))</f>
        <v/>
      </c>
      <c r="E790" s="32"/>
      <c r="F790" s="32"/>
      <c r="G790" s="32"/>
    </row>
    <row r="791" customFormat="false" ht="15" hidden="false" customHeight="false" outlineLevel="0" collapsed="false">
      <c r="A791" s="31"/>
      <c r="B791" s="32"/>
      <c r="C791" s="35" t="str">
        <f aca="false">IF(B791="","",IFERROR(INDEX(Leads!$C$2:$C$5001,MATCH(B791,Leads!$A$2:$A$5001,0))&amp;" "&amp;INDEX(Leads!$D$2:$D$5001,MATCH(B791,Leads!$A$2:$A$5001,0)),"N° no encontrado"))</f>
        <v/>
      </c>
      <c r="D791" s="35" t="str">
        <f aca="false">IF(B791="","",IFERROR(INDEX(Leads!$G$2:$G$5001,MATCH(B791,Leads!$A$2:$A$5001,0)),""))</f>
        <v/>
      </c>
      <c r="E791" s="32"/>
      <c r="F791" s="32"/>
      <c r="G791" s="32"/>
    </row>
    <row r="792" customFormat="false" ht="15" hidden="false" customHeight="false" outlineLevel="0" collapsed="false">
      <c r="A792" s="31"/>
      <c r="B792" s="32"/>
      <c r="C792" s="35" t="str">
        <f aca="false">IF(B792="","",IFERROR(INDEX(Leads!$C$2:$C$5001,MATCH(B792,Leads!$A$2:$A$5001,0))&amp;" "&amp;INDEX(Leads!$D$2:$D$5001,MATCH(B792,Leads!$A$2:$A$5001,0)),"N° no encontrado"))</f>
        <v/>
      </c>
      <c r="D792" s="35" t="str">
        <f aca="false">IF(B792="","",IFERROR(INDEX(Leads!$G$2:$G$5001,MATCH(B792,Leads!$A$2:$A$5001,0)),""))</f>
        <v/>
      </c>
      <c r="E792" s="32"/>
      <c r="F792" s="32"/>
      <c r="G792" s="32"/>
    </row>
    <row r="793" customFormat="false" ht="15" hidden="false" customHeight="false" outlineLevel="0" collapsed="false">
      <c r="A793" s="31"/>
      <c r="B793" s="32"/>
      <c r="C793" s="35" t="str">
        <f aca="false">IF(B793="","",IFERROR(INDEX(Leads!$C$2:$C$5001,MATCH(B793,Leads!$A$2:$A$5001,0))&amp;" "&amp;INDEX(Leads!$D$2:$D$5001,MATCH(B793,Leads!$A$2:$A$5001,0)),"N° no encontrado"))</f>
        <v/>
      </c>
      <c r="D793" s="35" t="str">
        <f aca="false">IF(B793="","",IFERROR(INDEX(Leads!$G$2:$G$5001,MATCH(B793,Leads!$A$2:$A$5001,0)),""))</f>
        <v/>
      </c>
      <c r="E793" s="32"/>
      <c r="F793" s="32"/>
      <c r="G793" s="32"/>
    </row>
    <row r="794" customFormat="false" ht="15" hidden="false" customHeight="false" outlineLevel="0" collapsed="false">
      <c r="A794" s="31"/>
      <c r="B794" s="32"/>
      <c r="C794" s="35" t="str">
        <f aca="false">IF(B794="","",IFERROR(INDEX(Leads!$C$2:$C$5001,MATCH(B794,Leads!$A$2:$A$5001,0))&amp;" "&amp;INDEX(Leads!$D$2:$D$5001,MATCH(B794,Leads!$A$2:$A$5001,0)),"N° no encontrado"))</f>
        <v/>
      </c>
      <c r="D794" s="35" t="str">
        <f aca="false">IF(B794="","",IFERROR(INDEX(Leads!$G$2:$G$5001,MATCH(B794,Leads!$A$2:$A$5001,0)),""))</f>
        <v/>
      </c>
      <c r="E794" s="32"/>
      <c r="F794" s="32"/>
      <c r="G794" s="32"/>
    </row>
    <row r="795" customFormat="false" ht="15" hidden="false" customHeight="false" outlineLevel="0" collapsed="false">
      <c r="A795" s="31"/>
      <c r="B795" s="32"/>
      <c r="C795" s="35" t="str">
        <f aca="false">IF(B795="","",IFERROR(INDEX(Leads!$C$2:$C$5001,MATCH(B795,Leads!$A$2:$A$5001,0))&amp;" "&amp;INDEX(Leads!$D$2:$D$5001,MATCH(B795,Leads!$A$2:$A$5001,0)),"N° no encontrado"))</f>
        <v/>
      </c>
      <c r="D795" s="35" t="str">
        <f aca="false">IF(B795="","",IFERROR(INDEX(Leads!$G$2:$G$5001,MATCH(B795,Leads!$A$2:$A$5001,0)),""))</f>
        <v/>
      </c>
      <c r="E795" s="32"/>
      <c r="F795" s="32"/>
      <c r="G795" s="32"/>
    </row>
    <row r="796" customFormat="false" ht="15" hidden="false" customHeight="false" outlineLevel="0" collapsed="false">
      <c r="A796" s="31"/>
      <c r="B796" s="32"/>
      <c r="C796" s="35" t="str">
        <f aca="false">IF(B796="","",IFERROR(INDEX(Leads!$C$2:$C$5001,MATCH(B796,Leads!$A$2:$A$5001,0))&amp;" "&amp;INDEX(Leads!$D$2:$D$5001,MATCH(B796,Leads!$A$2:$A$5001,0)),"N° no encontrado"))</f>
        <v/>
      </c>
      <c r="D796" s="35" t="str">
        <f aca="false">IF(B796="","",IFERROR(INDEX(Leads!$G$2:$G$5001,MATCH(B796,Leads!$A$2:$A$5001,0)),""))</f>
        <v/>
      </c>
      <c r="E796" s="32"/>
      <c r="F796" s="32"/>
      <c r="G796" s="32"/>
    </row>
    <row r="797" customFormat="false" ht="15" hidden="false" customHeight="false" outlineLevel="0" collapsed="false">
      <c r="A797" s="31"/>
      <c r="B797" s="32"/>
      <c r="C797" s="35" t="str">
        <f aca="false">IF(B797="","",IFERROR(INDEX(Leads!$C$2:$C$5001,MATCH(B797,Leads!$A$2:$A$5001,0))&amp;" "&amp;INDEX(Leads!$D$2:$D$5001,MATCH(B797,Leads!$A$2:$A$5001,0)),"N° no encontrado"))</f>
        <v/>
      </c>
      <c r="D797" s="35" t="str">
        <f aca="false">IF(B797="","",IFERROR(INDEX(Leads!$G$2:$G$5001,MATCH(B797,Leads!$A$2:$A$5001,0)),""))</f>
        <v/>
      </c>
      <c r="E797" s="32"/>
      <c r="F797" s="32"/>
      <c r="G797" s="32"/>
    </row>
    <row r="798" customFormat="false" ht="15" hidden="false" customHeight="false" outlineLevel="0" collapsed="false">
      <c r="A798" s="31"/>
      <c r="B798" s="32"/>
      <c r="C798" s="35" t="str">
        <f aca="false">IF(B798="","",IFERROR(INDEX(Leads!$C$2:$C$5001,MATCH(B798,Leads!$A$2:$A$5001,0))&amp;" "&amp;INDEX(Leads!$D$2:$D$5001,MATCH(B798,Leads!$A$2:$A$5001,0)),"N° no encontrado"))</f>
        <v/>
      </c>
      <c r="D798" s="35" t="str">
        <f aca="false">IF(B798="","",IFERROR(INDEX(Leads!$G$2:$G$5001,MATCH(B798,Leads!$A$2:$A$5001,0)),""))</f>
        <v/>
      </c>
      <c r="E798" s="32"/>
      <c r="F798" s="32"/>
      <c r="G798" s="32"/>
    </row>
    <row r="799" customFormat="false" ht="15" hidden="false" customHeight="false" outlineLevel="0" collapsed="false">
      <c r="A799" s="31"/>
      <c r="B799" s="32"/>
      <c r="C799" s="35" t="str">
        <f aca="false">IF(B799="","",IFERROR(INDEX(Leads!$C$2:$C$5001,MATCH(B799,Leads!$A$2:$A$5001,0))&amp;" "&amp;INDEX(Leads!$D$2:$D$5001,MATCH(B799,Leads!$A$2:$A$5001,0)),"N° no encontrado"))</f>
        <v/>
      </c>
      <c r="D799" s="35" t="str">
        <f aca="false">IF(B799="","",IFERROR(INDEX(Leads!$G$2:$G$5001,MATCH(B799,Leads!$A$2:$A$5001,0)),""))</f>
        <v/>
      </c>
      <c r="E799" s="32"/>
      <c r="F799" s="32"/>
      <c r="G799" s="32"/>
    </row>
    <row r="800" customFormat="false" ht="15" hidden="false" customHeight="false" outlineLevel="0" collapsed="false">
      <c r="A800" s="31"/>
      <c r="B800" s="32"/>
      <c r="C800" s="35" t="str">
        <f aca="false">IF(B800="","",IFERROR(INDEX(Leads!$C$2:$C$5001,MATCH(B800,Leads!$A$2:$A$5001,0))&amp;" "&amp;INDEX(Leads!$D$2:$D$5001,MATCH(B800,Leads!$A$2:$A$5001,0)),"N° no encontrado"))</f>
        <v/>
      </c>
      <c r="D800" s="35" t="str">
        <f aca="false">IF(B800="","",IFERROR(INDEX(Leads!$G$2:$G$5001,MATCH(B800,Leads!$A$2:$A$5001,0)),""))</f>
        <v/>
      </c>
      <c r="E800" s="32"/>
      <c r="F800" s="32"/>
      <c r="G800" s="32"/>
    </row>
    <row r="801" customFormat="false" ht="15" hidden="false" customHeight="false" outlineLevel="0" collapsed="false">
      <c r="A801" s="31"/>
      <c r="B801" s="32"/>
      <c r="C801" s="35" t="str">
        <f aca="false">IF(B801="","",IFERROR(INDEX(Leads!$C$2:$C$5001,MATCH(B801,Leads!$A$2:$A$5001,0))&amp;" "&amp;INDEX(Leads!$D$2:$D$5001,MATCH(B801,Leads!$A$2:$A$5001,0)),"N° no encontrado"))</f>
        <v/>
      </c>
      <c r="D801" s="35" t="str">
        <f aca="false">IF(B801="","",IFERROR(INDEX(Leads!$G$2:$G$5001,MATCH(B801,Leads!$A$2:$A$5001,0)),""))</f>
        <v/>
      </c>
      <c r="E801" s="32"/>
      <c r="F801" s="32"/>
      <c r="G801" s="32"/>
    </row>
    <row r="802" customFormat="false" ht="15" hidden="false" customHeight="false" outlineLevel="0" collapsed="false">
      <c r="A802" s="31"/>
      <c r="B802" s="32"/>
      <c r="C802" s="35" t="str">
        <f aca="false">IF(B802="","",IFERROR(INDEX(Leads!$C$2:$C$5001,MATCH(B802,Leads!$A$2:$A$5001,0))&amp;" "&amp;INDEX(Leads!$D$2:$D$5001,MATCH(B802,Leads!$A$2:$A$5001,0)),"N° no encontrado"))</f>
        <v/>
      </c>
      <c r="D802" s="35" t="str">
        <f aca="false">IF(B802="","",IFERROR(INDEX(Leads!$G$2:$G$5001,MATCH(B802,Leads!$A$2:$A$5001,0)),""))</f>
        <v/>
      </c>
      <c r="E802" s="32"/>
      <c r="F802" s="32"/>
      <c r="G802" s="32"/>
    </row>
    <row r="803" customFormat="false" ht="15" hidden="false" customHeight="false" outlineLevel="0" collapsed="false">
      <c r="A803" s="31"/>
      <c r="B803" s="32"/>
      <c r="C803" s="35" t="str">
        <f aca="false">IF(B803="","",IFERROR(INDEX(Leads!$C$2:$C$5001,MATCH(B803,Leads!$A$2:$A$5001,0))&amp;" "&amp;INDEX(Leads!$D$2:$D$5001,MATCH(B803,Leads!$A$2:$A$5001,0)),"N° no encontrado"))</f>
        <v/>
      </c>
      <c r="D803" s="35" t="str">
        <f aca="false">IF(B803="","",IFERROR(INDEX(Leads!$G$2:$G$5001,MATCH(B803,Leads!$A$2:$A$5001,0)),""))</f>
        <v/>
      </c>
      <c r="E803" s="32"/>
      <c r="F803" s="32"/>
      <c r="G803" s="32"/>
    </row>
    <row r="804" customFormat="false" ht="15" hidden="false" customHeight="false" outlineLevel="0" collapsed="false">
      <c r="A804" s="31"/>
      <c r="B804" s="32"/>
      <c r="C804" s="35" t="str">
        <f aca="false">IF(B804="","",IFERROR(INDEX(Leads!$C$2:$C$5001,MATCH(B804,Leads!$A$2:$A$5001,0))&amp;" "&amp;INDEX(Leads!$D$2:$D$5001,MATCH(B804,Leads!$A$2:$A$5001,0)),"N° no encontrado"))</f>
        <v/>
      </c>
      <c r="D804" s="35" t="str">
        <f aca="false">IF(B804="","",IFERROR(INDEX(Leads!$G$2:$G$5001,MATCH(B804,Leads!$A$2:$A$5001,0)),""))</f>
        <v/>
      </c>
      <c r="E804" s="32"/>
      <c r="F804" s="32"/>
      <c r="G804" s="32"/>
    </row>
    <row r="805" customFormat="false" ht="15" hidden="false" customHeight="false" outlineLevel="0" collapsed="false">
      <c r="A805" s="31"/>
      <c r="B805" s="32"/>
      <c r="C805" s="35" t="str">
        <f aca="false">IF(B805="","",IFERROR(INDEX(Leads!$C$2:$C$5001,MATCH(B805,Leads!$A$2:$A$5001,0))&amp;" "&amp;INDEX(Leads!$D$2:$D$5001,MATCH(B805,Leads!$A$2:$A$5001,0)),"N° no encontrado"))</f>
        <v/>
      </c>
      <c r="D805" s="35" t="str">
        <f aca="false">IF(B805="","",IFERROR(INDEX(Leads!$G$2:$G$5001,MATCH(B805,Leads!$A$2:$A$5001,0)),""))</f>
        <v/>
      </c>
      <c r="E805" s="32"/>
      <c r="F805" s="32"/>
      <c r="G805" s="32"/>
    </row>
    <row r="806" customFormat="false" ht="15" hidden="false" customHeight="false" outlineLevel="0" collapsed="false">
      <c r="A806" s="31"/>
      <c r="B806" s="32"/>
      <c r="C806" s="35" t="str">
        <f aca="false">IF(B806="","",IFERROR(INDEX(Leads!$C$2:$C$5001,MATCH(B806,Leads!$A$2:$A$5001,0))&amp;" "&amp;INDEX(Leads!$D$2:$D$5001,MATCH(B806,Leads!$A$2:$A$5001,0)),"N° no encontrado"))</f>
        <v/>
      </c>
      <c r="D806" s="35" t="str">
        <f aca="false">IF(B806="","",IFERROR(INDEX(Leads!$G$2:$G$5001,MATCH(B806,Leads!$A$2:$A$5001,0)),""))</f>
        <v/>
      </c>
      <c r="E806" s="32"/>
      <c r="F806" s="32"/>
      <c r="G806" s="32"/>
    </row>
    <row r="807" customFormat="false" ht="15" hidden="false" customHeight="false" outlineLevel="0" collapsed="false">
      <c r="A807" s="31"/>
      <c r="B807" s="32"/>
      <c r="C807" s="35" t="str">
        <f aca="false">IF(B807="","",IFERROR(INDEX(Leads!$C$2:$C$5001,MATCH(B807,Leads!$A$2:$A$5001,0))&amp;" "&amp;INDEX(Leads!$D$2:$D$5001,MATCH(B807,Leads!$A$2:$A$5001,0)),"N° no encontrado"))</f>
        <v/>
      </c>
      <c r="D807" s="35" t="str">
        <f aca="false">IF(B807="","",IFERROR(INDEX(Leads!$G$2:$G$5001,MATCH(B807,Leads!$A$2:$A$5001,0)),""))</f>
        <v/>
      </c>
      <c r="E807" s="32"/>
      <c r="F807" s="32"/>
      <c r="G807" s="32"/>
    </row>
    <row r="808" customFormat="false" ht="15" hidden="false" customHeight="false" outlineLevel="0" collapsed="false">
      <c r="A808" s="31"/>
      <c r="B808" s="32"/>
      <c r="C808" s="35" t="str">
        <f aca="false">IF(B808="","",IFERROR(INDEX(Leads!$C$2:$C$5001,MATCH(B808,Leads!$A$2:$A$5001,0))&amp;" "&amp;INDEX(Leads!$D$2:$D$5001,MATCH(B808,Leads!$A$2:$A$5001,0)),"N° no encontrado"))</f>
        <v/>
      </c>
      <c r="D808" s="35" t="str">
        <f aca="false">IF(B808="","",IFERROR(INDEX(Leads!$G$2:$G$5001,MATCH(B808,Leads!$A$2:$A$5001,0)),""))</f>
        <v/>
      </c>
      <c r="E808" s="32"/>
      <c r="F808" s="32"/>
      <c r="G808" s="32"/>
    </row>
    <row r="809" customFormat="false" ht="15" hidden="false" customHeight="false" outlineLevel="0" collapsed="false">
      <c r="A809" s="31"/>
      <c r="B809" s="32"/>
      <c r="C809" s="35" t="str">
        <f aca="false">IF(B809="","",IFERROR(INDEX(Leads!$C$2:$C$5001,MATCH(B809,Leads!$A$2:$A$5001,0))&amp;" "&amp;INDEX(Leads!$D$2:$D$5001,MATCH(B809,Leads!$A$2:$A$5001,0)),"N° no encontrado"))</f>
        <v/>
      </c>
      <c r="D809" s="35" t="str">
        <f aca="false">IF(B809="","",IFERROR(INDEX(Leads!$G$2:$G$5001,MATCH(B809,Leads!$A$2:$A$5001,0)),""))</f>
        <v/>
      </c>
      <c r="E809" s="32"/>
      <c r="F809" s="32"/>
      <c r="G809" s="32"/>
    </row>
    <row r="810" customFormat="false" ht="15" hidden="false" customHeight="false" outlineLevel="0" collapsed="false">
      <c r="A810" s="31"/>
      <c r="B810" s="32"/>
      <c r="C810" s="35" t="str">
        <f aca="false">IF(B810="","",IFERROR(INDEX(Leads!$C$2:$C$5001,MATCH(B810,Leads!$A$2:$A$5001,0))&amp;" "&amp;INDEX(Leads!$D$2:$D$5001,MATCH(B810,Leads!$A$2:$A$5001,0)),"N° no encontrado"))</f>
        <v/>
      </c>
      <c r="D810" s="35" t="str">
        <f aca="false">IF(B810="","",IFERROR(INDEX(Leads!$G$2:$G$5001,MATCH(B810,Leads!$A$2:$A$5001,0)),""))</f>
        <v/>
      </c>
      <c r="E810" s="32"/>
      <c r="F810" s="32"/>
      <c r="G810" s="32"/>
    </row>
    <row r="811" customFormat="false" ht="15" hidden="false" customHeight="false" outlineLevel="0" collapsed="false">
      <c r="A811" s="31"/>
      <c r="B811" s="32"/>
      <c r="C811" s="35" t="str">
        <f aca="false">IF(B811="","",IFERROR(INDEX(Leads!$C$2:$C$5001,MATCH(B811,Leads!$A$2:$A$5001,0))&amp;" "&amp;INDEX(Leads!$D$2:$D$5001,MATCH(B811,Leads!$A$2:$A$5001,0)),"N° no encontrado"))</f>
        <v/>
      </c>
      <c r="D811" s="35" t="str">
        <f aca="false">IF(B811="","",IFERROR(INDEX(Leads!$G$2:$G$5001,MATCH(B811,Leads!$A$2:$A$5001,0)),""))</f>
        <v/>
      </c>
      <c r="E811" s="32"/>
      <c r="F811" s="32"/>
      <c r="G811" s="32"/>
    </row>
    <row r="812" customFormat="false" ht="15" hidden="false" customHeight="false" outlineLevel="0" collapsed="false">
      <c r="A812" s="31"/>
      <c r="B812" s="32"/>
      <c r="C812" s="35" t="str">
        <f aca="false">IF(B812="","",IFERROR(INDEX(Leads!$C$2:$C$5001,MATCH(B812,Leads!$A$2:$A$5001,0))&amp;" "&amp;INDEX(Leads!$D$2:$D$5001,MATCH(B812,Leads!$A$2:$A$5001,0)),"N° no encontrado"))</f>
        <v/>
      </c>
      <c r="D812" s="35" t="str">
        <f aca="false">IF(B812="","",IFERROR(INDEX(Leads!$G$2:$G$5001,MATCH(B812,Leads!$A$2:$A$5001,0)),""))</f>
        <v/>
      </c>
      <c r="E812" s="32"/>
      <c r="F812" s="32"/>
      <c r="G812" s="32"/>
    </row>
    <row r="813" customFormat="false" ht="15" hidden="false" customHeight="false" outlineLevel="0" collapsed="false">
      <c r="A813" s="31"/>
      <c r="B813" s="32"/>
      <c r="C813" s="35" t="str">
        <f aca="false">IF(B813="","",IFERROR(INDEX(Leads!$C$2:$C$5001,MATCH(B813,Leads!$A$2:$A$5001,0))&amp;" "&amp;INDEX(Leads!$D$2:$D$5001,MATCH(B813,Leads!$A$2:$A$5001,0)),"N° no encontrado"))</f>
        <v/>
      </c>
      <c r="D813" s="35" t="str">
        <f aca="false">IF(B813="","",IFERROR(INDEX(Leads!$G$2:$G$5001,MATCH(B813,Leads!$A$2:$A$5001,0)),""))</f>
        <v/>
      </c>
      <c r="E813" s="32"/>
      <c r="F813" s="32"/>
      <c r="G813" s="32"/>
    </row>
    <row r="814" customFormat="false" ht="15" hidden="false" customHeight="false" outlineLevel="0" collapsed="false">
      <c r="A814" s="31"/>
      <c r="B814" s="32"/>
      <c r="C814" s="35" t="str">
        <f aca="false">IF(B814="","",IFERROR(INDEX(Leads!$C$2:$C$5001,MATCH(B814,Leads!$A$2:$A$5001,0))&amp;" "&amp;INDEX(Leads!$D$2:$D$5001,MATCH(B814,Leads!$A$2:$A$5001,0)),"N° no encontrado"))</f>
        <v/>
      </c>
      <c r="D814" s="35" t="str">
        <f aca="false">IF(B814="","",IFERROR(INDEX(Leads!$G$2:$G$5001,MATCH(B814,Leads!$A$2:$A$5001,0)),""))</f>
        <v/>
      </c>
      <c r="E814" s="32"/>
      <c r="F814" s="32"/>
      <c r="G814" s="32"/>
    </row>
    <row r="815" customFormat="false" ht="15" hidden="false" customHeight="false" outlineLevel="0" collapsed="false">
      <c r="A815" s="31"/>
      <c r="B815" s="32"/>
      <c r="C815" s="35" t="str">
        <f aca="false">IF(B815="","",IFERROR(INDEX(Leads!$C$2:$C$5001,MATCH(B815,Leads!$A$2:$A$5001,0))&amp;" "&amp;INDEX(Leads!$D$2:$D$5001,MATCH(B815,Leads!$A$2:$A$5001,0)),"N° no encontrado"))</f>
        <v/>
      </c>
      <c r="D815" s="35" t="str">
        <f aca="false">IF(B815="","",IFERROR(INDEX(Leads!$G$2:$G$5001,MATCH(B815,Leads!$A$2:$A$5001,0)),""))</f>
        <v/>
      </c>
      <c r="E815" s="32"/>
      <c r="F815" s="32"/>
      <c r="G815" s="32"/>
    </row>
    <row r="816" customFormat="false" ht="15" hidden="false" customHeight="false" outlineLevel="0" collapsed="false">
      <c r="A816" s="31"/>
      <c r="B816" s="32"/>
      <c r="C816" s="35" t="str">
        <f aca="false">IF(B816="","",IFERROR(INDEX(Leads!$C$2:$C$5001,MATCH(B816,Leads!$A$2:$A$5001,0))&amp;" "&amp;INDEX(Leads!$D$2:$D$5001,MATCH(B816,Leads!$A$2:$A$5001,0)),"N° no encontrado"))</f>
        <v/>
      </c>
      <c r="D816" s="35" t="str">
        <f aca="false">IF(B816="","",IFERROR(INDEX(Leads!$G$2:$G$5001,MATCH(B816,Leads!$A$2:$A$5001,0)),""))</f>
        <v/>
      </c>
      <c r="E816" s="32"/>
      <c r="F816" s="32"/>
      <c r="G816" s="32"/>
    </row>
    <row r="817" customFormat="false" ht="15" hidden="false" customHeight="false" outlineLevel="0" collapsed="false">
      <c r="A817" s="31"/>
      <c r="B817" s="32"/>
      <c r="C817" s="35" t="str">
        <f aca="false">IF(B817="","",IFERROR(INDEX(Leads!$C$2:$C$5001,MATCH(B817,Leads!$A$2:$A$5001,0))&amp;" "&amp;INDEX(Leads!$D$2:$D$5001,MATCH(B817,Leads!$A$2:$A$5001,0)),"N° no encontrado"))</f>
        <v/>
      </c>
      <c r="D817" s="35" t="str">
        <f aca="false">IF(B817="","",IFERROR(INDEX(Leads!$G$2:$G$5001,MATCH(B817,Leads!$A$2:$A$5001,0)),""))</f>
        <v/>
      </c>
      <c r="E817" s="32"/>
      <c r="F817" s="32"/>
      <c r="G817" s="32"/>
    </row>
    <row r="818" customFormat="false" ht="15" hidden="false" customHeight="false" outlineLevel="0" collapsed="false">
      <c r="A818" s="31"/>
      <c r="B818" s="32"/>
      <c r="C818" s="35" t="str">
        <f aca="false">IF(B818="","",IFERROR(INDEX(Leads!$C$2:$C$5001,MATCH(B818,Leads!$A$2:$A$5001,0))&amp;" "&amp;INDEX(Leads!$D$2:$D$5001,MATCH(B818,Leads!$A$2:$A$5001,0)),"N° no encontrado"))</f>
        <v/>
      </c>
      <c r="D818" s="35" t="str">
        <f aca="false">IF(B818="","",IFERROR(INDEX(Leads!$G$2:$G$5001,MATCH(B818,Leads!$A$2:$A$5001,0)),""))</f>
        <v/>
      </c>
      <c r="E818" s="32"/>
      <c r="F818" s="32"/>
      <c r="G818" s="32"/>
    </row>
    <row r="819" customFormat="false" ht="15" hidden="false" customHeight="false" outlineLevel="0" collapsed="false">
      <c r="A819" s="31"/>
      <c r="B819" s="32"/>
      <c r="C819" s="35" t="str">
        <f aca="false">IF(B819="","",IFERROR(INDEX(Leads!$C$2:$C$5001,MATCH(B819,Leads!$A$2:$A$5001,0))&amp;" "&amp;INDEX(Leads!$D$2:$D$5001,MATCH(B819,Leads!$A$2:$A$5001,0)),"N° no encontrado"))</f>
        <v/>
      </c>
      <c r="D819" s="35" t="str">
        <f aca="false">IF(B819="","",IFERROR(INDEX(Leads!$G$2:$G$5001,MATCH(B819,Leads!$A$2:$A$5001,0)),""))</f>
        <v/>
      </c>
      <c r="E819" s="32"/>
      <c r="F819" s="32"/>
      <c r="G819" s="32"/>
    </row>
    <row r="820" customFormat="false" ht="15" hidden="false" customHeight="false" outlineLevel="0" collapsed="false">
      <c r="A820" s="31"/>
      <c r="B820" s="32"/>
      <c r="C820" s="35" t="str">
        <f aca="false">IF(B820="","",IFERROR(INDEX(Leads!$C$2:$C$5001,MATCH(B820,Leads!$A$2:$A$5001,0))&amp;" "&amp;INDEX(Leads!$D$2:$D$5001,MATCH(B820,Leads!$A$2:$A$5001,0)),"N° no encontrado"))</f>
        <v/>
      </c>
      <c r="D820" s="35" t="str">
        <f aca="false">IF(B820="","",IFERROR(INDEX(Leads!$G$2:$G$5001,MATCH(B820,Leads!$A$2:$A$5001,0)),""))</f>
        <v/>
      </c>
      <c r="E820" s="32"/>
      <c r="F820" s="32"/>
      <c r="G820" s="32"/>
    </row>
    <row r="821" customFormat="false" ht="15" hidden="false" customHeight="false" outlineLevel="0" collapsed="false">
      <c r="A821" s="31"/>
      <c r="B821" s="32"/>
      <c r="C821" s="35" t="str">
        <f aca="false">IF(B821="","",IFERROR(INDEX(Leads!$C$2:$C$5001,MATCH(B821,Leads!$A$2:$A$5001,0))&amp;" "&amp;INDEX(Leads!$D$2:$D$5001,MATCH(B821,Leads!$A$2:$A$5001,0)),"N° no encontrado"))</f>
        <v/>
      </c>
      <c r="D821" s="35" t="str">
        <f aca="false">IF(B821="","",IFERROR(INDEX(Leads!$G$2:$G$5001,MATCH(B821,Leads!$A$2:$A$5001,0)),""))</f>
        <v/>
      </c>
      <c r="E821" s="32"/>
      <c r="F821" s="32"/>
      <c r="G821" s="32"/>
    </row>
    <row r="822" customFormat="false" ht="15" hidden="false" customHeight="false" outlineLevel="0" collapsed="false">
      <c r="A822" s="31"/>
      <c r="B822" s="32"/>
      <c r="C822" s="35" t="str">
        <f aca="false">IF(B822="","",IFERROR(INDEX(Leads!$C$2:$C$5001,MATCH(B822,Leads!$A$2:$A$5001,0))&amp;" "&amp;INDEX(Leads!$D$2:$D$5001,MATCH(B822,Leads!$A$2:$A$5001,0)),"N° no encontrado"))</f>
        <v/>
      </c>
      <c r="D822" s="35" t="str">
        <f aca="false">IF(B822="","",IFERROR(INDEX(Leads!$G$2:$G$5001,MATCH(B822,Leads!$A$2:$A$5001,0)),""))</f>
        <v/>
      </c>
      <c r="E822" s="32"/>
      <c r="F822" s="32"/>
      <c r="G822" s="32"/>
    </row>
    <row r="823" customFormat="false" ht="15" hidden="false" customHeight="false" outlineLevel="0" collapsed="false">
      <c r="A823" s="31"/>
      <c r="B823" s="32"/>
      <c r="C823" s="35" t="str">
        <f aca="false">IF(B823="","",IFERROR(INDEX(Leads!$C$2:$C$5001,MATCH(B823,Leads!$A$2:$A$5001,0))&amp;" "&amp;INDEX(Leads!$D$2:$D$5001,MATCH(B823,Leads!$A$2:$A$5001,0)),"N° no encontrado"))</f>
        <v/>
      </c>
      <c r="D823" s="35" t="str">
        <f aca="false">IF(B823="","",IFERROR(INDEX(Leads!$G$2:$G$5001,MATCH(B823,Leads!$A$2:$A$5001,0)),""))</f>
        <v/>
      </c>
      <c r="E823" s="32"/>
      <c r="F823" s="32"/>
      <c r="G823" s="32"/>
    </row>
    <row r="824" customFormat="false" ht="15" hidden="false" customHeight="false" outlineLevel="0" collapsed="false">
      <c r="A824" s="31"/>
      <c r="B824" s="32"/>
      <c r="C824" s="35" t="str">
        <f aca="false">IF(B824="","",IFERROR(INDEX(Leads!$C$2:$C$5001,MATCH(B824,Leads!$A$2:$A$5001,0))&amp;" "&amp;INDEX(Leads!$D$2:$D$5001,MATCH(B824,Leads!$A$2:$A$5001,0)),"N° no encontrado"))</f>
        <v/>
      </c>
      <c r="D824" s="35" t="str">
        <f aca="false">IF(B824="","",IFERROR(INDEX(Leads!$G$2:$G$5001,MATCH(B824,Leads!$A$2:$A$5001,0)),""))</f>
        <v/>
      </c>
      <c r="E824" s="32"/>
      <c r="F824" s="32"/>
      <c r="G824" s="32"/>
    </row>
    <row r="825" customFormat="false" ht="15" hidden="false" customHeight="false" outlineLevel="0" collapsed="false">
      <c r="A825" s="31"/>
      <c r="B825" s="32"/>
      <c r="C825" s="35" t="str">
        <f aca="false">IF(B825="","",IFERROR(INDEX(Leads!$C$2:$C$5001,MATCH(B825,Leads!$A$2:$A$5001,0))&amp;" "&amp;INDEX(Leads!$D$2:$D$5001,MATCH(B825,Leads!$A$2:$A$5001,0)),"N° no encontrado"))</f>
        <v/>
      </c>
      <c r="D825" s="35" t="str">
        <f aca="false">IF(B825="","",IFERROR(INDEX(Leads!$G$2:$G$5001,MATCH(B825,Leads!$A$2:$A$5001,0)),""))</f>
        <v/>
      </c>
      <c r="E825" s="32"/>
      <c r="F825" s="32"/>
      <c r="G825" s="32"/>
    </row>
    <row r="826" customFormat="false" ht="15" hidden="false" customHeight="false" outlineLevel="0" collapsed="false">
      <c r="A826" s="31"/>
      <c r="B826" s="32"/>
      <c r="C826" s="35" t="str">
        <f aca="false">IF(B826="","",IFERROR(INDEX(Leads!$C$2:$C$5001,MATCH(B826,Leads!$A$2:$A$5001,0))&amp;" "&amp;INDEX(Leads!$D$2:$D$5001,MATCH(B826,Leads!$A$2:$A$5001,0)),"N° no encontrado"))</f>
        <v/>
      </c>
      <c r="D826" s="35" t="str">
        <f aca="false">IF(B826="","",IFERROR(INDEX(Leads!$G$2:$G$5001,MATCH(B826,Leads!$A$2:$A$5001,0)),""))</f>
        <v/>
      </c>
      <c r="E826" s="32"/>
      <c r="F826" s="32"/>
      <c r="G826" s="32"/>
    </row>
    <row r="827" customFormat="false" ht="15" hidden="false" customHeight="false" outlineLevel="0" collapsed="false">
      <c r="A827" s="31"/>
      <c r="B827" s="32"/>
      <c r="C827" s="35" t="str">
        <f aca="false">IF(B827="","",IFERROR(INDEX(Leads!$C$2:$C$5001,MATCH(B827,Leads!$A$2:$A$5001,0))&amp;" "&amp;INDEX(Leads!$D$2:$D$5001,MATCH(B827,Leads!$A$2:$A$5001,0)),"N° no encontrado"))</f>
        <v/>
      </c>
      <c r="D827" s="35" t="str">
        <f aca="false">IF(B827="","",IFERROR(INDEX(Leads!$G$2:$G$5001,MATCH(B827,Leads!$A$2:$A$5001,0)),""))</f>
        <v/>
      </c>
      <c r="E827" s="32"/>
      <c r="F827" s="32"/>
      <c r="G827" s="32"/>
    </row>
    <row r="828" customFormat="false" ht="15" hidden="false" customHeight="false" outlineLevel="0" collapsed="false">
      <c r="A828" s="31"/>
      <c r="B828" s="32"/>
      <c r="C828" s="35" t="str">
        <f aca="false">IF(B828="","",IFERROR(INDEX(Leads!$C$2:$C$5001,MATCH(B828,Leads!$A$2:$A$5001,0))&amp;" "&amp;INDEX(Leads!$D$2:$D$5001,MATCH(B828,Leads!$A$2:$A$5001,0)),"N° no encontrado"))</f>
        <v/>
      </c>
      <c r="D828" s="35" t="str">
        <f aca="false">IF(B828="","",IFERROR(INDEX(Leads!$G$2:$G$5001,MATCH(B828,Leads!$A$2:$A$5001,0)),""))</f>
        <v/>
      </c>
      <c r="E828" s="32"/>
      <c r="F828" s="32"/>
      <c r="G828" s="32"/>
    </row>
    <row r="829" customFormat="false" ht="15" hidden="false" customHeight="false" outlineLevel="0" collapsed="false">
      <c r="A829" s="31"/>
      <c r="B829" s="32"/>
      <c r="C829" s="35" t="str">
        <f aca="false">IF(B829="","",IFERROR(INDEX(Leads!$C$2:$C$5001,MATCH(B829,Leads!$A$2:$A$5001,0))&amp;" "&amp;INDEX(Leads!$D$2:$D$5001,MATCH(B829,Leads!$A$2:$A$5001,0)),"N° no encontrado"))</f>
        <v/>
      </c>
      <c r="D829" s="35" t="str">
        <f aca="false">IF(B829="","",IFERROR(INDEX(Leads!$G$2:$G$5001,MATCH(B829,Leads!$A$2:$A$5001,0)),""))</f>
        <v/>
      </c>
      <c r="E829" s="32"/>
      <c r="F829" s="32"/>
      <c r="G829" s="32"/>
    </row>
    <row r="830" customFormat="false" ht="15" hidden="false" customHeight="false" outlineLevel="0" collapsed="false">
      <c r="A830" s="31"/>
      <c r="B830" s="32"/>
      <c r="C830" s="35" t="str">
        <f aca="false">IF(B830="","",IFERROR(INDEX(Leads!$C$2:$C$5001,MATCH(B830,Leads!$A$2:$A$5001,0))&amp;" "&amp;INDEX(Leads!$D$2:$D$5001,MATCH(B830,Leads!$A$2:$A$5001,0)),"N° no encontrado"))</f>
        <v/>
      </c>
      <c r="D830" s="35" t="str">
        <f aca="false">IF(B830="","",IFERROR(INDEX(Leads!$G$2:$G$5001,MATCH(B830,Leads!$A$2:$A$5001,0)),""))</f>
        <v/>
      </c>
      <c r="E830" s="32"/>
      <c r="F830" s="32"/>
      <c r="G830" s="32"/>
    </row>
    <row r="831" customFormat="false" ht="15" hidden="false" customHeight="false" outlineLevel="0" collapsed="false">
      <c r="A831" s="31"/>
      <c r="B831" s="32"/>
      <c r="C831" s="35" t="str">
        <f aca="false">IF(B831="","",IFERROR(INDEX(Leads!$C$2:$C$5001,MATCH(B831,Leads!$A$2:$A$5001,0))&amp;" "&amp;INDEX(Leads!$D$2:$D$5001,MATCH(B831,Leads!$A$2:$A$5001,0)),"N° no encontrado"))</f>
        <v/>
      </c>
      <c r="D831" s="35" t="str">
        <f aca="false">IF(B831="","",IFERROR(INDEX(Leads!$G$2:$G$5001,MATCH(B831,Leads!$A$2:$A$5001,0)),""))</f>
        <v/>
      </c>
      <c r="E831" s="32"/>
      <c r="F831" s="32"/>
      <c r="G831" s="32"/>
    </row>
    <row r="832" customFormat="false" ht="15" hidden="false" customHeight="false" outlineLevel="0" collapsed="false">
      <c r="A832" s="31"/>
      <c r="B832" s="32"/>
      <c r="C832" s="35" t="str">
        <f aca="false">IF(B832="","",IFERROR(INDEX(Leads!$C$2:$C$5001,MATCH(B832,Leads!$A$2:$A$5001,0))&amp;" "&amp;INDEX(Leads!$D$2:$D$5001,MATCH(B832,Leads!$A$2:$A$5001,0)),"N° no encontrado"))</f>
        <v/>
      </c>
      <c r="D832" s="35" t="str">
        <f aca="false">IF(B832="","",IFERROR(INDEX(Leads!$G$2:$G$5001,MATCH(B832,Leads!$A$2:$A$5001,0)),""))</f>
        <v/>
      </c>
      <c r="E832" s="32"/>
      <c r="F832" s="32"/>
      <c r="G832" s="32"/>
    </row>
    <row r="833" customFormat="false" ht="15" hidden="false" customHeight="false" outlineLevel="0" collapsed="false">
      <c r="A833" s="31"/>
      <c r="B833" s="32"/>
      <c r="C833" s="35" t="str">
        <f aca="false">IF(B833="","",IFERROR(INDEX(Leads!$C$2:$C$5001,MATCH(B833,Leads!$A$2:$A$5001,0))&amp;" "&amp;INDEX(Leads!$D$2:$D$5001,MATCH(B833,Leads!$A$2:$A$5001,0)),"N° no encontrado"))</f>
        <v/>
      </c>
      <c r="D833" s="35" t="str">
        <f aca="false">IF(B833="","",IFERROR(INDEX(Leads!$G$2:$G$5001,MATCH(B833,Leads!$A$2:$A$5001,0)),""))</f>
        <v/>
      </c>
      <c r="E833" s="32"/>
      <c r="F833" s="32"/>
      <c r="G833" s="32"/>
    </row>
    <row r="834" customFormat="false" ht="15" hidden="false" customHeight="false" outlineLevel="0" collapsed="false">
      <c r="A834" s="31"/>
      <c r="B834" s="32"/>
      <c r="C834" s="35" t="str">
        <f aca="false">IF(B834="","",IFERROR(INDEX(Leads!$C$2:$C$5001,MATCH(B834,Leads!$A$2:$A$5001,0))&amp;" "&amp;INDEX(Leads!$D$2:$D$5001,MATCH(B834,Leads!$A$2:$A$5001,0)),"N° no encontrado"))</f>
        <v/>
      </c>
      <c r="D834" s="35" t="str">
        <f aca="false">IF(B834="","",IFERROR(INDEX(Leads!$G$2:$G$5001,MATCH(B834,Leads!$A$2:$A$5001,0)),""))</f>
        <v/>
      </c>
      <c r="E834" s="32"/>
      <c r="F834" s="32"/>
      <c r="G834" s="32"/>
    </row>
    <row r="835" customFormat="false" ht="15" hidden="false" customHeight="false" outlineLevel="0" collapsed="false">
      <c r="A835" s="31"/>
      <c r="B835" s="32"/>
      <c r="C835" s="35" t="str">
        <f aca="false">IF(B835="","",IFERROR(INDEX(Leads!$C$2:$C$5001,MATCH(B835,Leads!$A$2:$A$5001,0))&amp;" "&amp;INDEX(Leads!$D$2:$D$5001,MATCH(B835,Leads!$A$2:$A$5001,0)),"N° no encontrado"))</f>
        <v/>
      </c>
      <c r="D835" s="35" t="str">
        <f aca="false">IF(B835="","",IFERROR(INDEX(Leads!$G$2:$G$5001,MATCH(B835,Leads!$A$2:$A$5001,0)),""))</f>
        <v/>
      </c>
      <c r="E835" s="32"/>
      <c r="F835" s="32"/>
      <c r="G835" s="32"/>
    </row>
    <row r="836" customFormat="false" ht="15" hidden="false" customHeight="false" outlineLevel="0" collapsed="false">
      <c r="A836" s="31"/>
      <c r="B836" s="32"/>
      <c r="C836" s="35" t="str">
        <f aca="false">IF(B836="","",IFERROR(INDEX(Leads!$C$2:$C$5001,MATCH(B836,Leads!$A$2:$A$5001,0))&amp;" "&amp;INDEX(Leads!$D$2:$D$5001,MATCH(B836,Leads!$A$2:$A$5001,0)),"N° no encontrado"))</f>
        <v/>
      </c>
      <c r="D836" s="35" t="str">
        <f aca="false">IF(B836="","",IFERROR(INDEX(Leads!$G$2:$G$5001,MATCH(B836,Leads!$A$2:$A$5001,0)),""))</f>
        <v/>
      </c>
      <c r="E836" s="32"/>
      <c r="F836" s="32"/>
      <c r="G836" s="32"/>
    </row>
    <row r="837" customFormat="false" ht="15" hidden="false" customHeight="false" outlineLevel="0" collapsed="false">
      <c r="A837" s="31"/>
      <c r="B837" s="32"/>
      <c r="C837" s="35" t="str">
        <f aca="false">IF(B837="","",IFERROR(INDEX(Leads!$C$2:$C$5001,MATCH(B837,Leads!$A$2:$A$5001,0))&amp;" "&amp;INDEX(Leads!$D$2:$D$5001,MATCH(B837,Leads!$A$2:$A$5001,0)),"N° no encontrado"))</f>
        <v/>
      </c>
      <c r="D837" s="35" t="str">
        <f aca="false">IF(B837="","",IFERROR(INDEX(Leads!$G$2:$G$5001,MATCH(B837,Leads!$A$2:$A$5001,0)),""))</f>
        <v/>
      </c>
      <c r="E837" s="32"/>
      <c r="F837" s="32"/>
      <c r="G837" s="32"/>
    </row>
    <row r="838" customFormat="false" ht="15" hidden="false" customHeight="false" outlineLevel="0" collapsed="false">
      <c r="A838" s="31"/>
      <c r="B838" s="32"/>
      <c r="C838" s="35" t="str">
        <f aca="false">IF(B838="","",IFERROR(INDEX(Leads!$C$2:$C$5001,MATCH(B838,Leads!$A$2:$A$5001,0))&amp;" "&amp;INDEX(Leads!$D$2:$D$5001,MATCH(B838,Leads!$A$2:$A$5001,0)),"N° no encontrado"))</f>
        <v/>
      </c>
      <c r="D838" s="35" t="str">
        <f aca="false">IF(B838="","",IFERROR(INDEX(Leads!$G$2:$G$5001,MATCH(B838,Leads!$A$2:$A$5001,0)),""))</f>
        <v/>
      </c>
      <c r="E838" s="32"/>
      <c r="F838" s="32"/>
      <c r="G838" s="32"/>
    </row>
    <row r="839" customFormat="false" ht="15" hidden="false" customHeight="false" outlineLevel="0" collapsed="false">
      <c r="A839" s="31"/>
      <c r="B839" s="32"/>
      <c r="C839" s="35" t="str">
        <f aca="false">IF(B839="","",IFERROR(INDEX(Leads!$C$2:$C$5001,MATCH(B839,Leads!$A$2:$A$5001,0))&amp;" "&amp;INDEX(Leads!$D$2:$D$5001,MATCH(B839,Leads!$A$2:$A$5001,0)),"N° no encontrado"))</f>
        <v/>
      </c>
      <c r="D839" s="35" t="str">
        <f aca="false">IF(B839="","",IFERROR(INDEX(Leads!$G$2:$G$5001,MATCH(B839,Leads!$A$2:$A$5001,0)),""))</f>
        <v/>
      </c>
      <c r="E839" s="32"/>
      <c r="F839" s="32"/>
      <c r="G839" s="32"/>
    </row>
    <row r="840" customFormat="false" ht="15" hidden="false" customHeight="false" outlineLevel="0" collapsed="false">
      <c r="A840" s="31"/>
      <c r="B840" s="32"/>
      <c r="C840" s="35" t="str">
        <f aca="false">IF(B840="","",IFERROR(INDEX(Leads!$C$2:$C$5001,MATCH(B840,Leads!$A$2:$A$5001,0))&amp;" "&amp;INDEX(Leads!$D$2:$D$5001,MATCH(B840,Leads!$A$2:$A$5001,0)),"N° no encontrado"))</f>
        <v/>
      </c>
      <c r="D840" s="35" t="str">
        <f aca="false">IF(B840="","",IFERROR(INDEX(Leads!$G$2:$G$5001,MATCH(B840,Leads!$A$2:$A$5001,0)),""))</f>
        <v/>
      </c>
      <c r="E840" s="32"/>
      <c r="F840" s="32"/>
      <c r="G840" s="32"/>
    </row>
    <row r="841" customFormat="false" ht="15" hidden="false" customHeight="false" outlineLevel="0" collapsed="false">
      <c r="A841" s="31"/>
      <c r="B841" s="32"/>
      <c r="C841" s="35" t="str">
        <f aca="false">IF(B841="","",IFERROR(INDEX(Leads!$C$2:$C$5001,MATCH(B841,Leads!$A$2:$A$5001,0))&amp;" "&amp;INDEX(Leads!$D$2:$D$5001,MATCH(B841,Leads!$A$2:$A$5001,0)),"N° no encontrado"))</f>
        <v/>
      </c>
      <c r="D841" s="35" t="str">
        <f aca="false">IF(B841="","",IFERROR(INDEX(Leads!$G$2:$G$5001,MATCH(B841,Leads!$A$2:$A$5001,0)),""))</f>
        <v/>
      </c>
      <c r="E841" s="32"/>
      <c r="F841" s="32"/>
      <c r="G841" s="32"/>
    </row>
    <row r="842" customFormat="false" ht="15" hidden="false" customHeight="false" outlineLevel="0" collapsed="false">
      <c r="A842" s="31"/>
      <c r="B842" s="32"/>
      <c r="C842" s="35" t="str">
        <f aca="false">IF(B842="","",IFERROR(INDEX(Leads!$C$2:$C$5001,MATCH(B842,Leads!$A$2:$A$5001,0))&amp;" "&amp;INDEX(Leads!$D$2:$D$5001,MATCH(B842,Leads!$A$2:$A$5001,0)),"N° no encontrado"))</f>
        <v/>
      </c>
      <c r="D842" s="35" t="str">
        <f aca="false">IF(B842="","",IFERROR(INDEX(Leads!$G$2:$G$5001,MATCH(B842,Leads!$A$2:$A$5001,0)),""))</f>
        <v/>
      </c>
      <c r="E842" s="32"/>
      <c r="F842" s="32"/>
      <c r="G842" s="32"/>
    </row>
    <row r="843" customFormat="false" ht="15" hidden="false" customHeight="false" outlineLevel="0" collapsed="false">
      <c r="A843" s="31"/>
      <c r="B843" s="32"/>
      <c r="C843" s="35" t="str">
        <f aca="false">IF(B843="","",IFERROR(INDEX(Leads!$C$2:$C$5001,MATCH(B843,Leads!$A$2:$A$5001,0))&amp;" "&amp;INDEX(Leads!$D$2:$D$5001,MATCH(B843,Leads!$A$2:$A$5001,0)),"N° no encontrado"))</f>
        <v/>
      </c>
      <c r="D843" s="35" t="str">
        <f aca="false">IF(B843="","",IFERROR(INDEX(Leads!$G$2:$G$5001,MATCH(B843,Leads!$A$2:$A$5001,0)),""))</f>
        <v/>
      </c>
      <c r="E843" s="32"/>
      <c r="F843" s="32"/>
      <c r="G843" s="32"/>
    </row>
    <row r="844" customFormat="false" ht="15" hidden="false" customHeight="false" outlineLevel="0" collapsed="false">
      <c r="A844" s="31"/>
      <c r="B844" s="32"/>
      <c r="C844" s="35" t="str">
        <f aca="false">IF(B844="","",IFERROR(INDEX(Leads!$C$2:$C$5001,MATCH(B844,Leads!$A$2:$A$5001,0))&amp;" "&amp;INDEX(Leads!$D$2:$D$5001,MATCH(B844,Leads!$A$2:$A$5001,0)),"N° no encontrado"))</f>
        <v/>
      </c>
      <c r="D844" s="35" t="str">
        <f aca="false">IF(B844="","",IFERROR(INDEX(Leads!$G$2:$G$5001,MATCH(B844,Leads!$A$2:$A$5001,0)),""))</f>
        <v/>
      </c>
      <c r="E844" s="32"/>
      <c r="F844" s="32"/>
      <c r="G844" s="32"/>
    </row>
    <row r="845" customFormat="false" ht="15" hidden="false" customHeight="false" outlineLevel="0" collapsed="false">
      <c r="A845" s="31"/>
      <c r="B845" s="32"/>
      <c r="C845" s="35" t="str">
        <f aca="false">IF(B845="","",IFERROR(INDEX(Leads!$C$2:$C$5001,MATCH(B845,Leads!$A$2:$A$5001,0))&amp;" "&amp;INDEX(Leads!$D$2:$D$5001,MATCH(B845,Leads!$A$2:$A$5001,0)),"N° no encontrado"))</f>
        <v/>
      </c>
      <c r="D845" s="35" t="str">
        <f aca="false">IF(B845="","",IFERROR(INDEX(Leads!$G$2:$G$5001,MATCH(B845,Leads!$A$2:$A$5001,0)),""))</f>
        <v/>
      </c>
      <c r="E845" s="32"/>
      <c r="F845" s="32"/>
      <c r="G845" s="32"/>
    </row>
    <row r="846" customFormat="false" ht="15" hidden="false" customHeight="false" outlineLevel="0" collapsed="false">
      <c r="A846" s="31"/>
      <c r="B846" s="32"/>
      <c r="C846" s="35" t="str">
        <f aca="false">IF(B846="","",IFERROR(INDEX(Leads!$C$2:$C$5001,MATCH(B846,Leads!$A$2:$A$5001,0))&amp;" "&amp;INDEX(Leads!$D$2:$D$5001,MATCH(B846,Leads!$A$2:$A$5001,0)),"N° no encontrado"))</f>
        <v/>
      </c>
      <c r="D846" s="35" t="str">
        <f aca="false">IF(B846="","",IFERROR(INDEX(Leads!$G$2:$G$5001,MATCH(B846,Leads!$A$2:$A$5001,0)),""))</f>
        <v/>
      </c>
      <c r="E846" s="32"/>
      <c r="F846" s="32"/>
      <c r="G846" s="32"/>
    </row>
    <row r="847" customFormat="false" ht="15" hidden="false" customHeight="false" outlineLevel="0" collapsed="false">
      <c r="A847" s="31"/>
      <c r="B847" s="32"/>
      <c r="C847" s="35" t="str">
        <f aca="false">IF(B847="","",IFERROR(INDEX(Leads!$C$2:$C$5001,MATCH(B847,Leads!$A$2:$A$5001,0))&amp;" "&amp;INDEX(Leads!$D$2:$D$5001,MATCH(B847,Leads!$A$2:$A$5001,0)),"N° no encontrado"))</f>
        <v/>
      </c>
      <c r="D847" s="35" t="str">
        <f aca="false">IF(B847="","",IFERROR(INDEX(Leads!$G$2:$G$5001,MATCH(B847,Leads!$A$2:$A$5001,0)),""))</f>
        <v/>
      </c>
      <c r="E847" s="32"/>
      <c r="F847" s="32"/>
      <c r="G847" s="32"/>
    </row>
    <row r="848" customFormat="false" ht="15" hidden="false" customHeight="false" outlineLevel="0" collapsed="false">
      <c r="A848" s="31"/>
      <c r="B848" s="32"/>
      <c r="C848" s="35" t="str">
        <f aca="false">IF(B848="","",IFERROR(INDEX(Leads!$C$2:$C$5001,MATCH(B848,Leads!$A$2:$A$5001,0))&amp;" "&amp;INDEX(Leads!$D$2:$D$5001,MATCH(B848,Leads!$A$2:$A$5001,0)),"N° no encontrado"))</f>
        <v/>
      </c>
      <c r="D848" s="35" t="str">
        <f aca="false">IF(B848="","",IFERROR(INDEX(Leads!$G$2:$G$5001,MATCH(B848,Leads!$A$2:$A$5001,0)),""))</f>
        <v/>
      </c>
      <c r="E848" s="32"/>
      <c r="F848" s="32"/>
      <c r="G848" s="32"/>
    </row>
    <row r="849" customFormat="false" ht="15" hidden="false" customHeight="false" outlineLevel="0" collapsed="false">
      <c r="A849" s="31"/>
      <c r="B849" s="32"/>
      <c r="C849" s="35" t="str">
        <f aca="false">IF(B849="","",IFERROR(INDEX(Leads!$C$2:$C$5001,MATCH(B849,Leads!$A$2:$A$5001,0))&amp;" "&amp;INDEX(Leads!$D$2:$D$5001,MATCH(B849,Leads!$A$2:$A$5001,0)),"N° no encontrado"))</f>
        <v/>
      </c>
      <c r="D849" s="35" t="str">
        <f aca="false">IF(B849="","",IFERROR(INDEX(Leads!$G$2:$G$5001,MATCH(B849,Leads!$A$2:$A$5001,0)),""))</f>
        <v/>
      </c>
      <c r="E849" s="32"/>
      <c r="F849" s="32"/>
      <c r="G849" s="32"/>
    </row>
    <row r="850" customFormat="false" ht="15" hidden="false" customHeight="false" outlineLevel="0" collapsed="false">
      <c r="A850" s="31"/>
      <c r="B850" s="32"/>
      <c r="C850" s="35" t="str">
        <f aca="false">IF(B850="","",IFERROR(INDEX(Leads!$C$2:$C$5001,MATCH(B850,Leads!$A$2:$A$5001,0))&amp;" "&amp;INDEX(Leads!$D$2:$D$5001,MATCH(B850,Leads!$A$2:$A$5001,0)),"N° no encontrado"))</f>
        <v/>
      </c>
      <c r="D850" s="35" t="str">
        <f aca="false">IF(B850="","",IFERROR(INDEX(Leads!$G$2:$G$5001,MATCH(B850,Leads!$A$2:$A$5001,0)),""))</f>
        <v/>
      </c>
      <c r="E850" s="32"/>
      <c r="F850" s="32"/>
      <c r="G850" s="32"/>
    </row>
    <row r="851" customFormat="false" ht="15" hidden="false" customHeight="false" outlineLevel="0" collapsed="false">
      <c r="A851" s="31"/>
      <c r="B851" s="32"/>
      <c r="C851" s="35" t="str">
        <f aca="false">IF(B851="","",IFERROR(INDEX(Leads!$C$2:$C$5001,MATCH(B851,Leads!$A$2:$A$5001,0))&amp;" "&amp;INDEX(Leads!$D$2:$D$5001,MATCH(B851,Leads!$A$2:$A$5001,0)),"N° no encontrado"))</f>
        <v/>
      </c>
      <c r="D851" s="35" t="str">
        <f aca="false">IF(B851="","",IFERROR(INDEX(Leads!$G$2:$G$5001,MATCH(B851,Leads!$A$2:$A$5001,0)),""))</f>
        <v/>
      </c>
      <c r="E851" s="32"/>
      <c r="F851" s="32"/>
      <c r="G851" s="32"/>
    </row>
    <row r="852" customFormat="false" ht="15" hidden="false" customHeight="false" outlineLevel="0" collapsed="false">
      <c r="A852" s="31"/>
      <c r="B852" s="32"/>
      <c r="C852" s="35" t="str">
        <f aca="false">IF(B852="","",IFERROR(INDEX(Leads!$C$2:$C$5001,MATCH(B852,Leads!$A$2:$A$5001,0))&amp;" "&amp;INDEX(Leads!$D$2:$D$5001,MATCH(B852,Leads!$A$2:$A$5001,0)),"N° no encontrado"))</f>
        <v/>
      </c>
      <c r="D852" s="35" t="str">
        <f aca="false">IF(B852="","",IFERROR(INDEX(Leads!$G$2:$G$5001,MATCH(B852,Leads!$A$2:$A$5001,0)),""))</f>
        <v/>
      </c>
      <c r="E852" s="32"/>
      <c r="F852" s="32"/>
      <c r="G852" s="32"/>
    </row>
    <row r="853" customFormat="false" ht="15" hidden="false" customHeight="false" outlineLevel="0" collapsed="false">
      <c r="A853" s="31"/>
      <c r="B853" s="32"/>
      <c r="C853" s="35" t="str">
        <f aca="false">IF(B853="","",IFERROR(INDEX(Leads!$C$2:$C$5001,MATCH(B853,Leads!$A$2:$A$5001,0))&amp;" "&amp;INDEX(Leads!$D$2:$D$5001,MATCH(B853,Leads!$A$2:$A$5001,0)),"N° no encontrado"))</f>
        <v/>
      </c>
      <c r="D853" s="35" t="str">
        <f aca="false">IF(B853="","",IFERROR(INDEX(Leads!$G$2:$G$5001,MATCH(B853,Leads!$A$2:$A$5001,0)),""))</f>
        <v/>
      </c>
      <c r="E853" s="32"/>
      <c r="F853" s="32"/>
      <c r="G853" s="32"/>
    </row>
    <row r="854" customFormat="false" ht="15" hidden="false" customHeight="false" outlineLevel="0" collapsed="false">
      <c r="A854" s="31"/>
      <c r="B854" s="32"/>
      <c r="C854" s="35" t="str">
        <f aca="false">IF(B854="","",IFERROR(INDEX(Leads!$C$2:$C$5001,MATCH(B854,Leads!$A$2:$A$5001,0))&amp;" "&amp;INDEX(Leads!$D$2:$D$5001,MATCH(B854,Leads!$A$2:$A$5001,0)),"N° no encontrado"))</f>
        <v/>
      </c>
      <c r="D854" s="35" t="str">
        <f aca="false">IF(B854="","",IFERROR(INDEX(Leads!$G$2:$G$5001,MATCH(B854,Leads!$A$2:$A$5001,0)),""))</f>
        <v/>
      </c>
      <c r="E854" s="32"/>
      <c r="F854" s="32"/>
      <c r="G854" s="32"/>
    </row>
    <row r="855" customFormat="false" ht="15" hidden="false" customHeight="false" outlineLevel="0" collapsed="false">
      <c r="A855" s="31"/>
      <c r="B855" s="32"/>
      <c r="C855" s="35" t="str">
        <f aca="false">IF(B855="","",IFERROR(INDEX(Leads!$C$2:$C$5001,MATCH(B855,Leads!$A$2:$A$5001,0))&amp;" "&amp;INDEX(Leads!$D$2:$D$5001,MATCH(B855,Leads!$A$2:$A$5001,0)),"N° no encontrado"))</f>
        <v/>
      </c>
      <c r="D855" s="35" t="str">
        <f aca="false">IF(B855="","",IFERROR(INDEX(Leads!$G$2:$G$5001,MATCH(B855,Leads!$A$2:$A$5001,0)),""))</f>
        <v/>
      </c>
      <c r="E855" s="32"/>
      <c r="F855" s="32"/>
      <c r="G855" s="32"/>
    </row>
    <row r="856" customFormat="false" ht="15" hidden="false" customHeight="false" outlineLevel="0" collapsed="false">
      <c r="A856" s="31"/>
      <c r="B856" s="32"/>
      <c r="C856" s="35" t="str">
        <f aca="false">IF(B856="","",IFERROR(INDEX(Leads!$C$2:$C$5001,MATCH(B856,Leads!$A$2:$A$5001,0))&amp;" "&amp;INDEX(Leads!$D$2:$D$5001,MATCH(B856,Leads!$A$2:$A$5001,0)),"N° no encontrado"))</f>
        <v/>
      </c>
      <c r="D856" s="35" t="str">
        <f aca="false">IF(B856="","",IFERROR(INDEX(Leads!$G$2:$G$5001,MATCH(B856,Leads!$A$2:$A$5001,0)),""))</f>
        <v/>
      </c>
      <c r="E856" s="32"/>
      <c r="F856" s="32"/>
      <c r="G856" s="32"/>
    </row>
    <row r="857" customFormat="false" ht="15" hidden="false" customHeight="false" outlineLevel="0" collapsed="false">
      <c r="A857" s="31"/>
      <c r="B857" s="32"/>
      <c r="C857" s="35" t="str">
        <f aca="false">IF(B857="","",IFERROR(INDEX(Leads!$C$2:$C$5001,MATCH(B857,Leads!$A$2:$A$5001,0))&amp;" "&amp;INDEX(Leads!$D$2:$D$5001,MATCH(B857,Leads!$A$2:$A$5001,0)),"N° no encontrado"))</f>
        <v/>
      </c>
      <c r="D857" s="35" t="str">
        <f aca="false">IF(B857="","",IFERROR(INDEX(Leads!$G$2:$G$5001,MATCH(B857,Leads!$A$2:$A$5001,0)),""))</f>
        <v/>
      </c>
      <c r="E857" s="32"/>
      <c r="F857" s="32"/>
      <c r="G857" s="32"/>
    </row>
    <row r="858" customFormat="false" ht="15" hidden="false" customHeight="false" outlineLevel="0" collapsed="false">
      <c r="A858" s="31"/>
      <c r="B858" s="32"/>
      <c r="C858" s="35" t="str">
        <f aca="false">IF(B858="","",IFERROR(INDEX(Leads!$C$2:$C$5001,MATCH(B858,Leads!$A$2:$A$5001,0))&amp;" "&amp;INDEX(Leads!$D$2:$D$5001,MATCH(B858,Leads!$A$2:$A$5001,0)),"N° no encontrado"))</f>
        <v/>
      </c>
      <c r="D858" s="35" t="str">
        <f aca="false">IF(B858="","",IFERROR(INDEX(Leads!$G$2:$G$5001,MATCH(B858,Leads!$A$2:$A$5001,0)),""))</f>
        <v/>
      </c>
      <c r="E858" s="32"/>
      <c r="F858" s="32"/>
      <c r="G858" s="32"/>
    </row>
    <row r="859" customFormat="false" ht="15" hidden="false" customHeight="false" outlineLevel="0" collapsed="false">
      <c r="A859" s="31"/>
      <c r="B859" s="32"/>
      <c r="C859" s="35" t="str">
        <f aca="false">IF(B859="","",IFERROR(INDEX(Leads!$C$2:$C$5001,MATCH(B859,Leads!$A$2:$A$5001,0))&amp;" "&amp;INDEX(Leads!$D$2:$D$5001,MATCH(B859,Leads!$A$2:$A$5001,0)),"N° no encontrado"))</f>
        <v/>
      </c>
      <c r="D859" s="35" t="str">
        <f aca="false">IF(B859="","",IFERROR(INDEX(Leads!$G$2:$G$5001,MATCH(B859,Leads!$A$2:$A$5001,0)),""))</f>
        <v/>
      </c>
      <c r="E859" s="32"/>
      <c r="F859" s="32"/>
      <c r="G859" s="32"/>
    </row>
    <row r="860" customFormat="false" ht="15" hidden="false" customHeight="false" outlineLevel="0" collapsed="false">
      <c r="A860" s="31"/>
      <c r="B860" s="32"/>
      <c r="C860" s="35" t="str">
        <f aca="false">IF(B860="","",IFERROR(INDEX(Leads!$C$2:$C$5001,MATCH(B860,Leads!$A$2:$A$5001,0))&amp;" "&amp;INDEX(Leads!$D$2:$D$5001,MATCH(B860,Leads!$A$2:$A$5001,0)),"N° no encontrado"))</f>
        <v/>
      </c>
      <c r="D860" s="35" t="str">
        <f aca="false">IF(B860="","",IFERROR(INDEX(Leads!$G$2:$G$5001,MATCH(B860,Leads!$A$2:$A$5001,0)),""))</f>
        <v/>
      </c>
      <c r="E860" s="32"/>
      <c r="F860" s="32"/>
      <c r="G860" s="32"/>
    </row>
    <row r="861" customFormat="false" ht="15" hidden="false" customHeight="false" outlineLevel="0" collapsed="false">
      <c r="A861" s="31"/>
      <c r="B861" s="32"/>
      <c r="C861" s="35" t="str">
        <f aca="false">IF(B861="","",IFERROR(INDEX(Leads!$C$2:$C$5001,MATCH(B861,Leads!$A$2:$A$5001,0))&amp;" "&amp;INDEX(Leads!$D$2:$D$5001,MATCH(B861,Leads!$A$2:$A$5001,0)),"N° no encontrado"))</f>
        <v/>
      </c>
      <c r="D861" s="35" t="str">
        <f aca="false">IF(B861="","",IFERROR(INDEX(Leads!$G$2:$G$5001,MATCH(B861,Leads!$A$2:$A$5001,0)),""))</f>
        <v/>
      </c>
      <c r="E861" s="32"/>
      <c r="F861" s="32"/>
      <c r="G861" s="32"/>
    </row>
    <row r="862" customFormat="false" ht="15" hidden="false" customHeight="false" outlineLevel="0" collapsed="false">
      <c r="A862" s="31"/>
      <c r="B862" s="32"/>
      <c r="C862" s="35" t="str">
        <f aca="false">IF(B862="","",IFERROR(INDEX(Leads!$C$2:$C$5001,MATCH(B862,Leads!$A$2:$A$5001,0))&amp;" "&amp;INDEX(Leads!$D$2:$D$5001,MATCH(B862,Leads!$A$2:$A$5001,0)),"N° no encontrado"))</f>
        <v/>
      </c>
      <c r="D862" s="35" t="str">
        <f aca="false">IF(B862="","",IFERROR(INDEX(Leads!$G$2:$G$5001,MATCH(B862,Leads!$A$2:$A$5001,0)),""))</f>
        <v/>
      </c>
      <c r="E862" s="32"/>
      <c r="F862" s="32"/>
      <c r="G862" s="32"/>
    </row>
    <row r="863" customFormat="false" ht="15" hidden="false" customHeight="false" outlineLevel="0" collapsed="false">
      <c r="A863" s="31"/>
      <c r="B863" s="32"/>
      <c r="C863" s="35" t="str">
        <f aca="false">IF(B863="","",IFERROR(INDEX(Leads!$C$2:$C$5001,MATCH(B863,Leads!$A$2:$A$5001,0))&amp;" "&amp;INDEX(Leads!$D$2:$D$5001,MATCH(B863,Leads!$A$2:$A$5001,0)),"N° no encontrado"))</f>
        <v/>
      </c>
      <c r="D863" s="35" t="str">
        <f aca="false">IF(B863="","",IFERROR(INDEX(Leads!$G$2:$G$5001,MATCH(B863,Leads!$A$2:$A$5001,0)),""))</f>
        <v/>
      </c>
      <c r="E863" s="32"/>
      <c r="F863" s="32"/>
      <c r="G863" s="32"/>
    </row>
    <row r="864" customFormat="false" ht="15" hidden="false" customHeight="false" outlineLevel="0" collapsed="false">
      <c r="A864" s="31"/>
      <c r="B864" s="32"/>
      <c r="C864" s="35" t="str">
        <f aca="false">IF(B864="","",IFERROR(INDEX(Leads!$C$2:$C$5001,MATCH(B864,Leads!$A$2:$A$5001,0))&amp;" "&amp;INDEX(Leads!$D$2:$D$5001,MATCH(B864,Leads!$A$2:$A$5001,0)),"N° no encontrado"))</f>
        <v/>
      </c>
      <c r="D864" s="35" t="str">
        <f aca="false">IF(B864="","",IFERROR(INDEX(Leads!$G$2:$G$5001,MATCH(B864,Leads!$A$2:$A$5001,0)),""))</f>
        <v/>
      </c>
      <c r="E864" s="32"/>
      <c r="F864" s="32"/>
      <c r="G864" s="32"/>
    </row>
    <row r="865" customFormat="false" ht="15" hidden="false" customHeight="false" outlineLevel="0" collapsed="false">
      <c r="A865" s="31"/>
      <c r="B865" s="32"/>
      <c r="C865" s="35" t="str">
        <f aca="false">IF(B865="","",IFERROR(INDEX(Leads!$C$2:$C$5001,MATCH(B865,Leads!$A$2:$A$5001,0))&amp;" "&amp;INDEX(Leads!$D$2:$D$5001,MATCH(B865,Leads!$A$2:$A$5001,0)),"N° no encontrado"))</f>
        <v/>
      </c>
      <c r="D865" s="35" t="str">
        <f aca="false">IF(B865="","",IFERROR(INDEX(Leads!$G$2:$G$5001,MATCH(B865,Leads!$A$2:$A$5001,0)),""))</f>
        <v/>
      </c>
      <c r="E865" s="32"/>
      <c r="F865" s="32"/>
      <c r="G865" s="32"/>
    </row>
    <row r="866" customFormat="false" ht="15" hidden="false" customHeight="false" outlineLevel="0" collapsed="false">
      <c r="A866" s="31"/>
      <c r="B866" s="32"/>
      <c r="C866" s="35" t="str">
        <f aca="false">IF(B866="","",IFERROR(INDEX(Leads!$C$2:$C$5001,MATCH(B866,Leads!$A$2:$A$5001,0))&amp;" "&amp;INDEX(Leads!$D$2:$D$5001,MATCH(B866,Leads!$A$2:$A$5001,0)),"N° no encontrado"))</f>
        <v/>
      </c>
      <c r="D866" s="35" t="str">
        <f aca="false">IF(B866="","",IFERROR(INDEX(Leads!$G$2:$G$5001,MATCH(B866,Leads!$A$2:$A$5001,0)),""))</f>
        <v/>
      </c>
      <c r="E866" s="32"/>
      <c r="F866" s="32"/>
      <c r="G866" s="32"/>
    </row>
    <row r="867" customFormat="false" ht="15" hidden="false" customHeight="false" outlineLevel="0" collapsed="false">
      <c r="A867" s="31"/>
      <c r="B867" s="32"/>
      <c r="C867" s="35" t="str">
        <f aca="false">IF(B867="","",IFERROR(INDEX(Leads!$C$2:$C$5001,MATCH(B867,Leads!$A$2:$A$5001,0))&amp;" "&amp;INDEX(Leads!$D$2:$D$5001,MATCH(B867,Leads!$A$2:$A$5001,0)),"N° no encontrado"))</f>
        <v/>
      </c>
      <c r="D867" s="35" t="str">
        <f aca="false">IF(B867="","",IFERROR(INDEX(Leads!$G$2:$G$5001,MATCH(B867,Leads!$A$2:$A$5001,0)),""))</f>
        <v/>
      </c>
      <c r="E867" s="32"/>
      <c r="F867" s="32"/>
      <c r="G867" s="32"/>
    </row>
    <row r="868" customFormat="false" ht="15" hidden="false" customHeight="false" outlineLevel="0" collapsed="false">
      <c r="A868" s="31"/>
      <c r="B868" s="32"/>
      <c r="C868" s="35" t="str">
        <f aca="false">IF(B868="","",IFERROR(INDEX(Leads!$C$2:$C$5001,MATCH(B868,Leads!$A$2:$A$5001,0))&amp;" "&amp;INDEX(Leads!$D$2:$D$5001,MATCH(B868,Leads!$A$2:$A$5001,0)),"N° no encontrado"))</f>
        <v/>
      </c>
      <c r="D868" s="35" t="str">
        <f aca="false">IF(B868="","",IFERROR(INDEX(Leads!$G$2:$G$5001,MATCH(B868,Leads!$A$2:$A$5001,0)),""))</f>
        <v/>
      </c>
      <c r="E868" s="32"/>
      <c r="F868" s="32"/>
      <c r="G868" s="32"/>
    </row>
    <row r="869" customFormat="false" ht="15" hidden="false" customHeight="false" outlineLevel="0" collapsed="false">
      <c r="A869" s="31"/>
      <c r="B869" s="32"/>
      <c r="C869" s="35" t="str">
        <f aca="false">IF(B869="","",IFERROR(INDEX(Leads!$C$2:$C$5001,MATCH(B869,Leads!$A$2:$A$5001,0))&amp;" "&amp;INDEX(Leads!$D$2:$D$5001,MATCH(B869,Leads!$A$2:$A$5001,0)),"N° no encontrado"))</f>
        <v/>
      </c>
      <c r="D869" s="35" t="str">
        <f aca="false">IF(B869="","",IFERROR(INDEX(Leads!$G$2:$G$5001,MATCH(B869,Leads!$A$2:$A$5001,0)),""))</f>
        <v/>
      </c>
      <c r="E869" s="32"/>
      <c r="F869" s="32"/>
      <c r="G869" s="32"/>
    </row>
    <row r="870" customFormat="false" ht="15" hidden="false" customHeight="false" outlineLevel="0" collapsed="false">
      <c r="A870" s="31"/>
      <c r="B870" s="32"/>
      <c r="C870" s="35" t="str">
        <f aca="false">IF(B870="","",IFERROR(INDEX(Leads!$C$2:$C$5001,MATCH(B870,Leads!$A$2:$A$5001,0))&amp;" "&amp;INDEX(Leads!$D$2:$D$5001,MATCH(B870,Leads!$A$2:$A$5001,0)),"N° no encontrado"))</f>
        <v/>
      </c>
      <c r="D870" s="35" t="str">
        <f aca="false">IF(B870="","",IFERROR(INDEX(Leads!$G$2:$G$5001,MATCH(B870,Leads!$A$2:$A$5001,0)),""))</f>
        <v/>
      </c>
      <c r="E870" s="32"/>
      <c r="F870" s="32"/>
      <c r="G870" s="32"/>
    </row>
    <row r="871" customFormat="false" ht="15" hidden="false" customHeight="false" outlineLevel="0" collapsed="false">
      <c r="A871" s="31"/>
      <c r="B871" s="32"/>
      <c r="C871" s="35" t="str">
        <f aca="false">IF(B871="","",IFERROR(INDEX(Leads!$C$2:$C$5001,MATCH(B871,Leads!$A$2:$A$5001,0))&amp;" "&amp;INDEX(Leads!$D$2:$D$5001,MATCH(B871,Leads!$A$2:$A$5001,0)),"N° no encontrado"))</f>
        <v/>
      </c>
      <c r="D871" s="35" t="str">
        <f aca="false">IF(B871="","",IFERROR(INDEX(Leads!$G$2:$G$5001,MATCH(B871,Leads!$A$2:$A$5001,0)),""))</f>
        <v/>
      </c>
      <c r="E871" s="32"/>
      <c r="F871" s="32"/>
      <c r="G871" s="32"/>
    </row>
    <row r="872" customFormat="false" ht="15" hidden="false" customHeight="false" outlineLevel="0" collapsed="false">
      <c r="A872" s="31"/>
      <c r="B872" s="32"/>
      <c r="C872" s="35" t="str">
        <f aca="false">IF(B872="","",IFERROR(INDEX(Leads!$C$2:$C$5001,MATCH(B872,Leads!$A$2:$A$5001,0))&amp;" "&amp;INDEX(Leads!$D$2:$D$5001,MATCH(B872,Leads!$A$2:$A$5001,0)),"N° no encontrado"))</f>
        <v/>
      </c>
      <c r="D872" s="35" t="str">
        <f aca="false">IF(B872="","",IFERROR(INDEX(Leads!$G$2:$G$5001,MATCH(B872,Leads!$A$2:$A$5001,0)),""))</f>
        <v/>
      </c>
      <c r="E872" s="32"/>
      <c r="F872" s="32"/>
      <c r="G872" s="32"/>
    </row>
    <row r="873" customFormat="false" ht="15" hidden="false" customHeight="false" outlineLevel="0" collapsed="false">
      <c r="A873" s="31"/>
      <c r="B873" s="32"/>
      <c r="C873" s="35" t="str">
        <f aca="false">IF(B873="","",IFERROR(INDEX(Leads!$C$2:$C$5001,MATCH(B873,Leads!$A$2:$A$5001,0))&amp;" "&amp;INDEX(Leads!$D$2:$D$5001,MATCH(B873,Leads!$A$2:$A$5001,0)),"N° no encontrado"))</f>
        <v/>
      </c>
      <c r="D873" s="35" t="str">
        <f aca="false">IF(B873="","",IFERROR(INDEX(Leads!$G$2:$G$5001,MATCH(B873,Leads!$A$2:$A$5001,0)),""))</f>
        <v/>
      </c>
      <c r="E873" s="32"/>
      <c r="F873" s="32"/>
      <c r="G873" s="32"/>
    </row>
    <row r="874" customFormat="false" ht="15" hidden="false" customHeight="false" outlineLevel="0" collapsed="false">
      <c r="A874" s="31"/>
      <c r="B874" s="32"/>
      <c r="C874" s="35" t="str">
        <f aca="false">IF(B874="","",IFERROR(INDEX(Leads!$C$2:$C$5001,MATCH(B874,Leads!$A$2:$A$5001,0))&amp;" "&amp;INDEX(Leads!$D$2:$D$5001,MATCH(B874,Leads!$A$2:$A$5001,0)),"N° no encontrado"))</f>
        <v/>
      </c>
      <c r="D874" s="35" t="str">
        <f aca="false">IF(B874="","",IFERROR(INDEX(Leads!$G$2:$G$5001,MATCH(B874,Leads!$A$2:$A$5001,0)),""))</f>
        <v/>
      </c>
      <c r="E874" s="32"/>
      <c r="F874" s="32"/>
      <c r="G874" s="32"/>
    </row>
    <row r="875" customFormat="false" ht="15" hidden="false" customHeight="false" outlineLevel="0" collapsed="false">
      <c r="A875" s="31"/>
      <c r="B875" s="32"/>
      <c r="C875" s="35" t="str">
        <f aca="false">IF(B875="","",IFERROR(INDEX(Leads!$C$2:$C$5001,MATCH(B875,Leads!$A$2:$A$5001,0))&amp;" "&amp;INDEX(Leads!$D$2:$D$5001,MATCH(B875,Leads!$A$2:$A$5001,0)),"N° no encontrado"))</f>
        <v/>
      </c>
      <c r="D875" s="35" t="str">
        <f aca="false">IF(B875="","",IFERROR(INDEX(Leads!$G$2:$G$5001,MATCH(B875,Leads!$A$2:$A$5001,0)),""))</f>
        <v/>
      </c>
      <c r="E875" s="32"/>
      <c r="F875" s="32"/>
      <c r="G875" s="32"/>
    </row>
    <row r="876" customFormat="false" ht="15" hidden="false" customHeight="false" outlineLevel="0" collapsed="false">
      <c r="A876" s="31"/>
      <c r="B876" s="32"/>
      <c r="C876" s="35" t="str">
        <f aca="false">IF(B876="","",IFERROR(INDEX(Leads!$C$2:$C$5001,MATCH(B876,Leads!$A$2:$A$5001,0))&amp;" "&amp;INDEX(Leads!$D$2:$D$5001,MATCH(B876,Leads!$A$2:$A$5001,0)),"N° no encontrado"))</f>
        <v/>
      </c>
      <c r="D876" s="35" t="str">
        <f aca="false">IF(B876="","",IFERROR(INDEX(Leads!$G$2:$G$5001,MATCH(B876,Leads!$A$2:$A$5001,0)),""))</f>
        <v/>
      </c>
      <c r="E876" s="32"/>
      <c r="F876" s="32"/>
      <c r="G876" s="32"/>
    </row>
    <row r="877" customFormat="false" ht="15" hidden="false" customHeight="false" outlineLevel="0" collapsed="false">
      <c r="A877" s="31"/>
      <c r="B877" s="32"/>
      <c r="C877" s="35" t="str">
        <f aca="false">IF(B877="","",IFERROR(INDEX(Leads!$C$2:$C$5001,MATCH(B877,Leads!$A$2:$A$5001,0))&amp;" "&amp;INDEX(Leads!$D$2:$D$5001,MATCH(B877,Leads!$A$2:$A$5001,0)),"N° no encontrado"))</f>
        <v/>
      </c>
      <c r="D877" s="35" t="str">
        <f aca="false">IF(B877="","",IFERROR(INDEX(Leads!$G$2:$G$5001,MATCH(B877,Leads!$A$2:$A$5001,0)),""))</f>
        <v/>
      </c>
      <c r="E877" s="32"/>
      <c r="F877" s="32"/>
      <c r="G877" s="32"/>
    </row>
    <row r="878" customFormat="false" ht="15" hidden="false" customHeight="false" outlineLevel="0" collapsed="false">
      <c r="A878" s="31"/>
      <c r="B878" s="32"/>
      <c r="C878" s="35" t="str">
        <f aca="false">IF(B878="","",IFERROR(INDEX(Leads!$C$2:$C$5001,MATCH(B878,Leads!$A$2:$A$5001,0))&amp;" "&amp;INDEX(Leads!$D$2:$D$5001,MATCH(B878,Leads!$A$2:$A$5001,0)),"N° no encontrado"))</f>
        <v/>
      </c>
      <c r="D878" s="35" t="str">
        <f aca="false">IF(B878="","",IFERROR(INDEX(Leads!$G$2:$G$5001,MATCH(B878,Leads!$A$2:$A$5001,0)),""))</f>
        <v/>
      </c>
      <c r="E878" s="32"/>
      <c r="F878" s="32"/>
      <c r="G878" s="32"/>
    </row>
    <row r="879" customFormat="false" ht="15" hidden="false" customHeight="false" outlineLevel="0" collapsed="false">
      <c r="A879" s="31"/>
      <c r="B879" s="32"/>
      <c r="C879" s="35" t="str">
        <f aca="false">IF(B879="","",IFERROR(INDEX(Leads!$C$2:$C$5001,MATCH(B879,Leads!$A$2:$A$5001,0))&amp;" "&amp;INDEX(Leads!$D$2:$D$5001,MATCH(B879,Leads!$A$2:$A$5001,0)),"N° no encontrado"))</f>
        <v/>
      </c>
      <c r="D879" s="35" t="str">
        <f aca="false">IF(B879="","",IFERROR(INDEX(Leads!$G$2:$G$5001,MATCH(B879,Leads!$A$2:$A$5001,0)),""))</f>
        <v/>
      </c>
      <c r="E879" s="32"/>
      <c r="F879" s="32"/>
      <c r="G879" s="32"/>
    </row>
    <row r="880" customFormat="false" ht="15" hidden="false" customHeight="false" outlineLevel="0" collapsed="false">
      <c r="A880" s="31"/>
      <c r="B880" s="32"/>
      <c r="C880" s="35" t="str">
        <f aca="false">IF(B880="","",IFERROR(INDEX(Leads!$C$2:$C$5001,MATCH(B880,Leads!$A$2:$A$5001,0))&amp;" "&amp;INDEX(Leads!$D$2:$D$5001,MATCH(B880,Leads!$A$2:$A$5001,0)),"N° no encontrado"))</f>
        <v/>
      </c>
      <c r="D880" s="35" t="str">
        <f aca="false">IF(B880="","",IFERROR(INDEX(Leads!$G$2:$G$5001,MATCH(B880,Leads!$A$2:$A$5001,0)),""))</f>
        <v/>
      </c>
      <c r="E880" s="32"/>
      <c r="F880" s="32"/>
      <c r="G880" s="32"/>
    </row>
    <row r="881" customFormat="false" ht="15" hidden="false" customHeight="false" outlineLevel="0" collapsed="false">
      <c r="A881" s="31"/>
      <c r="B881" s="32"/>
      <c r="C881" s="35" t="str">
        <f aca="false">IF(B881="","",IFERROR(INDEX(Leads!$C$2:$C$5001,MATCH(B881,Leads!$A$2:$A$5001,0))&amp;" "&amp;INDEX(Leads!$D$2:$D$5001,MATCH(B881,Leads!$A$2:$A$5001,0)),"N° no encontrado"))</f>
        <v/>
      </c>
      <c r="D881" s="35" t="str">
        <f aca="false">IF(B881="","",IFERROR(INDEX(Leads!$G$2:$G$5001,MATCH(B881,Leads!$A$2:$A$5001,0)),""))</f>
        <v/>
      </c>
      <c r="E881" s="32"/>
      <c r="F881" s="32"/>
      <c r="G881" s="32"/>
    </row>
    <row r="882" customFormat="false" ht="15" hidden="false" customHeight="false" outlineLevel="0" collapsed="false">
      <c r="A882" s="31"/>
      <c r="B882" s="32"/>
      <c r="C882" s="35" t="str">
        <f aca="false">IF(B882="","",IFERROR(INDEX(Leads!$C$2:$C$5001,MATCH(B882,Leads!$A$2:$A$5001,0))&amp;" "&amp;INDEX(Leads!$D$2:$D$5001,MATCH(B882,Leads!$A$2:$A$5001,0)),"N° no encontrado"))</f>
        <v/>
      </c>
      <c r="D882" s="35" t="str">
        <f aca="false">IF(B882="","",IFERROR(INDEX(Leads!$G$2:$G$5001,MATCH(B882,Leads!$A$2:$A$5001,0)),""))</f>
        <v/>
      </c>
      <c r="E882" s="32"/>
      <c r="F882" s="32"/>
      <c r="G882" s="32"/>
    </row>
    <row r="883" customFormat="false" ht="15" hidden="false" customHeight="false" outlineLevel="0" collapsed="false">
      <c r="A883" s="31"/>
      <c r="B883" s="32"/>
      <c r="C883" s="35" t="str">
        <f aca="false">IF(B883="","",IFERROR(INDEX(Leads!$C$2:$C$5001,MATCH(B883,Leads!$A$2:$A$5001,0))&amp;" "&amp;INDEX(Leads!$D$2:$D$5001,MATCH(B883,Leads!$A$2:$A$5001,0)),"N° no encontrado"))</f>
        <v/>
      </c>
      <c r="D883" s="35" t="str">
        <f aca="false">IF(B883="","",IFERROR(INDEX(Leads!$G$2:$G$5001,MATCH(B883,Leads!$A$2:$A$5001,0)),""))</f>
        <v/>
      </c>
      <c r="E883" s="32"/>
      <c r="F883" s="32"/>
      <c r="G883" s="32"/>
    </row>
    <row r="884" customFormat="false" ht="15" hidden="false" customHeight="false" outlineLevel="0" collapsed="false">
      <c r="A884" s="31"/>
      <c r="B884" s="32"/>
      <c r="C884" s="35" t="str">
        <f aca="false">IF(B884="","",IFERROR(INDEX(Leads!$C$2:$C$5001,MATCH(B884,Leads!$A$2:$A$5001,0))&amp;" "&amp;INDEX(Leads!$D$2:$D$5001,MATCH(B884,Leads!$A$2:$A$5001,0)),"N° no encontrado"))</f>
        <v/>
      </c>
      <c r="D884" s="35" t="str">
        <f aca="false">IF(B884="","",IFERROR(INDEX(Leads!$G$2:$G$5001,MATCH(B884,Leads!$A$2:$A$5001,0)),""))</f>
        <v/>
      </c>
      <c r="E884" s="32"/>
      <c r="F884" s="32"/>
      <c r="G884" s="32"/>
    </row>
    <row r="885" customFormat="false" ht="15" hidden="false" customHeight="false" outlineLevel="0" collapsed="false">
      <c r="A885" s="31"/>
      <c r="B885" s="32"/>
      <c r="C885" s="35" t="str">
        <f aca="false">IF(B885="","",IFERROR(INDEX(Leads!$C$2:$C$5001,MATCH(B885,Leads!$A$2:$A$5001,0))&amp;" "&amp;INDEX(Leads!$D$2:$D$5001,MATCH(B885,Leads!$A$2:$A$5001,0)),"N° no encontrado"))</f>
        <v/>
      </c>
      <c r="D885" s="35" t="str">
        <f aca="false">IF(B885="","",IFERROR(INDEX(Leads!$G$2:$G$5001,MATCH(B885,Leads!$A$2:$A$5001,0)),""))</f>
        <v/>
      </c>
      <c r="E885" s="32"/>
      <c r="F885" s="32"/>
      <c r="G885" s="32"/>
    </row>
    <row r="886" customFormat="false" ht="15" hidden="false" customHeight="false" outlineLevel="0" collapsed="false">
      <c r="A886" s="31"/>
      <c r="B886" s="32"/>
      <c r="C886" s="35" t="str">
        <f aca="false">IF(B886="","",IFERROR(INDEX(Leads!$C$2:$C$5001,MATCH(B886,Leads!$A$2:$A$5001,0))&amp;" "&amp;INDEX(Leads!$D$2:$D$5001,MATCH(B886,Leads!$A$2:$A$5001,0)),"N° no encontrado"))</f>
        <v/>
      </c>
      <c r="D886" s="35" t="str">
        <f aca="false">IF(B886="","",IFERROR(INDEX(Leads!$G$2:$G$5001,MATCH(B886,Leads!$A$2:$A$5001,0)),""))</f>
        <v/>
      </c>
      <c r="E886" s="32"/>
      <c r="F886" s="32"/>
      <c r="G886" s="32"/>
    </row>
    <row r="887" customFormat="false" ht="15" hidden="false" customHeight="false" outlineLevel="0" collapsed="false">
      <c r="A887" s="31"/>
      <c r="B887" s="32"/>
      <c r="C887" s="35" t="str">
        <f aca="false">IF(B887="","",IFERROR(INDEX(Leads!$C$2:$C$5001,MATCH(B887,Leads!$A$2:$A$5001,0))&amp;" "&amp;INDEX(Leads!$D$2:$D$5001,MATCH(B887,Leads!$A$2:$A$5001,0)),"N° no encontrado"))</f>
        <v/>
      </c>
      <c r="D887" s="35" t="str">
        <f aca="false">IF(B887="","",IFERROR(INDEX(Leads!$G$2:$G$5001,MATCH(B887,Leads!$A$2:$A$5001,0)),""))</f>
        <v/>
      </c>
      <c r="E887" s="32"/>
      <c r="F887" s="32"/>
      <c r="G887" s="32"/>
    </row>
    <row r="888" customFormat="false" ht="15" hidden="false" customHeight="false" outlineLevel="0" collapsed="false">
      <c r="A888" s="31"/>
      <c r="B888" s="32"/>
      <c r="C888" s="35" t="str">
        <f aca="false">IF(B888="","",IFERROR(INDEX(Leads!$C$2:$C$5001,MATCH(B888,Leads!$A$2:$A$5001,0))&amp;" "&amp;INDEX(Leads!$D$2:$D$5001,MATCH(B888,Leads!$A$2:$A$5001,0)),"N° no encontrado"))</f>
        <v/>
      </c>
      <c r="D888" s="35" t="str">
        <f aca="false">IF(B888="","",IFERROR(INDEX(Leads!$G$2:$G$5001,MATCH(B888,Leads!$A$2:$A$5001,0)),""))</f>
        <v/>
      </c>
      <c r="E888" s="32"/>
      <c r="F888" s="32"/>
      <c r="G888" s="32"/>
    </row>
    <row r="889" customFormat="false" ht="15" hidden="false" customHeight="false" outlineLevel="0" collapsed="false">
      <c r="A889" s="31"/>
      <c r="B889" s="32"/>
      <c r="C889" s="35" t="str">
        <f aca="false">IF(B889="","",IFERROR(INDEX(Leads!$C$2:$C$5001,MATCH(B889,Leads!$A$2:$A$5001,0))&amp;" "&amp;INDEX(Leads!$D$2:$D$5001,MATCH(B889,Leads!$A$2:$A$5001,0)),"N° no encontrado"))</f>
        <v/>
      </c>
      <c r="D889" s="35" t="str">
        <f aca="false">IF(B889="","",IFERROR(INDEX(Leads!$G$2:$G$5001,MATCH(B889,Leads!$A$2:$A$5001,0)),""))</f>
        <v/>
      </c>
      <c r="E889" s="32"/>
      <c r="F889" s="32"/>
      <c r="G889" s="32"/>
    </row>
    <row r="890" customFormat="false" ht="15" hidden="false" customHeight="false" outlineLevel="0" collapsed="false">
      <c r="A890" s="31"/>
      <c r="B890" s="32"/>
      <c r="C890" s="35" t="str">
        <f aca="false">IF(B890="","",IFERROR(INDEX(Leads!$C$2:$C$5001,MATCH(B890,Leads!$A$2:$A$5001,0))&amp;" "&amp;INDEX(Leads!$D$2:$D$5001,MATCH(B890,Leads!$A$2:$A$5001,0)),"N° no encontrado"))</f>
        <v/>
      </c>
      <c r="D890" s="35" t="str">
        <f aca="false">IF(B890="","",IFERROR(INDEX(Leads!$G$2:$G$5001,MATCH(B890,Leads!$A$2:$A$5001,0)),""))</f>
        <v/>
      </c>
      <c r="E890" s="32"/>
      <c r="F890" s="32"/>
      <c r="G890" s="32"/>
    </row>
    <row r="891" customFormat="false" ht="15" hidden="false" customHeight="false" outlineLevel="0" collapsed="false">
      <c r="A891" s="31"/>
      <c r="B891" s="32"/>
      <c r="C891" s="35" t="str">
        <f aca="false">IF(B891="","",IFERROR(INDEX(Leads!$C$2:$C$5001,MATCH(B891,Leads!$A$2:$A$5001,0))&amp;" "&amp;INDEX(Leads!$D$2:$D$5001,MATCH(B891,Leads!$A$2:$A$5001,0)),"N° no encontrado"))</f>
        <v/>
      </c>
      <c r="D891" s="35" t="str">
        <f aca="false">IF(B891="","",IFERROR(INDEX(Leads!$G$2:$G$5001,MATCH(B891,Leads!$A$2:$A$5001,0)),""))</f>
        <v/>
      </c>
      <c r="E891" s="32"/>
      <c r="F891" s="32"/>
      <c r="G891" s="32"/>
    </row>
    <row r="892" customFormat="false" ht="15" hidden="false" customHeight="false" outlineLevel="0" collapsed="false">
      <c r="A892" s="31"/>
      <c r="B892" s="32"/>
      <c r="C892" s="35" t="str">
        <f aca="false">IF(B892="","",IFERROR(INDEX(Leads!$C$2:$C$5001,MATCH(B892,Leads!$A$2:$A$5001,0))&amp;" "&amp;INDEX(Leads!$D$2:$D$5001,MATCH(B892,Leads!$A$2:$A$5001,0)),"N° no encontrado"))</f>
        <v/>
      </c>
      <c r="D892" s="35" t="str">
        <f aca="false">IF(B892="","",IFERROR(INDEX(Leads!$G$2:$G$5001,MATCH(B892,Leads!$A$2:$A$5001,0)),""))</f>
        <v/>
      </c>
      <c r="E892" s="32"/>
      <c r="F892" s="32"/>
      <c r="G892" s="32"/>
    </row>
    <row r="893" customFormat="false" ht="15" hidden="false" customHeight="false" outlineLevel="0" collapsed="false">
      <c r="A893" s="31"/>
      <c r="B893" s="32"/>
      <c r="C893" s="35" t="str">
        <f aca="false">IF(B893="","",IFERROR(INDEX(Leads!$C$2:$C$5001,MATCH(B893,Leads!$A$2:$A$5001,0))&amp;" "&amp;INDEX(Leads!$D$2:$D$5001,MATCH(B893,Leads!$A$2:$A$5001,0)),"N° no encontrado"))</f>
        <v/>
      </c>
      <c r="D893" s="35" t="str">
        <f aca="false">IF(B893="","",IFERROR(INDEX(Leads!$G$2:$G$5001,MATCH(B893,Leads!$A$2:$A$5001,0)),""))</f>
        <v/>
      </c>
      <c r="E893" s="32"/>
      <c r="F893" s="32"/>
      <c r="G893" s="32"/>
    </row>
    <row r="894" customFormat="false" ht="15" hidden="false" customHeight="false" outlineLevel="0" collapsed="false">
      <c r="A894" s="31"/>
      <c r="B894" s="32"/>
      <c r="C894" s="35" t="str">
        <f aca="false">IF(B894="","",IFERROR(INDEX(Leads!$C$2:$C$5001,MATCH(B894,Leads!$A$2:$A$5001,0))&amp;" "&amp;INDEX(Leads!$D$2:$D$5001,MATCH(B894,Leads!$A$2:$A$5001,0)),"N° no encontrado"))</f>
        <v/>
      </c>
      <c r="D894" s="35" t="str">
        <f aca="false">IF(B894="","",IFERROR(INDEX(Leads!$G$2:$G$5001,MATCH(B894,Leads!$A$2:$A$5001,0)),""))</f>
        <v/>
      </c>
      <c r="E894" s="32"/>
      <c r="F894" s="32"/>
      <c r="G894" s="32"/>
    </row>
    <row r="895" customFormat="false" ht="15" hidden="false" customHeight="false" outlineLevel="0" collapsed="false">
      <c r="A895" s="31"/>
      <c r="B895" s="32"/>
      <c r="C895" s="35" t="str">
        <f aca="false">IF(B895="","",IFERROR(INDEX(Leads!$C$2:$C$5001,MATCH(B895,Leads!$A$2:$A$5001,0))&amp;" "&amp;INDEX(Leads!$D$2:$D$5001,MATCH(B895,Leads!$A$2:$A$5001,0)),"N° no encontrado"))</f>
        <v/>
      </c>
      <c r="D895" s="35" t="str">
        <f aca="false">IF(B895="","",IFERROR(INDEX(Leads!$G$2:$G$5001,MATCH(B895,Leads!$A$2:$A$5001,0)),""))</f>
        <v/>
      </c>
      <c r="E895" s="32"/>
      <c r="F895" s="32"/>
      <c r="G895" s="32"/>
    </row>
    <row r="896" customFormat="false" ht="15" hidden="false" customHeight="false" outlineLevel="0" collapsed="false">
      <c r="A896" s="31"/>
      <c r="B896" s="32"/>
      <c r="C896" s="35" t="str">
        <f aca="false">IF(B896="","",IFERROR(INDEX(Leads!$C$2:$C$5001,MATCH(B896,Leads!$A$2:$A$5001,0))&amp;" "&amp;INDEX(Leads!$D$2:$D$5001,MATCH(B896,Leads!$A$2:$A$5001,0)),"N° no encontrado"))</f>
        <v/>
      </c>
      <c r="D896" s="35" t="str">
        <f aca="false">IF(B896="","",IFERROR(INDEX(Leads!$G$2:$G$5001,MATCH(B896,Leads!$A$2:$A$5001,0)),""))</f>
        <v/>
      </c>
      <c r="E896" s="32"/>
      <c r="F896" s="32"/>
      <c r="G896" s="32"/>
    </row>
    <row r="897" customFormat="false" ht="15" hidden="false" customHeight="false" outlineLevel="0" collapsed="false">
      <c r="A897" s="31"/>
      <c r="B897" s="32"/>
      <c r="C897" s="35" t="str">
        <f aca="false">IF(B897="","",IFERROR(INDEX(Leads!$C$2:$C$5001,MATCH(B897,Leads!$A$2:$A$5001,0))&amp;" "&amp;INDEX(Leads!$D$2:$D$5001,MATCH(B897,Leads!$A$2:$A$5001,0)),"N° no encontrado"))</f>
        <v/>
      </c>
      <c r="D897" s="35" t="str">
        <f aca="false">IF(B897="","",IFERROR(INDEX(Leads!$G$2:$G$5001,MATCH(B897,Leads!$A$2:$A$5001,0)),""))</f>
        <v/>
      </c>
      <c r="E897" s="32"/>
      <c r="F897" s="32"/>
      <c r="G897" s="32"/>
    </row>
    <row r="898" customFormat="false" ht="15" hidden="false" customHeight="false" outlineLevel="0" collapsed="false">
      <c r="A898" s="31"/>
      <c r="B898" s="32"/>
      <c r="C898" s="35" t="str">
        <f aca="false">IF(B898="","",IFERROR(INDEX(Leads!$C$2:$C$5001,MATCH(B898,Leads!$A$2:$A$5001,0))&amp;" "&amp;INDEX(Leads!$D$2:$D$5001,MATCH(B898,Leads!$A$2:$A$5001,0)),"N° no encontrado"))</f>
        <v/>
      </c>
      <c r="D898" s="35" t="str">
        <f aca="false">IF(B898="","",IFERROR(INDEX(Leads!$G$2:$G$5001,MATCH(B898,Leads!$A$2:$A$5001,0)),""))</f>
        <v/>
      </c>
      <c r="E898" s="32"/>
      <c r="F898" s="32"/>
      <c r="G898" s="32"/>
    </row>
    <row r="899" customFormat="false" ht="15" hidden="false" customHeight="false" outlineLevel="0" collapsed="false">
      <c r="A899" s="31"/>
      <c r="B899" s="32"/>
      <c r="C899" s="35" t="str">
        <f aca="false">IF(B899="","",IFERROR(INDEX(Leads!$C$2:$C$5001,MATCH(B899,Leads!$A$2:$A$5001,0))&amp;" "&amp;INDEX(Leads!$D$2:$D$5001,MATCH(B899,Leads!$A$2:$A$5001,0)),"N° no encontrado"))</f>
        <v/>
      </c>
      <c r="D899" s="35" t="str">
        <f aca="false">IF(B899="","",IFERROR(INDEX(Leads!$G$2:$G$5001,MATCH(B899,Leads!$A$2:$A$5001,0)),""))</f>
        <v/>
      </c>
      <c r="E899" s="32"/>
      <c r="F899" s="32"/>
      <c r="G899" s="32"/>
    </row>
    <row r="900" customFormat="false" ht="15" hidden="false" customHeight="false" outlineLevel="0" collapsed="false">
      <c r="A900" s="31"/>
      <c r="B900" s="32"/>
      <c r="C900" s="35" t="str">
        <f aca="false">IF(B900="","",IFERROR(INDEX(Leads!$C$2:$C$5001,MATCH(B900,Leads!$A$2:$A$5001,0))&amp;" "&amp;INDEX(Leads!$D$2:$D$5001,MATCH(B900,Leads!$A$2:$A$5001,0)),"N° no encontrado"))</f>
        <v/>
      </c>
      <c r="D900" s="35" t="str">
        <f aca="false">IF(B900="","",IFERROR(INDEX(Leads!$G$2:$G$5001,MATCH(B900,Leads!$A$2:$A$5001,0)),""))</f>
        <v/>
      </c>
      <c r="E900" s="32"/>
      <c r="F900" s="32"/>
      <c r="G900" s="32"/>
    </row>
    <row r="901" customFormat="false" ht="15" hidden="false" customHeight="false" outlineLevel="0" collapsed="false">
      <c r="A901" s="31"/>
      <c r="B901" s="32"/>
      <c r="C901" s="35" t="str">
        <f aca="false">IF(B901="","",IFERROR(INDEX(Leads!$C$2:$C$5001,MATCH(B901,Leads!$A$2:$A$5001,0))&amp;" "&amp;INDEX(Leads!$D$2:$D$5001,MATCH(B901,Leads!$A$2:$A$5001,0)),"N° no encontrado"))</f>
        <v/>
      </c>
      <c r="D901" s="35" t="str">
        <f aca="false">IF(B901="","",IFERROR(INDEX(Leads!$G$2:$G$5001,MATCH(B901,Leads!$A$2:$A$5001,0)),""))</f>
        <v/>
      </c>
      <c r="E901" s="32"/>
      <c r="F901" s="32"/>
      <c r="G901" s="32"/>
    </row>
    <row r="902" customFormat="false" ht="15" hidden="false" customHeight="false" outlineLevel="0" collapsed="false">
      <c r="A902" s="31"/>
      <c r="B902" s="32"/>
      <c r="C902" s="35" t="str">
        <f aca="false">IF(B902="","",IFERROR(INDEX(Leads!$C$2:$C$5001,MATCH(B902,Leads!$A$2:$A$5001,0))&amp;" "&amp;INDEX(Leads!$D$2:$D$5001,MATCH(B902,Leads!$A$2:$A$5001,0)),"N° no encontrado"))</f>
        <v/>
      </c>
      <c r="D902" s="35" t="str">
        <f aca="false">IF(B902="","",IFERROR(INDEX(Leads!$G$2:$G$5001,MATCH(B902,Leads!$A$2:$A$5001,0)),""))</f>
        <v/>
      </c>
      <c r="E902" s="32"/>
      <c r="F902" s="32"/>
      <c r="G902" s="32"/>
    </row>
    <row r="903" customFormat="false" ht="15" hidden="false" customHeight="false" outlineLevel="0" collapsed="false">
      <c r="A903" s="31"/>
      <c r="B903" s="32"/>
      <c r="C903" s="35" t="str">
        <f aca="false">IF(B903="","",IFERROR(INDEX(Leads!$C$2:$C$5001,MATCH(B903,Leads!$A$2:$A$5001,0))&amp;" "&amp;INDEX(Leads!$D$2:$D$5001,MATCH(B903,Leads!$A$2:$A$5001,0)),"N° no encontrado"))</f>
        <v/>
      </c>
      <c r="D903" s="35" t="str">
        <f aca="false">IF(B903="","",IFERROR(INDEX(Leads!$G$2:$G$5001,MATCH(B903,Leads!$A$2:$A$5001,0)),""))</f>
        <v/>
      </c>
      <c r="E903" s="32"/>
      <c r="F903" s="32"/>
      <c r="G903" s="32"/>
    </row>
    <row r="904" customFormat="false" ht="15" hidden="false" customHeight="false" outlineLevel="0" collapsed="false">
      <c r="A904" s="31"/>
      <c r="B904" s="32"/>
      <c r="C904" s="35" t="str">
        <f aca="false">IF(B904="","",IFERROR(INDEX(Leads!$C$2:$C$5001,MATCH(B904,Leads!$A$2:$A$5001,0))&amp;" "&amp;INDEX(Leads!$D$2:$D$5001,MATCH(B904,Leads!$A$2:$A$5001,0)),"N° no encontrado"))</f>
        <v/>
      </c>
      <c r="D904" s="35" t="str">
        <f aca="false">IF(B904="","",IFERROR(INDEX(Leads!$G$2:$G$5001,MATCH(B904,Leads!$A$2:$A$5001,0)),""))</f>
        <v/>
      </c>
      <c r="E904" s="32"/>
      <c r="F904" s="32"/>
      <c r="G904" s="32"/>
    </row>
    <row r="905" customFormat="false" ht="15" hidden="false" customHeight="false" outlineLevel="0" collapsed="false">
      <c r="A905" s="31"/>
      <c r="B905" s="32"/>
      <c r="C905" s="35" t="str">
        <f aca="false">IF(B905="","",IFERROR(INDEX(Leads!$C$2:$C$5001,MATCH(B905,Leads!$A$2:$A$5001,0))&amp;" "&amp;INDEX(Leads!$D$2:$D$5001,MATCH(B905,Leads!$A$2:$A$5001,0)),"N° no encontrado"))</f>
        <v/>
      </c>
      <c r="D905" s="35" t="str">
        <f aca="false">IF(B905="","",IFERROR(INDEX(Leads!$G$2:$G$5001,MATCH(B905,Leads!$A$2:$A$5001,0)),""))</f>
        <v/>
      </c>
      <c r="E905" s="32"/>
      <c r="F905" s="32"/>
      <c r="G905" s="32"/>
    </row>
    <row r="906" customFormat="false" ht="15" hidden="false" customHeight="false" outlineLevel="0" collapsed="false">
      <c r="A906" s="31"/>
      <c r="B906" s="32"/>
      <c r="C906" s="35" t="str">
        <f aca="false">IF(B906="","",IFERROR(INDEX(Leads!$C$2:$C$5001,MATCH(B906,Leads!$A$2:$A$5001,0))&amp;" "&amp;INDEX(Leads!$D$2:$D$5001,MATCH(B906,Leads!$A$2:$A$5001,0)),"N° no encontrado"))</f>
        <v/>
      </c>
      <c r="D906" s="35" t="str">
        <f aca="false">IF(B906="","",IFERROR(INDEX(Leads!$G$2:$G$5001,MATCH(B906,Leads!$A$2:$A$5001,0)),""))</f>
        <v/>
      </c>
      <c r="E906" s="32"/>
      <c r="F906" s="32"/>
      <c r="G906" s="32"/>
    </row>
    <row r="907" customFormat="false" ht="15" hidden="false" customHeight="false" outlineLevel="0" collapsed="false">
      <c r="A907" s="31"/>
      <c r="B907" s="32"/>
      <c r="C907" s="35" t="str">
        <f aca="false">IF(B907="","",IFERROR(INDEX(Leads!$C$2:$C$5001,MATCH(B907,Leads!$A$2:$A$5001,0))&amp;" "&amp;INDEX(Leads!$D$2:$D$5001,MATCH(B907,Leads!$A$2:$A$5001,0)),"N° no encontrado"))</f>
        <v/>
      </c>
      <c r="D907" s="35" t="str">
        <f aca="false">IF(B907="","",IFERROR(INDEX(Leads!$G$2:$G$5001,MATCH(B907,Leads!$A$2:$A$5001,0)),""))</f>
        <v/>
      </c>
      <c r="E907" s="32"/>
      <c r="F907" s="32"/>
      <c r="G907" s="32"/>
    </row>
    <row r="908" customFormat="false" ht="15" hidden="false" customHeight="false" outlineLevel="0" collapsed="false">
      <c r="A908" s="31"/>
      <c r="B908" s="32"/>
      <c r="C908" s="35" t="str">
        <f aca="false">IF(B908="","",IFERROR(INDEX(Leads!$C$2:$C$5001,MATCH(B908,Leads!$A$2:$A$5001,0))&amp;" "&amp;INDEX(Leads!$D$2:$D$5001,MATCH(B908,Leads!$A$2:$A$5001,0)),"N° no encontrado"))</f>
        <v/>
      </c>
      <c r="D908" s="35" t="str">
        <f aca="false">IF(B908="","",IFERROR(INDEX(Leads!$G$2:$G$5001,MATCH(B908,Leads!$A$2:$A$5001,0)),""))</f>
        <v/>
      </c>
      <c r="E908" s="32"/>
      <c r="F908" s="32"/>
      <c r="G908" s="32"/>
    </row>
    <row r="909" customFormat="false" ht="15" hidden="false" customHeight="false" outlineLevel="0" collapsed="false">
      <c r="A909" s="31"/>
      <c r="B909" s="32"/>
      <c r="C909" s="35" t="str">
        <f aca="false">IF(B909="","",IFERROR(INDEX(Leads!$C$2:$C$5001,MATCH(B909,Leads!$A$2:$A$5001,0))&amp;" "&amp;INDEX(Leads!$D$2:$D$5001,MATCH(B909,Leads!$A$2:$A$5001,0)),"N° no encontrado"))</f>
        <v/>
      </c>
      <c r="D909" s="35" t="str">
        <f aca="false">IF(B909="","",IFERROR(INDEX(Leads!$G$2:$G$5001,MATCH(B909,Leads!$A$2:$A$5001,0)),""))</f>
        <v/>
      </c>
      <c r="E909" s="32"/>
      <c r="F909" s="32"/>
      <c r="G909" s="32"/>
    </row>
    <row r="910" customFormat="false" ht="15" hidden="false" customHeight="false" outlineLevel="0" collapsed="false">
      <c r="A910" s="31"/>
      <c r="B910" s="32"/>
      <c r="C910" s="35" t="str">
        <f aca="false">IF(B910="","",IFERROR(INDEX(Leads!$C$2:$C$5001,MATCH(B910,Leads!$A$2:$A$5001,0))&amp;" "&amp;INDEX(Leads!$D$2:$D$5001,MATCH(B910,Leads!$A$2:$A$5001,0)),"N° no encontrado"))</f>
        <v/>
      </c>
      <c r="D910" s="35" t="str">
        <f aca="false">IF(B910="","",IFERROR(INDEX(Leads!$G$2:$G$5001,MATCH(B910,Leads!$A$2:$A$5001,0)),""))</f>
        <v/>
      </c>
      <c r="E910" s="32"/>
      <c r="F910" s="32"/>
      <c r="G910" s="32"/>
    </row>
    <row r="911" customFormat="false" ht="15" hidden="false" customHeight="false" outlineLevel="0" collapsed="false">
      <c r="A911" s="31"/>
      <c r="B911" s="32"/>
      <c r="C911" s="35" t="str">
        <f aca="false">IF(B911="","",IFERROR(INDEX(Leads!$C$2:$C$5001,MATCH(B911,Leads!$A$2:$A$5001,0))&amp;" "&amp;INDEX(Leads!$D$2:$D$5001,MATCH(B911,Leads!$A$2:$A$5001,0)),"N° no encontrado"))</f>
        <v/>
      </c>
      <c r="D911" s="35" t="str">
        <f aca="false">IF(B911="","",IFERROR(INDEX(Leads!$G$2:$G$5001,MATCH(B911,Leads!$A$2:$A$5001,0)),""))</f>
        <v/>
      </c>
      <c r="E911" s="32"/>
      <c r="F911" s="32"/>
      <c r="G911" s="32"/>
    </row>
    <row r="912" customFormat="false" ht="15" hidden="false" customHeight="false" outlineLevel="0" collapsed="false">
      <c r="A912" s="31"/>
      <c r="B912" s="32"/>
      <c r="C912" s="35" t="str">
        <f aca="false">IF(B912="","",IFERROR(INDEX(Leads!$C$2:$C$5001,MATCH(B912,Leads!$A$2:$A$5001,0))&amp;" "&amp;INDEX(Leads!$D$2:$D$5001,MATCH(B912,Leads!$A$2:$A$5001,0)),"N° no encontrado"))</f>
        <v/>
      </c>
      <c r="D912" s="35" t="str">
        <f aca="false">IF(B912="","",IFERROR(INDEX(Leads!$G$2:$G$5001,MATCH(B912,Leads!$A$2:$A$5001,0)),""))</f>
        <v/>
      </c>
      <c r="E912" s="32"/>
      <c r="F912" s="32"/>
      <c r="G912" s="32"/>
    </row>
    <row r="913" customFormat="false" ht="15" hidden="false" customHeight="false" outlineLevel="0" collapsed="false">
      <c r="A913" s="31"/>
      <c r="B913" s="32"/>
      <c r="C913" s="35" t="str">
        <f aca="false">IF(B913="","",IFERROR(INDEX(Leads!$C$2:$C$5001,MATCH(B913,Leads!$A$2:$A$5001,0))&amp;" "&amp;INDEX(Leads!$D$2:$D$5001,MATCH(B913,Leads!$A$2:$A$5001,0)),"N° no encontrado"))</f>
        <v/>
      </c>
      <c r="D913" s="35" t="str">
        <f aca="false">IF(B913="","",IFERROR(INDEX(Leads!$G$2:$G$5001,MATCH(B913,Leads!$A$2:$A$5001,0)),""))</f>
        <v/>
      </c>
      <c r="E913" s="32"/>
      <c r="F913" s="32"/>
      <c r="G913" s="32"/>
    </row>
    <row r="914" customFormat="false" ht="15" hidden="false" customHeight="false" outlineLevel="0" collapsed="false">
      <c r="A914" s="31"/>
      <c r="B914" s="32"/>
      <c r="C914" s="35" t="str">
        <f aca="false">IF(B914="","",IFERROR(INDEX(Leads!$C$2:$C$5001,MATCH(B914,Leads!$A$2:$A$5001,0))&amp;" "&amp;INDEX(Leads!$D$2:$D$5001,MATCH(B914,Leads!$A$2:$A$5001,0)),"N° no encontrado"))</f>
        <v/>
      </c>
      <c r="D914" s="35" t="str">
        <f aca="false">IF(B914="","",IFERROR(INDEX(Leads!$G$2:$G$5001,MATCH(B914,Leads!$A$2:$A$5001,0)),""))</f>
        <v/>
      </c>
      <c r="E914" s="32"/>
      <c r="F914" s="32"/>
      <c r="G914" s="32"/>
    </row>
    <row r="915" customFormat="false" ht="15" hidden="false" customHeight="false" outlineLevel="0" collapsed="false">
      <c r="A915" s="31"/>
      <c r="B915" s="32"/>
      <c r="C915" s="35" t="str">
        <f aca="false">IF(B915="","",IFERROR(INDEX(Leads!$C$2:$C$5001,MATCH(B915,Leads!$A$2:$A$5001,0))&amp;" "&amp;INDEX(Leads!$D$2:$D$5001,MATCH(B915,Leads!$A$2:$A$5001,0)),"N° no encontrado"))</f>
        <v/>
      </c>
      <c r="D915" s="35" t="str">
        <f aca="false">IF(B915="","",IFERROR(INDEX(Leads!$G$2:$G$5001,MATCH(B915,Leads!$A$2:$A$5001,0)),""))</f>
        <v/>
      </c>
      <c r="E915" s="32"/>
      <c r="F915" s="32"/>
      <c r="G915" s="32"/>
    </row>
    <row r="916" customFormat="false" ht="15" hidden="false" customHeight="false" outlineLevel="0" collapsed="false">
      <c r="A916" s="31"/>
      <c r="B916" s="32"/>
      <c r="C916" s="35" t="str">
        <f aca="false">IF(B916="","",IFERROR(INDEX(Leads!$C$2:$C$5001,MATCH(B916,Leads!$A$2:$A$5001,0))&amp;" "&amp;INDEX(Leads!$D$2:$D$5001,MATCH(B916,Leads!$A$2:$A$5001,0)),"N° no encontrado"))</f>
        <v/>
      </c>
      <c r="D916" s="35" t="str">
        <f aca="false">IF(B916="","",IFERROR(INDEX(Leads!$G$2:$G$5001,MATCH(B916,Leads!$A$2:$A$5001,0)),""))</f>
        <v/>
      </c>
      <c r="E916" s="32"/>
      <c r="F916" s="32"/>
      <c r="G916" s="32"/>
    </row>
    <row r="917" customFormat="false" ht="15" hidden="false" customHeight="false" outlineLevel="0" collapsed="false">
      <c r="A917" s="31"/>
      <c r="B917" s="32"/>
      <c r="C917" s="35" t="str">
        <f aca="false">IF(B917="","",IFERROR(INDEX(Leads!$C$2:$C$5001,MATCH(B917,Leads!$A$2:$A$5001,0))&amp;" "&amp;INDEX(Leads!$D$2:$D$5001,MATCH(B917,Leads!$A$2:$A$5001,0)),"N° no encontrado"))</f>
        <v/>
      </c>
      <c r="D917" s="35" t="str">
        <f aca="false">IF(B917="","",IFERROR(INDEX(Leads!$G$2:$G$5001,MATCH(B917,Leads!$A$2:$A$5001,0)),""))</f>
        <v/>
      </c>
      <c r="E917" s="32"/>
      <c r="F917" s="32"/>
      <c r="G917" s="32"/>
    </row>
    <row r="918" customFormat="false" ht="15" hidden="false" customHeight="false" outlineLevel="0" collapsed="false">
      <c r="A918" s="31"/>
      <c r="B918" s="32"/>
      <c r="C918" s="35" t="str">
        <f aca="false">IF(B918="","",IFERROR(INDEX(Leads!$C$2:$C$5001,MATCH(B918,Leads!$A$2:$A$5001,0))&amp;" "&amp;INDEX(Leads!$D$2:$D$5001,MATCH(B918,Leads!$A$2:$A$5001,0)),"N° no encontrado"))</f>
        <v/>
      </c>
      <c r="D918" s="35" t="str">
        <f aca="false">IF(B918="","",IFERROR(INDEX(Leads!$G$2:$G$5001,MATCH(B918,Leads!$A$2:$A$5001,0)),""))</f>
        <v/>
      </c>
      <c r="E918" s="32"/>
      <c r="F918" s="32"/>
      <c r="G918" s="32"/>
    </row>
    <row r="919" customFormat="false" ht="15" hidden="false" customHeight="false" outlineLevel="0" collapsed="false">
      <c r="A919" s="31"/>
      <c r="B919" s="32"/>
      <c r="C919" s="35" t="str">
        <f aca="false">IF(B919="","",IFERROR(INDEX(Leads!$C$2:$C$5001,MATCH(B919,Leads!$A$2:$A$5001,0))&amp;" "&amp;INDEX(Leads!$D$2:$D$5001,MATCH(B919,Leads!$A$2:$A$5001,0)),"N° no encontrado"))</f>
        <v/>
      </c>
      <c r="D919" s="35" t="str">
        <f aca="false">IF(B919="","",IFERROR(INDEX(Leads!$G$2:$G$5001,MATCH(B919,Leads!$A$2:$A$5001,0)),""))</f>
        <v/>
      </c>
      <c r="E919" s="32"/>
      <c r="F919" s="32"/>
      <c r="G919" s="32"/>
    </row>
    <row r="920" customFormat="false" ht="15" hidden="false" customHeight="false" outlineLevel="0" collapsed="false">
      <c r="A920" s="31"/>
      <c r="B920" s="32"/>
      <c r="C920" s="35" t="str">
        <f aca="false">IF(B920="","",IFERROR(INDEX(Leads!$C$2:$C$5001,MATCH(B920,Leads!$A$2:$A$5001,0))&amp;" "&amp;INDEX(Leads!$D$2:$D$5001,MATCH(B920,Leads!$A$2:$A$5001,0)),"N° no encontrado"))</f>
        <v/>
      </c>
      <c r="D920" s="35" t="str">
        <f aca="false">IF(B920="","",IFERROR(INDEX(Leads!$G$2:$G$5001,MATCH(B920,Leads!$A$2:$A$5001,0)),""))</f>
        <v/>
      </c>
      <c r="E920" s="32"/>
      <c r="F920" s="32"/>
      <c r="G920" s="32"/>
    </row>
    <row r="921" customFormat="false" ht="15" hidden="false" customHeight="false" outlineLevel="0" collapsed="false">
      <c r="A921" s="31"/>
      <c r="B921" s="32"/>
      <c r="C921" s="35" t="str">
        <f aca="false">IF(B921="","",IFERROR(INDEX(Leads!$C$2:$C$5001,MATCH(B921,Leads!$A$2:$A$5001,0))&amp;" "&amp;INDEX(Leads!$D$2:$D$5001,MATCH(B921,Leads!$A$2:$A$5001,0)),"N° no encontrado"))</f>
        <v/>
      </c>
      <c r="D921" s="35" t="str">
        <f aca="false">IF(B921="","",IFERROR(INDEX(Leads!$G$2:$G$5001,MATCH(B921,Leads!$A$2:$A$5001,0)),""))</f>
        <v/>
      </c>
      <c r="E921" s="32"/>
      <c r="F921" s="32"/>
      <c r="G921" s="32"/>
    </row>
    <row r="922" customFormat="false" ht="15" hidden="false" customHeight="false" outlineLevel="0" collapsed="false">
      <c r="A922" s="31"/>
      <c r="B922" s="32"/>
      <c r="C922" s="35" t="str">
        <f aca="false">IF(B922="","",IFERROR(INDEX(Leads!$C$2:$C$5001,MATCH(B922,Leads!$A$2:$A$5001,0))&amp;" "&amp;INDEX(Leads!$D$2:$D$5001,MATCH(B922,Leads!$A$2:$A$5001,0)),"N° no encontrado"))</f>
        <v/>
      </c>
      <c r="D922" s="35" t="str">
        <f aca="false">IF(B922="","",IFERROR(INDEX(Leads!$G$2:$G$5001,MATCH(B922,Leads!$A$2:$A$5001,0)),""))</f>
        <v/>
      </c>
      <c r="E922" s="32"/>
      <c r="F922" s="32"/>
      <c r="G922" s="32"/>
    </row>
    <row r="923" customFormat="false" ht="15" hidden="false" customHeight="false" outlineLevel="0" collapsed="false">
      <c r="A923" s="31"/>
      <c r="B923" s="32"/>
      <c r="C923" s="35" t="str">
        <f aca="false">IF(B923="","",IFERROR(INDEX(Leads!$C$2:$C$5001,MATCH(B923,Leads!$A$2:$A$5001,0))&amp;" "&amp;INDEX(Leads!$D$2:$D$5001,MATCH(B923,Leads!$A$2:$A$5001,0)),"N° no encontrado"))</f>
        <v/>
      </c>
      <c r="D923" s="35" t="str">
        <f aca="false">IF(B923="","",IFERROR(INDEX(Leads!$G$2:$G$5001,MATCH(B923,Leads!$A$2:$A$5001,0)),""))</f>
        <v/>
      </c>
      <c r="E923" s="32"/>
      <c r="F923" s="32"/>
      <c r="G923" s="32"/>
    </row>
    <row r="924" customFormat="false" ht="15" hidden="false" customHeight="false" outlineLevel="0" collapsed="false">
      <c r="A924" s="31"/>
      <c r="B924" s="32"/>
      <c r="C924" s="35" t="str">
        <f aca="false">IF(B924="","",IFERROR(INDEX(Leads!$C$2:$C$5001,MATCH(B924,Leads!$A$2:$A$5001,0))&amp;" "&amp;INDEX(Leads!$D$2:$D$5001,MATCH(B924,Leads!$A$2:$A$5001,0)),"N° no encontrado"))</f>
        <v/>
      </c>
      <c r="D924" s="35" t="str">
        <f aca="false">IF(B924="","",IFERROR(INDEX(Leads!$G$2:$G$5001,MATCH(B924,Leads!$A$2:$A$5001,0)),""))</f>
        <v/>
      </c>
      <c r="E924" s="32"/>
      <c r="F924" s="32"/>
      <c r="G924" s="32"/>
    </row>
    <row r="925" customFormat="false" ht="15" hidden="false" customHeight="false" outlineLevel="0" collapsed="false">
      <c r="A925" s="31"/>
      <c r="B925" s="32"/>
      <c r="C925" s="35" t="str">
        <f aca="false">IF(B925="","",IFERROR(INDEX(Leads!$C$2:$C$5001,MATCH(B925,Leads!$A$2:$A$5001,0))&amp;" "&amp;INDEX(Leads!$D$2:$D$5001,MATCH(B925,Leads!$A$2:$A$5001,0)),"N° no encontrado"))</f>
        <v/>
      </c>
      <c r="D925" s="35" t="str">
        <f aca="false">IF(B925="","",IFERROR(INDEX(Leads!$G$2:$G$5001,MATCH(B925,Leads!$A$2:$A$5001,0)),""))</f>
        <v/>
      </c>
      <c r="E925" s="32"/>
      <c r="F925" s="32"/>
      <c r="G925" s="32"/>
    </row>
    <row r="926" customFormat="false" ht="15" hidden="false" customHeight="false" outlineLevel="0" collapsed="false">
      <c r="A926" s="31"/>
      <c r="B926" s="32"/>
      <c r="C926" s="35" t="str">
        <f aca="false">IF(B926="","",IFERROR(INDEX(Leads!$C$2:$C$5001,MATCH(B926,Leads!$A$2:$A$5001,0))&amp;" "&amp;INDEX(Leads!$D$2:$D$5001,MATCH(B926,Leads!$A$2:$A$5001,0)),"N° no encontrado"))</f>
        <v/>
      </c>
      <c r="D926" s="35" t="str">
        <f aca="false">IF(B926="","",IFERROR(INDEX(Leads!$G$2:$G$5001,MATCH(B926,Leads!$A$2:$A$5001,0)),""))</f>
        <v/>
      </c>
      <c r="E926" s="32"/>
      <c r="F926" s="32"/>
      <c r="G926" s="32"/>
    </row>
    <row r="927" customFormat="false" ht="15" hidden="false" customHeight="false" outlineLevel="0" collapsed="false">
      <c r="A927" s="31"/>
      <c r="B927" s="32"/>
      <c r="C927" s="35" t="str">
        <f aca="false">IF(B927="","",IFERROR(INDEX(Leads!$C$2:$C$5001,MATCH(B927,Leads!$A$2:$A$5001,0))&amp;" "&amp;INDEX(Leads!$D$2:$D$5001,MATCH(B927,Leads!$A$2:$A$5001,0)),"N° no encontrado"))</f>
        <v/>
      </c>
      <c r="D927" s="35" t="str">
        <f aca="false">IF(B927="","",IFERROR(INDEX(Leads!$G$2:$G$5001,MATCH(B927,Leads!$A$2:$A$5001,0)),""))</f>
        <v/>
      </c>
      <c r="E927" s="32"/>
      <c r="F927" s="32"/>
      <c r="G927" s="32"/>
    </row>
    <row r="928" customFormat="false" ht="15" hidden="false" customHeight="false" outlineLevel="0" collapsed="false">
      <c r="A928" s="31"/>
      <c r="B928" s="32"/>
      <c r="C928" s="35" t="str">
        <f aca="false">IF(B928="","",IFERROR(INDEX(Leads!$C$2:$C$5001,MATCH(B928,Leads!$A$2:$A$5001,0))&amp;" "&amp;INDEX(Leads!$D$2:$D$5001,MATCH(B928,Leads!$A$2:$A$5001,0)),"N° no encontrado"))</f>
        <v/>
      </c>
      <c r="D928" s="35" t="str">
        <f aca="false">IF(B928="","",IFERROR(INDEX(Leads!$G$2:$G$5001,MATCH(B928,Leads!$A$2:$A$5001,0)),""))</f>
        <v/>
      </c>
      <c r="E928" s="32"/>
      <c r="F928" s="32"/>
      <c r="G928" s="32"/>
    </row>
    <row r="929" customFormat="false" ht="15" hidden="false" customHeight="false" outlineLevel="0" collapsed="false">
      <c r="A929" s="31"/>
      <c r="B929" s="32"/>
      <c r="C929" s="35" t="str">
        <f aca="false">IF(B929="","",IFERROR(INDEX(Leads!$C$2:$C$5001,MATCH(B929,Leads!$A$2:$A$5001,0))&amp;" "&amp;INDEX(Leads!$D$2:$D$5001,MATCH(B929,Leads!$A$2:$A$5001,0)),"N° no encontrado"))</f>
        <v/>
      </c>
      <c r="D929" s="35" t="str">
        <f aca="false">IF(B929="","",IFERROR(INDEX(Leads!$G$2:$G$5001,MATCH(B929,Leads!$A$2:$A$5001,0)),""))</f>
        <v/>
      </c>
      <c r="E929" s="32"/>
      <c r="F929" s="32"/>
      <c r="G929" s="32"/>
    </row>
    <row r="930" customFormat="false" ht="15" hidden="false" customHeight="false" outlineLevel="0" collapsed="false">
      <c r="A930" s="31"/>
      <c r="B930" s="32"/>
      <c r="C930" s="35" t="str">
        <f aca="false">IF(B930="","",IFERROR(INDEX(Leads!$C$2:$C$5001,MATCH(B930,Leads!$A$2:$A$5001,0))&amp;" "&amp;INDEX(Leads!$D$2:$D$5001,MATCH(B930,Leads!$A$2:$A$5001,0)),"N° no encontrado"))</f>
        <v/>
      </c>
      <c r="D930" s="35" t="str">
        <f aca="false">IF(B930="","",IFERROR(INDEX(Leads!$G$2:$G$5001,MATCH(B930,Leads!$A$2:$A$5001,0)),""))</f>
        <v/>
      </c>
      <c r="E930" s="32"/>
      <c r="F930" s="32"/>
      <c r="G930" s="32"/>
    </row>
    <row r="931" customFormat="false" ht="15" hidden="false" customHeight="false" outlineLevel="0" collapsed="false">
      <c r="A931" s="31"/>
      <c r="B931" s="32"/>
      <c r="C931" s="35" t="str">
        <f aca="false">IF(B931="","",IFERROR(INDEX(Leads!$C$2:$C$5001,MATCH(B931,Leads!$A$2:$A$5001,0))&amp;" "&amp;INDEX(Leads!$D$2:$D$5001,MATCH(B931,Leads!$A$2:$A$5001,0)),"N° no encontrado"))</f>
        <v/>
      </c>
      <c r="D931" s="35" t="str">
        <f aca="false">IF(B931="","",IFERROR(INDEX(Leads!$G$2:$G$5001,MATCH(B931,Leads!$A$2:$A$5001,0)),""))</f>
        <v/>
      </c>
      <c r="E931" s="32"/>
      <c r="F931" s="32"/>
      <c r="G931" s="32"/>
    </row>
    <row r="932" customFormat="false" ht="15" hidden="false" customHeight="false" outlineLevel="0" collapsed="false">
      <c r="A932" s="31"/>
      <c r="B932" s="32"/>
      <c r="C932" s="35" t="str">
        <f aca="false">IF(B932="","",IFERROR(INDEX(Leads!$C$2:$C$5001,MATCH(B932,Leads!$A$2:$A$5001,0))&amp;" "&amp;INDEX(Leads!$D$2:$D$5001,MATCH(B932,Leads!$A$2:$A$5001,0)),"N° no encontrado"))</f>
        <v/>
      </c>
      <c r="D932" s="35" t="str">
        <f aca="false">IF(B932="","",IFERROR(INDEX(Leads!$G$2:$G$5001,MATCH(B932,Leads!$A$2:$A$5001,0)),""))</f>
        <v/>
      </c>
      <c r="E932" s="32"/>
      <c r="F932" s="32"/>
      <c r="G932" s="32"/>
    </row>
    <row r="933" customFormat="false" ht="15" hidden="false" customHeight="false" outlineLevel="0" collapsed="false">
      <c r="A933" s="31"/>
      <c r="B933" s="32"/>
      <c r="C933" s="35" t="str">
        <f aca="false">IF(B933="","",IFERROR(INDEX(Leads!$C$2:$C$5001,MATCH(B933,Leads!$A$2:$A$5001,0))&amp;" "&amp;INDEX(Leads!$D$2:$D$5001,MATCH(B933,Leads!$A$2:$A$5001,0)),"N° no encontrado"))</f>
        <v/>
      </c>
      <c r="D933" s="35" t="str">
        <f aca="false">IF(B933="","",IFERROR(INDEX(Leads!$G$2:$G$5001,MATCH(B933,Leads!$A$2:$A$5001,0)),""))</f>
        <v/>
      </c>
      <c r="E933" s="32"/>
      <c r="F933" s="32"/>
      <c r="G933" s="32"/>
    </row>
    <row r="934" customFormat="false" ht="15" hidden="false" customHeight="false" outlineLevel="0" collapsed="false">
      <c r="A934" s="31"/>
      <c r="B934" s="32"/>
      <c r="C934" s="35" t="str">
        <f aca="false">IF(B934="","",IFERROR(INDEX(Leads!$C$2:$C$5001,MATCH(B934,Leads!$A$2:$A$5001,0))&amp;" "&amp;INDEX(Leads!$D$2:$D$5001,MATCH(B934,Leads!$A$2:$A$5001,0)),"N° no encontrado"))</f>
        <v/>
      </c>
      <c r="D934" s="35" t="str">
        <f aca="false">IF(B934="","",IFERROR(INDEX(Leads!$G$2:$G$5001,MATCH(B934,Leads!$A$2:$A$5001,0)),""))</f>
        <v/>
      </c>
      <c r="E934" s="32"/>
      <c r="F934" s="32"/>
      <c r="G934" s="32"/>
    </row>
    <row r="935" customFormat="false" ht="15" hidden="false" customHeight="false" outlineLevel="0" collapsed="false">
      <c r="A935" s="31"/>
      <c r="B935" s="32"/>
      <c r="C935" s="35" t="str">
        <f aca="false">IF(B935="","",IFERROR(INDEX(Leads!$C$2:$C$5001,MATCH(B935,Leads!$A$2:$A$5001,0))&amp;" "&amp;INDEX(Leads!$D$2:$D$5001,MATCH(B935,Leads!$A$2:$A$5001,0)),"N° no encontrado"))</f>
        <v/>
      </c>
      <c r="D935" s="35" t="str">
        <f aca="false">IF(B935="","",IFERROR(INDEX(Leads!$G$2:$G$5001,MATCH(B935,Leads!$A$2:$A$5001,0)),""))</f>
        <v/>
      </c>
      <c r="E935" s="32"/>
      <c r="F935" s="32"/>
      <c r="G935" s="32"/>
    </row>
    <row r="936" customFormat="false" ht="15" hidden="false" customHeight="false" outlineLevel="0" collapsed="false">
      <c r="A936" s="31"/>
      <c r="B936" s="32"/>
      <c r="C936" s="35" t="str">
        <f aca="false">IF(B936="","",IFERROR(INDEX(Leads!$C$2:$C$5001,MATCH(B936,Leads!$A$2:$A$5001,0))&amp;" "&amp;INDEX(Leads!$D$2:$D$5001,MATCH(B936,Leads!$A$2:$A$5001,0)),"N° no encontrado"))</f>
        <v/>
      </c>
      <c r="D936" s="35" t="str">
        <f aca="false">IF(B936="","",IFERROR(INDEX(Leads!$G$2:$G$5001,MATCH(B936,Leads!$A$2:$A$5001,0)),""))</f>
        <v/>
      </c>
      <c r="E936" s="32"/>
      <c r="F936" s="32"/>
      <c r="G936" s="32"/>
    </row>
    <row r="937" customFormat="false" ht="15" hidden="false" customHeight="false" outlineLevel="0" collapsed="false">
      <c r="A937" s="31"/>
      <c r="B937" s="32"/>
      <c r="C937" s="35" t="str">
        <f aca="false">IF(B937="","",IFERROR(INDEX(Leads!$C$2:$C$5001,MATCH(B937,Leads!$A$2:$A$5001,0))&amp;" "&amp;INDEX(Leads!$D$2:$D$5001,MATCH(B937,Leads!$A$2:$A$5001,0)),"N° no encontrado"))</f>
        <v/>
      </c>
      <c r="D937" s="35" t="str">
        <f aca="false">IF(B937="","",IFERROR(INDEX(Leads!$G$2:$G$5001,MATCH(B937,Leads!$A$2:$A$5001,0)),""))</f>
        <v/>
      </c>
      <c r="E937" s="32"/>
      <c r="F937" s="32"/>
      <c r="G937" s="32"/>
    </row>
    <row r="938" customFormat="false" ht="15" hidden="false" customHeight="false" outlineLevel="0" collapsed="false">
      <c r="A938" s="31"/>
      <c r="B938" s="32"/>
      <c r="C938" s="35" t="str">
        <f aca="false">IF(B938="","",IFERROR(INDEX(Leads!$C$2:$C$5001,MATCH(B938,Leads!$A$2:$A$5001,0))&amp;" "&amp;INDEX(Leads!$D$2:$D$5001,MATCH(B938,Leads!$A$2:$A$5001,0)),"N° no encontrado"))</f>
        <v/>
      </c>
      <c r="D938" s="35" t="str">
        <f aca="false">IF(B938="","",IFERROR(INDEX(Leads!$G$2:$G$5001,MATCH(B938,Leads!$A$2:$A$5001,0)),""))</f>
        <v/>
      </c>
      <c r="E938" s="32"/>
      <c r="F938" s="32"/>
      <c r="G938" s="32"/>
    </row>
    <row r="939" customFormat="false" ht="15" hidden="false" customHeight="false" outlineLevel="0" collapsed="false">
      <c r="A939" s="31"/>
      <c r="B939" s="32"/>
      <c r="C939" s="35" t="str">
        <f aca="false">IF(B939="","",IFERROR(INDEX(Leads!$C$2:$C$5001,MATCH(B939,Leads!$A$2:$A$5001,0))&amp;" "&amp;INDEX(Leads!$D$2:$D$5001,MATCH(B939,Leads!$A$2:$A$5001,0)),"N° no encontrado"))</f>
        <v/>
      </c>
      <c r="D939" s="35" t="str">
        <f aca="false">IF(B939="","",IFERROR(INDEX(Leads!$G$2:$G$5001,MATCH(B939,Leads!$A$2:$A$5001,0)),""))</f>
        <v/>
      </c>
      <c r="E939" s="32"/>
      <c r="F939" s="32"/>
      <c r="G939" s="32"/>
    </row>
    <row r="940" customFormat="false" ht="15" hidden="false" customHeight="false" outlineLevel="0" collapsed="false">
      <c r="A940" s="31"/>
      <c r="B940" s="32"/>
      <c r="C940" s="35" t="str">
        <f aca="false">IF(B940="","",IFERROR(INDEX(Leads!$C$2:$C$5001,MATCH(B940,Leads!$A$2:$A$5001,0))&amp;" "&amp;INDEX(Leads!$D$2:$D$5001,MATCH(B940,Leads!$A$2:$A$5001,0)),"N° no encontrado"))</f>
        <v/>
      </c>
      <c r="D940" s="35" t="str">
        <f aca="false">IF(B940="","",IFERROR(INDEX(Leads!$G$2:$G$5001,MATCH(B940,Leads!$A$2:$A$5001,0)),""))</f>
        <v/>
      </c>
      <c r="E940" s="32"/>
      <c r="F940" s="32"/>
      <c r="G940" s="32"/>
    </row>
    <row r="941" customFormat="false" ht="15" hidden="false" customHeight="false" outlineLevel="0" collapsed="false">
      <c r="A941" s="31"/>
      <c r="B941" s="32"/>
      <c r="C941" s="35" t="str">
        <f aca="false">IF(B941="","",IFERROR(INDEX(Leads!$C$2:$C$5001,MATCH(B941,Leads!$A$2:$A$5001,0))&amp;" "&amp;INDEX(Leads!$D$2:$D$5001,MATCH(B941,Leads!$A$2:$A$5001,0)),"N° no encontrado"))</f>
        <v/>
      </c>
      <c r="D941" s="35" t="str">
        <f aca="false">IF(B941="","",IFERROR(INDEX(Leads!$G$2:$G$5001,MATCH(B941,Leads!$A$2:$A$5001,0)),""))</f>
        <v/>
      </c>
      <c r="E941" s="32"/>
      <c r="F941" s="32"/>
      <c r="G941" s="32"/>
    </row>
    <row r="942" customFormat="false" ht="15" hidden="false" customHeight="false" outlineLevel="0" collapsed="false">
      <c r="A942" s="31"/>
      <c r="B942" s="32"/>
      <c r="C942" s="35" t="str">
        <f aca="false">IF(B942="","",IFERROR(INDEX(Leads!$C$2:$C$5001,MATCH(B942,Leads!$A$2:$A$5001,0))&amp;" "&amp;INDEX(Leads!$D$2:$D$5001,MATCH(B942,Leads!$A$2:$A$5001,0)),"N° no encontrado"))</f>
        <v/>
      </c>
      <c r="D942" s="35" t="str">
        <f aca="false">IF(B942="","",IFERROR(INDEX(Leads!$G$2:$G$5001,MATCH(B942,Leads!$A$2:$A$5001,0)),""))</f>
        <v/>
      </c>
      <c r="E942" s="32"/>
      <c r="F942" s="32"/>
      <c r="G942" s="32"/>
    </row>
    <row r="943" customFormat="false" ht="15" hidden="false" customHeight="false" outlineLevel="0" collapsed="false">
      <c r="A943" s="31"/>
      <c r="B943" s="32"/>
      <c r="C943" s="35" t="str">
        <f aca="false">IF(B943="","",IFERROR(INDEX(Leads!$C$2:$C$5001,MATCH(B943,Leads!$A$2:$A$5001,0))&amp;" "&amp;INDEX(Leads!$D$2:$D$5001,MATCH(B943,Leads!$A$2:$A$5001,0)),"N° no encontrado"))</f>
        <v/>
      </c>
      <c r="D943" s="35" t="str">
        <f aca="false">IF(B943="","",IFERROR(INDEX(Leads!$G$2:$G$5001,MATCH(B943,Leads!$A$2:$A$5001,0)),""))</f>
        <v/>
      </c>
      <c r="E943" s="32"/>
      <c r="F943" s="32"/>
      <c r="G943" s="32"/>
    </row>
    <row r="944" customFormat="false" ht="15" hidden="false" customHeight="false" outlineLevel="0" collapsed="false">
      <c r="A944" s="31"/>
      <c r="B944" s="32"/>
      <c r="C944" s="35" t="str">
        <f aca="false">IF(B944="","",IFERROR(INDEX(Leads!$C$2:$C$5001,MATCH(B944,Leads!$A$2:$A$5001,0))&amp;" "&amp;INDEX(Leads!$D$2:$D$5001,MATCH(B944,Leads!$A$2:$A$5001,0)),"N° no encontrado"))</f>
        <v/>
      </c>
      <c r="D944" s="35" t="str">
        <f aca="false">IF(B944="","",IFERROR(INDEX(Leads!$G$2:$G$5001,MATCH(B944,Leads!$A$2:$A$5001,0)),""))</f>
        <v/>
      </c>
      <c r="E944" s="32"/>
      <c r="F944" s="32"/>
      <c r="G944" s="32"/>
    </row>
    <row r="945" customFormat="false" ht="15" hidden="false" customHeight="false" outlineLevel="0" collapsed="false">
      <c r="A945" s="31"/>
      <c r="B945" s="32"/>
      <c r="C945" s="35" t="str">
        <f aca="false">IF(B945="","",IFERROR(INDEX(Leads!$C$2:$C$5001,MATCH(B945,Leads!$A$2:$A$5001,0))&amp;" "&amp;INDEX(Leads!$D$2:$D$5001,MATCH(B945,Leads!$A$2:$A$5001,0)),"N° no encontrado"))</f>
        <v/>
      </c>
      <c r="D945" s="35" t="str">
        <f aca="false">IF(B945="","",IFERROR(INDEX(Leads!$G$2:$G$5001,MATCH(B945,Leads!$A$2:$A$5001,0)),""))</f>
        <v/>
      </c>
      <c r="E945" s="32"/>
      <c r="F945" s="32"/>
      <c r="G945" s="32"/>
    </row>
    <row r="946" customFormat="false" ht="15" hidden="false" customHeight="false" outlineLevel="0" collapsed="false">
      <c r="A946" s="31"/>
      <c r="B946" s="32"/>
      <c r="C946" s="35" t="str">
        <f aca="false">IF(B946="","",IFERROR(INDEX(Leads!$C$2:$C$5001,MATCH(B946,Leads!$A$2:$A$5001,0))&amp;" "&amp;INDEX(Leads!$D$2:$D$5001,MATCH(B946,Leads!$A$2:$A$5001,0)),"N° no encontrado"))</f>
        <v/>
      </c>
      <c r="D946" s="35" t="str">
        <f aca="false">IF(B946="","",IFERROR(INDEX(Leads!$G$2:$G$5001,MATCH(B946,Leads!$A$2:$A$5001,0)),""))</f>
        <v/>
      </c>
      <c r="E946" s="32"/>
      <c r="F946" s="32"/>
      <c r="G946" s="32"/>
    </row>
    <row r="947" customFormat="false" ht="15" hidden="false" customHeight="false" outlineLevel="0" collapsed="false">
      <c r="A947" s="31"/>
      <c r="B947" s="32"/>
      <c r="C947" s="35" t="str">
        <f aca="false">IF(B947="","",IFERROR(INDEX(Leads!$C$2:$C$5001,MATCH(B947,Leads!$A$2:$A$5001,0))&amp;" "&amp;INDEX(Leads!$D$2:$D$5001,MATCH(B947,Leads!$A$2:$A$5001,0)),"N° no encontrado"))</f>
        <v/>
      </c>
      <c r="D947" s="35" t="str">
        <f aca="false">IF(B947="","",IFERROR(INDEX(Leads!$G$2:$G$5001,MATCH(B947,Leads!$A$2:$A$5001,0)),""))</f>
        <v/>
      </c>
      <c r="E947" s="32"/>
      <c r="F947" s="32"/>
      <c r="G947" s="32"/>
    </row>
    <row r="948" customFormat="false" ht="15" hidden="false" customHeight="false" outlineLevel="0" collapsed="false">
      <c r="A948" s="31"/>
      <c r="B948" s="32"/>
      <c r="C948" s="35" t="str">
        <f aca="false">IF(B948="","",IFERROR(INDEX(Leads!$C$2:$C$5001,MATCH(B948,Leads!$A$2:$A$5001,0))&amp;" "&amp;INDEX(Leads!$D$2:$D$5001,MATCH(B948,Leads!$A$2:$A$5001,0)),"N° no encontrado"))</f>
        <v/>
      </c>
      <c r="D948" s="35" t="str">
        <f aca="false">IF(B948="","",IFERROR(INDEX(Leads!$G$2:$G$5001,MATCH(B948,Leads!$A$2:$A$5001,0)),""))</f>
        <v/>
      </c>
      <c r="E948" s="32"/>
      <c r="F948" s="32"/>
      <c r="G948" s="32"/>
    </row>
    <row r="949" customFormat="false" ht="15" hidden="false" customHeight="false" outlineLevel="0" collapsed="false">
      <c r="A949" s="31"/>
      <c r="B949" s="32"/>
      <c r="C949" s="35" t="str">
        <f aca="false">IF(B949="","",IFERROR(INDEX(Leads!$C$2:$C$5001,MATCH(B949,Leads!$A$2:$A$5001,0))&amp;" "&amp;INDEX(Leads!$D$2:$D$5001,MATCH(B949,Leads!$A$2:$A$5001,0)),"N° no encontrado"))</f>
        <v/>
      </c>
      <c r="D949" s="35" t="str">
        <f aca="false">IF(B949="","",IFERROR(INDEX(Leads!$G$2:$G$5001,MATCH(B949,Leads!$A$2:$A$5001,0)),""))</f>
        <v/>
      </c>
      <c r="E949" s="32"/>
      <c r="F949" s="32"/>
      <c r="G949" s="32"/>
    </row>
    <row r="950" customFormat="false" ht="15" hidden="false" customHeight="false" outlineLevel="0" collapsed="false">
      <c r="A950" s="31"/>
      <c r="B950" s="32"/>
      <c r="C950" s="35" t="str">
        <f aca="false">IF(B950="","",IFERROR(INDEX(Leads!$C$2:$C$5001,MATCH(B950,Leads!$A$2:$A$5001,0))&amp;" "&amp;INDEX(Leads!$D$2:$D$5001,MATCH(B950,Leads!$A$2:$A$5001,0)),"N° no encontrado"))</f>
        <v/>
      </c>
      <c r="D950" s="35" t="str">
        <f aca="false">IF(B950="","",IFERROR(INDEX(Leads!$G$2:$G$5001,MATCH(B950,Leads!$A$2:$A$5001,0)),""))</f>
        <v/>
      </c>
      <c r="E950" s="32"/>
      <c r="F950" s="32"/>
      <c r="G950" s="32"/>
    </row>
    <row r="951" customFormat="false" ht="15" hidden="false" customHeight="false" outlineLevel="0" collapsed="false">
      <c r="A951" s="31"/>
      <c r="B951" s="32"/>
      <c r="C951" s="35" t="str">
        <f aca="false">IF(B951="","",IFERROR(INDEX(Leads!$C$2:$C$5001,MATCH(B951,Leads!$A$2:$A$5001,0))&amp;" "&amp;INDEX(Leads!$D$2:$D$5001,MATCH(B951,Leads!$A$2:$A$5001,0)),"N° no encontrado"))</f>
        <v/>
      </c>
      <c r="D951" s="35" t="str">
        <f aca="false">IF(B951="","",IFERROR(INDEX(Leads!$G$2:$G$5001,MATCH(B951,Leads!$A$2:$A$5001,0)),""))</f>
        <v/>
      </c>
      <c r="E951" s="32"/>
      <c r="F951" s="32"/>
      <c r="G951" s="32"/>
    </row>
    <row r="952" customFormat="false" ht="15" hidden="false" customHeight="false" outlineLevel="0" collapsed="false">
      <c r="A952" s="31"/>
      <c r="B952" s="32"/>
      <c r="C952" s="35" t="str">
        <f aca="false">IF(B952="","",IFERROR(INDEX(Leads!$C$2:$C$5001,MATCH(B952,Leads!$A$2:$A$5001,0))&amp;" "&amp;INDEX(Leads!$D$2:$D$5001,MATCH(B952,Leads!$A$2:$A$5001,0)),"N° no encontrado"))</f>
        <v/>
      </c>
      <c r="D952" s="35" t="str">
        <f aca="false">IF(B952="","",IFERROR(INDEX(Leads!$G$2:$G$5001,MATCH(B952,Leads!$A$2:$A$5001,0)),""))</f>
        <v/>
      </c>
      <c r="E952" s="32"/>
      <c r="F952" s="32"/>
      <c r="G952" s="32"/>
    </row>
    <row r="953" customFormat="false" ht="15" hidden="false" customHeight="false" outlineLevel="0" collapsed="false">
      <c r="A953" s="31"/>
      <c r="B953" s="32"/>
      <c r="C953" s="35" t="str">
        <f aca="false">IF(B953="","",IFERROR(INDEX(Leads!$C$2:$C$5001,MATCH(B953,Leads!$A$2:$A$5001,0))&amp;" "&amp;INDEX(Leads!$D$2:$D$5001,MATCH(B953,Leads!$A$2:$A$5001,0)),"N° no encontrado"))</f>
        <v/>
      </c>
      <c r="D953" s="35" t="str">
        <f aca="false">IF(B953="","",IFERROR(INDEX(Leads!$G$2:$G$5001,MATCH(B953,Leads!$A$2:$A$5001,0)),""))</f>
        <v/>
      </c>
      <c r="E953" s="32"/>
      <c r="F953" s="32"/>
      <c r="G953" s="32"/>
    </row>
    <row r="954" customFormat="false" ht="15" hidden="false" customHeight="false" outlineLevel="0" collapsed="false">
      <c r="A954" s="31"/>
      <c r="B954" s="32"/>
      <c r="C954" s="35" t="str">
        <f aca="false">IF(B954="","",IFERROR(INDEX(Leads!$C$2:$C$5001,MATCH(B954,Leads!$A$2:$A$5001,0))&amp;" "&amp;INDEX(Leads!$D$2:$D$5001,MATCH(B954,Leads!$A$2:$A$5001,0)),"N° no encontrado"))</f>
        <v/>
      </c>
      <c r="D954" s="35" t="str">
        <f aca="false">IF(B954="","",IFERROR(INDEX(Leads!$G$2:$G$5001,MATCH(B954,Leads!$A$2:$A$5001,0)),""))</f>
        <v/>
      </c>
      <c r="E954" s="32"/>
      <c r="F954" s="32"/>
      <c r="G954" s="32"/>
    </row>
    <row r="955" customFormat="false" ht="15" hidden="false" customHeight="false" outlineLevel="0" collapsed="false">
      <c r="A955" s="31"/>
      <c r="B955" s="32"/>
      <c r="C955" s="35" t="str">
        <f aca="false">IF(B955="","",IFERROR(INDEX(Leads!$C$2:$C$5001,MATCH(B955,Leads!$A$2:$A$5001,0))&amp;" "&amp;INDEX(Leads!$D$2:$D$5001,MATCH(B955,Leads!$A$2:$A$5001,0)),"N° no encontrado"))</f>
        <v/>
      </c>
      <c r="D955" s="35" t="str">
        <f aca="false">IF(B955="","",IFERROR(INDEX(Leads!$G$2:$G$5001,MATCH(B955,Leads!$A$2:$A$5001,0)),""))</f>
        <v/>
      </c>
      <c r="E955" s="32"/>
      <c r="F955" s="32"/>
      <c r="G955" s="32"/>
    </row>
    <row r="956" customFormat="false" ht="15" hidden="false" customHeight="false" outlineLevel="0" collapsed="false">
      <c r="A956" s="31"/>
      <c r="B956" s="32"/>
      <c r="C956" s="35" t="str">
        <f aca="false">IF(B956="","",IFERROR(INDEX(Leads!$C$2:$C$5001,MATCH(B956,Leads!$A$2:$A$5001,0))&amp;" "&amp;INDEX(Leads!$D$2:$D$5001,MATCH(B956,Leads!$A$2:$A$5001,0)),"N° no encontrado"))</f>
        <v/>
      </c>
      <c r="D956" s="35" t="str">
        <f aca="false">IF(B956="","",IFERROR(INDEX(Leads!$G$2:$G$5001,MATCH(B956,Leads!$A$2:$A$5001,0)),""))</f>
        <v/>
      </c>
      <c r="E956" s="32"/>
      <c r="F956" s="32"/>
      <c r="G956" s="32"/>
    </row>
    <row r="957" customFormat="false" ht="15" hidden="false" customHeight="false" outlineLevel="0" collapsed="false">
      <c r="A957" s="31"/>
      <c r="B957" s="32"/>
      <c r="C957" s="35" t="str">
        <f aca="false">IF(B957="","",IFERROR(INDEX(Leads!$C$2:$C$5001,MATCH(B957,Leads!$A$2:$A$5001,0))&amp;" "&amp;INDEX(Leads!$D$2:$D$5001,MATCH(B957,Leads!$A$2:$A$5001,0)),"N° no encontrado"))</f>
        <v/>
      </c>
      <c r="D957" s="35" t="str">
        <f aca="false">IF(B957="","",IFERROR(INDEX(Leads!$G$2:$G$5001,MATCH(B957,Leads!$A$2:$A$5001,0)),""))</f>
        <v/>
      </c>
      <c r="E957" s="32"/>
      <c r="F957" s="32"/>
      <c r="G957" s="32"/>
    </row>
    <row r="958" customFormat="false" ht="15" hidden="false" customHeight="false" outlineLevel="0" collapsed="false">
      <c r="A958" s="31"/>
      <c r="B958" s="32"/>
      <c r="C958" s="35" t="str">
        <f aca="false">IF(B958="","",IFERROR(INDEX(Leads!$C$2:$C$5001,MATCH(B958,Leads!$A$2:$A$5001,0))&amp;" "&amp;INDEX(Leads!$D$2:$D$5001,MATCH(B958,Leads!$A$2:$A$5001,0)),"N° no encontrado"))</f>
        <v/>
      </c>
      <c r="D958" s="35" t="str">
        <f aca="false">IF(B958="","",IFERROR(INDEX(Leads!$G$2:$G$5001,MATCH(B958,Leads!$A$2:$A$5001,0)),""))</f>
        <v/>
      </c>
      <c r="E958" s="32"/>
      <c r="F958" s="32"/>
      <c r="G958" s="32"/>
    </row>
    <row r="959" customFormat="false" ht="15" hidden="false" customHeight="false" outlineLevel="0" collapsed="false">
      <c r="A959" s="31"/>
      <c r="B959" s="32"/>
      <c r="C959" s="35" t="str">
        <f aca="false">IF(B959="","",IFERROR(INDEX(Leads!$C$2:$C$5001,MATCH(B959,Leads!$A$2:$A$5001,0))&amp;" "&amp;INDEX(Leads!$D$2:$D$5001,MATCH(B959,Leads!$A$2:$A$5001,0)),"N° no encontrado"))</f>
        <v/>
      </c>
      <c r="D959" s="35" t="str">
        <f aca="false">IF(B959="","",IFERROR(INDEX(Leads!$G$2:$G$5001,MATCH(B959,Leads!$A$2:$A$5001,0)),""))</f>
        <v/>
      </c>
      <c r="E959" s="32"/>
      <c r="F959" s="32"/>
      <c r="G959" s="32"/>
    </row>
    <row r="960" customFormat="false" ht="15" hidden="false" customHeight="false" outlineLevel="0" collapsed="false">
      <c r="A960" s="31"/>
      <c r="B960" s="32"/>
      <c r="C960" s="35" t="str">
        <f aca="false">IF(B960="","",IFERROR(INDEX(Leads!$C$2:$C$5001,MATCH(B960,Leads!$A$2:$A$5001,0))&amp;" "&amp;INDEX(Leads!$D$2:$D$5001,MATCH(B960,Leads!$A$2:$A$5001,0)),"N° no encontrado"))</f>
        <v/>
      </c>
      <c r="D960" s="35" t="str">
        <f aca="false">IF(B960="","",IFERROR(INDEX(Leads!$G$2:$G$5001,MATCH(B960,Leads!$A$2:$A$5001,0)),""))</f>
        <v/>
      </c>
      <c r="E960" s="32"/>
      <c r="F960" s="32"/>
      <c r="G960" s="32"/>
    </row>
    <row r="961" customFormat="false" ht="15" hidden="false" customHeight="false" outlineLevel="0" collapsed="false">
      <c r="A961" s="31"/>
      <c r="B961" s="32"/>
      <c r="C961" s="35" t="str">
        <f aca="false">IF(B961="","",IFERROR(INDEX(Leads!$C$2:$C$5001,MATCH(B961,Leads!$A$2:$A$5001,0))&amp;" "&amp;INDEX(Leads!$D$2:$D$5001,MATCH(B961,Leads!$A$2:$A$5001,0)),"N° no encontrado"))</f>
        <v/>
      </c>
      <c r="D961" s="35" t="str">
        <f aca="false">IF(B961="","",IFERROR(INDEX(Leads!$G$2:$G$5001,MATCH(B961,Leads!$A$2:$A$5001,0)),""))</f>
        <v/>
      </c>
      <c r="E961" s="32"/>
      <c r="F961" s="32"/>
      <c r="G961" s="32"/>
    </row>
    <row r="962" customFormat="false" ht="15" hidden="false" customHeight="false" outlineLevel="0" collapsed="false">
      <c r="A962" s="31"/>
      <c r="B962" s="32"/>
      <c r="C962" s="35" t="str">
        <f aca="false">IF(B962="","",IFERROR(INDEX(Leads!$C$2:$C$5001,MATCH(B962,Leads!$A$2:$A$5001,0))&amp;" "&amp;INDEX(Leads!$D$2:$D$5001,MATCH(B962,Leads!$A$2:$A$5001,0)),"N° no encontrado"))</f>
        <v/>
      </c>
      <c r="D962" s="35" t="str">
        <f aca="false">IF(B962="","",IFERROR(INDEX(Leads!$G$2:$G$5001,MATCH(B962,Leads!$A$2:$A$5001,0)),""))</f>
        <v/>
      </c>
      <c r="E962" s="32"/>
      <c r="F962" s="32"/>
      <c r="G962" s="32"/>
    </row>
    <row r="963" customFormat="false" ht="15" hidden="false" customHeight="false" outlineLevel="0" collapsed="false">
      <c r="A963" s="31"/>
      <c r="B963" s="32"/>
      <c r="C963" s="35" t="str">
        <f aca="false">IF(B963="","",IFERROR(INDEX(Leads!$C$2:$C$5001,MATCH(B963,Leads!$A$2:$A$5001,0))&amp;" "&amp;INDEX(Leads!$D$2:$D$5001,MATCH(B963,Leads!$A$2:$A$5001,0)),"N° no encontrado"))</f>
        <v/>
      </c>
      <c r="D963" s="35" t="str">
        <f aca="false">IF(B963="","",IFERROR(INDEX(Leads!$G$2:$G$5001,MATCH(B963,Leads!$A$2:$A$5001,0)),""))</f>
        <v/>
      </c>
      <c r="E963" s="32"/>
      <c r="F963" s="32"/>
      <c r="G963" s="32"/>
    </row>
    <row r="964" customFormat="false" ht="15" hidden="false" customHeight="false" outlineLevel="0" collapsed="false">
      <c r="A964" s="31"/>
      <c r="B964" s="32"/>
      <c r="C964" s="35" t="str">
        <f aca="false">IF(B964="","",IFERROR(INDEX(Leads!$C$2:$C$5001,MATCH(B964,Leads!$A$2:$A$5001,0))&amp;" "&amp;INDEX(Leads!$D$2:$D$5001,MATCH(B964,Leads!$A$2:$A$5001,0)),"N° no encontrado"))</f>
        <v/>
      </c>
      <c r="D964" s="35" t="str">
        <f aca="false">IF(B964="","",IFERROR(INDEX(Leads!$G$2:$G$5001,MATCH(B964,Leads!$A$2:$A$5001,0)),""))</f>
        <v/>
      </c>
      <c r="E964" s="32"/>
      <c r="F964" s="32"/>
      <c r="G964" s="32"/>
    </row>
    <row r="965" customFormat="false" ht="15" hidden="false" customHeight="false" outlineLevel="0" collapsed="false">
      <c r="A965" s="31"/>
      <c r="B965" s="32"/>
      <c r="C965" s="35" t="str">
        <f aca="false">IF(B965="","",IFERROR(INDEX(Leads!$C$2:$C$5001,MATCH(B965,Leads!$A$2:$A$5001,0))&amp;" "&amp;INDEX(Leads!$D$2:$D$5001,MATCH(B965,Leads!$A$2:$A$5001,0)),"N° no encontrado"))</f>
        <v/>
      </c>
      <c r="D965" s="35" t="str">
        <f aca="false">IF(B965="","",IFERROR(INDEX(Leads!$G$2:$G$5001,MATCH(B965,Leads!$A$2:$A$5001,0)),""))</f>
        <v/>
      </c>
      <c r="E965" s="32"/>
      <c r="F965" s="32"/>
      <c r="G965" s="32"/>
    </row>
    <row r="966" customFormat="false" ht="15" hidden="false" customHeight="false" outlineLevel="0" collapsed="false">
      <c r="A966" s="31"/>
      <c r="B966" s="32"/>
      <c r="C966" s="35" t="str">
        <f aca="false">IF(B966="","",IFERROR(INDEX(Leads!$C$2:$C$5001,MATCH(B966,Leads!$A$2:$A$5001,0))&amp;" "&amp;INDEX(Leads!$D$2:$D$5001,MATCH(B966,Leads!$A$2:$A$5001,0)),"N° no encontrado"))</f>
        <v/>
      </c>
      <c r="D966" s="35" t="str">
        <f aca="false">IF(B966="","",IFERROR(INDEX(Leads!$G$2:$G$5001,MATCH(B966,Leads!$A$2:$A$5001,0)),""))</f>
        <v/>
      </c>
      <c r="E966" s="32"/>
      <c r="F966" s="32"/>
      <c r="G966" s="32"/>
    </row>
    <row r="967" customFormat="false" ht="15" hidden="false" customHeight="false" outlineLevel="0" collapsed="false">
      <c r="A967" s="31"/>
      <c r="B967" s="32"/>
      <c r="C967" s="35" t="str">
        <f aca="false">IF(B967="","",IFERROR(INDEX(Leads!$C$2:$C$5001,MATCH(B967,Leads!$A$2:$A$5001,0))&amp;" "&amp;INDEX(Leads!$D$2:$D$5001,MATCH(B967,Leads!$A$2:$A$5001,0)),"N° no encontrado"))</f>
        <v/>
      </c>
      <c r="D967" s="35" t="str">
        <f aca="false">IF(B967="","",IFERROR(INDEX(Leads!$G$2:$G$5001,MATCH(B967,Leads!$A$2:$A$5001,0)),""))</f>
        <v/>
      </c>
      <c r="E967" s="32"/>
      <c r="F967" s="32"/>
      <c r="G967" s="32"/>
    </row>
    <row r="968" customFormat="false" ht="15" hidden="false" customHeight="false" outlineLevel="0" collapsed="false">
      <c r="A968" s="31"/>
      <c r="B968" s="32"/>
      <c r="C968" s="35" t="str">
        <f aca="false">IF(B968="","",IFERROR(INDEX(Leads!$C$2:$C$5001,MATCH(B968,Leads!$A$2:$A$5001,0))&amp;" "&amp;INDEX(Leads!$D$2:$D$5001,MATCH(B968,Leads!$A$2:$A$5001,0)),"N° no encontrado"))</f>
        <v/>
      </c>
      <c r="D968" s="35" t="str">
        <f aca="false">IF(B968="","",IFERROR(INDEX(Leads!$G$2:$G$5001,MATCH(B968,Leads!$A$2:$A$5001,0)),""))</f>
        <v/>
      </c>
      <c r="E968" s="32"/>
      <c r="F968" s="32"/>
      <c r="G968" s="32"/>
    </row>
    <row r="969" customFormat="false" ht="15" hidden="false" customHeight="false" outlineLevel="0" collapsed="false">
      <c r="A969" s="31"/>
      <c r="B969" s="32"/>
      <c r="C969" s="35" t="str">
        <f aca="false">IF(B969="","",IFERROR(INDEX(Leads!$C$2:$C$5001,MATCH(B969,Leads!$A$2:$A$5001,0))&amp;" "&amp;INDEX(Leads!$D$2:$D$5001,MATCH(B969,Leads!$A$2:$A$5001,0)),"N° no encontrado"))</f>
        <v/>
      </c>
      <c r="D969" s="35" t="str">
        <f aca="false">IF(B969="","",IFERROR(INDEX(Leads!$G$2:$G$5001,MATCH(B969,Leads!$A$2:$A$5001,0)),""))</f>
        <v/>
      </c>
      <c r="E969" s="32"/>
      <c r="F969" s="32"/>
      <c r="G969" s="32"/>
    </row>
    <row r="970" customFormat="false" ht="15" hidden="false" customHeight="false" outlineLevel="0" collapsed="false">
      <c r="A970" s="31"/>
      <c r="B970" s="32"/>
      <c r="C970" s="35" t="str">
        <f aca="false">IF(B970="","",IFERROR(INDEX(Leads!$C$2:$C$5001,MATCH(B970,Leads!$A$2:$A$5001,0))&amp;" "&amp;INDEX(Leads!$D$2:$D$5001,MATCH(B970,Leads!$A$2:$A$5001,0)),"N° no encontrado"))</f>
        <v/>
      </c>
      <c r="D970" s="35" t="str">
        <f aca="false">IF(B970="","",IFERROR(INDEX(Leads!$G$2:$G$5001,MATCH(B970,Leads!$A$2:$A$5001,0)),""))</f>
        <v/>
      </c>
      <c r="E970" s="32"/>
      <c r="F970" s="32"/>
      <c r="G970" s="32"/>
    </row>
    <row r="971" customFormat="false" ht="15" hidden="false" customHeight="false" outlineLevel="0" collapsed="false">
      <c r="A971" s="31"/>
      <c r="B971" s="32"/>
      <c r="C971" s="35" t="str">
        <f aca="false">IF(B971="","",IFERROR(INDEX(Leads!$C$2:$C$5001,MATCH(B971,Leads!$A$2:$A$5001,0))&amp;" "&amp;INDEX(Leads!$D$2:$D$5001,MATCH(B971,Leads!$A$2:$A$5001,0)),"N° no encontrado"))</f>
        <v/>
      </c>
      <c r="D971" s="35" t="str">
        <f aca="false">IF(B971="","",IFERROR(INDEX(Leads!$G$2:$G$5001,MATCH(B971,Leads!$A$2:$A$5001,0)),""))</f>
        <v/>
      </c>
      <c r="E971" s="32"/>
      <c r="F971" s="32"/>
      <c r="G971" s="32"/>
    </row>
    <row r="972" customFormat="false" ht="15" hidden="false" customHeight="false" outlineLevel="0" collapsed="false">
      <c r="A972" s="31"/>
      <c r="B972" s="32"/>
      <c r="C972" s="35" t="str">
        <f aca="false">IF(B972="","",IFERROR(INDEX(Leads!$C$2:$C$5001,MATCH(B972,Leads!$A$2:$A$5001,0))&amp;" "&amp;INDEX(Leads!$D$2:$D$5001,MATCH(B972,Leads!$A$2:$A$5001,0)),"N° no encontrado"))</f>
        <v/>
      </c>
      <c r="D972" s="35" t="str">
        <f aca="false">IF(B972="","",IFERROR(INDEX(Leads!$G$2:$G$5001,MATCH(B972,Leads!$A$2:$A$5001,0)),""))</f>
        <v/>
      </c>
      <c r="E972" s="32"/>
      <c r="F972" s="32"/>
      <c r="G972" s="32"/>
    </row>
    <row r="973" customFormat="false" ht="15" hidden="false" customHeight="false" outlineLevel="0" collapsed="false">
      <c r="A973" s="31"/>
      <c r="B973" s="32"/>
      <c r="C973" s="35" t="str">
        <f aca="false">IF(B973="","",IFERROR(INDEX(Leads!$C$2:$C$5001,MATCH(B973,Leads!$A$2:$A$5001,0))&amp;" "&amp;INDEX(Leads!$D$2:$D$5001,MATCH(B973,Leads!$A$2:$A$5001,0)),"N° no encontrado"))</f>
        <v/>
      </c>
      <c r="D973" s="35" t="str">
        <f aca="false">IF(B973="","",IFERROR(INDEX(Leads!$G$2:$G$5001,MATCH(B973,Leads!$A$2:$A$5001,0)),""))</f>
        <v/>
      </c>
      <c r="E973" s="32"/>
      <c r="F973" s="32"/>
      <c r="G973" s="32"/>
    </row>
    <row r="974" customFormat="false" ht="15" hidden="false" customHeight="false" outlineLevel="0" collapsed="false">
      <c r="A974" s="31"/>
      <c r="B974" s="32"/>
      <c r="C974" s="35" t="str">
        <f aca="false">IF(B974="","",IFERROR(INDEX(Leads!$C$2:$C$5001,MATCH(B974,Leads!$A$2:$A$5001,0))&amp;" "&amp;INDEX(Leads!$D$2:$D$5001,MATCH(B974,Leads!$A$2:$A$5001,0)),"N° no encontrado"))</f>
        <v/>
      </c>
      <c r="D974" s="35" t="str">
        <f aca="false">IF(B974="","",IFERROR(INDEX(Leads!$G$2:$G$5001,MATCH(B974,Leads!$A$2:$A$5001,0)),""))</f>
        <v/>
      </c>
      <c r="E974" s="32"/>
      <c r="F974" s="32"/>
      <c r="G974" s="32"/>
    </row>
    <row r="975" customFormat="false" ht="15" hidden="false" customHeight="false" outlineLevel="0" collapsed="false">
      <c r="A975" s="31"/>
      <c r="B975" s="32"/>
      <c r="C975" s="35" t="str">
        <f aca="false">IF(B975="","",IFERROR(INDEX(Leads!$C$2:$C$5001,MATCH(B975,Leads!$A$2:$A$5001,0))&amp;" "&amp;INDEX(Leads!$D$2:$D$5001,MATCH(B975,Leads!$A$2:$A$5001,0)),"N° no encontrado"))</f>
        <v/>
      </c>
      <c r="D975" s="35" t="str">
        <f aca="false">IF(B975="","",IFERROR(INDEX(Leads!$G$2:$G$5001,MATCH(B975,Leads!$A$2:$A$5001,0)),""))</f>
        <v/>
      </c>
      <c r="E975" s="32"/>
      <c r="F975" s="32"/>
      <c r="G975" s="32"/>
    </row>
    <row r="976" customFormat="false" ht="15" hidden="false" customHeight="false" outlineLevel="0" collapsed="false">
      <c r="A976" s="31"/>
      <c r="B976" s="32"/>
      <c r="C976" s="35" t="str">
        <f aca="false">IF(B976="","",IFERROR(INDEX(Leads!$C$2:$C$5001,MATCH(B976,Leads!$A$2:$A$5001,0))&amp;" "&amp;INDEX(Leads!$D$2:$D$5001,MATCH(B976,Leads!$A$2:$A$5001,0)),"N° no encontrado"))</f>
        <v/>
      </c>
      <c r="D976" s="35" t="str">
        <f aca="false">IF(B976="","",IFERROR(INDEX(Leads!$G$2:$G$5001,MATCH(B976,Leads!$A$2:$A$5001,0)),""))</f>
        <v/>
      </c>
      <c r="E976" s="32"/>
      <c r="F976" s="32"/>
      <c r="G976" s="32"/>
    </row>
    <row r="977" customFormat="false" ht="15" hidden="false" customHeight="false" outlineLevel="0" collapsed="false">
      <c r="A977" s="31"/>
      <c r="B977" s="32"/>
      <c r="C977" s="35" t="str">
        <f aca="false">IF(B977="","",IFERROR(INDEX(Leads!$C$2:$C$5001,MATCH(B977,Leads!$A$2:$A$5001,0))&amp;" "&amp;INDEX(Leads!$D$2:$D$5001,MATCH(B977,Leads!$A$2:$A$5001,0)),"N° no encontrado"))</f>
        <v/>
      </c>
      <c r="D977" s="35" t="str">
        <f aca="false">IF(B977="","",IFERROR(INDEX(Leads!$G$2:$G$5001,MATCH(B977,Leads!$A$2:$A$5001,0)),""))</f>
        <v/>
      </c>
      <c r="E977" s="32"/>
      <c r="F977" s="32"/>
      <c r="G977" s="32"/>
    </row>
    <row r="978" customFormat="false" ht="15" hidden="false" customHeight="false" outlineLevel="0" collapsed="false">
      <c r="A978" s="31"/>
      <c r="B978" s="32"/>
      <c r="C978" s="35" t="str">
        <f aca="false">IF(B978="","",IFERROR(INDEX(Leads!$C$2:$C$5001,MATCH(B978,Leads!$A$2:$A$5001,0))&amp;" "&amp;INDEX(Leads!$D$2:$D$5001,MATCH(B978,Leads!$A$2:$A$5001,0)),"N° no encontrado"))</f>
        <v/>
      </c>
      <c r="D978" s="35" t="str">
        <f aca="false">IF(B978="","",IFERROR(INDEX(Leads!$G$2:$G$5001,MATCH(B978,Leads!$A$2:$A$5001,0)),""))</f>
        <v/>
      </c>
      <c r="E978" s="32"/>
      <c r="F978" s="32"/>
      <c r="G978" s="32"/>
    </row>
    <row r="979" customFormat="false" ht="15" hidden="false" customHeight="false" outlineLevel="0" collapsed="false">
      <c r="A979" s="31"/>
      <c r="B979" s="32"/>
      <c r="C979" s="35" t="str">
        <f aca="false">IF(B979="","",IFERROR(INDEX(Leads!$C$2:$C$5001,MATCH(B979,Leads!$A$2:$A$5001,0))&amp;" "&amp;INDEX(Leads!$D$2:$D$5001,MATCH(B979,Leads!$A$2:$A$5001,0)),"N° no encontrado"))</f>
        <v/>
      </c>
      <c r="D979" s="35" t="str">
        <f aca="false">IF(B979="","",IFERROR(INDEX(Leads!$G$2:$G$5001,MATCH(B979,Leads!$A$2:$A$5001,0)),""))</f>
        <v/>
      </c>
      <c r="E979" s="32"/>
      <c r="F979" s="32"/>
      <c r="G979" s="32"/>
    </row>
    <row r="980" customFormat="false" ht="15" hidden="false" customHeight="false" outlineLevel="0" collapsed="false">
      <c r="A980" s="31"/>
      <c r="B980" s="32"/>
      <c r="C980" s="35" t="str">
        <f aca="false">IF(B980="","",IFERROR(INDEX(Leads!$C$2:$C$5001,MATCH(B980,Leads!$A$2:$A$5001,0))&amp;" "&amp;INDEX(Leads!$D$2:$D$5001,MATCH(B980,Leads!$A$2:$A$5001,0)),"N° no encontrado"))</f>
        <v/>
      </c>
      <c r="D980" s="35" t="str">
        <f aca="false">IF(B980="","",IFERROR(INDEX(Leads!$G$2:$G$5001,MATCH(B980,Leads!$A$2:$A$5001,0)),""))</f>
        <v/>
      </c>
      <c r="E980" s="32"/>
      <c r="F980" s="32"/>
      <c r="G980" s="32"/>
    </row>
    <row r="981" customFormat="false" ht="15" hidden="false" customHeight="false" outlineLevel="0" collapsed="false">
      <c r="A981" s="31"/>
      <c r="B981" s="32"/>
      <c r="C981" s="35" t="str">
        <f aca="false">IF(B981="","",IFERROR(INDEX(Leads!$C$2:$C$5001,MATCH(B981,Leads!$A$2:$A$5001,0))&amp;" "&amp;INDEX(Leads!$D$2:$D$5001,MATCH(B981,Leads!$A$2:$A$5001,0)),"N° no encontrado"))</f>
        <v/>
      </c>
      <c r="D981" s="35" t="str">
        <f aca="false">IF(B981="","",IFERROR(INDEX(Leads!$G$2:$G$5001,MATCH(B981,Leads!$A$2:$A$5001,0)),""))</f>
        <v/>
      </c>
      <c r="E981" s="32"/>
      <c r="F981" s="32"/>
      <c r="G981" s="32"/>
    </row>
    <row r="982" customFormat="false" ht="15" hidden="false" customHeight="false" outlineLevel="0" collapsed="false">
      <c r="A982" s="31"/>
      <c r="B982" s="32"/>
      <c r="C982" s="35" t="str">
        <f aca="false">IF(B982="","",IFERROR(INDEX(Leads!$C$2:$C$5001,MATCH(B982,Leads!$A$2:$A$5001,0))&amp;" "&amp;INDEX(Leads!$D$2:$D$5001,MATCH(B982,Leads!$A$2:$A$5001,0)),"N° no encontrado"))</f>
        <v/>
      </c>
      <c r="D982" s="35" t="str">
        <f aca="false">IF(B982="","",IFERROR(INDEX(Leads!$G$2:$G$5001,MATCH(B982,Leads!$A$2:$A$5001,0)),""))</f>
        <v/>
      </c>
      <c r="E982" s="32"/>
      <c r="F982" s="32"/>
      <c r="G982" s="32"/>
    </row>
    <row r="983" customFormat="false" ht="15" hidden="false" customHeight="false" outlineLevel="0" collapsed="false">
      <c r="A983" s="31"/>
      <c r="B983" s="32"/>
      <c r="C983" s="35" t="str">
        <f aca="false">IF(B983="","",IFERROR(INDEX(Leads!$C$2:$C$5001,MATCH(B983,Leads!$A$2:$A$5001,0))&amp;" "&amp;INDEX(Leads!$D$2:$D$5001,MATCH(B983,Leads!$A$2:$A$5001,0)),"N° no encontrado"))</f>
        <v/>
      </c>
      <c r="D983" s="35" t="str">
        <f aca="false">IF(B983="","",IFERROR(INDEX(Leads!$G$2:$G$5001,MATCH(B983,Leads!$A$2:$A$5001,0)),""))</f>
        <v/>
      </c>
      <c r="E983" s="32"/>
      <c r="F983" s="32"/>
      <c r="G983" s="32"/>
    </row>
    <row r="984" customFormat="false" ht="15" hidden="false" customHeight="false" outlineLevel="0" collapsed="false">
      <c r="A984" s="31"/>
      <c r="B984" s="32"/>
      <c r="C984" s="35" t="str">
        <f aca="false">IF(B984="","",IFERROR(INDEX(Leads!$C$2:$C$5001,MATCH(B984,Leads!$A$2:$A$5001,0))&amp;" "&amp;INDEX(Leads!$D$2:$D$5001,MATCH(B984,Leads!$A$2:$A$5001,0)),"N° no encontrado"))</f>
        <v/>
      </c>
      <c r="D984" s="35" t="str">
        <f aca="false">IF(B984="","",IFERROR(INDEX(Leads!$G$2:$G$5001,MATCH(B984,Leads!$A$2:$A$5001,0)),""))</f>
        <v/>
      </c>
      <c r="E984" s="32"/>
      <c r="F984" s="32"/>
      <c r="G984" s="32"/>
    </row>
    <row r="985" customFormat="false" ht="15" hidden="false" customHeight="false" outlineLevel="0" collapsed="false">
      <c r="A985" s="31"/>
      <c r="B985" s="32"/>
      <c r="C985" s="35" t="str">
        <f aca="false">IF(B985="","",IFERROR(INDEX(Leads!$C$2:$C$5001,MATCH(B985,Leads!$A$2:$A$5001,0))&amp;" "&amp;INDEX(Leads!$D$2:$D$5001,MATCH(B985,Leads!$A$2:$A$5001,0)),"N° no encontrado"))</f>
        <v/>
      </c>
      <c r="D985" s="35" t="str">
        <f aca="false">IF(B985="","",IFERROR(INDEX(Leads!$G$2:$G$5001,MATCH(B985,Leads!$A$2:$A$5001,0)),""))</f>
        <v/>
      </c>
      <c r="E985" s="32"/>
      <c r="F985" s="32"/>
      <c r="G985" s="32"/>
    </row>
    <row r="986" customFormat="false" ht="15" hidden="false" customHeight="false" outlineLevel="0" collapsed="false">
      <c r="A986" s="31"/>
      <c r="B986" s="32"/>
      <c r="C986" s="35" t="str">
        <f aca="false">IF(B986="","",IFERROR(INDEX(Leads!$C$2:$C$5001,MATCH(B986,Leads!$A$2:$A$5001,0))&amp;" "&amp;INDEX(Leads!$D$2:$D$5001,MATCH(B986,Leads!$A$2:$A$5001,0)),"N° no encontrado"))</f>
        <v/>
      </c>
      <c r="D986" s="35" t="str">
        <f aca="false">IF(B986="","",IFERROR(INDEX(Leads!$G$2:$G$5001,MATCH(B986,Leads!$A$2:$A$5001,0)),""))</f>
        <v/>
      </c>
      <c r="E986" s="32"/>
      <c r="F986" s="32"/>
      <c r="G986" s="32"/>
    </row>
    <row r="987" customFormat="false" ht="15" hidden="false" customHeight="false" outlineLevel="0" collapsed="false">
      <c r="A987" s="31"/>
      <c r="B987" s="32"/>
      <c r="C987" s="35" t="str">
        <f aca="false">IF(B987="","",IFERROR(INDEX(Leads!$C$2:$C$5001,MATCH(B987,Leads!$A$2:$A$5001,0))&amp;" "&amp;INDEX(Leads!$D$2:$D$5001,MATCH(B987,Leads!$A$2:$A$5001,0)),"N° no encontrado"))</f>
        <v/>
      </c>
      <c r="D987" s="35" t="str">
        <f aca="false">IF(B987="","",IFERROR(INDEX(Leads!$G$2:$G$5001,MATCH(B987,Leads!$A$2:$A$5001,0)),""))</f>
        <v/>
      </c>
      <c r="E987" s="32"/>
      <c r="F987" s="32"/>
      <c r="G987" s="32"/>
    </row>
    <row r="988" customFormat="false" ht="15" hidden="false" customHeight="false" outlineLevel="0" collapsed="false">
      <c r="A988" s="31"/>
      <c r="B988" s="32"/>
      <c r="C988" s="35" t="str">
        <f aca="false">IF(B988="","",IFERROR(INDEX(Leads!$C$2:$C$5001,MATCH(B988,Leads!$A$2:$A$5001,0))&amp;" "&amp;INDEX(Leads!$D$2:$D$5001,MATCH(B988,Leads!$A$2:$A$5001,0)),"N° no encontrado"))</f>
        <v/>
      </c>
      <c r="D988" s="35" t="str">
        <f aca="false">IF(B988="","",IFERROR(INDEX(Leads!$G$2:$G$5001,MATCH(B988,Leads!$A$2:$A$5001,0)),""))</f>
        <v/>
      </c>
      <c r="E988" s="32"/>
      <c r="F988" s="32"/>
      <c r="G988" s="32"/>
    </row>
    <row r="989" customFormat="false" ht="15" hidden="false" customHeight="false" outlineLevel="0" collapsed="false">
      <c r="A989" s="31"/>
      <c r="B989" s="32"/>
      <c r="C989" s="35" t="str">
        <f aca="false">IF(B989="","",IFERROR(INDEX(Leads!$C$2:$C$5001,MATCH(B989,Leads!$A$2:$A$5001,0))&amp;" "&amp;INDEX(Leads!$D$2:$D$5001,MATCH(B989,Leads!$A$2:$A$5001,0)),"N° no encontrado"))</f>
        <v/>
      </c>
      <c r="D989" s="35" t="str">
        <f aca="false">IF(B989="","",IFERROR(INDEX(Leads!$G$2:$G$5001,MATCH(B989,Leads!$A$2:$A$5001,0)),""))</f>
        <v/>
      </c>
      <c r="E989" s="32"/>
      <c r="F989" s="32"/>
      <c r="G989" s="32"/>
    </row>
    <row r="990" customFormat="false" ht="15" hidden="false" customHeight="false" outlineLevel="0" collapsed="false">
      <c r="A990" s="31"/>
      <c r="B990" s="32"/>
      <c r="C990" s="35" t="str">
        <f aca="false">IF(B990="","",IFERROR(INDEX(Leads!$C$2:$C$5001,MATCH(B990,Leads!$A$2:$A$5001,0))&amp;" "&amp;INDEX(Leads!$D$2:$D$5001,MATCH(B990,Leads!$A$2:$A$5001,0)),"N° no encontrado"))</f>
        <v/>
      </c>
      <c r="D990" s="35" t="str">
        <f aca="false">IF(B990="","",IFERROR(INDEX(Leads!$G$2:$G$5001,MATCH(B990,Leads!$A$2:$A$5001,0)),""))</f>
        <v/>
      </c>
      <c r="E990" s="32"/>
      <c r="F990" s="32"/>
      <c r="G990" s="32"/>
    </row>
    <row r="991" customFormat="false" ht="15" hidden="false" customHeight="false" outlineLevel="0" collapsed="false">
      <c r="A991" s="31"/>
      <c r="B991" s="32"/>
      <c r="C991" s="35" t="str">
        <f aca="false">IF(B991="","",IFERROR(INDEX(Leads!$C$2:$C$5001,MATCH(B991,Leads!$A$2:$A$5001,0))&amp;" "&amp;INDEX(Leads!$D$2:$D$5001,MATCH(B991,Leads!$A$2:$A$5001,0)),"N° no encontrado"))</f>
        <v/>
      </c>
      <c r="D991" s="35" t="str">
        <f aca="false">IF(B991="","",IFERROR(INDEX(Leads!$G$2:$G$5001,MATCH(B991,Leads!$A$2:$A$5001,0)),""))</f>
        <v/>
      </c>
      <c r="E991" s="32"/>
      <c r="F991" s="32"/>
      <c r="G991" s="32"/>
    </row>
    <row r="992" customFormat="false" ht="15" hidden="false" customHeight="false" outlineLevel="0" collapsed="false">
      <c r="A992" s="31"/>
      <c r="B992" s="32"/>
      <c r="C992" s="35" t="str">
        <f aca="false">IF(B992="","",IFERROR(INDEX(Leads!$C$2:$C$5001,MATCH(B992,Leads!$A$2:$A$5001,0))&amp;" "&amp;INDEX(Leads!$D$2:$D$5001,MATCH(B992,Leads!$A$2:$A$5001,0)),"N° no encontrado"))</f>
        <v/>
      </c>
      <c r="D992" s="35" t="str">
        <f aca="false">IF(B992="","",IFERROR(INDEX(Leads!$G$2:$G$5001,MATCH(B992,Leads!$A$2:$A$5001,0)),""))</f>
        <v/>
      </c>
      <c r="E992" s="32"/>
      <c r="F992" s="32"/>
      <c r="G992" s="32"/>
    </row>
    <row r="993" customFormat="false" ht="15" hidden="false" customHeight="false" outlineLevel="0" collapsed="false">
      <c r="A993" s="31"/>
      <c r="B993" s="32"/>
      <c r="C993" s="35" t="str">
        <f aca="false">IF(B993="","",IFERROR(INDEX(Leads!$C$2:$C$5001,MATCH(B993,Leads!$A$2:$A$5001,0))&amp;" "&amp;INDEX(Leads!$D$2:$D$5001,MATCH(B993,Leads!$A$2:$A$5001,0)),"N° no encontrado"))</f>
        <v/>
      </c>
      <c r="D993" s="35" t="str">
        <f aca="false">IF(B993="","",IFERROR(INDEX(Leads!$G$2:$G$5001,MATCH(B993,Leads!$A$2:$A$5001,0)),""))</f>
        <v/>
      </c>
      <c r="E993" s="32"/>
      <c r="F993" s="32"/>
      <c r="G993" s="32"/>
    </row>
    <row r="994" customFormat="false" ht="15" hidden="false" customHeight="false" outlineLevel="0" collapsed="false">
      <c r="A994" s="31"/>
      <c r="B994" s="32"/>
      <c r="C994" s="35" t="str">
        <f aca="false">IF(B994="","",IFERROR(INDEX(Leads!$C$2:$C$5001,MATCH(B994,Leads!$A$2:$A$5001,0))&amp;" "&amp;INDEX(Leads!$D$2:$D$5001,MATCH(B994,Leads!$A$2:$A$5001,0)),"N° no encontrado"))</f>
        <v/>
      </c>
      <c r="D994" s="35" t="str">
        <f aca="false">IF(B994="","",IFERROR(INDEX(Leads!$G$2:$G$5001,MATCH(B994,Leads!$A$2:$A$5001,0)),""))</f>
        <v/>
      </c>
      <c r="E994" s="32"/>
      <c r="F994" s="32"/>
      <c r="G994" s="32"/>
    </row>
    <row r="995" customFormat="false" ht="15" hidden="false" customHeight="false" outlineLevel="0" collapsed="false">
      <c r="A995" s="31"/>
      <c r="B995" s="32"/>
      <c r="C995" s="35" t="str">
        <f aca="false">IF(B995="","",IFERROR(INDEX(Leads!$C$2:$C$5001,MATCH(B995,Leads!$A$2:$A$5001,0))&amp;" "&amp;INDEX(Leads!$D$2:$D$5001,MATCH(B995,Leads!$A$2:$A$5001,0)),"N° no encontrado"))</f>
        <v/>
      </c>
      <c r="D995" s="35" t="str">
        <f aca="false">IF(B995="","",IFERROR(INDEX(Leads!$G$2:$G$5001,MATCH(B995,Leads!$A$2:$A$5001,0)),""))</f>
        <v/>
      </c>
      <c r="E995" s="32"/>
      <c r="F995" s="32"/>
      <c r="G995" s="32"/>
    </row>
    <row r="996" customFormat="false" ht="15" hidden="false" customHeight="false" outlineLevel="0" collapsed="false">
      <c r="A996" s="31"/>
      <c r="B996" s="32"/>
      <c r="C996" s="35" t="str">
        <f aca="false">IF(B996="","",IFERROR(INDEX(Leads!$C$2:$C$5001,MATCH(B996,Leads!$A$2:$A$5001,0))&amp;" "&amp;INDEX(Leads!$D$2:$D$5001,MATCH(B996,Leads!$A$2:$A$5001,0)),"N° no encontrado"))</f>
        <v/>
      </c>
      <c r="D996" s="35" t="str">
        <f aca="false">IF(B996="","",IFERROR(INDEX(Leads!$G$2:$G$5001,MATCH(B996,Leads!$A$2:$A$5001,0)),""))</f>
        <v/>
      </c>
      <c r="E996" s="32"/>
      <c r="F996" s="32"/>
      <c r="G996" s="32"/>
    </row>
    <row r="997" customFormat="false" ht="15" hidden="false" customHeight="false" outlineLevel="0" collapsed="false">
      <c r="A997" s="31"/>
      <c r="B997" s="32"/>
      <c r="C997" s="35" t="str">
        <f aca="false">IF(B997="","",IFERROR(INDEX(Leads!$C$2:$C$5001,MATCH(B997,Leads!$A$2:$A$5001,0))&amp;" "&amp;INDEX(Leads!$D$2:$D$5001,MATCH(B997,Leads!$A$2:$A$5001,0)),"N° no encontrado"))</f>
        <v/>
      </c>
      <c r="D997" s="35" t="str">
        <f aca="false">IF(B997="","",IFERROR(INDEX(Leads!$G$2:$G$5001,MATCH(B997,Leads!$A$2:$A$5001,0)),""))</f>
        <v/>
      </c>
      <c r="E997" s="32"/>
      <c r="F997" s="32"/>
      <c r="G997" s="32"/>
    </row>
    <row r="998" customFormat="false" ht="15" hidden="false" customHeight="false" outlineLevel="0" collapsed="false">
      <c r="A998" s="31"/>
      <c r="B998" s="32"/>
      <c r="C998" s="35" t="str">
        <f aca="false">IF(B998="","",IFERROR(INDEX(Leads!$C$2:$C$5001,MATCH(B998,Leads!$A$2:$A$5001,0))&amp;" "&amp;INDEX(Leads!$D$2:$D$5001,MATCH(B998,Leads!$A$2:$A$5001,0)),"N° no encontrado"))</f>
        <v/>
      </c>
      <c r="D998" s="35" t="str">
        <f aca="false">IF(B998="","",IFERROR(INDEX(Leads!$G$2:$G$5001,MATCH(B998,Leads!$A$2:$A$5001,0)),""))</f>
        <v/>
      </c>
      <c r="E998" s="32"/>
      <c r="F998" s="32"/>
      <c r="G998" s="32"/>
    </row>
    <row r="999" customFormat="false" ht="15" hidden="false" customHeight="false" outlineLevel="0" collapsed="false">
      <c r="A999" s="31"/>
      <c r="B999" s="32"/>
      <c r="C999" s="35" t="str">
        <f aca="false">IF(B999="","",IFERROR(INDEX(Leads!$C$2:$C$5001,MATCH(B999,Leads!$A$2:$A$5001,0))&amp;" "&amp;INDEX(Leads!$D$2:$D$5001,MATCH(B999,Leads!$A$2:$A$5001,0)),"N° no encontrado"))</f>
        <v/>
      </c>
      <c r="D999" s="35" t="str">
        <f aca="false">IF(B999="","",IFERROR(INDEX(Leads!$G$2:$G$5001,MATCH(B999,Leads!$A$2:$A$5001,0)),""))</f>
        <v/>
      </c>
      <c r="E999" s="32"/>
      <c r="F999" s="32"/>
      <c r="G999" s="32"/>
    </row>
    <row r="1000" customFormat="false" ht="15" hidden="false" customHeight="false" outlineLevel="0" collapsed="false">
      <c r="A1000" s="31"/>
      <c r="B1000" s="32"/>
      <c r="C1000" s="35" t="str">
        <f aca="false">IF(B1000="","",IFERROR(INDEX(Leads!$C$2:$C$5001,MATCH(B1000,Leads!$A$2:$A$5001,0))&amp;" "&amp;INDEX(Leads!$D$2:$D$5001,MATCH(B1000,Leads!$A$2:$A$5001,0)),"N° no encontrado"))</f>
        <v/>
      </c>
      <c r="D1000" s="35" t="str">
        <f aca="false">IF(B1000="","",IFERROR(INDEX(Leads!$G$2:$G$5001,MATCH(B1000,Leads!$A$2:$A$5001,0)),""))</f>
        <v/>
      </c>
      <c r="E1000" s="32"/>
      <c r="F1000" s="32"/>
      <c r="G1000" s="32"/>
    </row>
    <row r="1001" customFormat="false" ht="15" hidden="false" customHeight="false" outlineLevel="0" collapsed="false">
      <c r="A1001" s="31"/>
      <c r="B1001" s="32"/>
      <c r="C1001" s="35" t="str">
        <f aca="false">IF(B1001="","",IFERROR(INDEX(Leads!$C$2:$C$5001,MATCH(B1001,Leads!$A$2:$A$5001,0))&amp;" "&amp;INDEX(Leads!$D$2:$D$5001,MATCH(B1001,Leads!$A$2:$A$5001,0)),"N° no encontrado"))</f>
        <v/>
      </c>
      <c r="D1001" s="35" t="str">
        <f aca="false">IF(B1001="","",IFERROR(INDEX(Leads!$G$2:$G$5001,MATCH(B1001,Leads!$A$2:$A$5001,0)),""))</f>
        <v/>
      </c>
      <c r="E1001" s="32"/>
      <c r="F1001" s="32"/>
      <c r="G1001" s="32"/>
    </row>
  </sheetData>
  <conditionalFormatting sqref="C2:C1001">
    <cfRule type="cellIs" priority="2" operator="equal" aboveAverage="0" equalAverage="0" bottom="0" percent="0" rank="0" text="" dxfId="20">
      <formula>"N° no encontrado"</formula>
    </cfRule>
  </conditionalFormatting>
  <dataValidations count="1">
    <dataValidation allowBlank="true" errorStyle="stop" operator="between" showDropDown="false" showErrorMessage="false" showInputMessage="false" sqref="E2:E1001" type="list">
      <formula1>lst_canal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  <tableParts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false"/>
  </sheetPr>
  <dimension ref="A1:V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5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35"/>
    <col collapsed="false" customWidth="true" hidden="false" outlineLevel="0" max="5" min="5" style="0" width="3"/>
    <col collapsed="false" customWidth="true" hidden="false" outlineLevel="0" max="6" min="6" style="0" width="20"/>
    <col collapsed="false" customWidth="true" hidden="false" outlineLevel="0" max="7" min="7" style="0" width="3"/>
    <col collapsed="false" customWidth="true" hidden="false" outlineLevel="0" max="8" min="8" style="0" width="24"/>
    <col collapsed="false" customWidth="true" hidden="false" outlineLevel="0" max="9" min="9" style="0" width="3"/>
    <col collapsed="false" customWidth="true" hidden="false" outlineLevel="0" max="10" min="10" style="0" width="26"/>
    <col collapsed="false" customWidth="true" hidden="false" outlineLevel="0" max="11" min="11" style="0" width="3"/>
    <col collapsed="false" customWidth="true" hidden="false" outlineLevel="0" max="12" min="12" style="0" width="30"/>
    <col collapsed="false" customWidth="true" hidden="false" outlineLevel="0" max="13" min="13" style="0" width="3"/>
    <col collapsed="false" customWidth="true" hidden="false" outlineLevel="0" max="14" min="14" style="0" width="14"/>
    <col collapsed="false" customWidth="true" hidden="false" outlineLevel="0" max="15" min="15" style="0" width="3"/>
    <col collapsed="false" customWidth="true" hidden="false" outlineLevel="0" max="16" min="16" style="0" width="28"/>
    <col collapsed="false" customWidth="true" hidden="false" outlineLevel="0" max="17" min="17" style="0" width="3"/>
    <col collapsed="false" customWidth="true" hidden="false" outlineLevel="0" max="18" min="18" style="0" width="10"/>
    <col collapsed="false" customWidth="true" hidden="false" outlineLevel="0" max="19" min="19" style="0" width="3"/>
    <col collapsed="false" customWidth="true" hidden="false" outlineLevel="0" max="20" min="20" style="0" width="29"/>
    <col collapsed="false" customWidth="true" hidden="false" outlineLevel="0" max="22" min="22" style="0" width="70"/>
  </cols>
  <sheetData>
    <row r="1" customFormat="false" ht="15" hidden="false" customHeight="false" outlineLevel="0" collapsed="false">
      <c r="A1" s="39" t="s">
        <v>87</v>
      </c>
      <c r="B1" s="39" t="s">
        <v>179</v>
      </c>
      <c r="D1" s="39" t="s">
        <v>77</v>
      </c>
      <c r="F1" s="39" t="s">
        <v>102</v>
      </c>
      <c r="H1" s="39" t="s">
        <v>105</v>
      </c>
      <c r="J1" s="39" t="s">
        <v>180</v>
      </c>
      <c r="L1" s="39" t="s">
        <v>89</v>
      </c>
      <c r="N1" s="39" t="s">
        <v>107</v>
      </c>
      <c r="P1" s="39" t="s">
        <v>108</v>
      </c>
      <c r="R1" s="39" t="s">
        <v>181</v>
      </c>
      <c r="T1" s="39" t="s">
        <v>182</v>
      </c>
      <c r="V1" s="11" t="s">
        <v>183</v>
      </c>
    </row>
    <row r="2" customFormat="false" ht="15" hidden="false" customHeight="false" outlineLevel="0" collapsed="false">
      <c r="A2" s="32" t="s">
        <v>125</v>
      </c>
      <c r="B2" s="40" t="n">
        <v>0.03</v>
      </c>
      <c r="D2" s="32" t="s">
        <v>126</v>
      </c>
      <c r="F2" s="32" t="s">
        <v>130</v>
      </c>
      <c r="H2" s="32" t="s">
        <v>149</v>
      </c>
      <c r="J2" s="32" t="s">
        <v>184</v>
      </c>
      <c r="L2" s="32" t="s">
        <v>185</v>
      </c>
      <c r="N2" s="32" t="s">
        <v>134</v>
      </c>
      <c r="P2" s="32" t="s">
        <v>161</v>
      </c>
      <c r="R2" s="32" t="s">
        <v>136</v>
      </c>
      <c r="T2" s="32" t="s">
        <v>171</v>
      </c>
      <c r="V2" s="10" t="s">
        <v>186</v>
      </c>
    </row>
    <row r="3" customFormat="false" ht="15" hidden="false" customHeight="false" outlineLevel="0" collapsed="false">
      <c r="A3" s="32" t="s">
        <v>144</v>
      </c>
      <c r="B3" s="40" t="n">
        <v>0.04</v>
      </c>
      <c r="D3" s="32" t="s">
        <v>187</v>
      </c>
      <c r="F3" s="32" t="s">
        <v>188</v>
      </c>
      <c r="H3" s="32" t="s">
        <v>132</v>
      </c>
      <c r="J3" s="32" t="s">
        <v>150</v>
      </c>
      <c r="L3" s="32" t="s">
        <v>189</v>
      </c>
      <c r="N3" s="32" t="s">
        <v>152</v>
      </c>
      <c r="P3" s="32" t="s">
        <v>190</v>
      </c>
      <c r="R3" s="32" t="s">
        <v>138</v>
      </c>
      <c r="T3" s="32" t="s">
        <v>174</v>
      </c>
      <c r="V3" s="10" t="s">
        <v>191</v>
      </c>
    </row>
    <row r="4" customFormat="false" ht="15" hidden="false" customHeight="false" outlineLevel="0" collapsed="false">
      <c r="A4" s="32" t="s">
        <v>192</v>
      </c>
      <c r="B4" s="40" t="n">
        <v>0.04</v>
      </c>
      <c r="D4" s="32" t="s">
        <v>145</v>
      </c>
      <c r="F4" s="32" t="s">
        <v>193</v>
      </c>
      <c r="H4" s="32" t="s">
        <v>194</v>
      </c>
      <c r="J4" s="32" t="s">
        <v>195</v>
      </c>
      <c r="L4" s="32" t="s">
        <v>151</v>
      </c>
      <c r="N4" s="32" t="s">
        <v>196</v>
      </c>
      <c r="P4" s="32" t="s">
        <v>197</v>
      </c>
      <c r="T4" s="32" t="s">
        <v>98</v>
      </c>
      <c r="V4" s="10" t="s">
        <v>198</v>
      </c>
    </row>
    <row r="5" customFormat="false" ht="15" hidden="false" customHeight="false" outlineLevel="0" collapsed="false">
      <c r="A5" s="32" t="s">
        <v>199</v>
      </c>
      <c r="B5" s="40"/>
      <c r="D5" s="32" t="s">
        <v>200</v>
      </c>
      <c r="F5" s="32" t="s">
        <v>201</v>
      </c>
      <c r="H5" s="32" t="s">
        <v>202</v>
      </c>
      <c r="J5" s="32" t="s">
        <v>203</v>
      </c>
      <c r="L5" s="32" t="s">
        <v>133</v>
      </c>
      <c r="P5" s="32" t="s">
        <v>204</v>
      </c>
      <c r="T5" s="32" t="s">
        <v>205</v>
      </c>
      <c r="V5" s="10" t="s">
        <v>206</v>
      </c>
    </row>
    <row r="6" customFormat="false" ht="15" hidden="false" customHeight="false" outlineLevel="0" collapsed="false">
      <c r="A6" s="32" t="s">
        <v>207</v>
      </c>
      <c r="B6" s="40"/>
      <c r="D6" s="32" t="s">
        <v>208</v>
      </c>
      <c r="F6" s="32" t="s">
        <v>209</v>
      </c>
      <c r="H6" s="32" t="s">
        <v>210</v>
      </c>
      <c r="J6" s="32" t="s">
        <v>210</v>
      </c>
      <c r="L6" s="32" t="s">
        <v>211</v>
      </c>
      <c r="P6" s="32" t="s">
        <v>212</v>
      </c>
      <c r="T6" s="32" t="s">
        <v>213</v>
      </c>
    </row>
    <row r="7" customFormat="false" ht="15" hidden="false" customHeight="false" outlineLevel="0" collapsed="false">
      <c r="A7" s="32" t="s">
        <v>159</v>
      </c>
      <c r="B7" s="40"/>
      <c r="D7" s="32" t="s">
        <v>214</v>
      </c>
      <c r="F7" s="32" t="s">
        <v>215</v>
      </c>
      <c r="L7" s="32" t="s">
        <v>216</v>
      </c>
      <c r="P7" s="32" t="s">
        <v>217</v>
      </c>
      <c r="T7" s="32" t="s">
        <v>218</v>
      </c>
    </row>
    <row r="8" customFormat="false" ht="15" hidden="false" customHeight="false" outlineLevel="0" collapsed="false">
      <c r="A8" s="32" t="s">
        <v>219</v>
      </c>
      <c r="B8" s="40"/>
      <c r="D8" s="32" t="s">
        <v>220</v>
      </c>
      <c r="F8" s="32" t="s">
        <v>221</v>
      </c>
      <c r="L8" s="32" t="s">
        <v>222</v>
      </c>
      <c r="P8" s="32" t="s">
        <v>223</v>
      </c>
      <c r="T8" s="32" t="s">
        <v>224</v>
      </c>
    </row>
    <row r="9" customFormat="false" ht="15" hidden="false" customHeight="false" outlineLevel="0" collapsed="false">
      <c r="D9" s="32" t="s">
        <v>225</v>
      </c>
      <c r="F9" s="32" t="s">
        <v>224</v>
      </c>
      <c r="L9" s="32" t="s">
        <v>226</v>
      </c>
      <c r="P9" s="32" t="s">
        <v>227</v>
      </c>
    </row>
    <row r="10" customFormat="false" ht="15" hidden="false" customHeight="false" outlineLevel="0" collapsed="false">
      <c r="D10" s="32" t="s">
        <v>228</v>
      </c>
      <c r="L10" s="32" t="s">
        <v>24</v>
      </c>
      <c r="P10" s="32" t="s">
        <v>224</v>
      </c>
    </row>
    <row r="11" customFormat="false" ht="15" hidden="false" customHeight="false" outlineLevel="0" collapsed="false">
      <c r="D11" s="32" t="s">
        <v>229</v>
      </c>
      <c r="L11" s="32" t="s">
        <v>26</v>
      </c>
    </row>
    <row r="12" customFormat="false" ht="15" hidden="false" customHeight="false" outlineLevel="0" collapsed="false">
      <c r="D12" s="32" t="s">
        <v>224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2026-10-10T23:04:36Z</dcterms:created>
  <dc:creator>openpyxl</dc:creator>
  <dc:description/>
  <dc:language>en-US</dc:language>
  <cp:lastModifiedBy/>
  <dcterms:modified xsi:type="dcterms:W3CDTF">2026-10-10T23:04:36Z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