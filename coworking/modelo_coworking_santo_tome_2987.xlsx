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ctura" sheetId="1" state="visible" r:id="rId3"/>
    <sheet name="Competencia" sheetId="2" state="visible" r:id="rId4"/>
    <sheet name="Resumen" sheetId="3" state="visible" r:id="rId5"/>
    <sheet name="Supuestos" sheetId="4" state="visible" r:id="rId6"/>
    <sheet name="Inversion" sheetId="5" state="visible" r:id="rId7"/>
    <sheet name="Equilibrio" sheetId="6" state="visible" r:id="rId8"/>
    <sheet name="Sensibilidad" sheetId="7" state="visible" r:id="rId9"/>
    <sheet name="Modelo_Conservador" sheetId="8" state="visible" r:id="rId10"/>
    <sheet name="Modelo_Base" sheetId="9" state="visible" r:id="rId11"/>
    <sheet name="Modelo_Favorable" sheetId="10" state="visible" r:id="rId12"/>
    <sheet name="Comparables_chicos" sheetId="11" state="visible" r:id="rId13"/>
    <sheet name="Chicos_no_verificados" sheetId="12" state="visible" r:id="rId14"/>
    <sheet name="Referencia_cadenas" sheetId="13" state="visible" r:id="rId15"/>
    <sheet name="Censo" sheetId="14" state="visible" r:id="rId16"/>
    <sheet name="Datos_faltante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<sst xmlns="http://schemas.openxmlformats.org/spreadsheetml/2006/main" count="1160" uniqueCount="608">
  <si>
    <t xml:space="preserve">¿El negocio da o no da? Lectura con los números a la vista</t>
  </si>
  <si>
    <t xml:space="preserve">Casa propia que no se alquila. Personal: una recepción; limpieza y mantenimiento en líneas aparte. Precios: solo comparables chicos (Ambrela). Obra de USD 20.000 a 50.000 (número de Cris); cabinas estimadas. USD constantes sin IVA. Los costos sin dato están en 0 o en un piso: es una cota optimista.</t>
  </si>
  <si>
    <t xml:space="preserve">Indicador</t>
  </si>
  <si>
    <t xml:space="preserve">Conservador</t>
  </si>
  <si>
    <t xml:space="preserve">Base</t>
  </si>
  <si>
    <t xml:space="preserve">Favorable</t>
  </si>
  <si>
    <t xml:space="preserve">Cómo se lee</t>
  </si>
  <si>
    <t xml:space="preserve">Precio neto promedio por miembro flex (USD por mes, sin IVA)</t>
  </si>
  <si>
    <t xml:space="preserve">Mezcla de los dos planes flex de Ambrela (2 y 3 días por semana), menos descuento, sin IVA.</t>
  </si>
  <si>
    <t xml:space="preserve">Miembros flex necesarios para cubrir los costos</t>
  </si>
  <si>
    <t xml:space="preserve">En régimen (mes 36).</t>
  </si>
  <si>
    <t xml:space="preserve">Tope de miembros flex que entran en los puestos</t>
  </si>
  <si>
    <t xml:space="preserve">Puestos simultáneos, con el pico de martes a jueves.</t>
  </si>
  <si>
    <t xml:space="preserve">El equilibrio necesita este % del tope</t>
  </si>
  <si>
    <t xml:space="preserve">Más de 100 %: no alcanza ni con todos los puestos llenos.</t>
  </si>
  <si>
    <t xml:space="preserve">Resultado operativo mensual con todos los puestos llenos</t>
  </si>
  <si>
    <t xml:space="preserve">Antes de la inversión. Si es negativo, el negocio pierde plata aunque se llene.</t>
  </si>
  <si>
    <t xml:space="preserve">Resultado operativo mensual con el 80 % de los puestos</t>
  </si>
  <si>
    <t xml:space="preserve">Un coworking rara vez pasa del 80 % de ocupación.</t>
  </si>
  <si>
    <t xml:space="preserve">Ingresos por mes con el 80 % de los puestos (USD sin IVA)</t>
  </si>
  <si>
    <t xml:space="preserve">Membresías flex + puestos fijos + oficinas + pases + salas, como en el mes 36.</t>
  </si>
  <si>
    <t xml:space="preserve">Margen operativo con el 80 % de los puestos</t>
  </si>
  <si>
    <t xml:space="preserve">Resultado / ingresos, antes de Ganancias.</t>
  </si>
  <si>
    <t xml:space="preserve">Años para recuperar la inversión con el 80 % de los puestos</t>
  </si>
  <si>
    <t xml:space="preserve">Inversión inicial / (resultado por mes × 12).</t>
  </si>
  <si>
    <t xml:space="preserve">Ingresos por mes con todos los puestos llenos (USD sin IVA)</t>
  </si>
  <si>
    <t xml:space="preserve">Margen operativo con todos los puestos llenos</t>
  </si>
  <si>
    <t xml:space="preserve">Años para recuperar la inversión con todos los puestos llenos</t>
  </si>
  <si>
    <t xml:space="preserve">Si cobrás 15 % más que Ambrela: resultado por mes con el 80 % de los puestos</t>
  </si>
  <si>
    <t xml:space="preserve">Mismos costos y mismos miembros; solo sube el precio.</t>
  </si>
  <si>
    <t xml:space="preserve">     margen operativo</t>
  </si>
  <si>
    <t xml:space="preserve">     años para recuperar la inversión</t>
  </si>
  <si>
    <t xml:space="preserve">Si cobrás 30 % más que Ambrela: resultado por mes con el 80 % de los puestos</t>
  </si>
  <si>
    <t xml:space="preserve">elburó (probable) publica Flex 'desde' cerca de 30 % más que Ambrela.</t>
  </si>
  <si>
    <t xml:space="preserve">Resultado operativo mensual en el mes 36 (con las altas supuestas)</t>
  </si>
  <si>
    <t xml:space="preserve">Antes de Ganancias.</t>
  </si>
  <si>
    <t xml:space="preserve">Resultado con todo lleno si los únicos costos fijos fueran recepción, limpieza y mantenimiento</t>
  </si>
  <si>
    <t xml:space="preserve">El caso más corto posible: sin seguros, internet, software, publicidad, comunidad ni imprevistos.</t>
  </si>
  <si>
    <t xml:space="preserve">Precio necesario para equilibrar con el 80 % del tope (veces el precio del escenario)</t>
  </si>
  <si>
    <t xml:space="preserve">1,00 = los precios de hoy; 2,00 = el doble.</t>
  </si>
  <si>
    <t xml:space="preserve">Plan de 12 días por mes necesario para equilibrar al 80 % (ARS con IVA)</t>
  </si>
  <si>
    <t xml:space="preserve">Comparar con Ambrela 3 días/sem (103.000), elburó Flex 'desde' (115.000, probable) y HUERTA 12 días (302.500 con IVA, cadena de 1.450 m²: hoja Referencia_cadenas).</t>
  </si>
  <si>
    <t xml:space="preserve">CUÁNTA INVERSIÓN AGUANTA EL NEGOCIO</t>
  </si>
  <si>
    <t xml:space="preserve">Años en que se quiere recuperar la inversión (se puede cambiar)</t>
  </si>
  <si>
    <t xml:space="preserve">Mismo plazo para los tres escenarios.</t>
  </si>
  <si>
    <t xml:space="preserve">Inversión inicial cargada (obra de Cris + equipamiento + trámites + contingencias)</t>
  </si>
  <si>
    <t xml:space="preserve">Con las cabinas en 0 y sin paneles: sube cuando haya precios.</t>
  </si>
  <si>
    <t xml:space="preserve">Inversión total máxima que se recupera en ese plazo, con todo lleno</t>
  </si>
  <si>
    <t xml:space="preserve">Incluye que el mantenimiento sube con la inversión (% anual de Supuestos).</t>
  </si>
  <si>
    <t xml:space="preserve">Inversión total máxima que se recupera en ese plazo, con el 80 % de los puestos</t>
  </si>
  <si>
    <t xml:space="preserve">VEREDICTO (cota optimista)</t>
  </si>
  <si>
    <t xml:space="preserve">NO DA = aun lleno no cubre los costos · AJUSTADO = solo cubre con casi todo lleno · NO PAGA LA INVERSIÓN = cubre costos pero nunca recupera lo invertido · RECUPERA DESPUÉS DEL PLAZO = con el 80 % lleno tarda más que los años de arriba · DA = recupera dentro del plazo.</t>
  </si>
  <si>
    <t xml:space="preserve">Aparte, NO verificado y fuera del modelo: elburó (Villa Urquiza, ficha probable, unos 22 puestos) publica Flex 'desde' ARS 115.000 y puesto fijo ARS 257.000 a 300.000, sin fecha ni IVA (datos/sedes_G3.json, G3-01).</t>
  </si>
  <si>
    <t xml:space="preserve">La competencia: qué cobran, qué planes tienen y qué ofrecen</t>
  </si>
  <si>
    <t xml:space="preserve">Del censo de 98 fichas (27/10/2026). ARS con IVA; USD al TC de Supuestos. Los CHICOS son los comparables de una casa; las cadenas y centros de negocios, solo referencia. Verificadas aparte de probables. Las demás fichas no publican precio ('a consultar').</t>
  </si>
  <si>
    <t xml:space="preserve">Negocio</t>
  </si>
  <si>
    <t xml:space="preserve">Dónde, tamaño y ficha</t>
  </si>
  <si>
    <t xml:space="preserve">Qué ofrece</t>
  </si>
  <si>
    <t xml:space="preserve">Ambrela</t>
  </si>
  <si>
    <t xml:space="preserve">Villa Devoto (3,6 km) · CHICO · ficha VERIFICADA</t>
  </si>
  <si>
    <t xml:space="preserve">Lunes a viernes de 8:30 a 18. Todos los planes incluyen 4 h de sala por mes, café, cocina y heladera, internet, domicilio comercial y monitores prestados; lockers y impresiones figuran como servicio. Tiene sala de reunión (13.000 por hora) y de capacitación (26.000). Planes: 2 días por semana, 3 días por semana y puesto fijo. Oficina privada: a consultar. OJO: precios sin fecha, sin IVA aclarado y sin moneda explícita.</t>
  </si>
  <si>
    <t xml:space="preserve">elburó</t>
  </si>
  <si>
    <t xml:space="preserve">Villa Urquiza · CHICO (unos 22 puestos + 3 oficinas de 7 a 14 m²) · ficha PROBABLE</t>
  </si>
  <si>
    <t xml:space="preserve">Open space con 8 puestos flex, 8 fijos 'Desk' y 6 fijos 'Station'. Incluye café, té y snacks, internet de 1000 Mbps, silla ergonómica, aire, cabina para llamadas, limpieza diaria, cámaras, bicicletero y ducha (planes mensuales). Recepción de 9 a 17, acceso de 8 a 20. Impresiones: 10, 20 o 25 por mes según los días. Sala y locker aparte. Un día de prueba gratis. Oficinas privadas y oficina virtual: a consultar. OJO: ficha probable; precios 'desde', sin fecha ni IVA.</t>
  </si>
  <si>
    <t xml:space="preserve">HUERTA</t>
  </si>
  <si>
    <t xml:space="preserve">Palermo (Dorrego, Humboldt, Puerto Retiro) · GRANDE (Dorrego: 1.450 m², 198 puestos) · ficha VERIFICADA</t>
  </si>
  <si>
    <t xml:space="preserve">Terraza de 150 m² con parrilla, 5 salas y auditorio. Todos los planes incluyen café e infusiones libres, wifi, recepción, eventos y uso de las 3 sedes. Los planes se diferencian por los días y por los créditos de sala (de 4 a 40 por mes). Precios + IVA.</t>
  </si>
  <si>
    <t xml:space="preserve">Regus (IWG)</t>
  </si>
  <si>
    <t xml:space="preserve">Retiro · CENTRO DE NEGOCIOS · ficha VERIFICADA</t>
  </si>
  <si>
    <t xml:space="preserve">Plan de red: sirve en cualquier centro del nivel contratado (National, Regional o Global), con 5 días, 10 días o ilimitado, y plazos mensual, 12 o 24 meses. Precios en USD, IVA sin aclarar.</t>
  </si>
  <si>
    <t xml:space="preserve">WeWork</t>
  </si>
  <si>
    <t xml:space="preserve">Retiro y Microcentro · GRANDE · ficha VERIFICADA</t>
  </si>
  <si>
    <t xml:space="preserve">Membresía 'All Access' ilimitada con acceso a 100 o más ubicaciones (Básico) o 450 o más (Plus); mensual o anual. Precios en USD + IVA.</t>
  </si>
  <si>
    <t xml:space="preserve">Tipo y ficha</t>
  </si>
  <si>
    <t xml:space="preserve">Barrio</t>
  </si>
  <si>
    <t xml:space="preserve">Concepto</t>
  </si>
  <si>
    <t xml:space="preserve">Planes</t>
  </si>
  <si>
    <t xml:space="preserve">Desde (ARS con IVA)</t>
  </si>
  <si>
    <t xml:space="preserve">Hasta (ARS con IVA)</t>
  </si>
  <si>
    <t xml:space="preserve">Desde (USD)</t>
  </si>
  <si>
    <t xml:space="preserve">Hasta (USD)</t>
  </si>
  <si>
    <t xml:space="preserve">Vigencia del precio</t>
  </si>
  <si>
    <t xml:space="preserve">CHICO · VERIFICADA</t>
  </si>
  <si>
    <t xml:space="preserve">Villa Devoto</t>
  </si>
  <si>
    <t xml:space="preserve">8-10 días por mes</t>
  </si>
  <si>
    <t xml:space="preserve">Start Point 2 Días</t>
  </si>
  <si>
    <t xml:space="preserve">publicado_sin_vigencia</t>
  </si>
  <si>
    <t xml:space="preserve">12-13 días por mes</t>
  </si>
  <si>
    <t xml:space="preserve">Start Point 3 Días</t>
  </si>
  <si>
    <t xml:space="preserve">Puesto fijo (por mes)</t>
  </si>
  <si>
    <t xml:space="preserve">Fix point</t>
  </si>
  <si>
    <t xml:space="preserve">Sala (por hora)</t>
  </si>
  <si>
    <t xml:space="preserve">Sala de reunión; Sala de capacitación</t>
  </si>
  <si>
    <t xml:space="preserve">CHICO · PROBABLE</t>
  </si>
  <si>
    <t xml:space="preserve">Villa Urquiza</t>
  </si>
  <si>
    <t xml:space="preserve">Flex 'desde' (2 a 5 días por semana)</t>
  </si>
  <si>
    <t xml:space="preserve">Flex</t>
  </si>
  <si>
    <t xml:space="preserve">Desk; Station</t>
  </si>
  <si>
    <t xml:space="preserve">HUERTA Coworking</t>
  </si>
  <si>
    <t xml:space="preserve">GRANDE / cadena · VERIFICADA</t>
  </si>
  <si>
    <t xml:space="preserve">Palermo, Retiro</t>
  </si>
  <si>
    <t xml:space="preserve">4-5 días por mes</t>
  </si>
  <si>
    <t xml:space="preserve">PLAN 4D</t>
  </si>
  <si>
    <t xml:space="preserve">vigente_comprobado</t>
  </si>
  <si>
    <t xml:space="preserve">2 días fijos por semana (L y V)</t>
  </si>
  <si>
    <t xml:space="preserve">PLAN LV (lunes y viernes)</t>
  </si>
  <si>
    <t xml:space="preserve">PLAN 8D</t>
  </si>
  <si>
    <t xml:space="preserve">PLAN 12D</t>
  </si>
  <si>
    <t xml:space="preserve">Ilimitado flex (por mes)</t>
  </si>
  <si>
    <t xml:space="preserve">PLAN FLEX</t>
  </si>
  <si>
    <t xml:space="preserve">PLAN DESK (puesto fijo)</t>
  </si>
  <si>
    <t xml:space="preserve">Sala 03 (hasta 12 personas) - por hora; Sala 106 (hasta 30 personas) - por hora; Sala 210 (hasta 8 personas) - por hora; Sala de Reuniones para 10 - p</t>
  </si>
  <si>
    <t xml:space="preserve">Retiro</t>
  </si>
  <si>
    <t xml:space="preserve">5 días/mes - National - Mensual; 5 días/mes - National - 12 meses; 5 días/mes - National - 24 meses; 5 días/mes - Regional - Mensual; 5 días/mes - Reg</t>
  </si>
  <si>
    <t xml:space="preserve">10 días/mes - National - Mensual; 10 días/mes - National - 12 meses; 10 días/mes - National - 24 meses; 10 días/mes - Regional - Mensual; 10 días/mes </t>
  </si>
  <si>
    <t xml:space="preserve">ilimitado - National - Mensual; ilimitado - National - 12 meses; ilimitado - National - 24 meses; ilimitado - Regional - Mensual; ilimitado - Regional</t>
  </si>
  <si>
    <t xml:space="preserve">Pase diario</t>
  </si>
  <si>
    <t xml:space="preserve">Day coworking (pase diario)</t>
  </si>
  <si>
    <t xml:space="preserve">Meeting room (por hora)</t>
  </si>
  <si>
    <t xml:space="preserve">Retiro, San Nicolás</t>
  </si>
  <si>
    <t xml:space="preserve">WeWork All Access Básico - mensual; WeWork All Access Básico - plan anual (12 meses); WeWork All Access Plus - mensual; WeWork All Access Plus - plan </t>
  </si>
  <si>
    <t xml:space="preserve">Spaces (IWG)</t>
  </si>
  <si>
    <t xml:space="preserve">GRANDE / cadena · PROBABLE</t>
  </si>
  <si>
    <t xml:space="preserve">San Nicolás</t>
  </si>
  <si>
    <t xml:space="preserve">Resumen por escenario</t>
  </si>
  <si>
    <t xml:space="preserve">Todo se recalcula al cambiar Supuestos. USD constantes; resultado antes del impuesto a las Ganancias.</t>
  </si>
  <si>
    <t xml:space="preserve">Inversión inicial (sin capital de trabajo)</t>
  </si>
  <si>
    <t xml:space="preserve">Obra, equipamiento, honorarios, trámites, apertura y contingencias.</t>
  </si>
  <si>
    <t xml:space="preserve">Necesidad máxima de caja (inversión + pérdidas de arranque)</t>
  </si>
  <si>
    <t xml:space="preserve">Lo que hay que tener disponible en el peor momento del flujo acumulado.</t>
  </si>
  <si>
    <t xml:space="preserve">Miembros flex en el mes 12</t>
  </si>
  <si>
    <t xml:space="preserve">Miembros flex en el mes 36</t>
  </si>
  <si>
    <t xml:space="preserve">Limitado por el tope de puestos en el pico.</t>
  </si>
  <si>
    <t xml:space="preserve">Ocupación promedio de puestos flex, mes 36</t>
  </si>
  <si>
    <t xml:space="preserve">Puestos-día usados / puestos-día disponibles en días hábiles.</t>
  </si>
  <si>
    <t xml:space="preserve">Ingresos del mes 36 (USD sin IVA)</t>
  </si>
  <si>
    <t xml:space="preserve">Resultado operativo del mes 36</t>
  </si>
  <si>
    <t xml:space="preserve">Resultado operativo acumulado de los 36 meses</t>
  </si>
  <si>
    <t xml:space="preserve">Margen operativo del año 3</t>
  </si>
  <si>
    <t xml:space="preserve">Resultado operativo / ingresos, meses 25 a 36.</t>
  </si>
  <si>
    <t xml:space="preserve">Mes de recupero de la inversión (caja, casa propia)</t>
  </si>
  <si>
    <t xml:space="preserve">Primer mes con flujo acumulado ≥ 0.</t>
  </si>
  <si>
    <t xml:space="preserve">Mes de recupero frente a alquilar la casa</t>
  </si>
  <si>
    <t xml:space="preserve">Igual, restando cada mes el alquiler que se deja de cobrar.</t>
  </si>
  <si>
    <t xml:space="preserve">TIR anual a 36 meses, sin valor residual (caja)</t>
  </si>
  <si>
    <t xml:space="preserve">Conservadora: no suma lo que vale el negocio ni el equipamiento al mes 36.</t>
  </si>
  <si>
    <t xml:space="preserve">VAN a 36 meses con la tasa de Supuestos (caja)</t>
  </si>
  <si>
    <t xml:space="preserve">La tasa la define el inversor; el valor que viene es un supuesto.</t>
  </si>
  <si>
    <t xml:space="preserve">Alquiler de mercado de la casa que se deja de cobrar (por mes)</t>
  </si>
  <si>
    <t xml:space="preserve">Costo de oportunidad de usar la casa propia.</t>
  </si>
  <si>
    <t xml:space="preserve">Resultado operativo del año 3 menos el alquiler que se deja de cobrar (por mes)</t>
  </si>
  <si>
    <t xml:space="preserve">Si es negativo, alquilar la casa rinde más que el coworking (antes de impuestos).</t>
  </si>
  <si>
    <t xml:space="preserve">Supuestos del modelo (celdas azules = entradas editables)</t>
  </si>
  <si>
    <t xml:space="preserve">Marco monetario: USD constantes al 27/10/2026. TC de conversión de precios en pesos: ver fila 'tc'. Sin previsiones de inflación ni devaluación. Cada valor tiene su fuente o se marca como supuesto a validar.</t>
  </si>
  <si>
    <t xml:space="preserve">Clave</t>
  </si>
  <si>
    <t xml:space="preserve">Supuesto</t>
  </si>
  <si>
    <t xml:space="preserve">Unidad</t>
  </si>
  <si>
    <t xml:space="preserve">Fuente / justificación</t>
  </si>
  <si>
    <t xml:space="preserve">Tipo</t>
  </si>
  <si>
    <t xml:space="preserve">GENERALES</t>
  </si>
  <si>
    <t xml:space="preserve">tc</t>
  </si>
  <si>
    <t xml:space="preserve">Tipo de cambio para pasar pesos a dólares</t>
  </si>
  <si>
    <t xml:space="preserve">ARS por USD</t>
  </si>
  <si>
    <t xml:space="preserve">dolarapi.com, dólar oficial BNA venta, 27/10/2026 (datos/alquiler_oficinas.json).</t>
  </si>
  <si>
    <t xml:space="preserve">dato</t>
  </si>
  <si>
    <t xml:space="preserve">iva</t>
  </si>
  <si>
    <t xml:space="preserve">Alícuota de IVA</t>
  </si>
  <si>
    <t xml:space="preserve">%</t>
  </si>
  <si>
    <t xml:space="preserve">Ley de IVA, alícuota general.</t>
  </si>
  <si>
    <t xml:space="preserve">ri</t>
  </si>
  <si>
    <t xml:space="preserve">¿Responsable inscripto? (1 = sí, 0 = monotributo)</t>
  </si>
  <si>
    <t xml:space="preserve">1/0</t>
  </si>
  <si>
    <t xml:space="preserve">Monotributo no alcanza: tope de 200 m² para locaciones/servicios (LEEME); se asume Responsable Inscripto. A confirmar con contador.</t>
  </si>
  <si>
    <t xml:space="preserve">supuesto</t>
  </si>
  <si>
    <t xml:space="preserve">dias_habiles</t>
  </si>
  <si>
    <t xml:space="preserve">Días hábiles por mes</t>
  </si>
  <si>
    <t xml:space="preserve">días</t>
  </si>
  <si>
    <t xml:space="preserve">Promedio de lunes a viernes sin feriados nacionales (aprox.).</t>
  </si>
  <si>
    <t xml:space="preserve">meses_obra</t>
  </si>
  <si>
    <t xml:space="preserve">Meses de obra y habilitación antes de abrir</t>
  </si>
  <si>
    <t xml:space="preserve">meses</t>
  </si>
  <si>
    <t xml:space="preserve">Supuesto a validar con el arquitecto y el gestor.</t>
  </si>
  <si>
    <t xml:space="preserve">a validar</t>
  </si>
  <si>
    <t xml:space="preserve">CAPACIDAD (casa de 450 m²: subsuelo, planta baja + patio, planta alta; distribución sin plano)</t>
  </si>
  <si>
    <t xml:space="preserve">puestos_flex</t>
  </si>
  <si>
    <t xml:space="preserve">Puestos flexibles (simultáneos)</t>
  </si>
  <si>
    <t xml:space="preserve">puestos</t>
  </si>
  <si>
    <t xml:space="preserve">SUPUESTO sin plano (Cris: no importa): 7,5 a 11 m² totales por puesto (incluye baños, cocina, salas, circulación y escalera). Referencia: HUERTA Dorrego tiene 198 puestos en 1.450 m² = 7,3 m² por puesto (CAD-14). El coeficiente de ocupación del Código (Art. 3.4.7.2) no se pudo verificar.</t>
  </si>
  <si>
    <t xml:space="preserve">puestos_fijos</t>
  </si>
  <si>
    <t xml:space="preserve">Puestos fijos (escritorio asignado)</t>
  </si>
  <si>
    <t xml:space="preserve">oficinas_priv</t>
  </si>
  <si>
    <t xml:space="preserve">Oficinas privadas chicas (complemento)</t>
  </si>
  <si>
    <t xml:space="preserve">oficinas</t>
  </si>
  <si>
    <t xml:space="preserve">puestos_por_oficina</t>
  </si>
  <si>
    <t xml:space="preserve">Puestos por oficina privada</t>
  </si>
  <si>
    <t xml:space="preserve">Oficina de 3 personas (aprox. 12–15 m²).</t>
  </si>
  <si>
    <t xml:space="preserve">USO DE LOS PUESTOS</t>
  </si>
  <si>
    <t xml:space="preserve">uso_flex</t>
  </si>
  <si>
    <t xml:space="preserve">Uso real de los días incluidos (flex)</t>
  </si>
  <si>
    <t xml:space="preserve">Mayor uso = menos membresías por puesto (por eso el conservador usa el más alto). Supuesto a medir en la preventa.</t>
  </si>
  <si>
    <t xml:space="preserve">factor_pico</t>
  </si>
  <si>
    <t xml:space="preserve">Pico de asistencia sobre el promedio (mar-jue)</t>
  </si>
  <si>
    <t xml:space="preserve">veces</t>
  </si>
  <si>
    <t xml:space="preserve">Los coworkings se llenan martes a jueves; supuesto a medir.</t>
  </si>
  <si>
    <t xml:space="preserve">uso_fijo</t>
  </si>
  <si>
    <t xml:space="preserve">Uso de los puestos fijos y oficinas (para consumo)</t>
  </si>
  <si>
    <t xml:space="preserve">Supuesto.</t>
  </si>
  <si>
    <t xml:space="preserve">PLANES Y PRECIOS (ARS por mes, con IVA, como se publican)</t>
  </si>
  <si>
    <t xml:space="preserve">dias_p1</t>
  </si>
  <si>
    <t xml:space="preserve">Plan 4 días por mes: días incluidos</t>
  </si>
  <si>
    <t xml:space="preserve">días/mes</t>
  </si>
  <si>
    <t xml:space="preserve">Diseño de la oferta propuesta.</t>
  </si>
  <si>
    <t xml:space="preserve">dias_p2</t>
  </si>
  <si>
    <t xml:space="preserve">Plan 8 días por mes (≈2 por semana): días incluidos</t>
  </si>
  <si>
    <t xml:space="preserve">dias_p3</t>
  </si>
  <si>
    <t xml:space="preserve">Plan 12 días por mes (≈3 por semana): días incluidos</t>
  </si>
  <si>
    <t xml:space="preserve">dias_p4</t>
  </si>
  <si>
    <t xml:space="preserve">Plan ilimitado flex (lunes a viernes): días incluidos</t>
  </si>
  <si>
    <t xml:space="preserve">precio_p1</t>
  </si>
  <si>
    <t xml:space="preserve">Precio plan 1</t>
  </si>
  <si>
    <t xml:space="preserve">ARS/mes</t>
  </si>
  <si>
    <t xml:space="preserve">NO SE USA (mezcla 0 %): Ambrela, el único comparable chico verificado, no vende plan de 4 días.</t>
  </si>
  <si>
    <t xml:space="preserve">mercado</t>
  </si>
  <si>
    <t xml:space="preserve">precio_p2</t>
  </si>
  <si>
    <t xml:space="preserve">Precio plan 2</t>
  </si>
  <si>
    <t xml:space="preserve">Ambrela (Devoto, 3,6 km; único competidor directo), datos/sedes_G1A.json G1A-01: precio publicado sin fecha ni IVA aclarado y sin moneda explícita (se asume ARS por magnitud, sin confirmar); se toma como precio final. Plan 'Start Point 2 Días' (≈ 8-9 días por mes).</t>
  </si>
  <si>
    <t xml:space="preserve">precio_p3</t>
  </si>
  <si>
    <t xml:space="preserve">Precio plan 3</t>
  </si>
  <si>
    <t xml:space="preserve">Ambrela (Devoto, 3,6 km; único competidor directo), datos/sedes_G1A.json G1A-01: precio publicado sin fecha ni IVA aclarado y sin moneda explícita (se asume ARS por magnitud, sin confirmar); se toma como precio final. Plan 'Start Point 3 Días' (≈ 13 días por mes).</t>
  </si>
  <si>
    <t xml:space="preserve">precio_p4</t>
  </si>
  <si>
    <t xml:space="preserve">Precio plan 4</t>
  </si>
  <si>
    <t xml:space="preserve">NO SE USA (mezcla 0 %): Ambrela no vende ilimitado flex; quien quiere todos los días toma el puesto fijo.</t>
  </si>
  <si>
    <t xml:space="preserve">mix_p1</t>
  </si>
  <si>
    <t xml:space="preserve">Peso del plan 1 en los miembros flex</t>
  </si>
  <si>
    <t xml:space="preserve">SUPUESTO sin dato: solo se usan los dos planes flex que publica Ambrela (2 y 3 días por semana). Medir en la preventa.</t>
  </si>
  <si>
    <t xml:space="preserve">mix_p2</t>
  </si>
  <si>
    <t xml:space="preserve">Peso del plan 2 en los miembros flex</t>
  </si>
  <si>
    <t xml:space="preserve">mix_p3</t>
  </si>
  <si>
    <t xml:space="preserve">Peso del plan 3 en los miembros flex</t>
  </si>
  <si>
    <t xml:space="preserve">mix_p4</t>
  </si>
  <si>
    <t xml:space="preserve">Peso del plan 4 en los miembros flex</t>
  </si>
  <si>
    <t xml:space="preserve">precio_fijo</t>
  </si>
  <si>
    <t xml:space="preserve">Puesto fijo</t>
  </si>
  <si>
    <t xml:space="preserve">Ambrela (Devoto, 3,6 km; único competidor directo), datos/sedes_G1A.json G1A-01: precio publicado sin fecha ni IVA aclarado y sin moneda explícita (se asume ARS por magnitud, sin confirmar); se toma como precio final. Plan 'Fix point'.</t>
  </si>
  <si>
    <t xml:space="preserve">precio_oficina</t>
  </si>
  <si>
    <t xml:space="preserve">Oficina privada (3 personas)</t>
  </si>
  <si>
    <t xml:space="preserve">INDIRECTO: ninguna ficha publica precio de oficina privada de coworking (todas 'a consultar'). Se usa la mediana del alquiler de oficinas de 15 a 30 m² (3 avisos, ARS 480.000; expensas mediana 77.500 no incluidas), datos/alquiler_oficinas.json. Muestra chica.</t>
  </si>
  <si>
    <t xml:space="preserve">precio_pase</t>
  </si>
  <si>
    <t xml:space="preserve">ARS/día</t>
  </si>
  <si>
    <t xml:space="preserve">DERIVADO: precio por día del plan de 2 días por semana de Ambrela, sin recargo. Ambrela no publica pase diario.</t>
  </si>
  <si>
    <t xml:space="preserve">precio_sala_h</t>
  </si>
  <si>
    <t xml:space="preserve">Sala de reunión por hora (externos)</t>
  </si>
  <si>
    <t xml:space="preserve">ARS/hora</t>
  </si>
  <si>
    <t xml:space="preserve">Ambrela (Devoto, 3,6 km; único competidor directo), datos/sedes_G1A.json G1A-01: precio publicado sin fecha ni IVA aclarado y sin moneda explícita (se asume ARS por magnitud, sin confirmar); se toma como precio final. 'Sala de reunión', por hora.</t>
  </si>
  <si>
    <t xml:space="preserve">precio_mult</t>
  </si>
  <si>
    <t xml:space="preserve">Ajuste de precios del escenario</t>
  </si>
  <si>
    <t xml:space="preserve">Conservador: −10 % para competir; favorable: +5 %.</t>
  </si>
  <si>
    <t xml:space="preserve">descuento</t>
  </si>
  <si>
    <t xml:space="preserve">Descuento promedio efectivo (promos, pago anticipado)</t>
  </si>
  <si>
    <t xml:space="preserve">pases_mes</t>
  </si>
  <si>
    <t xml:space="preserve">Pases diarios vendidos por mes (en régimen)</t>
  </si>
  <si>
    <t xml:space="preserve">pases</t>
  </si>
  <si>
    <t xml:space="preserve">Supuesto a validar.</t>
  </si>
  <si>
    <t xml:space="preserve">horas_sala_mes</t>
  </si>
  <si>
    <t xml:space="preserve">Horas de sala vendidas a externos por mes (en régimen)</t>
  </si>
  <si>
    <t xml:space="preserve">horas</t>
  </si>
  <si>
    <t xml:space="preserve">otros_ingresos_usd</t>
  </si>
  <si>
    <t xml:space="preserve">Otros ingresos (domicilio comercial, eventos) en régimen</t>
  </si>
  <si>
    <t xml:space="preserve">USD/mes</t>
  </si>
  <si>
    <t xml:space="preserve">ramp_pases</t>
  </si>
  <si>
    <t xml:space="preserve">Meses hasta vender los extras en régimen</t>
  </si>
  <si>
    <t xml:space="preserve">ramp_of</t>
  </si>
  <si>
    <t xml:space="preserve">Meses hasta ocupar las oficinas privadas</t>
  </si>
  <si>
    <t xml:space="preserve">ALTAS Y BAJAS DE MIEMBROS FLEX</t>
  </si>
  <si>
    <t xml:space="preserve">miembros_ini</t>
  </si>
  <si>
    <t xml:space="preserve">Miembros al abrir (preventa / lista de espera)</t>
  </si>
  <si>
    <t xml:space="preserve">miembros</t>
  </si>
  <si>
    <t xml:space="preserve">Depende de la preventa (ver plan de validación).</t>
  </si>
  <si>
    <t xml:space="preserve">altas_f1</t>
  </si>
  <si>
    <t xml:space="preserve">Altas por mes, meses 1 a 6</t>
  </si>
  <si>
    <t xml:space="preserve">miembros/mes</t>
  </si>
  <si>
    <t xml:space="preserve">SUPUESTO sin dato de demanda: ningún archivo del repo mide cuántos profesionales de la zona usarían un coworking (entorno_y_normativa.md, 4). Medir con preventa y lista de espera.</t>
  </si>
  <si>
    <t xml:space="preserve">altas_f2</t>
  </si>
  <si>
    <t xml:space="preserve">Altas por mes, meses 7 a 12</t>
  </si>
  <si>
    <t xml:space="preserve">altas_f3</t>
  </si>
  <si>
    <t xml:space="preserve">Altas por mes, meses 13 a 36</t>
  </si>
  <si>
    <t xml:space="preserve">churn</t>
  </si>
  <si>
    <t xml:space="preserve">Bajas mensuales de miembros flex</t>
  </si>
  <si>
    <t xml:space="preserve">SUPUESTO sin dato local.</t>
  </si>
  <si>
    <t xml:space="preserve">altas_fijo</t>
  </si>
  <si>
    <t xml:space="preserve">Altas de puestos fijos por mes</t>
  </si>
  <si>
    <t xml:space="preserve">puestos/mes</t>
  </si>
  <si>
    <t xml:space="preserve">churn_fijo</t>
  </si>
  <si>
    <t xml:space="preserve">Bajas mensuales de puestos fijos</t>
  </si>
  <si>
    <t xml:space="preserve">Supuesto (los fijos rotan menos).</t>
  </si>
  <si>
    <t xml:space="preserve">COSTOS VARIABLES</t>
  </si>
  <si>
    <t xml:space="preserve">costo_puesto_dia_usd</t>
  </si>
  <si>
    <t xml:space="preserve">Café, té, agua y consumibles por puesto-día</t>
  </si>
  <si>
    <t xml:space="preserve">USD</t>
  </si>
  <si>
    <t xml:space="preserve">Solo café: kg tostado ARS 63.540 (costos_referencia #53) × 10 g por taza × 3 / 2 / 1 tazas por día (el gramaje y las tazas son SUPUESTOS). Té, azúcar, agua y papel: SIN DATO.</t>
  </si>
  <si>
    <t xml:space="preserve">estimación</t>
  </si>
  <si>
    <t xml:space="preserve">comision_pct</t>
  </si>
  <si>
    <t xml:space="preserve">Comisión de cobro (tarjeta / billetera)</t>
  </si>
  <si>
    <t xml:space="preserve">% de lo cobrado</t>
  </si>
  <si>
    <t xml:space="preserve">Mercado Pago: tarjeta de crédito con acreditación inmediata hasta 6,29 %; QR con saldo o débito 0,6 % (costos_referencia #17-18, fuente secundaria, + IVA). Base = mitad y mitad (SUPUESTO).</t>
  </si>
  <si>
    <t xml:space="preserve">iibb_pct</t>
  </si>
  <si>
    <t xml:space="preserve">Ingresos Brutos CABA</t>
  </si>
  <si>
    <t xml:space="preserve">% de ventas sin IVA</t>
  </si>
  <si>
    <t xml:space="preserve">3 % servicios inmobiliarios y de alquiler (costos_referencia #15); 5 % si encuadra como locación de inmuebles comerciales (#16). El encuadre del coworking NO está confirmado.</t>
  </si>
  <si>
    <t xml:space="preserve">idc_pct</t>
  </si>
  <si>
    <t xml:space="preserve">Impuesto a los débitos y créditos bancarios (aprox.)</t>
  </si>
  <si>
    <t xml:space="preserve">Ley 25.413: 0,6 % sobre créditos + 0,6 % sobre débitos; aproximado sobre lo cobrado.</t>
  </si>
  <si>
    <t xml:space="preserve">COSTOS FIJOS (USD por mes)</t>
  </si>
  <si>
    <t xml:space="preserve">personal_fte</t>
  </si>
  <si>
    <t xml:space="preserve">Personal de recepción (jornadas completas)</t>
  </si>
  <si>
    <t xml:space="preserve">personas</t>
  </si>
  <si>
    <t xml:space="preserve">Cris (28/10/2026): una recepción; limpieza y mantenimiento van aparte (líneas propias). Una jornada completa cubre unas 8 h por día: de 9 a 18 h, como Ambrela (8:30 a 18).</t>
  </si>
  <si>
    <t xml:space="preserve">costo_fte_usd</t>
  </si>
  <si>
    <t xml:space="preserve">Costo laboral por persona (sueldo + cargas)</t>
  </si>
  <si>
    <t xml:space="preserve">Comercio CCT 130/75 Administrativo A, ARS 1.316.632 con suma fija (costos_referencia #6) × cargas 37,4 % / 30,9 % / 24,4 % (#54, calculadora de un marketplace, no norma). Verificar el acuerdo.</t>
  </si>
  <si>
    <t xml:space="preserve">limpieza_usd</t>
  </si>
  <si>
    <t xml:space="preserve">Limpieza</t>
  </si>
  <si>
    <t xml:space="preserve">Conservador: jornada mediana ARS 50.000 × 21 días (costos_referencia #56). Base y favorable: ARS 7.000 / 5.000 por hora (rango 5.000 a 9.000, #57, sin verificar) × 4 h por día (SUPUESTO) × 21 días.</t>
  </si>
  <si>
    <t xml:space="preserve">internet_usd</t>
  </si>
  <si>
    <t xml:space="preserve">Internet principal + respaldo</t>
  </si>
  <si>
    <t xml:space="preserve">Fibra Movistar combo ARS 22.018 + respaldo Starlink: Priority 500 GB ARS 158.000 / Residencial Estándar 65.000 / Lite 45.000 (costos_referencia #67, #34-35). Son planes residenciales o de combo: la fibra empresarial simétrica requiere cotización (#66).</t>
  </si>
  <si>
    <t xml:space="preserve">servicios_usd</t>
  </si>
  <si>
    <t xml:space="preserve">Electricidad, gas y agua</t>
  </si>
  <si>
    <t xml:space="preserve">SIN DATO de consumo. Solo los cargos fijos mensuales: Edenor T1 ARS 18.268 + Metrogas P1-P2 ARS 24.017 (costos_referencia #76, #31); agua AySA no disponible (#83). Falta la factura real de la casa.</t>
  </si>
  <si>
    <t xml:space="preserve">SIN DATO</t>
  </si>
  <si>
    <t xml:space="preserve">seguros_usd</t>
  </si>
  <si>
    <t xml:space="preserve">Seguros (integral y responsabilidad civil)</t>
  </si>
  <si>
    <t xml:space="preserve">Comparador comercial, no cotización: oficina y servicios profesionales ARS 50.000 a 300.000 por mes (costos_referencia #62, mayo 2026, valores inconsistentes). Base = punto medio. Un coworking con terceros necesita RC.</t>
  </si>
  <si>
    <t xml:space="preserve">software_usd</t>
  </si>
  <si>
    <t xml:space="preserve">Software de gestión y reservas</t>
  </si>
  <si>
    <t xml:space="preserve">Spacebring Business USD 177; OfficeRnD Essentials USD 129 mensual / 99 anual (costos_referencia #19-20).</t>
  </si>
  <si>
    <t xml:space="preserve">admin_usd</t>
  </si>
  <si>
    <t xml:space="preserve">Contador y administración</t>
  </si>
  <si>
    <t xml:space="preserve">SIN DATO: ningún archivo tiene honorarios de contador para un Responsable Inscripto. Cargado en 0.</t>
  </si>
  <si>
    <t xml:space="preserve">mant_pct_anual</t>
  </si>
  <si>
    <t xml:space="preserve">Mantenimiento y reposición (anual, sobre la inversión)</t>
  </si>
  <si>
    <t xml:space="preserve">marketing_usd</t>
  </si>
  <si>
    <t xml:space="preserve">Publicidad digital</t>
  </si>
  <si>
    <t xml:space="preserve">SUPUESTO de diseño. Referencia: CPC mediano Meta Ads en Argentina USD 0,63 (julio 2026, costos_referencia #63) → USD 400 a 500 por mes ≈ 640 a 800 clics.</t>
  </si>
  <si>
    <t xml:space="preserve">comunidad_usd</t>
  </si>
  <si>
    <t xml:space="preserve">Actividades de comunidad (desayunos, charlas)</t>
  </si>
  <si>
    <t xml:space="preserve">Un desayuno de miembros y una charla por mes; supuesto.</t>
  </si>
  <si>
    <t xml:space="preserve">otros_pct</t>
  </si>
  <si>
    <t xml:space="preserve">Otros e imprevistos (sobre los fijos)</t>
  </si>
  <si>
    <t xml:space="preserve">INVERSIÓN INICIAL (USD)</t>
  </si>
  <si>
    <t xml:space="preserve">m2_obra</t>
  </si>
  <si>
    <t xml:space="preserve">m² a intervenir (sin el patio)</t>
  </si>
  <si>
    <t xml:space="preserve">m²</t>
  </si>
  <si>
    <t xml:space="preserve">450 m² totales menos el patio estimado; sin plano.</t>
  </si>
  <si>
    <t xml:space="preserve">usd_m2_obra</t>
  </si>
  <si>
    <t xml:space="preserve">Adecuación por m² (pintura, pisos, iluminación, baños, terminaciones)</t>
  </si>
  <si>
    <t xml:space="preserve">USD/m²</t>
  </si>
  <si>
    <t xml:space="preserve">CRIS (28/10/2026): la remodelación sale entre USD 20.000 y 50.000, todo incluido (patio, baño, electricidad, honorarios). Conservador 50.000, Base 35.000 (punto medio), Favorable 20.000. Es su número, no una cotización.</t>
  </si>
  <si>
    <t xml:space="preserve">m2_patio</t>
  </si>
  <si>
    <t xml:space="preserve">m² de patio a techar</t>
  </si>
  <si>
    <t xml:space="preserve">Sin plano: supuesto a medir.</t>
  </si>
  <si>
    <t xml:space="preserve">usd_m2_patio</t>
  </si>
  <si>
    <t xml:space="preserve">Techado de patio por m²</t>
  </si>
  <si>
    <t xml:space="preserve">INCLUIDO EN LA OBRA de Cris (USD 20.000 a 50.000, todo incluido).</t>
  </si>
  <si>
    <t xml:space="preserve">INCLUIDO EN LA OBRA</t>
  </si>
  <si>
    <t xml:space="preserve">pileta_usd</t>
  </si>
  <si>
    <t xml:space="preserve">Anulación / relleno de pileta</t>
  </si>
  <si>
    <t xml:space="preserve">bano_acc_usd</t>
  </si>
  <si>
    <t xml:space="preserve">Baño accesible</t>
  </si>
  <si>
    <t xml:space="preserve">electrica_datos_usd</t>
  </si>
  <si>
    <t xml:space="preserve">Instalación eléctrica y red de datos</t>
  </si>
  <si>
    <t xml:space="preserve">clima_n</t>
  </si>
  <si>
    <t xml:space="preserve">Equipos de aire acondicionado</t>
  </si>
  <si>
    <t xml:space="preserve">equipos</t>
  </si>
  <si>
    <t xml:space="preserve">Supuesto: un equipo cada 40–50 m² cubiertos.</t>
  </si>
  <si>
    <t xml:space="preserve">clima_usd</t>
  </si>
  <si>
    <t xml:space="preserve">Aire acondicionado instalado (por equipo)</t>
  </si>
  <si>
    <t xml:space="preserve">Split inverter frío/calor de 4.300 a 5.590 frigorías, solo el equipo: ARS 1.414.550 / 1.531.827 / 2.016.845 (costos_referencia #27). Instalación: SIN DATO.</t>
  </si>
  <si>
    <t xml:space="preserve">mueble_puesto_usd</t>
  </si>
  <si>
    <t xml:space="preserve">Escritorio + silla ergonómica por puesto</t>
  </si>
  <si>
    <t xml:space="preserve">Puesto: silla (70.000 económica / 340.000 media-alta) + escritorio (151.499 a 259.919) (costos_referencia #23-25). Común: lockers de 12 puertas, sillones de 3 cuerpos y Smart TV (#50, #51, #48); las cantidades son SUPUESTO. Mesa de reuniones y sillas de sala: SIN DATO (#75).</t>
  </si>
  <si>
    <t xml:space="preserve">mueble_comun_usd</t>
  </si>
  <si>
    <t xml:space="preserve">Mobiliario común (salas, living, lockers)</t>
  </si>
  <si>
    <t xml:space="preserve">cabinas_n</t>
  </si>
  <si>
    <t xml:space="preserve">Cabinas para llamadas</t>
  </si>
  <si>
    <t xml:space="preserve">cabinas</t>
  </si>
  <si>
    <t xml:space="preserve">cabina_usd</t>
  </si>
  <si>
    <t xml:space="preserve">Cabina acústica por unidad</t>
  </si>
  <si>
    <t xml:space="preserve">ESTIMATIVO pedido por Cris (28/10/2026), sin fuente: a Cris le importa poco el precio. Cabinas insonorizadas, probablemente importadas.</t>
  </si>
  <si>
    <t xml:space="preserve">ESTIMATIVO</t>
  </si>
  <si>
    <t xml:space="preserve">cafe_equipo_usd</t>
  </si>
  <si>
    <t xml:space="preserve">Café y cocina (máquina, heladera, microondas, vajilla)</t>
  </si>
  <si>
    <t xml:space="preserve">Heladera no frost ARS 2.839.999 + microondas 317.253 + espresso hogareña (150.999 a 1.999.999) (costos_referencia #29, #28, #52). Espresso comercial y vajilla: SIN DATO.</t>
  </si>
  <si>
    <t xml:space="preserve">it_seguridad_usd</t>
  </si>
  <si>
    <t xml:space="preserve">Red WiFi, UPS, control de acceso y cámaras</t>
  </si>
  <si>
    <t xml:space="preserve">Access points UniFi, router, UPS, kit de 8 cámaras con NVR instalado y terminales de control de acceso (costos_referencia #46, #45, #47, #39, #73); las cantidades son SUPUESTO. Switch PoE y cableado: SIN DATO.</t>
  </si>
  <si>
    <t xml:space="preserve">honorarios_pct</t>
  </si>
  <si>
    <t xml:space="preserve">Honorarios profesionales (sobre la obra)</t>
  </si>
  <si>
    <t xml:space="preserve">habilitacion_usd</t>
  </si>
  <si>
    <t xml:space="preserve">Habilitación, planos de uso, incendio y trámites</t>
  </si>
  <si>
    <t xml:space="preserve">Tasa de habilitación (blog) + gestor 15-25 % + certificados + seguro RC anual + planos y firma profesional + 6 matafuegos de ARS 80.000 (costos_referencia #78, #79, #61). Rangos de un blog, no fuente oficial. Regularización de planos y plan de evacuación: SIN DATO.</t>
  </si>
  <si>
    <t xml:space="preserve">apertura_mkt_usd</t>
  </si>
  <si>
    <t xml:space="preserve">Marketing de apertura y preventa</t>
  </si>
  <si>
    <t xml:space="preserve">contingencia_pct</t>
  </si>
  <si>
    <t xml:space="preserve">Contingencias</t>
  </si>
  <si>
    <t xml:space="preserve">Práctica habitual en refacciones de casas usadas; supuesto.</t>
  </si>
  <si>
    <t xml:space="preserve">COSTO DE OPORTUNIDAD Y FINANZAS</t>
  </si>
  <si>
    <t xml:space="preserve">alquiler_casa_usd</t>
  </si>
  <si>
    <t xml:space="preserve">Alquiler de mercado de la casa que se deja de cobrar</t>
  </si>
  <si>
    <t xml:space="preserve">NO APLICA: Cris no alquila la casa (28/10/2026), así que no hay costo de oportunidad que contar.</t>
  </si>
  <si>
    <t xml:space="preserve">NO APLICA</t>
  </si>
  <si>
    <t xml:space="preserve">tasa_desc_anual</t>
  </si>
  <si>
    <t xml:space="preserve">Tasa de descuento anual en USD (la define el inversor)</t>
  </si>
  <si>
    <t xml:space="preserve">Supuesto ilustrativo: el inversor tiene que poner su propia tasa.</t>
  </si>
  <si>
    <t xml:space="preserve">a definir</t>
  </si>
  <si>
    <t xml:space="preserve">valor_residual_usd</t>
  </si>
  <si>
    <t xml:space="preserve">Valor residual al mes 36 (negocio y equipamiento)</t>
  </si>
  <si>
    <t xml:space="preserve">Se deja en 0 para no inflar el retorno.</t>
  </si>
  <si>
    <t xml:space="preserve">Inversión inicial (USD, mes 0)</t>
  </si>
  <si>
    <t xml:space="preserve">Se calcula desde Supuestos. El capital de trabajo no se suma acá: es la necesidad máxima de caja de cada escenario (ver Resumen).</t>
  </si>
  <si>
    <t xml:space="preserve">Rubro</t>
  </si>
  <si>
    <t xml:space="preserve">Cómo se calcula</t>
  </si>
  <si>
    <t xml:space="preserve">Obra de adecuación general</t>
  </si>
  <si>
    <t xml:space="preserve">m² intervenidos × USD/m²</t>
  </si>
  <si>
    <t xml:space="preserve">Techado del patio</t>
  </si>
  <si>
    <t xml:space="preserve">m² de patio × USD/m²</t>
  </si>
  <si>
    <t xml:space="preserve">suma fija</t>
  </si>
  <si>
    <t xml:space="preserve">Climatización</t>
  </si>
  <si>
    <t xml:space="preserve">equipos × USD por equipo instalado</t>
  </si>
  <si>
    <t xml:space="preserve">Mobiliario de puestos</t>
  </si>
  <si>
    <t xml:space="preserve">(puestos flex + fijos + oficinas) × USD por puesto</t>
  </si>
  <si>
    <t xml:space="preserve">cabinas × USD</t>
  </si>
  <si>
    <t xml:space="preserve">Café y cocina (equipamiento)</t>
  </si>
  <si>
    <t xml:space="preserve">Conectividad, control de acceso y cámaras</t>
  </si>
  <si>
    <t xml:space="preserve">Subtotal obra y equipamiento</t>
  </si>
  <si>
    <t xml:space="preserve">Honorarios profesionales (proyecto, dirección, planos)</t>
  </si>
  <si>
    <t xml:space="preserve">% sobre obra (filas de obra e instalaciones)</t>
  </si>
  <si>
    <t xml:space="preserve">% sobre todo lo anterior</t>
  </si>
  <si>
    <t xml:space="preserve">INVERSIÓN INICIAL TOTAL (sin capital de trabajo)</t>
  </si>
  <si>
    <t xml:space="preserve">Punto de equilibrio en régimen (mes tipo, con los supuestos de cada escenario)</t>
  </si>
  <si>
    <t xml:space="preserve">¿Cuántos miembros flex hacen falta para cubrir los costos fijos, con los puestos fijos, oficinas y extras del mes 36? Comparado con el tope de puestos.</t>
  </si>
  <si>
    <t xml:space="preserve">Fórmula</t>
  </si>
  <si>
    <t xml:space="preserve">Precio neto promedio por miembro flex (USD/mes, sin IVA)</t>
  </si>
  <si>
    <t xml:space="preserve">mezcla de planes × precio × (1 − descuento) / IVA / TC</t>
  </si>
  <si>
    <t xml:space="preserve">Días promedio incluidos por miembro flex</t>
  </si>
  <si>
    <t xml:space="preserve">mezcla × días de cada plan</t>
  </si>
  <si>
    <t xml:space="preserve">Costo variable por miembro flex (USD/mes)</t>
  </si>
  <si>
    <t xml:space="preserve">consumo + comisiones + impuestos sobre ventas</t>
  </si>
  <si>
    <t xml:space="preserve">Contribución por miembro flex (USD/mes)</t>
  </si>
  <si>
    <t xml:space="preserve">precio neto − costo variable</t>
  </si>
  <si>
    <t xml:space="preserve">Costos fijos del mes 36</t>
  </si>
  <si>
    <t xml:space="preserve">Contribución de fijos, oficinas y extras del mes 36</t>
  </si>
  <si>
    <t xml:space="preserve">margen de contribución total − el de los miembros flex</t>
  </si>
  <si>
    <t xml:space="preserve">MIEMBROS FLEX NECESARIOS PARA EL EQUILIBRIO</t>
  </si>
  <si>
    <t xml:space="preserve">(fijos − otras contribuciones) / contribución por miembro</t>
  </si>
  <si>
    <t xml:space="preserve">Tope de miembros flex (puestos en el pico)</t>
  </si>
  <si>
    <t xml:space="preserve">Equilibrio como % del tope</t>
  </si>
  <si>
    <t xml:space="preserve">más de 80 %: el negocio depende de estar casi lleno</t>
  </si>
  <si>
    <t xml:space="preserve">Sensibilidad del resultado operativo mensual en régimen · escenario Base</t>
  </si>
  <si>
    <t xml:space="preserve">Miembros flex = % del tope de puestos. Precio = variación sobre los precios de Supuestos. Fijos, oficinas y extras como en el mes 36 del escenario Base. USD por mes, antes de Ganancias.</t>
  </si>
  <si>
    <t xml:space="preserve">Miembros flex (% del tope) ↓ / Precio →</t>
  </si>
  <si>
    <t xml:space="preserve">Lectura: en rojo, el mes da pérdida. La celda de 0 % de precio y la ocupación que alcanza el escenario Base es la del Resumen.</t>
  </si>
  <si>
    <t xml:space="preserve">Qué mueve más el resultado (mes en régimen, escenario Base, ±20 %)</t>
  </si>
  <si>
    <t xml:space="preserve">Variable</t>
  </si>
  <si>
    <t xml:space="preserve">−20 %</t>
  </si>
  <si>
    <t xml:space="preserve">+20 %</t>
  </si>
  <si>
    <t xml:space="preserve">Rango</t>
  </si>
  <si>
    <t xml:space="preserve">Precio de las membresías</t>
  </si>
  <si>
    <t xml:space="preserve">Cantidad de miembros flex</t>
  </si>
  <si>
    <t xml:space="preserve">Costos fijos</t>
  </si>
  <si>
    <t xml:space="preserve">Personal (sueldos y cargas)</t>
  </si>
  <si>
    <t xml:space="preserve">Referencia: resultado del mes 36, escenario Base</t>
  </si>
  <si>
    <t xml:space="preserve">Modelo mensual a 36 meses · escenario Conservador (USD constantes)</t>
  </si>
  <si>
    <t xml:space="preserve">Miembros = fin de mes. Ingresos sin IVA. Flujo de caja con la casa propia (sin alquiler pagado); abajo, el resultado económico restando el alquiler que se deja de cobrar.</t>
  </si>
  <si>
    <t xml:space="preserve">Mes</t>
  </si>
  <si>
    <t xml:space="preserve">MIEMBROS Y OCUPACIÓN</t>
  </si>
  <si>
    <t xml:space="preserve">Tope de miembros flex que entran en los puestos (pico)</t>
  </si>
  <si>
    <t xml:space="preserve">Altas de miembros flex en el mes</t>
  </si>
  <si>
    <t xml:space="preserve">Miembros flex (fin de mes)</t>
  </si>
  <si>
    <t xml:space="preserve">Bajas estimadas de flex en el mes</t>
  </si>
  <si>
    <t xml:space="preserve">Puestos fijos ocupados</t>
  </si>
  <si>
    <t xml:space="preserve">Oficinas privadas ocupadas</t>
  </si>
  <si>
    <t xml:space="preserve">Puestos-día usados por miembros flex</t>
  </si>
  <si>
    <t xml:space="preserve">Ocupación promedio de puestos flex (días hábiles)</t>
  </si>
  <si>
    <t xml:space="preserve">Puestos flex simultáneos en el pico (estimado)</t>
  </si>
  <si>
    <t xml:space="preserve">INGRESOS (USD sin IVA)</t>
  </si>
  <si>
    <t xml:space="preserve">Membresías flex (días por mes / ilimitado)</t>
  </si>
  <si>
    <t xml:space="preserve">Puestos fijos</t>
  </si>
  <si>
    <t xml:space="preserve">Oficinas privadas (complemento)</t>
  </si>
  <si>
    <t xml:space="preserve">Pases diarios</t>
  </si>
  <si>
    <t xml:space="preserve">Salas por hora a externos</t>
  </si>
  <si>
    <t xml:space="preserve">Otros (domicilio comercial, eventos)</t>
  </si>
  <si>
    <t xml:space="preserve">INGRESOS TOTALES</t>
  </si>
  <si>
    <t xml:space="preserve">Café, té, agua y consumibles</t>
  </si>
  <si>
    <t xml:space="preserve">Comisiones de cobro</t>
  </si>
  <si>
    <t xml:space="preserve">Ingresos Brutos</t>
  </si>
  <si>
    <t xml:space="preserve">Impuesto a los débitos y créditos (aprox.)</t>
  </si>
  <si>
    <t xml:space="preserve">Total costos variables</t>
  </si>
  <si>
    <t xml:space="preserve">MARGEN DE CONTRIBUCIÓN</t>
  </si>
  <si>
    <t xml:space="preserve">COSTOS FIJOS MENSUALES</t>
  </si>
  <si>
    <t xml:space="preserve">Personal (recepción / comunidad), con cargas</t>
  </si>
  <si>
    <t xml:space="preserve">Seguros</t>
  </si>
  <si>
    <t xml:space="preserve">Mantenimiento y reposición</t>
  </si>
  <si>
    <t xml:space="preserve">Publicidad y comunidad (eventos, desayunos)</t>
  </si>
  <si>
    <t xml:space="preserve">Otros e imprevistos</t>
  </si>
  <si>
    <t xml:space="preserve">Total costos fijos</t>
  </si>
  <si>
    <t xml:space="preserve">RESULTADO Y CAJA</t>
  </si>
  <si>
    <t xml:space="preserve">RESULTADO OPERATIVO (antes de Ganancias)</t>
  </si>
  <si>
    <t xml:space="preserve">Inversión inicial</t>
  </si>
  <si>
    <t xml:space="preserve">Flujo de caja del proyecto (casa propia, sin alquiler pagado)</t>
  </si>
  <si>
    <t xml:space="preserve">Flujo acumulado</t>
  </si>
  <si>
    <t xml:space="preserve">Alquiler de la casa que se deja de cobrar (costo de oportunidad)</t>
  </si>
  <si>
    <t xml:space="preserve">Resultado económico frente a alquilar la casa</t>
  </si>
  <si>
    <t xml:space="preserve">Resultado económico acumulado</t>
  </si>
  <si>
    <t xml:space="preserve">Modelo mensual a 36 meses · escenario Base (USD constantes)</t>
  </si>
  <si>
    <t xml:space="preserve">Modelo mensual a 36 meses · escenario Favorable (USD constantes)</t>
  </si>
  <si>
    <t xml:space="preserve">Precios de comparables CHICOS verificados (independientes y de barrio; ARS por mes, con IVA)</t>
  </si>
  <si>
    <t xml:space="preserve">Es lo que alimenta el modelo. Hoy es una sola ficha: Ambrela. USD pasados a pesos con el TC de Supuestos. No se usan precios históricos.</t>
  </si>
  <si>
    <t xml:space="preserve">Zona</t>
  </si>
  <si>
    <t xml:space="preserve">Planes únicos</t>
  </si>
  <si>
    <t xml:space="preserve">Marcas</t>
  </si>
  <si>
    <t xml:space="preserve">Mínimo</t>
  </si>
  <si>
    <t xml:space="preserve">Mediana</t>
  </si>
  <si>
    <t xml:space="preserve">Máximo</t>
  </si>
  <si>
    <t xml:space="preserve">Moneda publicada</t>
  </si>
  <si>
    <t xml:space="preserve">IVA publicado</t>
  </si>
  <si>
    <t xml:space="preserve">A · Cercana (Com. 9, 10, 11, 12, 15)</t>
  </si>
  <si>
    <t xml:space="preserve">ARS</t>
  </si>
  <si>
    <t xml:space="preserve">sin aclarar</t>
  </si>
  <si>
    <t xml:space="preserve">Comparables chicos PROBABLES o INCIERTOS: aparte, no alimentan el modelo</t>
  </si>
  <si>
    <t xml:space="preserve">Misma conversión. Sin confirmar que la sede exista, siga abierta o que el precio esté vigente (ej.: elburó, Villa Urquiza).</t>
  </si>
  <si>
    <t xml:space="preserve">Cadenas y centros de negocios VERIFICADOS: solo referencia, el modelo NO los usa</t>
  </si>
  <si>
    <t xml:space="preserve">Pisos enteros o locales grandes en Palermo y Retiro (HUERTA Dorrego: 1.450 m², 198 puestos). Una cadena con varias sedes cuenta una vez.</t>
  </si>
  <si>
    <t xml:space="preserve">C · Centro y Palermo (Com. 1, 14 y otras)</t>
  </si>
  <si>
    <t xml:space="preserve">excluido</t>
  </si>
  <si>
    <t xml:space="preserve">HUERTA Coworking, Regus (IWG)</t>
  </si>
  <si>
    <t xml:space="preserve">ARS, USD</t>
  </si>
  <si>
    <t xml:space="preserve">excluido, sin aclarar</t>
  </si>
  <si>
    <t xml:space="preserve">HUERTA Coworking, Regus (IWG), WeWork</t>
  </si>
  <si>
    <t xml:space="preserve">Qué hay en el censo de sedes (98 fichas) y cuánto está confirmado</t>
  </si>
  <si>
    <t xml:space="preserve">Solo las fichas 'verificado' + 'principal' alimentan los precios. Probable e incierto van aparte. Cerradas, GBA y próximas aperturas están excluidas.</t>
  </si>
  <si>
    <t xml:space="preserve">Estado de la ficha</t>
  </si>
  <si>
    <t xml:space="preserve">Categoría</t>
  </si>
  <si>
    <t xml:space="preserve">Fichas</t>
  </si>
  <si>
    <t xml:space="preserve">cerrado</t>
  </si>
  <si>
    <t xml:space="preserve">excluida</t>
  </si>
  <si>
    <t xml:space="preserve">incierto</t>
  </si>
  <si>
    <t xml:space="preserve">candidata_pendiente</t>
  </si>
  <si>
    <t xml:space="preserve">sustituto</t>
  </si>
  <si>
    <t xml:space="preserve">probable</t>
  </si>
  <si>
    <t xml:space="preserve">principal</t>
  </si>
  <si>
    <t xml:space="preserve">secundaria</t>
  </si>
  <si>
    <t xml:space="preserve">verificado</t>
  </si>
  <si>
    <t xml:space="preserve">B · Norte (Com. 13: Belgrano, Núñez)</t>
  </si>
  <si>
    <t xml:space="preserve">proxima_apertura</t>
  </si>
  <si>
    <t xml:space="preserve">D · Fuera de CABA o sin zona</t>
  </si>
  <si>
    <t xml:space="preserve">TOTAL</t>
  </si>
  <si>
    <t xml:space="preserve">Datos que faltan (ninguno se buscó en la web: se pregunta primero)</t>
  </si>
  <si>
    <t xml:space="preserve">Lo que no tiene dato entra en 0 o en un piso con fuente, así que el resultado del modelo es una COTA OPTIMISTA: lo real es peor o igual.</t>
  </si>
  <si>
    <t xml:space="preserve">N°</t>
  </si>
  <si>
    <t xml:space="preserve">Qué falta</t>
  </si>
  <si>
    <t xml:space="preserve">Por qué importa</t>
  </si>
  <si>
    <t xml:space="preserve">Cómo está cargado hoy</t>
  </si>
  <si>
    <t xml:space="preserve">Quién lo puede dar</t>
  </si>
  <si>
    <t xml:space="preserve">Demanda local: cuántos interesados hay en el barrio</t>
  </si>
  <si>
    <t xml:space="preserve">Todo el ritmo de altas es supuesto. No hay un solo dato de usuarios potenciales ni de disposición a pagar.</t>
  </si>
  <si>
    <t xml:space="preserve">Altas por mes supuestas (1 a 5).</t>
  </si>
  <si>
    <t xml:space="preserve">Cris (preventa o lista de espera)</t>
  </si>
  <si>
    <t xml:space="preserve">Vigencia, fecha, IVA y moneda de los precios de Ambrela</t>
  </si>
  <si>
    <t xml:space="preserve">Es el único comparable chico verificado y su ficha dice 'sin fecha', sin IVA aclarado y sin moneda explícita. Todo el precio del modelo cuelga de ahí.</t>
  </si>
  <si>
    <t xml:space="preserve">Se toman como ARS con IVA incluido.</t>
  </si>
  <si>
    <t xml:space="preserve">Mirar la web de Ambrela / consultar</t>
  </si>
  <si>
    <t xml:space="preserve">Confirmar elburó (Villa Urquiza, ficha probable): Flex desde 115.000 y puesto fijo 257.000 a 300.000</t>
  </si>
  <si>
    <t xml:space="preserve">Es el comparable más parecido a una casa de barrio (unos 22 puestos). Si se confirma, sube el techo de precios de la zona.</t>
  </si>
  <si>
    <t xml:space="preserve">Fuera del modelo; figura en la hoja Chicos_no_verificados.</t>
  </si>
  <si>
    <t xml:space="preserve">Mirar la web de elburó / consultar</t>
  </si>
  <si>
    <t xml:space="preserve">Honorarios de contador (Responsable Inscripto)</t>
  </si>
  <si>
    <t xml:space="preserve">Es un costo fijo seguro.</t>
  </si>
  <si>
    <t xml:space="preserve">admin_usd = 0.</t>
  </si>
  <si>
    <t xml:space="preserve">Cris / contador</t>
  </si>
  <si>
    <t xml:space="preserve">Consumo de luz, gas y agua de la casa</t>
  </si>
  <si>
    <t xml:space="preserve">Cris dijo que no importa. Hoy solo hay tarifas; con 40 a 60 personas y aire acondicionado el costo real es mayor que el piso cargado.</t>
  </si>
  <si>
    <t xml:space="preserve">servicios_usd = solo cargos fijos (USD 27 por mes).</t>
  </si>
  <si>
    <t xml:space="preserve">Facturas de la casa, si Cris cambia de idea</t>
  </si>
  <si>
    <t xml:space="preserve">Mesa de reuniones, sillas de sala, espresso comercial, vajilla, switch PoE y cableado</t>
  </si>
  <si>
    <t xml:space="preserve">Equipamiento sin precio.</t>
  </si>
  <si>
    <t xml:space="preserve">No incluidos.</t>
  </si>
  <si>
    <t xml:space="preserve">Proveedores</t>
  </si>
  <si>
    <t xml:space="preserve">Cotización de internet empresarial simétrica</t>
  </si>
  <si>
    <t xml:space="preserve">Hoy hay precios de planes residenciales.</t>
  </si>
  <si>
    <t xml:space="preserve">Fibra de combo + respaldo Starlink.</t>
  </si>
  <si>
    <t xml:space="preserve">Operadores</t>
  </si>
  <si>
    <t xml:space="preserve">Certificado urbanístico y de uso conforme; regularización de planos (catastro 2008 no muestra subsuelo ni planta alta)</t>
  </si>
  <si>
    <t xml:space="preserve">El Código dice que el uso está permitido, pero no hay certificado. Puede haber multas y obra de regularización.</t>
  </si>
  <si>
    <t xml:space="preserve">No cuantificado.</t>
  </si>
  <si>
    <t xml:space="preserve">Gestor / arquitecto (entorno_y_normativa.md, 2.6)</t>
  </si>
  <si>
    <t xml:space="preserve">Si techar el patio se puede; estacionamiento exigible (2 módulos); accesibilidad en una casa de 3 niveles</t>
  </si>
  <si>
    <t xml:space="preserve">Pueden sumar obra o frenar el proyecto.</t>
  </si>
  <si>
    <t xml:space="preserve">No cuantificado; el techado de 60 m² está incluido como si se pudiera.</t>
  </si>
  <si>
    <t xml:space="preserve">Arquitecto / DGIUR</t>
  </si>
  <si>
    <t xml:space="preserve">Resto de CABA (grupos G2, G4 a G6), Instagram y fotos</t>
  </si>
  <si>
    <t xml:space="preserve">No se relevaron. Faltan también las cadenas Urban Station y AreaTres, según el LEEME.</t>
  </si>
  <si>
    <t xml:space="preserve">No incluidos; no cambian la zona cercana.</t>
  </si>
  <si>
    <t xml:space="preserve">Siguiente tramo, si Cris lo pide</t>
  </si>
  <si>
    <t xml:space="preserve">Secciones 5 a 9 de entorno_y_normativa.md (escala de Comuna, estado de las leyes)</t>
  </si>
  <si>
    <t xml:space="preserve">El archivo anuncia secciones que nunca se escribieron.</t>
  </si>
  <si>
    <t xml:space="preserve">—</t>
  </si>
  <si>
    <t xml:space="preserve">Siguiente tramo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</si>
</sst>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[RED]\-#,##0.00"/>
    <numFmt numFmtId="166" formatCode="0.0"/>
    <numFmt numFmtId="167" formatCode="0.0%"/>
    <numFmt numFmtId="168" formatCode="#,##0;[RED]\-#,##0"/>
    <numFmt numFmtId="169" formatCode="0.00"/>
    <numFmt numFmtId="170" formatCode="#,##0"/>
    <numFmt numFmtId="171" formatCode="0"/>
    <numFmt numFmtId="172" formatCode="#,##0.0"/>
    <numFmt numFmtId="173" formatCode="\+0%;\-0%;0%"/>
    <numFmt numFmtId="174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71717"/>
      <name val="Arial"/>
      <family val="0"/>
      <charset val="1"/>
    </font>
    <font>
      <i val="true"/>
      <sz val="9"/>
      <color rgb="FF6A6A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B2B34"/>
      <name val="Arial"/>
      <family val="0"/>
      <charset val="1"/>
    </font>
    <font>
      <b val="true"/>
      <sz val="10"/>
      <color rgb="FF171717"/>
      <name val="Arial"/>
      <family val="0"/>
      <charset val="1"/>
    </font>
    <font>
      <sz val="10"/>
      <color rgb="FF1F4E9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53C64"/>
        <bgColor rgb="FF2B2B34"/>
      </patternFill>
    </fill>
    <fill>
      <patternFill patternType="solid">
        <fgColor rgb="FFEEF2FA"/>
        <bgColor rgb="FFFBF0D9"/>
      </patternFill>
    </fill>
    <fill>
      <patternFill patternType="solid">
        <fgColor rgb="FFFBF0D9"/>
        <bgColor rgb="FFEEF2FA"/>
      </patternFill>
    </fill>
    <fill>
      <patternFill patternType="solid">
        <fgColor rgb="FFDBDBDB"/>
        <bgColor rgb="FFF8D7DA"/>
      </patternFill>
    </fill>
    <fill>
      <patternFill patternType="solid">
        <fgColor rgb="FFF8D7DA"/>
        <bgColor rgb="FFDBDBD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0D9"/>
      <rgbColor rgb="FFEEF2FA"/>
      <rgbColor rgb="FF660066"/>
      <rgbColor rgb="FFFF8080"/>
      <rgbColor rgb="FF1F4E9E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A6A6A"/>
      <rgbColor rgb="FF969696"/>
      <rgbColor rgb="FF003366"/>
      <rgbColor rgb="FF339966"/>
      <rgbColor rgb="FF171717"/>
      <rgbColor rgb="FF333300"/>
      <rgbColor rgb="FF993300"/>
      <rgbColor rgb="FF993366"/>
      <rgbColor rgb="FF253C64"/>
      <rgbColor rgb="FF2B2B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6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Equilibrio!B5</f>
        <v>40.8947870311507</v>
      </c>
      <c r="C5" s="5" t="n">
        <f aca="false">Equilibrio!C5</f>
        <v>46.9532739987286</v>
      </c>
      <c r="D5" s="5" t="n">
        <f aca="false">Equilibrio!D5</f>
        <v>50.3611729179911</v>
      </c>
      <c r="E5" s="2" t="s">
        <v>8</v>
      </c>
    </row>
    <row r="6" customFormat="false" ht="15" hidden="false" customHeight="false" outlineLevel="0" collapsed="false">
      <c r="A6" s="4" t="s">
        <v>9</v>
      </c>
      <c r="B6" s="6" t="n">
        <f aca="false">Equilibrio!B11</f>
        <v>131.658069827295</v>
      </c>
      <c r="C6" s="6" t="n">
        <f aca="false">Equilibrio!C11</f>
        <v>48.8694800639885</v>
      </c>
      <c r="D6" s="6" t="n">
        <f aca="false">Equilibrio!D11</f>
        <v>14.1493069593972</v>
      </c>
      <c r="E6" s="2" t="s">
        <v>10</v>
      </c>
    </row>
    <row r="7" customFormat="false" ht="15" hidden="false" customHeight="false" outlineLevel="0" collapsed="false">
      <c r="A7" s="4" t="s">
        <v>11</v>
      </c>
      <c r="B7" s="6" t="n">
        <f aca="false">Equilibrio!B12</f>
        <v>56.0224089635854</v>
      </c>
      <c r="C7" s="6" t="n">
        <f aca="false">Equilibrio!C12</f>
        <v>74.1758241758242</v>
      </c>
      <c r="D7" s="6" t="n">
        <f aca="false">Equilibrio!D12</f>
        <v>96</v>
      </c>
      <c r="E7" s="2" t="s">
        <v>12</v>
      </c>
    </row>
    <row r="8" customFormat="false" ht="15" hidden="false" customHeight="false" outlineLevel="0" collapsed="false">
      <c r="A8" s="4" t="s">
        <v>13</v>
      </c>
      <c r="B8" s="7" t="n">
        <f aca="false">Equilibrio!B13</f>
        <v>2.35009654641721</v>
      </c>
      <c r="C8" s="7" t="n">
        <f aca="false">Equilibrio!C13</f>
        <v>0.658832990492289</v>
      </c>
      <c r="D8" s="7" t="n">
        <f aca="false">Equilibrio!D13</f>
        <v>0.147388614160388</v>
      </c>
      <c r="E8" s="2" t="s">
        <v>14</v>
      </c>
    </row>
    <row r="9" customFormat="false" ht="15" hidden="false" customHeight="false" outlineLevel="0" collapsed="false">
      <c r="A9" s="4" t="s">
        <v>15</v>
      </c>
      <c r="B9" s="8" t="n">
        <f aca="false">1*Equilibrio!B12*Equilibrio!B8+Equilibrio!B10-Equilibrio!B9</f>
        <v>-1889.46911930192</v>
      </c>
      <c r="C9" s="8" t="n">
        <f aca="false">1*Equilibrio!C12*Equilibrio!C8+Equilibrio!C10-Equilibrio!C9</f>
        <v>925.008873205384</v>
      </c>
      <c r="D9" s="8" t="n">
        <f aca="false">1*Equilibrio!D12*Equilibrio!D8+Equilibrio!D10-Equilibrio!D9</f>
        <v>3661.99766442149</v>
      </c>
      <c r="E9" s="2" t="s">
        <v>16</v>
      </c>
    </row>
    <row r="10" customFormat="false" ht="15" hidden="false" customHeight="false" outlineLevel="0" collapsed="false">
      <c r="A10" s="4" t="s">
        <v>17</v>
      </c>
      <c r="B10" s="8" t="n">
        <f aca="false">0.8*Equilibrio!B12*Equilibrio!B8+Equilibrio!B10-Equilibrio!B9</f>
        <v>-2169.37045292374</v>
      </c>
      <c r="C10" s="8" t="n">
        <f aca="false">0.8*Equilibrio!C12*Equilibrio!C8+Equilibrio!C10-Equilibrio!C9</f>
        <v>382.747255037712</v>
      </c>
      <c r="D10" s="8" t="n">
        <f aca="false">0.8*Equilibrio!D12*Equilibrio!D8+Equilibrio!D10-Equilibrio!D9</f>
        <v>2802.99021384298</v>
      </c>
      <c r="E10" s="2" t="s">
        <v>18</v>
      </c>
    </row>
    <row r="11" customFormat="false" ht="15" hidden="false" customHeight="false" outlineLevel="0" collapsed="false">
      <c r="A11" s="4" t="s">
        <v>19</v>
      </c>
      <c r="B11" s="8" t="n">
        <f aca="false">(0.8*Equilibrio!B12*Equilibrio!B5+Modelo_Conservador!AM21-Modelo_Conservador!AM7*Equilibrio!B5)</f>
        <v>2607.51761607377</v>
      </c>
      <c r="C11" s="8" t="n">
        <f aca="false">(0.8*Equilibrio!C12*Equilibrio!C5+Modelo_Base!AM21-Modelo_Base!AM7*Equilibrio!C5)</f>
        <v>4036.76801054423</v>
      </c>
      <c r="D11" s="8" t="n">
        <f aca="false">(0.8*Equilibrio!D12*Equilibrio!D5+Modelo_Favorable!AM21-Modelo_Favorable!AM7*Equilibrio!D5)</f>
        <v>5830.9771137953</v>
      </c>
      <c r="E11" s="2" t="s">
        <v>20</v>
      </c>
    </row>
    <row r="12" customFormat="false" ht="15" hidden="false" customHeight="false" outlineLevel="0" collapsed="false">
      <c r="A12" s="4" t="s">
        <v>21</v>
      </c>
      <c r="B12" s="7" t="n">
        <f aca="false">IFERROR(B10/B11,0)</f>
        <v>-0.831967707351576</v>
      </c>
      <c r="C12" s="7" t="n">
        <f aca="false">IFERROR(C10/C11,0)</f>
        <v>0.094815271533553</v>
      </c>
      <c r="D12" s="7" t="n">
        <f aca="false">IFERROR(D10/D11,0)</f>
        <v>0.480706776778712</v>
      </c>
      <c r="E12" s="2" t="s">
        <v>22</v>
      </c>
    </row>
    <row r="13" customFormat="false" ht="15" hidden="false" customHeight="false" outlineLevel="0" collapsed="false">
      <c r="A13" s="4" t="s">
        <v>23</v>
      </c>
      <c r="B13" s="6" t="str">
        <f aca="false">IF(B10&gt;0,Resumen!B5/(B10*12),"no la recupera")</f>
        <v>no la recupera</v>
      </c>
      <c r="C13" s="6" t="n">
        <f aca="false">IF(C10&gt;0,Resumen!C5/(C10*12),"no la recupera")</f>
        <v>16.4049598022974</v>
      </c>
      <c r="D13" s="6" t="n">
        <f aca="false">IF(D10&gt;0,Resumen!D5/(D10*12),"no la recupera")</f>
        <v>1.55625558202931</v>
      </c>
      <c r="E13" s="2" t="s">
        <v>24</v>
      </c>
    </row>
    <row r="14" customFormat="false" ht="15" hidden="false" customHeight="false" outlineLevel="0" collapsed="false">
      <c r="A14" s="4" t="s">
        <v>25</v>
      </c>
      <c r="B14" s="8" t="n">
        <f aca="false">(1*Equilibrio!B12*Equilibrio!B5+Modelo_Conservador!AM21-Modelo_Conservador!AM7*Equilibrio!B5)</f>
        <v>3065.72251278134</v>
      </c>
      <c r="C14" s="8" t="n">
        <f aca="false">(1*Equilibrio!C12*Equilibrio!C5+Modelo_Base!AM21-Modelo_Base!AM7*Equilibrio!C5)</f>
        <v>4733.32756986603</v>
      </c>
      <c r="D14" s="8" t="n">
        <f aca="false">(1*Equilibrio!D12*Equilibrio!D5+Modelo_Favorable!AM21-Modelo_Favorable!AM7*Equilibrio!D5)</f>
        <v>6797.91163382072</v>
      </c>
      <c r="E14" s="2"/>
    </row>
    <row r="15" customFormat="false" ht="15" hidden="false" customHeight="false" outlineLevel="0" collapsed="false">
      <c r="A15" s="4" t="s">
        <v>26</v>
      </c>
      <c r="B15" s="7" t="n">
        <f aca="false">IFERROR(B9/B14,0)</f>
        <v>-0.616320985159132</v>
      </c>
      <c r="C15" s="7" t="n">
        <f aca="false">IFERROR(C9/C14,0)</f>
        <v>0.195424647787807</v>
      </c>
      <c r="D15" s="7" t="n">
        <f aca="false">IFERROR(D9/D14,0)</f>
        <v>0.538694508207852</v>
      </c>
      <c r="E15" s="2"/>
    </row>
    <row r="16" customFormat="false" ht="15" hidden="false" customHeight="false" outlineLevel="0" collapsed="false">
      <c r="A16" s="4" t="s">
        <v>27</v>
      </c>
      <c r="B16" s="6" t="str">
        <f aca="false">IF(B9&gt;0,Resumen!B5/(B9*12),"no la recupera")</f>
        <v>no la recupera</v>
      </c>
      <c r="C16" s="6" t="n">
        <f aca="false">IF(C9&gt;0,Resumen!C5/(C9*12),"no la recupera")</f>
        <v>6.78799254279066</v>
      </c>
      <c r="D16" s="6" t="n">
        <f aca="false">IF(D9&gt;0,Resumen!D5/(D9*12),"no la recupera")</f>
        <v>1.1911993306407</v>
      </c>
      <c r="E16" s="2"/>
    </row>
    <row r="17" customFormat="false" ht="15" hidden="false" customHeight="false" outlineLevel="0" collapsed="false">
      <c r="A17" s="4" t="s">
        <v>28</v>
      </c>
      <c r="B17" s="8" t="n">
        <f aca="false">B10+0.15*(0.8*Equilibrio!B12*Equilibrio!B5*(1-((1+Supuestos!$D$7*Supuestos!$D$8)*(Supuestos!$D$54+Supuestos!$D$56)+Supuestos!$D$55))+Equilibrio!B10)</f>
        <v>-1867.6506997373</v>
      </c>
      <c r="C17" s="8" t="n">
        <f aca="false">C10+0.15*(0.8*Equilibrio!C12*Equilibrio!C5*(1-((1+Supuestos!$E$7*Supuestos!$E$8)*(Supuestos!$E$54+Supuestos!$E$56)+Supuestos!$E$55))+Equilibrio!C10)</f>
        <v>907.280787754907</v>
      </c>
      <c r="D17" s="8" t="n">
        <f aca="false">D10+0.15*(0.8*Equilibrio!D12*Equilibrio!D5*(1-((1+Supuestos!$F$7*Supuestos!$F$8)*(Supuestos!$F$54+Supuestos!$F$56)+Supuestos!$F$55))+Equilibrio!D10)</f>
        <v>3611.70818166942</v>
      </c>
      <c r="E17" s="2" t="s">
        <v>29</v>
      </c>
    </row>
    <row r="18" customFormat="false" ht="15" hidden="false" customHeight="false" outlineLevel="0" collapsed="false">
      <c r="A18" s="4" t="s">
        <v>30</v>
      </c>
      <c r="B18" s="9" t="n">
        <f aca="false">IFERROR(B17/(B11*(1+0.15)),0)</f>
        <v>-0.622831491805401</v>
      </c>
      <c r="C18" s="9" t="n">
        <f aca="false">IFERROR(C17/(C11*(1+0.15)),0)</f>
        <v>0.19543848281058</v>
      </c>
      <c r="D18" s="9" t="n">
        <f aca="false">IFERROR(D17/(D11*(1+0.15)),0)</f>
        <v>0.538608838425563</v>
      </c>
      <c r="E18" s="2"/>
    </row>
    <row r="19" customFormat="false" ht="15" hidden="false" customHeight="false" outlineLevel="0" collapsed="false">
      <c r="A19" s="4" t="s">
        <v>31</v>
      </c>
      <c r="B19" s="10" t="str">
        <f aca="false">IF(B17&gt;0,Resumen!B5/(B17*12),"no la recupera")</f>
        <v>no la recupera</v>
      </c>
      <c r="C19" s="10" t="n">
        <f aca="false">IF(C17&gt;0,Resumen!C5/(C17*12),"no la recupera")</f>
        <v>6.9206285618268</v>
      </c>
      <c r="D19" s="10" t="n">
        <f aca="false">IF(D17&gt;0,Resumen!D5/(D17*12),"no la recupera")</f>
        <v>1.20778560925993</v>
      </c>
      <c r="E19" s="2"/>
    </row>
    <row r="20" customFormat="false" ht="15" hidden="false" customHeight="false" outlineLevel="0" collapsed="false">
      <c r="A20" s="4" t="s">
        <v>32</v>
      </c>
      <c r="B20" s="8" t="n">
        <f aca="false">B10+0.3*(0.8*Equilibrio!B12*Equilibrio!B5*(1-((1+Supuestos!$D$7*Supuestos!$D$8)*(Supuestos!$D$54+Supuestos!$D$56)+Supuestos!$D$55))+Equilibrio!B10)</f>
        <v>-1565.93094655086</v>
      </c>
      <c r="C20" s="8" t="n">
        <f aca="false">C10+0.3*(0.8*Equilibrio!C12*Equilibrio!C5*(1-((1+Supuestos!$E$7*Supuestos!$E$8)*(Supuestos!$E$54+Supuestos!$E$56)+Supuestos!$E$55))+Equilibrio!C10)</f>
        <v>1431.8143204721</v>
      </c>
      <c r="D20" s="8" t="n">
        <f aca="false">D10+0.3*(0.8*Equilibrio!D12*Equilibrio!D5*(1-((1+Supuestos!$F$7*Supuestos!$F$8)*(Supuestos!$F$54+Supuestos!$F$56)+Supuestos!$F$55))+Equilibrio!D10)</f>
        <v>4420.42614949587</v>
      </c>
      <c r="E20" s="2" t="s">
        <v>33</v>
      </c>
    </row>
    <row r="21" customFormat="false" ht="15" hidden="false" customHeight="false" outlineLevel="0" collapsed="false">
      <c r="A21" s="4" t="s">
        <v>30</v>
      </c>
      <c r="B21" s="9" t="n">
        <f aca="false">IFERROR(B20/(B11*(1+0.3)),0)</f>
        <v>-0.461957479846805</v>
      </c>
      <c r="C21" s="9" t="n">
        <f aca="false">IFERROR(C20/(C11*(1+0.3)),0)</f>
        <v>0.272840953023678</v>
      </c>
      <c r="D21" s="9" t="n">
        <f aca="false">IFERROR(D20/(D11*(1+0.3)),0)</f>
        <v>0.583148885846217</v>
      </c>
      <c r="E21" s="2"/>
    </row>
    <row r="22" customFormat="false" ht="15" hidden="false" customHeight="false" outlineLevel="0" collapsed="false">
      <c r="A22" s="4" t="s">
        <v>31</v>
      </c>
      <c r="B22" s="10" t="str">
        <f aca="false">IF(B20&gt;0,Resumen!B5/(B20*12),"no la recupera")</f>
        <v>no la recupera</v>
      </c>
      <c r="C22" s="10" t="n">
        <f aca="false">IF(C20&gt;0,Resumen!C5/(C20*12),"no la recupera")</f>
        <v>4.38531256710927</v>
      </c>
      <c r="D22" s="10" t="n">
        <f aca="false">IF(D20&gt;0,Resumen!D5/(D20*12),"no la recupera")</f>
        <v>0.986820957785745</v>
      </c>
      <c r="E22" s="2"/>
    </row>
    <row r="23" customFormat="false" ht="15" hidden="false" customHeight="false" outlineLevel="0" collapsed="false">
      <c r="A23" s="4" t="s">
        <v>34</v>
      </c>
      <c r="B23" s="8" t="n">
        <f aca="false">Resumen!B11</f>
        <v>-2965.53885441949</v>
      </c>
      <c r="C23" s="8" t="n">
        <f aca="false">Resumen!C11</f>
        <v>-607.208025548932</v>
      </c>
      <c r="D23" s="8" t="n">
        <f aca="false">Resumen!D11</f>
        <v>1869.37556967145</v>
      </c>
      <c r="E23" s="2" t="s">
        <v>35</v>
      </c>
    </row>
    <row r="24" customFormat="false" ht="15" hidden="false" customHeight="false" outlineLevel="0" collapsed="false">
      <c r="A24" s="4" t="s">
        <v>36</v>
      </c>
      <c r="B24" s="8" t="n">
        <f aca="false">Equilibrio!B12*Equilibrio!B8+Equilibrio!B10-(Modelo_Conservador!AM30+Modelo_Conservador!AM31+Modelo_Conservador!AM37)</f>
        <v>-451.715874301923</v>
      </c>
      <c r="C24" s="8" t="n">
        <f aca="false">Equilibrio!C12*Equilibrio!C8+Equilibrio!C10-(Modelo_Base!AM30+Modelo_Base!AM31+Modelo_Base!AM37)</f>
        <v>1929.45677987205</v>
      </c>
      <c r="D24" s="8" t="n">
        <f aca="false">Equilibrio!D12*Equilibrio!D8+Equilibrio!D10-(Modelo_Favorable!AM30+Modelo_Favorable!AM31+Modelo_Favorable!AM37)</f>
        <v>4525.43700275482</v>
      </c>
      <c r="E24" s="2" t="s">
        <v>37</v>
      </c>
    </row>
    <row r="25" customFormat="false" ht="15" hidden="false" customHeight="false" outlineLevel="0" collapsed="false">
      <c r="A25" s="4" t="s">
        <v>38</v>
      </c>
      <c r="B25" s="11" t="n">
        <f aca="false">(Equilibrio!B9+0.8*Equilibrio!B12*(Equilibrio!B7-Equilibrio!B5*((1+Supuestos!$D$7*Supuestos!$D$8)*(Supuestos!$D$54+Supuestos!$D$56)+Supuestos!$D$55)))/(0.8*Equilibrio!B12*Equilibrio!B5*(1-((1+Supuestos!$D$7*Supuestos!$D$8)*(Supuestos!$D$54+Supuestos!$D$56)+Supuestos!$D$55))+Equilibrio!B10)</f>
        <v>2.07850269828865</v>
      </c>
      <c r="C25" s="11" t="n">
        <f aca="false">(Equilibrio!C9+0.8*Equilibrio!C12*(Equilibrio!C7-Equilibrio!C5*((1+Supuestos!$E$7*Supuestos!$E$8)*(Supuestos!$E$54+Supuestos!$E$56)+Supuestos!$E$55)))/(0.8*Equilibrio!C12*Equilibrio!C5*(1-((1+Supuestos!$E$7*Supuestos!$E$8)*(Supuestos!$E$54+Supuestos!$E$56)+Supuestos!$E$55))+Equilibrio!C10)</f>
        <v>0.890546390888968</v>
      </c>
      <c r="D25" s="11" t="n">
        <f aca="false">(Equilibrio!D9+0.8*Equilibrio!D12*(Equilibrio!D7-Equilibrio!D5*((1+Supuestos!$F$7*Supuestos!$F$8)*(Supuestos!$F$54+Supuestos!$F$56)+Supuestos!$F$55)))/(0.8*Equilibrio!D12*Equilibrio!D5*(1-((1+Supuestos!$F$7*Supuestos!$F$8)*(Supuestos!$F$54+Supuestos!$F$56)+Supuestos!$F$55))+Equilibrio!D10)</f>
        <v>0.480104871162358</v>
      </c>
      <c r="E25" s="2" t="s">
        <v>39</v>
      </c>
    </row>
    <row r="26" customFormat="false" ht="15" hidden="false" customHeight="false" outlineLevel="0" collapsed="false">
      <c r="A26" s="4" t="s">
        <v>40</v>
      </c>
      <c r="B26" s="12" t="n">
        <f aca="false">B25*Supuestos!$D$27*Supuestos!$D$37</f>
        <v>192677.200131358</v>
      </c>
      <c r="C26" s="12" t="n">
        <f aca="false">C25*Supuestos!$E$27*Supuestos!$E$37</f>
        <v>91726.2782615637</v>
      </c>
      <c r="D26" s="12" t="n">
        <f aca="false">D25*Supuestos!$F$27*Supuestos!$F$37</f>
        <v>51923.341816209</v>
      </c>
      <c r="E26" s="2" t="s">
        <v>41</v>
      </c>
    </row>
    <row r="28" customFormat="false" ht="15" hidden="false" customHeight="false" outlineLevel="0" collapsed="false">
      <c r="A28" s="13" t="s">
        <v>42</v>
      </c>
    </row>
    <row r="29" customFormat="false" ht="15" hidden="false" customHeight="false" outlineLevel="0" collapsed="false">
      <c r="A29" s="4" t="s">
        <v>43</v>
      </c>
      <c r="B29" s="14" t="n">
        <v>5</v>
      </c>
      <c r="E29" s="2" t="s">
        <v>44</v>
      </c>
    </row>
    <row r="30" customFormat="false" ht="15" hidden="false" customHeight="false" outlineLevel="0" collapsed="false">
      <c r="A30" s="4" t="s">
        <v>45</v>
      </c>
      <c r="B30" s="8" t="n">
        <f aca="false">Resumen!B5</f>
        <v>109179.735</v>
      </c>
      <c r="C30" s="8" t="n">
        <f aca="false">Resumen!C5</f>
        <v>75347.44</v>
      </c>
      <c r="D30" s="8" t="n">
        <f aca="false">Resumen!D5</f>
        <v>52346.03</v>
      </c>
      <c r="E30" s="2" t="s">
        <v>46</v>
      </c>
    </row>
    <row r="31" customFormat="false" ht="15" hidden="false" customHeight="false" outlineLevel="0" collapsed="false">
      <c r="A31" s="4" t="s">
        <v>47</v>
      </c>
      <c r="B31" s="8" t="n">
        <f aca="false">12*$B$29*(1*Equilibrio!B12*Equilibrio!B8+Equilibrio!B10-Equilibrio!B9+Modelo_Conservador!AM37*(1+Supuestos!$D$69))/(1+$B$29*Supuestos!$D$66*(1+Supuestos!$D$69))</f>
        <v>-66054.8178804059</v>
      </c>
      <c r="C31" s="8" t="n">
        <f aca="false">12*$B$29*(1*Equilibrio!C12*Equilibrio!C8+Equilibrio!C10-Equilibrio!C9+Modelo_Base!AM37*(1+Supuestos!$E$69))/(1+$B$29*Supuestos!$E$66*(1+Supuestos!$E$69))</f>
        <v>58945.0370184488</v>
      </c>
      <c r="D31" s="8" t="n">
        <f aca="false">12*$B$29*(1*Equilibrio!D12*Equilibrio!D8+Equilibrio!D10-Equilibrio!D9+Modelo_Favorable!AM37*(1+Supuestos!$F$69))/(1+$B$29*Supuestos!$F$66*(1+Supuestos!$F$69))</f>
        <v>190671.509227512</v>
      </c>
      <c r="E31" s="2" t="s">
        <v>48</v>
      </c>
    </row>
    <row r="32" customFormat="false" ht="15" hidden="false" customHeight="false" outlineLevel="0" collapsed="false">
      <c r="A32" s="4" t="s">
        <v>49</v>
      </c>
      <c r="B32" s="8" t="n">
        <f aca="false">12*$B$29*(0.8*Equilibrio!B12*Equilibrio!B8+Equilibrio!B10-Equilibrio!B9+Modelo_Conservador!AM37*(1+Supuestos!$D$69))/(1+$B$29*Supuestos!$D$66*(1+Supuestos!$D$69))</f>
        <v>-79278.502933405</v>
      </c>
      <c r="C32" s="8" t="n">
        <f aca="false">12*$B$29*(0.8*Equilibrio!C12*Equilibrio!C8+Equilibrio!C10-Equilibrio!C9+Modelo_Base!AM37*(1+Supuestos!$E$69))/(1+$B$29*Supuestos!$E$66*(1+Supuestos!$E$69))</f>
        <v>32056.0311588948</v>
      </c>
      <c r="D32" s="8" t="n">
        <f aca="false">12*$B$29*(0.8*Equilibrio!D12*Equilibrio!D8+Equilibrio!D10-Equilibrio!D9+Modelo_Favorable!AM37*(1+Supuestos!$F$69))/(1+$B$29*Supuestos!$F$66*(1+Supuestos!$F$69))</f>
        <v>148076.098455024</v>
      </c>
      <c r="E32" s="2"/>
    </row>
    <row r="34" customFormat="false" ht="15" hidden="false" customHeight="false" outlineLevel="0" collapsed="false">
      <c r="A34" s="13" t="s">
        <v>50</v>
      </c>
      <c r="B34" s="15" t="str">
        <f aca="false">IF(B9&lt;0,"NO DA",IF(B10&lt;0,"AJUSTADO",IF(NOT(ISNUMBER(B13)),"NO PAGA LA INVERSIÓN",IF(B13&gt;$B$29,"RECUPERA DESPUÉS DEL PLAZO","DA"))))</f>
        <v>NO DA</v>
      </c>
      <c r="C34" s="15" t="str">
        <f aca="false">IF(C9&lt;0,"NO DA",IF(C10&lt;0,"AJUSTADO",IF(NOT(ISNUMBER(C13)),"NO PAGA LA INVERSIÓN",IF(C13&gt;$B$29,"RECUPERA DESPUÉS DEL PLAZO","DA"))))</f>
        <v>RECUPERA DESPUÉS DEL PLAZO</v>
      </c>
      <c r="D34" s="15" t="str">
        <f aca="false">IF(D9&lt;0,"NO DA",IF(D10&lt;0,"AJUSTADO",IF(NOT(ISNUMBER(D13)),"NO PAGA LA INVERSIÓN",IF(D13&gt;$B$29,"RECUPERA DESPUÉS DEL PLAZO","DA"))))</f>
        <v>DA</v>
      </c>
      <c r="E34" s="2" t="s">
        <v>51</v>
      </c>
    </row>
    <row r="36" customFormat="false" ht="15" hidden="false" customHeight="false" outlineLevel="0" collapsed="false">
      <c r="A36" s="2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54"/>
    <col collapsed="false" customWidth="true" hidden="false" outlineLevel="0" max="7" min="6" style="0" width="16"/>
    <col collapsed="false" customWidth="true" hidden="false" outlineLevel="0" max="9" min="8" style="0" width="12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true" outlineLevel="0" collapsed="false">
      <c r="A4" s="3" t="s">
        <v>55</v>
      </c>
      <c r="B4" s="3" t="s">
        <v>56</v>
      </c>
      <c r="C4" s="16" t="s">
        <v>57</v>
      </c>
      <c r="D4" s="16"/>
      <c r="E4" s="16"/>
      <c r="F4" s="16"/>
      <c r="G4" s="16"/>
      <c r="H4" s="16"/>
      <c r="I4" s="16"/>
      <c r="J4" s="16"/>
    </row>
    <row r="5" customFormat="false" ht="61.5" hidden="false" customHeight="true" outlineLevel="0" collapsed="false">
      <c r="A5" s="13" t="s">
        <v>58</v>
      </c>
      <c r="B5" s="17" t="s">
        <v>59</v>
      </c>
      <c r="C5" s="18" t="s">
        <v>60</v>
      </c>
      <c r="D5" s="18"/>
      <c r="E5" s="18"/>
      <c r="F5" s="18"/>
      <c r="G5" s="18"/>
      <c r="H5" s="18"/>
      <c r="I5" s="18"/>
      <c r="J5" s="18"/>
    </row>
    <row r="6" customFormat="false" ht="61.5" hidden="false" customHeight="true" outlineLevel="0" collapsed="false">
      <c r="A6" s="13" t="s">
        <v>61</v>
      </c>
      <c r="B6" s="17" t="s">
        <v>62</v>
      </c>
      <c r="C6" s="18" t="s">
        <v>63</v>
      </c>
      <c r="D6" s="18"/>
      <c r="E6" s="18"/>
      <c r="F6" s="18"/>
      <c r="G6" s="18"/>
      <c r="H6" s="18"/>
      <c r="I6" s="18"/>
      <c r="J6" s="18"/>
    </row>
    <row r="7" customFormat="false" ht="61.5" hidden="false" customHeight="true" outlineLevel="0" collapsed="false">
      <c r="A7" s="13" t="s">
        <v>64</v>
      </c>
      <c r="B7" s="17" t="s">
        <v>65</v>
      </c>
      <c r="C7" s="18" t="s">
        <v>66</v>
      </c>
      <c r="D7" s="18"/>
      <c r="E7" s="18"/>
      <c r="F7" s="18"/>
      <c r="G7" s="18"/>
      <c r="H7" s="18"/>
      <c r="I7" s="18"/>
      <c r="J7" s="18"/>
    </row>
    <row r="8" customFormat="false" ht="61.5" hidden="false" customHeight="true" outlineLevel="0" collapsed="false">
      <c r="A8" s="13" t="s">
        <v>67</v>
      </c>
      <c r="B8" s="17" t="s">
        <v>68</v>
      </c>
      <c r="C8" s="18" t="s">
        <v>69</v>
      </c>
      <c r="D8" s="18"/>
      <c r="E8" s="18"/>
      <c r="F8" s="18"/>
      <c r="G8" s="18"/>
      <c r="H8" s="18"/>
      <c r="I8" s="18"/>
      <c r="J8" s="18"/>
    </row>
    <row r="9" customFormat="false" ht="61.5" hidden="false" customHeight="true" outlineLevel="0" collapsed="false">
      <c r="A9" s="13" t="s">
        <v>70</v>
      </c>
      <c r="B9" s="17" t="s">
        <v>71</v>
      </c>
      <c r="C9" s="18" t="s">
        <v>72</v>
      </c>
      <c r="D9" s="18"/>
      <c r="E9" s="18"/>
      <c r="F9" s="18"/>
      <c r="G9" s="18"/>
      <c r="H9" s="18"/>
      <c r="I9" s="18"/>
      <c r="J9" s="18"/>
    </row>
    <row r="11" customFormat="false" ht="23.85" hidden="false" customHeight="false" outlineLevel="0" collapsed="false">
      <c r="A11" s="3" t="s">
        <v>55</v>
      </c>
      <c r="B11" s="3" t="s">
        <v>73</v>
      </c>
      <c r="C11" s="3" t="s">
        <v>74</v>
      </c>
      <c r="D11" s="3" t="s">
        <v>75</v>
      </c>
      <c r="E11" s="3" t="s">
        <v>76</v>
      </c>
      <c r="F11" s="3" t="s">
        <v>77</v>
      </c>
      <c r="G11" s="3" t="s">
        <v>78</v>
      </c>
      <c r="H11" s="3" t="s">
        <v>79</v>
      </c>
      <c r="I11" s="3" t="s">
        <v>80</v>
      </c>
      <c r="J11" s="3" t="s">
        <v>81</v>
      </c>
    </row>
    <row r="12" customFormat="false" ht="15" hidden="false" customHeight="false" outlineLevel="0" collapsed="false">
      <c r="A12" s="13" t="s">
        <v>58</v>
      </c>
      <c r="B12" s="4" t="s">
        <v>82</v>
      </c>
      <c r="C12" s="4" t="s">
        <v>83</v>
      </c>
      <c r="D12" s="4" t="s">
        <v>84</v>
      </c>
      <c r="E12" s="17" t="s">
        <v>85</v>
      </c>
      <c r="F12" s="19" t="n">
        <v>89000</v>
      </c>
      <c r="G12" s="19" t="n">
        <v>89000</v>
      </c>
      <c r="H12" s="19" t="n">
        <v>57</v>
      </c>
      <c r="I12" s="19" t="n">
        <v>57</v>
      </c>
      <c r="J12" s="4" t="s">
        <v>86</v>
      </c>
    </row>
    <row r="13" customFormat="false" ht="15" hidden="false" customHeight="false" outlineLevel="0" collapsed="false">
      <c r="A13" s="13" t="s">
        <v>58</v>
      </c>
      <c r="B13" s="4" t="s">
        <v>82</v>
      </c>
      <c r="C13" s="4" t="s">
        <v>83</v>
      </c>
      <c r="D13" s="4" t="s">
        <v>87</v>
      </c>
      <c r="E13" s="17" t="s">
        <v>88</v>
      </c>
      <c r="F13" s="19" t="n">
        <v>103000</v>
      </c>
      <c r="G13" s="19" t="n">
        <v>103000</v>
      </c>
      <c r="H13" s="19" t="n">
        <v>66</v>
      </c>
      <c r="I13" s="19" t="n">
        <v>66</v>
      </c>
      <c r="J13" s="4" t="s">
        <v>86</v>
      </c>
    </row>
    <row r="14" customFormat="false" ht="15" hidden="false" customHeight="false" outlineLevel="0" collapsed="false">
      <c r="A14" s="13" t="s">
        <v>58</v>
      </c>
      <c r="B14" s="4" t="s">
        <v>82</v>
      </c>
      <c r="C14" s="4" t="s">
        <v>83</v>
      </c>
      <c r="D14" s="4" t="s">
        <v>89</v>
      </c>
      <c r="E14" s="17" t="s">
        <v>90</v>
      </c>
      <c r="F14" s="19" t="n">
        <v>118000</v>
      </c>
      <c r="G14" s="19" t="n">
        <v>118000</v>
      </c>
      <c r="H14" s="19" t="n">
        <v>76</v>
      </c>
      <c r="I14" s="19" t="n">
        <v>76</v>
      </c>
      <c r="J14" s="4" t="s">
        <v>86</v>
      </c>
    </row>
    <row r="15" customFormat="false" ht="15" hidden="false" customHeight="false" outlineLevel="0" collapsed="false">
      <c r="A15" s="13" t="s">
        <v>58</v>
      </c>
      <c r="B15" s="4" t="s">
        <v>82</v>
      </c>
      <c r="C15" s="4" t="s">
        <v>83</v>
      </c>
      <c r="D15" s="4" t="s">
        <v>91</v>
      </c>
      <c r="E15" s="17" t="s">
        <v>92</v>
      </c>
      <c r="F15" s="19" t="n">
        <v>13000</v>
      </c>
      <c r="G15" s="19" t="n">
        <v>26000</v>
      </c>
      <c r="H15" s="19" t="n">
        <v>8</v>
      </c>
      <c r="I15" s="19" t="n">
        <v>17</v>
      </c>
      <c r="J15" s="4" t="s">
        <v>86</v>
      </c>
    </row>
    <row r="16" customFormat="false" ht="15" hidden="false" customHeight="false" outlineLevel="0" collapsed="false">
      <c r="A16" s="13" t="s">
        <v>61</v>
      </c>
      <c r="B16" s="4" t="s">
        <v>93</v>
      </c>
      <c r="C16" s="4" t="s">
        <v>94</v>
      </c>
      <c r="D16" s="4" t="s">
        <v>95</v>
      </c>
      <c r="E16" s="17" t="s">
        <v>96</v>
      </c>
      <c r="F16" s="19" t="n">
        <v>115000</v>
      </c>
      <c r="G16" s="19" t="n">
        <v>115000</v>
      </c>
      <c r="H16" s="19" t="n">
        <v>74</v>
      </c>
      <c r="I16" s="19" t="n">
        <v>74</v>
      </c>
      <c r="J16" s="4" t="s">
        <v>86</v>
      </c>
    </row>
    <row r="17" customFormat="false" ht="15" hidden="false" customHeight="false" outlineLevel="0" collapsed="false">
      <c r="A17" s="13" t="s">
        <v>61</v>
      </c>
      <c r="B17" s="4" t="s">
        <v>93</v>
      </c>
      <c r="C17" s="4" t="s">
        <v>94</v>
      </c>
      <c r="D17" s="4" t="s">
        <v>89</v>
      </c>
      <c r="E17" s="17" t="s">
        <v>97</v>
      </c>
      <c r="F17" s="19" t="n">
        <v>257000</v>
      </c>
      <c r="G17" s="19" t="n">
        <v>300000</v>
      </c>
      <c r="H17" s="19" t="n">
        <v>165</v>
      </c>
      <c r="I17" s="19" t="n">
        <v>192</v>
      </c>
      <c r="J17" s="4" t="s">
        <v>86</v>
      </c>
    </row>
    <row r="18" customFormat="false" ht="15" hidden="false" customHeight="false" outlineLevel="0" collapsed="false">
      <c r="A18" s="4" t="s">
        <v>98</v>
      </c>
      <c r="B18" s="4" t="s">
        <v>99</v>
      </c>
      <c r="C18" s="4" t="s">
        <v>100</v>
      </c>
      <c r="D18" s="4" t="s">
        <v>101</v>
      </c>
      <c r="E18" s="17" t="s">
        <v>102</v>
      </c>
      <c r="F18" s="19" t="n">
        <v>163350</v>
      </c>
      <c r="G18" s="19" t="n">
        <v>163350</v>
      </c>
      <c r="H18" s="19" t="n">
        <v>105</v>
      </c>
      <c r="I18" s="19" t="n">
        <v>105</v>
      </c>
      <c r="J18" s="4" t="s">
        <v>103</v>
      </c>
    </row>
    <row r="19" customFormat="false" ht="15" hidden="false" customHeight="false" outlineLevel="0" collapsed="false">
      <c r="A19" s="4" t="s">
        <v>98</v>
      </c>
      <c r="B19" s="4" t="s">
        <v>99</v>
      </c>
      <c r="C19" s="4" t="s">
        <v>100</v>
      </c>
      <c r="D19" s="4" t="s">
        <v>104</v>
      </c>
      <c r="E19" s="17" t="s">
        <v>105</v>
      </c>
      <c r="F19" s="19" t="n">
        <v>108900</v>
      </c>
      <c r="G19" s="19" t="n">
        <v>108900</v>
      </c>
      <c r="H19" s="19" t="n">
        <v>70</v>
      </c>
      <c r="I19" s="19" t="n">
        <v>70</v>
      </c>
      <c r="J19" s="4" t="s">
        <v>103</v>
      </c>
    </row>
    <row r="20" customFormat="false" ht="15" hidden="false" customHeight="false" outlineLevel="0" collapsed="false">
      <c r="A20" s="4" t="s">
        <v>98</v>
      </c>
      <c r="B20" s="4" t="s">
        <v>99</v>
      </c>
      <c r="C20" s="4" t="s">
        <v>100</v>
      </c>
      <c r="D20" s="4" t="s">
        <v>84</v>
      </c>
      <c r="E20" s="17" t="s">
        <v>106</v>
      </c>
      <c r="F20" s="19" t="n">
        <v>264990</v>
      </c>
      <c r="G20" s="19" t="n">
        <v>264990</v>
      </c>
      <c r="H20" s="19" t="n">
        <v>170</v>
      </c>
      <c r="I20" s="19" t="n">
        <v>170</v>
      </c>
      <c r="J20" s="4" t="s">
        <v>103</v>
      </c>
    </row>
    <row r="21" customFormat="false" ht="15" hidden="false" customHeight="false" outlineLevel="0" collapsed="false">
      <c r="A21" s="4" t="s">
        <v>98</v>
      </c>
      <c r="B21" s="4" t="s">
        <v>99</v>
      </c>
      <c r="C21" s="4" t="s">
        <v>100</v>
      </c>
      <c r="D21" s="4" t="s">
        <v>87</v>
      </c>
      <c r="E21" s="17" t="s">
        <v>107</v>
      </c>
      <c r="F21" s="19" t="n">
        <v>302500</v>
      </c>
      <c r="G21" s="19" t="n">
        <v>302500</v>
      </c>
      <c r="H21" s="19" t="n">
        <v>194</v>
      </c>
      <c r="I21" s="19" t="n">
        <v>194</v>
      </c>
      <c r="J21" s="4" t="s">
        <v>103</v>
      </c>
    </row>
    <row r="22" customFormat="false" ht="15" hidden="false" customHeight="false" outlineLevel="0" collapsed="false">
      <c r="A22" s="4" t="s">
        <v>98</v>
      </c>
      <c r="B22" s="4" t="s">
        <v>99</v>
      </c>
      <c r="C22" s="4" t="s">
        <v>100</v>
      </c>
      <c r="D22" s="4" t="s">
        <v>108</v>
      </c>
      <c r="E22" s="17" t="s">
        <v>109</v>
      </c>
      <c r="F22" s="19" t="n">
        <v>326700</v>
      </c>
      <c r="G22" s="19" t="n">
        <v>326700</v>
      </c>
      <c r="H22" s="19" t="n">
        <v>209</v>
      </c>
      <c r="I22" s="19" t="n">
        <v>209</v>
      </c>
      <c r="J22" s="4" t="s">
        <v>103</v>
      </c>
    </row>
    <row r="23" customFormat="false" ht="15" hidden="false" customHeight="false" outlineLevel="0" collapsed="false">
      <c r="A23" s="4" t="s">
        <v>98</v>
      </c>
      <c r="B23" s="4" t="s">
        <v>99</v>
      </c>
      <c r="C23" s="4" t="s">
        <v>100</v>
      </c>
      <c r="D23" s="4" t="s">
        <v>89</v>
      </c>
      <c r="E23" s="17" t="s">
        <v>110</v>
      </c>
      <c r="F23" s="19" t="n">
        <v>387200</v>
      </c>
      <c r="G23" s="19" t="n">
        <v>387200</v>
      </c>
      <c r="H23" s="19" t="n">
        <v>248</v>
      </c>
      <c r="I23" s="19" t="n">
        <v>248</v>
      </c>
      <c r="J23" s="4" t="s">
        <v>103</v>
      </c>
    </row>
    <row r="24" customFormat="false" ht="35.05" hidden="false" customHeight="false" outlineLevel="0" collapsed="false">
      <c r="A24" s="4" t="s">
        <v>98</v>
      </c>
      <c r="B24" s="4" t="s">
        <v>99</v>
      </c>
      <c r="C24" s="4" t="s">
        <v>100</v>
      </c>
      <c r="D24" s="4" t="s">
        <v>91</v>
      </c>
      <c r="E24" s="17" t="s">
        <v>111</v>
      </c>
      <c r="F24" s="19" t="n">
        <v>98010</v>
      </c>
      <c r="G24" s="19" t="n">
        <v>153065</v>
      </c>
      <c r="H24" s="19" t="n">
        <v>63</v>
      </c>
      <c r="I24" s="19" t="n">
        <v>98</v>
      </c>
      <c r="J24" s="4" t="s">
        <v>103</v>
      </c>
    </row>
    <row r="25" customFormat="false" ht="35.05" hidden="false" customHeight="false" outlineLevel="0" collapsed="false">
      <c r="A25" s="4" t="s">
        <v>67</v>
      </c>
      <c r="B25" s="4" t="s">
        <v>99</v>
      </c>
      <c r="C25" s="4" t="s">
        <v>112</v>
      </c>
      <c r="D25" s="4" t="s">
        <v>101</v>
      </c>
      <c r="E25" s="17" t="s">
        <v>113</v>
      </c>
      <c r="F25" s="19" t="n">
        <v>101400</v>
      </c>
      <c r="G25" s="19" t="n">
        <v>154440</v>
      </c>
      <c r="H25" s="19" t="n">
        <v>65</v>
      </c>
      <c r="I25" s="19" t="n">
        <v>99</v>
      </c>
      <c r="J25" s="4" t="s">
        <v>103</v>
      </c>
    </row>
    <row r="26" customFormat="false" ht="35.05" hidden="false" customHeight="false" outlineLevel="0" collapsed="false">
      <c r="A26" s="4" t="s">
        <v>67</v>
      </c>
      <c r="B26" s="4" t="s">
        <v>99</v>
      </c>
      <c r="C26" s="4" t="s">
        <v>112</v>
      </c>
      <c r="D26" s="4" t="s">
        <v>84</v>
      </c>
      <c r="E26" s="17" t="s">
        <v>114</v>
      </c>
      <c r="F26" s="19" t="n">
        <v>154440</v>
      </c>
      <c r="G26" s="19" t="n">
        <v>248040</v>
      </c>
      <c r="H26" s="19" t="n">
        <v>99</v>
      </c>
      <c r="I26" s="19" t="n">
        <v>159</v>
      </c>
      <c r="J26" s="4" t="s">
        <v>103</v>
      </c>
    </row>
    <row r="27" customFormat="false" ht="35.05" hidden="false" customHeight="false" outlineLevel="0" collapsed="false">
      <c r="A27" s="4" t="s">
        <v>67</v>
      </c>
      <c r="B27" s="4" t="s">
        <v>99</v>
      </c>
      <c r="C27" s="4" t="s">
        <v>112</v>
      </c>
      <c r="D27" s="4" t="s">
        <v>108</v>
      </c>
      <c r="E27" s="17" t="s">
        <v>115</v>
      </c>
      <c r="F27" s="19" t="n">
        <v>248040</v>
      </c>
      <c r="G27" s="19" t="n">
        <v>372840</v>
      </c>
      <c r="H27" s="19" t="n">
        <v>159</v>
      </c>
      <c r="I27" s="19" t="n">
        <v>239</v>
      </c>
      <c r="J27" s="4" t="s">
        <v>103</v>
      </c>
    </row>
    <row r="28" customFormat="false" ht="15" hidden="false" customHeight="false" outlineLevel="0" collapsed="false">
      <c r="A28" s="4" t="s">
        <v>67</v>
      </c>
      <c r="B28" s="4" t="s">
        <v>99</v>
      </c>
      <c r="C28" s="4" t="s">
        <v>112</v>
      </c>
      <c r="D28" s="4" t="s">
        <v>116</v>
      </c>
      <c r="E28" s="17" t="s">
        <v>117</v>
      </c>
      <c r="F28" s="19" t="n">
        <v>76440</v>
      </c>
      <c r="G28" s="19" t="n">
        <v>85800</v>
      </c>
      <c r="H28" s="19" t="n">
        <v>49</v>
      </c>
      <c r="I28" s="19" t="n">
        <v>55</v>
      </c>
      <c r="J28" s="4" t="s">
        <v>103</v>
      </c>
    </row>
    <row r="29" customFormat="false" ht="15" hidden="false" customHeight="false" outlineLevel="0" collapsed="false">
      <c r="A29" s="4" t="s">
        <v>67</v>
      </c>
      <c r="B29" s="4" t="s">
        <v>99</v>
      </c>
      <c r="C29" s="4" t="s">
        <v>112</v>
      </c>
      <c r="D29" s="4" t="s">
        <v>91</v>
      </c>
      <c r="E29" s="17" t="s">
        <v>118</v>
      </c>
      <c r="F29" s="19" t="n">
        <v>70200</v>
      </c>
      <c r="G29" s="19" t="n">
        <v>107640</v>
      </c>
      <c r="H29" s="19" t="n">
        <v>45</v>
      </c>
      <c r="I29" s="19" t="n">
        <v>69</v>
      </c>
      <c r="J29" s="4" t="s">
        <v>103</v>
      </c>
    </row>
    <row r="30" customFormat="false" ht="35.05" hidden="false" customHeight="false" outlineLevel="0" collapsed="false">
      <c r="A30" s="4" t="s">
        <v>70</v>
      </c>
      <c r="B30" s="4" t="s">
        <v>99</v>
      </c>
      <c r="C30" s="4" t="s">
        <v>119</v>
      </c>
      <c r="D30" s="4" t="s">
        <v>108</v>
      </c>
      <c r="E30" s="17" t="s">
        <v>120</v>
      </c>
      <c r="F30" s="19" t="n">
        <v>352981</v>
      </c>
      <c r="G30" s="19" t="n">
        <v>639896</v>
      </c>
      <c r="H30" s="19" t="n">
        <v>226</v>
      </c>
      <c r="I30" s="19" t="n">
        <v>410</v>
      </c>
      <c r="J30" s="4" t="s">
        <v>103</v>
      </c>
    </row>
    <row r="31" customFormat="false" ht="35.05" hidden="false" customHeight="false" outlineLevel="0" collapsed="false">
      <c r="A31" s="4" t="s">
        <v>121</v>
      </c>
      <c r="B31" s="4" t="s">
        <v>122</v>
      </c>
      <c r="C31" s="4" t="s">
        <v>123</v>
      </c>
      <c r="D31" s="4" t="s">
        <v>101</v>
      </c>
      <c r="E31" s="17" t="s">
        <v>113</v>
      </c>
      <c r="F31" s="19" t="n">
        <v>101400</v>
      </c>
      <c r="G31" s="19" t="n">
        <v>154440</v>
      </c>
      <c r="H31" s="19" t="n">
        <v>65</v>
      </c>
      <c r="I31" s="19" t="n">
        <v>99</v>
      </c>
      <c r="J31" s="4" t="s">
        <v>103</v>
      </c>
    </row>
    <row r="32" customFormat="false" ht="35.05" hidden="false" customHeight="false" outlineLevel="0" collapsed="false">
      <c r="A32" s="4" t="s">
        <v>121</v>
      </c>
      <c r="B32" s="4" t="s">
        <v>122</v>
      </c>
      <c r="C32" s="4" t="s">
        <v>123</v>
      </c>
      <c r="D32" s="4" t="s">
        <v>84</v>
      </c>
      <c r="E32" s="17" t="s">
        <v>114</v>
      </c>
      <c r="F32" s="19" t="n">
        <v>154440</v>
      </c>
      <c r="G32" s="19" t="n">
        <v>248040</v>
      </c>
      <c r="H32" s="19" t="n">
        <v>99</v>
      </c>
      <c r="I32" s="19" t="n">
        <v>159</v>
      </c>
      <c r="J32" s="4" t="s">
        <v>103</v>
      </c>
    </row>
    <row r="33" customFormat="false" ht="35.05" hidden="false" customHeight="false" outlineLevel="0" collapsed="false">
      <c r="A33" s="4" t="s">
        <v>121</v>
      </c>
      <c r="B33" s="4" t="s">
        <v>122</v>
      </c>
      <c r="C33" s="4" t="s">
        <v>123</v>
      </c>
      <c r="D33" s="4" t="s">
        <v>108</v>
      </c>
      <c r="E33" s="17" t="s">
        <v>115</v>
      </c>
      <c r="F33" s="19" t="n">
        <v>248040</v>
      </c>
      <c r="G33" s="19" t="n">
        <v>372840</v>
      </c>
      <c r="H33" s="19" t="n">
        <v>159</v>
      </c>
      <c r="I33" s="19" t="n">
        <v>239</v>
      </c>
      <c r="J33" s="4" t="s">
        <v>103</v>
      </c>
    </row>
    <row r="34" customFormat="false" ht="15" hidden="false" customHeight="false" outlineLevel="0" collapsed="false">
      <c r="A34" s="4" t="s">
        <v>121</v>
      </c>
      <c r="B34" s="4" t="s">
        <v>122</v>
      </c>
      <c r="C34" s="4" t="s">
        <v>123</v>
      </c>
      <c r="D34" s="4" t="s">
        <v>116</v>
      </c>
      <c r="E34" s="17" t="s">
        <v>117</v>
      </c>
      <c r="F34" s="19" t="n">
        <v>85800</v>
      </c>
      <c r="G34" s="19" t="n">
        <v>85800</v>
      </c>
      <c r="H34" s="19" t="n">
        <v>55</v>
      </c>
      <c r="I34" s="19" t="n">
        <v>55</v>
      </c>
      <c r="J34" s="4" t="s">
        <v>103</v>
      </c>
    </row>
    <row r="35" customFormat="false" ht="15" hidden="false" customHeight="false" outlineLevel="0" collapsed="false">
      <c r="A35" s="4" t="s">
        <v>121</v>
      </c>
      <c r="B35" s="4" t="s">
        <v>122</v>
      </c>
      <c r="C35" s="4" t="s">
        <v>123</v>
      </c>
      <c r="D35" s="4" t="s">
        <v>91</v>
      </c>
      <c r="E35" s="17" t="s">
        <v>118</v>
      </c>
      <c r="F35" s="19" t="n">
        <v>60840</v>
      </c>
      <c r="G35" s="19" t="n">
        <v>60840</v>
      </c>
      <c r="H35" s="19" t="n">
        <v>39</v>
      </c>
      <c r="I35" s="19" t="n">
        <v>39</v>
      </c>
      <c r="J35" s="4" t="s">
        <v>103</v>
      </c>
    </row>
  </sheetData>
  <mergeCells count="6">
    <mergeCell ref="C4:J4"/>
    <mergeCell ref="C5:J5"/>
    <mergeCell ref="C6:J6"/>
    <mergeCell ref="C7:J7"/>
    <mergeCell ref="C8:J8"/>
    <mergeCell ref="C9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126</v>
      </c>
      <c r="B5" s="8" t="n">
        <f aca="false">Inversion!D21</f>
        <v>109179.735</v>
      </c>
      <c r="C5" s="8" t="n">
        <f aca="false">Inversion!E21</f>
        <v>75347.44</v>
      </c>
      <c r="D5" s="8" t="n">
        <f aca="false">Inversion!F21</f>
        <v>52346.03</v>
      </c>
      <c r="E5" s="2" t="s">
        <v>127</v>
      </c>
    </row>
    <row r="6" customFormat="false" ht="15" hidden="false" customHeight="false" outlineLevel="0" collapsed="false">
      <c r="A6" s="4" t="s">
        <v>128</v>
      </c>
      <c r="B6" s="8" t="n">
        <f aca="false">-MIN(Modelo_Conservador!C45:AM45)</f>
        <v>218350.491531098</v>
      </c>
      <c r="C6" s="8" t="n">
        <f aca="false">-MIN(Modelo_Base!C45:AM45)</f>
        <v>107065.697547895</v>
      </c>
      <c r="D6" s="8" t="n">
        <f aca="false">-MIN(Modelo_Favorable!C45:AM45)</f>
        <v>54810.0129228675</v>
      </c>
      <c r="E6" s="2" t="s">
        <v>129</v>
      </c>
    </row>
    <row r="7" customFormat="false" ht="15" hidden="false" customHeight="false" outlineLevel="0" collapsed="false">
      <c r="A7" s="4" t="s">
        <v>130</v>
      </c>
      <c r="B7" s="20" t="n">
        <f aca="false">Modelo_Conservador!O7</f>
        <v>15.8083403086279</v>
      </c>
      <c r="C7" s="20" t="n">
        <f aca="false">Modelo_Base!O7</f>
        <v>28.5835858333586</v>
      </c>
      <c r="D7" s="20" t="n">
        <f aca="false">Modelo_Favorable!O7</f>
        <v>46.0694299228627</v>
      </c>
      <c r="E7" s="2"/>
    </row>
    <row r="8" customFormat="false" ht="15" hidden="false" customHeight="false" outlineLevel="0" collapsed="false">
      <c r="A8" s="4" t="s">
        <v>131</v>
      </c>
      <c r="B8" s="20" t="n">
        <f aca="false">Modelo_Conservador!AM7</f>
        <v>12.9472167206324</v>
      </c>
      <c r="C8" s="20" t="n">
        <f aca="false">Modelo_Base!AM7</f>
        <v>32.2575148308747</v>
      </c>
      <c r="D8" s="20" t="n">
        <f aca="false">Modelo_Favorable!AM7</f>
        <v>55.9324264346937</v>
      </c>
      <c r="E8" s="2" t="s">
        <v>132</v>
      </c>
    </row>
    <row r="9" customFormat="false" ht="15" hidden="false" customHeight="false" outlineLevel="0" collapsed="false">
      <c r="A9" s="4" t="s">
        <v>133</v>
      </c>
      <c r="B9" s="7" t="n">
        <f aca="false">Modelo_Conservador!AM12</f>
        <v>0.171190976639473</v>
      </c>
      <c r="C9" s="7" t="n">
        <f aca="false">Modelo_Base!AM12</f>
        <v>0.334522376023885</v>
      </c>
      <c r="D9" s="7" t="n">
        <f aca="false">Modelo_Favorable!AM12</f>
        <v>0.466103553622448</v>
      </c>
      <c r="E9" s="2" t="s">
        <v>134</v>
      </c>
    </row>
    <row r="10" customFormat="false" ht="15" hidden="false" customHeight="false" outlineLevel="0" collapsed="false">
      <c r="A10" s="4" t="s">
        <v>135</v>
      </c>
      <c r="B10" s="8" t="n">
        <f aca="false">Modelo_Conservador!AM21</f>
        <v>1304.1716996799</v>
      </c>
      <c r="C10" s="8" t="n">
        <f aca="false">Modelo_Base!AM21</f>
        <v>2765.12570562915</v>
      </c>
      <c r="D10" s="8" t="n">
        <f aca="false">Modelo_Favorable!AM21</f>
        <v>4780.06163309401</v>
      </c>
      <c r="E10" s="2"/>
    </row>
    <row r="11" customFormat="false" ht="15" hidden="false" customHeight="false" outlineLevel="0" collapsed="false">
      <c r="A11" s="4" t="s">
        <v>136</v>
      </c>
      <c r="B11" s="8" t="n">
        <f aca="false">Modelo_Conservador!AM42</f>
        <v>-2965.53885441949</v>
      </c>
      <c r="C11" s="8" t="n">
        <f aca="false">Modelo_Base!AM42</f>
        <v>-607.208025548932</v>
      </c>
      <c r="D11" s="8" t="n">
        <f aca="false">Modelo_Favorable!AM42</f>
        <v>1869.37556967145</v>
      </c>
      <c r="E11" s="2"/>
    </row>
    <row r="12" customFormat="false" ht="15" hidden="false" customHeight="false" outlineLevel="0" collapsed="false">
      <c r="A12" s="4" t="s">
        <v>137</v>
      </c>
      <c r="B12" s="8" t="n">
        <f aca="false">SUM(Modelo_Conservador!D42:AM42)</f>
        <v>-109170.756531098</v>
      </c>
      <c r="C12" s="8" t="n">
        <f aca="false">SUM(Modelo_Base!D42:AM42)</f>
        <v>-31718.2575478952</v>
      </c>
      <c r="D12" s="8" t="n">
        <f aca="false">SUM(Modelo_Favorable!D42:AM42)</f>
        <v>47344.2438614693</v>
      </c>
      <c r="E12" s="2"/>
    </row>
    <row r="13" customFormat="false" ht="15" hidden="false" customHeight="false" outlineLevel="0" collapsed="false">
      <c r="A13" s="4" t="s">
        <v>138</v>
      </c>
      <c r="B13" s="7" t="n">
        <f aca="false">IFERROR(SUM(Modelo_Conservador!AB42:AM42)/SUM(Modelo_Conservador!AB21:AM21),0)</f>
        <v>-2.24790101537731</v>
      </c>
      <c r="C13" s="7" t="n">
        <f aca="false">IFERROR(SUM(Modelo_Base!AB42:AM42)/SUM(Modelo_Base!AB21:AM21),0)</f>
        <v>-0.227639350838131</v>
      </c>
      <c r="D13" s="7" t="n">
        <f aca="false">IFERROR(SUM(Modelo_Favorable!AB42:AM42)/SUM(Modelo_Favorable!AB21:AM21),0)</f>
        <v>0.383575025628723</v>
      </c>
      <c r="E13" s="2" t="s">
        <v>139</v>
      </c>
    </row>
    <row r="14" customFormat="false" ht="15" hidden="false" customHeight="false" outlineLevel="0" collapsed="false">
      <c r="A14" s="4" t="s">
        <v>140</v>
      </c>
      <c r="B14" s="20" t="str">
        <f aca="false">IFERROR(MATCH(TRUE(),INDEX(Modelo_Conservador!C45:AM45&gt;=0,0),0)-1,"no recupera en 36 meses")</f>
        <v>no recupera en 36 meses</v>
      </c>
      <c r="C14" s="20" t="str">
        <f aca="false">IFERROR(MATCH(TRUE(),INDEX(Modelo_Base!C45:AM45&gt;=0,0),0)-1,"no recupera en 36 meses")</f>
        <v>no recupera en 36 meses</v>
      </c>
      <c r="D14" s="20" t="str">
        <f aca="false">IFERROR(MATCH(TRUE(),INDEX(Modelo_Favorable!C45:AM45&gt;=0,0),0)-1,"no recupera en 36 meses")</f>
        <v>no recupera en 36 meses</v>
      </c>
      <c r="E14" s="2" t="s">
        <v>141</v>
      </c>
    </row>
    <row r="15" customFormat="false" ht="15" hidden="false" customHeight="false" outlineLevel="0" collapsed="false">
      <c r="A15" s="4" t="s">
        <v>142</v>
      </c>
      <c r="B15" s="20" t="str">
        <f aca="false">IFERROR(MATCH(TRUE(),INDEX(Modelo_Conservador!C48:AM48&gt;=0,0),0)-1,"no recupera en 36 meses")</f>
        <v>no recupera en 36 meses</v>
      </c>
      <c r="C15" s="20" t="str">
        <f aca="false">IFERROR(MATCH(TRUE(),INDEX(Modelo_Base!C48:AM48&gt;=0,0),0)-1,"no recupera en 36 meses")</f>
        <v>no recupera en 36 meses</v>
      </c>
      <c r="D15" s="20" t="str">
        <f aca="false">IFERROR(MATCH(TRUE(),INDEX(Modelo_Favorable!C48:AM48&gt;=0,0),0)-1,"no recupera en 36 meses")</f>
        <v>no recupera en 36 meses</v>
      </c>
      <c r="E15" s="2" t="s">
        <v>143</v>
      </c>
    </row>
    <row r="16" customFormat="false" ht="15" hidden="false" customHeight="false" outlineLevel="0" collapsed="false">
      <c r="A16" s="4" t="s">
        <v>144</v>
      </c>
      <c r="B16" s="7" t="str">
        <f aca="false">IFERROR((1+IRR(Modelo_Conservador!C44:AM44))^12-1,"no calculable")</f>
        <v>no calculable</v>
      </c>
      <c r="C16" s="7" t="str">
        <f aca="false">IFERROR((1+IRR(Modelo_Base!C44:AM44))^12-1,"no calculable")</f>
        <v>no calculable</v>
      </c>
      <c r="D16" s="7" t="n">
        <f aca="false">IFERROR((1+IRR(Modelo_Favorable!C44:AM44))^12-1,"no calculable")</f>
        <v>-0.0504222336849972</v>
      </c>
      <c r="E16" s="2" t="s">
        <v>145</v>
      </c>
    </row>
    <row r="17" customFormat="false" ht="15" hidden="false" customHeight="false" outlineLevel="0" collapsed="false">
      <c r="A17" s="4" t="s">
        <v>146</v>
      </c>
      <c r="B17" s="8" t="n">
        <f aca="false">NPV((1+Supuestos!$D$92)^(1/12)-1,Modelo_Conservador!D44:AM44)+Modelo_Conservador!C44+Supuestos!$D$93/(1+Supuestos!$D$92)^3</f>
        <v>-201671.317107389</v>
      </c>
      <c r="C17" s="8" t="n">
        <f aca="false">NPV((1+Supuestos!$E$92)^(1/12)-1,Modelo_Base!D44:AM44)+Modelo_Base!C44+Supuestos!$E$93/(1+Supuestos!$E$92)^3</f>
        <v>-103128.487587411</v>
      </c>
      <c r="D17" s="8" t="n">
        <f aca="false">NPV((1+Supuestos!$F$92)^(1/12)-1,Modelo_Favorable!D44:AM44)+Modelo_Favorable!C44+Supuestos!$F$93/(1+Supuestos!$F$92)^3</f>
        <v>-14206.2732835867</v>
      </c>
      <c r="E17" s="2" t="s">
        <v>147</v>
      </c>
    </row>
    <row r="18" customFormat="false" ht="15" hidden="false" customHeight="false" outlineLevel="0" collapsed="false">
      <c r="A18" s="4" t="s">
        <v>148</v>
      </c>
      <c r="B18" s="8" t="n">
        <f aca="false">Supuestos!$D$91</f>
        <v>0</v>
      </c>
      <c r="C18" s="8" t="n">
        <f aca="false">Supuestos!$E$91</f>
        <v>0</v>
      </c>
      <c r="D18" s="8" t="n">
        <f aca="false">Supuestos!$F$91</f>
        <v>0</v>
      </c>
      <c r="E18" s="2" t="s">
        <v>149</v>
      </c>
    </row>
    <row r="19" customFormat="false" ht="15" hidden="false" customHeight="false" outlineLevel="0" collapsed="false">
      <c r="A19" s="4" t="s">
        <v>150</v>
      </c>
      <c r="B19" s="8" t="n">
        <f aca="false">AVERAGE(Modelo_Conservador!AB42:AM42)-Supuestos!$D$91</f>
        <v>-2958.29720042301</v>
      </c>
      <c r="C19" s="8" t="n">
        <f aca="false">AVERAGE(Modelo_Base!AB42:AM42)-Supuestos!$E$91</f>
        <v>-624.418773546782</v>
      </c>
      <c r="D19" s="8" t="n">
        <f aca="false">AVERAGE(Modelo_Favorable!AB42:AM42)-Supuestos!$F$91</f>
        <v>1806.2617243191</v>
      </c>
      <c r="E19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0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A4" s="3" t="s">
        <v>154</v>
      </c>
      <c r="B4" s="3" t="s">
        <v>155</v>
      </c>
      <c r="C4" s="3" t="s">
        <v>156</v>
      </c>
      <c r="D4" s="3" t="s">
        <v>3</v>
      </c>
      <c r="E4" s="3" t="s">
        <v>4</v>
      </c>
      <c r="F4" s="3" t="s">
        <v>5</v>
      </c>
      <c r="G4" s="3" t="s">
        <v>157</v>
      </c>
      <c r="H4" s="3" t="s">
        <v>158</v>
      </c>
    </row>
    <row r="5" customFormat="false" ht="15" hidden="false" customHeight="false" outlineLevel="0" collapsed="false">
      <c r="A5" s="21" t="s">
        <v>159</v>
      </c>
      <c r="B5" s="22"/>
      <c r="C5" s="22"/>
      <c r="D5" s="22"/>
      <c r="E5" s="22"/>
      <c r="F5" s="22"/>
      <c r="G5" s="22"/>
      <c r="H5" s="22"/>
    </row>
    <row r="6" customFormat="false" ht="15" hidden="false" customHeight="false" outlineLevel="0" collapsed="false">
      <c r="A6" s="2" t="s">
        <v>160</v>
      </c>
      <c r="B6" s="4" t="s">
        <v>161</v>
      </c>
      <c r="C6" s="2" t="s">
        <v>162</v>
      </c>
      <c r="D6" s="23" t="n">
        <v>1560</v>
      </c>
      <c r="E6" s="23" t="n">
        <v>1560</v>
      </c>
      <c r="F6" s="23" t="n">
        <v>1560</v>
      </c>
      <c r="G6" s="24" t="s">
        <v>163</v>
      </c>
      <c r="H6" s="2" t="s">
        <v>164</v>
      </c>
    </row>
    <row r="7" customFormat="false" ht="15" hidden="false" customHeight="false" outlineLevel="0" collapsed="false">
      <c r="A7" s="2" t="s">
        <v>165</v>
      </c>
      <c r="B7" s="4" t="s">
        <v>166</v>
      </c>
      <c r="C7" s="2" t="s">
        <v>167</v>
      </c>
      <c r="D7" s="25" t="n">
        <v>0.21</v>
      </c>
      <c r="E7" s="25" t="n">
        <v>0.21</v>
      </c>
      <c r="F7" s="25" t="n">
        <v>0.21</v>
      </c>
      <c r="G7" s="24" t="s">
        <v>168</v>
      </c>
      <c r="H7" s="2" t="s">
        <v>164</v>
      </c>
    </row>
    <row r="8" customFormat="false" ht="22.35" hidden="false" customHeight="false" outlineLevel="0" collapsed="false">
      <c r="A8" s="2" t="s">
        <v>169</v>
      </c>
      <c r="B8" s="4" t="s">
        <v>170</v>
      </c>
      <c r="C8" s="2" t="s">
        <v>171</v>
      </c>
      <c r="D8" s="26" t="n">
        <v>1</v>
      </c>
      <c r="E8" s="26" t="n">
        <v>1</v>
      </c>
      <c r="F8" s="26" t="n">
        <v>1</v>
      </c>
      <c r="G8" s="24" t="s">
        <v>172</v>
      </c>
      <c r="H8" s="2" t="s">
        <v>173</v>
      </c>
    </row>
    <row r="9" customFormat="false" ht="15" hidden="false" customHeight="false" outlineLevel="0" collapsed="false">
      <c r="A9" s="2" t="s">
        <v>174</v>
      </c>
      <c r="B9" s="4" t="s">
        <v>175</v>
      </c>
      <c r="C9" s="2" t="s">
        <v>176</v>
      </c>
      <c r="D9" s="26" t="n">
        <v>21</v>
      </c>
      <c r="E9" s="26" t="n">
        <v>21</v>
      </c>
      <c r="F9" s="26" t="n">
        <v>21</v>
      </c>
      <c r="G9" s="24" t="s">
        <v>177</v>
      </c>
      <c r="H9" s="2" t="s">
        <v>173</v>
      </c>
    </row>
    <row r="10" customFormat="false" ht="15" hidden="false" customHeight="false" outlineLevel="0" collapsed="false">
      <c r="A10" s="2" t="s">
        <v>178</v>
      </c>
      <c r="B10" s="4" t="s">
        <v>179</v>
      </c>
      <c r="C10" s="2" t="s">
        <v>180</v>
      </c>
      <c r="D10" s="26" t="n">
        <v>6</v>
      </c>
      <c r="E10" s="26" t="n">
        <v>4</v>
      </c>
      <c r="F10" s="26" t="n">
        <v>3</v>
      </c>
      <c r="G10" s="24" t="s">
        <v>181</v>
      </c>
      <c r="H10" s="2" t="s">
        <v>182</v>
      </c>
    </row>
    <row r="11" customFormat="false" ht="15" hidden="false" customHeight="false" outlineLevel="0" collapsed="false">
      <c r="A11" s="21" t="s">
        <v>183</v>
      </c>
      <c r="B11" s="22"/>
      <c r="C11" s="22"/>
      <c r="D11" s="22"/>
      <c r="E11" s="22"/>
      <c r="F11" s="22"/>
      <c r="G11" s="22"/>
      <c r="H11" s="22"/>
    </row>
    <row r="12" customFormat="false" ht="32.8" hidden="false" customHeight="false" outlineLevel="0" collapsed="false">
      <c r="A12" s="2" t="s">
        <v>184</v>
      </c>
      <c r="B12" s="4" t="s">
        <v>185</v>
      </c>
      <c r="C12" s="2" t="s">
        <v>186</v>
      </c>
      <c r="D12" s="26" t="n">
        <v>30</v>
      </c>
      <c r="E12" s="26" t="n">
        <v>36</v>
      </c>
      <c r="F12" s="26" t="n">
        <v>42</v>
      </c>
      <c r="G12" s="24" t="s">
        <v>187</v>
      </c>
      <c r="H12" s="2" t="s">
        <v>182</v>
      </c>
    </row>
    <row r="13" customFormat="false" ht="32.8" hidden="false" customHeight="false" outlineLevel="0" collapsed="false">
      <c r="A13" s="2" t="s">
        <v>188</v>
      </c>
      <c r="B13" s="4" t="s">
        <v>189</v>
      </c>
      <c r="C13" s="2" t="s">
        <v>186</v>
      </c>
      <c r="D13" s="26" t="n">
        <v>4</v>
      </c>
      <c r="E13" s="26" t="n">
        <v>6</v>
      </c>
      <c r="F13" s="26" t="n">
        <v>8</v>
      </c>
      <c r="G13" s="24" t="s">
        <v>187</v>
      </c>
      <c r="H13" s="2" t="s">
        <v>182</v>
      </c>
    </row>
    <row r="14" customFormat="false" ht="32.8" hidden="false" customHeight="false" outlineLevel="0" collapsed="false">
      <c r="A14" s="2" t="s">
        <v>190</v>
      </c>
      <c r="B14" s="4" t="s">
        <v>191</v>
      </c>
      <c r="C14" s="2" t="s">
        <v>192</v>
      </c>
      <c r="D14" s="26" t="n">
        <v>2</v>
      </c>
      <c r="E14" s="26" t="n">
        <v>2</v>
      </c>
      <c r="F14" s="26" t="n">
        <v>3</v>
      </c>
      <c r="G14" s="24" t="s">
        <v>187</v>
      </c>
      <c r="H14" s="2" t="s">
        <v>182</v>
      </c>
    </row>
    <row r="15" customFormat="false" ht="15" hidden="false" customHeight="false" outlineLevel="0" collapsed="false">
      <c r="A15" s="2" t="s">
        <v>193</v>
      </c>
      <c r="B15" s="4" t="s">
        <v>194</v>
      </c>
      <c r="C15" s="2" t="s">
        <v>186</v>
      </c>
      <c r="D15" s="26" t="n">
        <v>3</v>
      </c>
      <c r="E15" s="26" t="n">
        <v>3</v>
      </c>
      <c r="F15" s="26" t="n">
        <v>3</v>
      </c>
      <c r="G15" s="24" t="s">
        <v>195</v>
      </c>
      <c r="H15" s="2" t="s">
        <v>173</v>
      </c>
    </row>
    <row r="16" customFormat="false" ht="15" hidden="false" customHeight="false" outlineLevel="0" collapsed="false">
      <c r="A16" s="21" t="s">
        <v>196</v>
      </c>
      <c r="B16" s="22"/>
      <c r="C16" s="22"/>
      <c r="D16" s="22"/>
      <c r="E16" s="22"/>
      <c r="F16" s="22"/>
      <c r="G16" s="22"/>
      <c r="H16" s="22"/>
    </row>
    <row r="17" customFormat="false" ht="15" hidden="false" customHeight="false" outlineLevel="0" collapsed="false">
      <c r="A17" s="2" t="s">
        <v>197</v>
      </c>
      <c r="B17" s="4" t="s">
        <v>198</v>
      </c>
      <c r="C17" s="2" t="s">
        <v>167</v>
      </c>
      <c r="D17" s="25" t="n">
        <v>0.85</v>
      </c>
      <c r="E17" s="25" t="n">
        <v>0.8</v>
      </c>
      <c r="F17" s="25" t="n">
        <v>0.75</v>
      </c>
      <c r="G17" s="24" t="s">
        <v>199</v>
      </c>
      <c r="H17" s="2" t="s">
        <v>182</v>
      </c>
    </row>
    <row r="18" customFormat="false" ht="15" hidden="false" customHeight="false" outlineLevel="0" collapsed="false">
      <c r="A18" s="2" t="s">
        <v>200</v>
      </c>
      <c r="B18" s="4" t="s">
        <v>201</v>
      </c>
      <c r="C18" s="2" t="s">
        <v>202</v>
      </c>
      <c r="D18" s="26" t="n">
        <v>1.35</v>
      </c>
      <c r="E18" s="26" t="n">
        <v>1.3</v>
      </c>
      <c r="F18" s="26" t="n">
        <v>1.25</v>
      </c>
      <c r="G18" s="24" t="s">
        <v>203</v>
      </c>
      <c r="H18" s="2" t="s">
        <v>182</v>
      </c>
    </row>
    <row r="19" customFormat="false" ht="15" hidden="false" customHeight="false" outlineLevel="0" collapsed="false">
      <c r="A19" s="2" t="s">
        <v>204</v>
      </c>
      <c r="B19" s="4" t="s">
        <v>205</v>
      </c>
      <c r="C19" s="2" t="s">
        <v>167</v>
      </c>
      <c r="D19" s="25" t="n">
        <v>0.8</v>
      </c>
      <c r="E19" s="25" t="n">
        <v>0.8</v>
      </c>
      <c r="F19" s="25" t="n">
        <v>0.8</v>
      </c>
      <c r="G19" s="24" t="s">
        <v>206</v>
      </c>
      <c r="H19" s="2" t="s">
        <v>173</v>
      </c>
    </row>
    <row r="20" customFormat="false" ht="15" hidden="false" customHeight="false" outlineLevel="0" collapsed="false">
      <c r="A20" s="21" t="s">
        <v>207</v>
      </c>
      <c r="B20" s="22"/>
      <c r="C20" s="22"/>
      <c r="D20" s="22"/>
      <c r="E20" s="22"/>
      <c r="F20" s="22"/>
      <c r="G20" s="22"/>
      <c r="H20" s="22"/>
    </row>
    <row r="21" customFormat="false" ht="15" hidden="false" customHeight="false" outlineLevel="0" collapsed="false">
      <c r="A21" s="2" t="s">
        <v>208</v>
      </c>
      <c r="B21" s="4" t="s">
        <v>209</v>
      </c>
      <c r="C21" s="2" t="s">
        <v>210</v>
      </c>
      <c r="D21" s="26" t="n">
        <v>4</v>
      </c>
      <c r="E21" s="26" t="n">
        <v>4</v>
      </c>
      <c r="F21" s="26" t="n">
        <v>4</v>
      </c>
      <c r="G21" s="24" t="s">
        <v>211</v>
      </c>
      <c r="H21" s="2" t="s">
        <v>173</v>
      </c>
    </row>
    <row r="22" customFormat="false" ht="15" hidden="false" customHeight="false" outlineLevel="0" collapsed="false">
      <c r="A22" s="2" t="s">
        <v>212</v>
      </c>
      <c r="B22" s="4" t="s">
        <v>213</v>
      </c>
      <c r="C22" s="2" t="s">
        <v>210</v>
      </c>
      <c r="D22" s="26" t="n">
        <v>8</v>
      </c>
      <c r="E22" s="26" t="n">
        <v>8</v>
      </c>
      <c r="F22" s="26" t="n">
        <v>8</v>
      </c>
      <c r="G22" s="24" t="s">
        <v>211</v>
      </c>
      <c r="H22" s="2" t="s">
        <v>173</v>
      </c>
    </row>
    <row r="23" customFormat="false" ht="15" hidden="false" customHeight="false" outlineLevel="0" collapsed="false">
      <c r="A23" s="2" t="s">
        <v>214</v>
      </c>
      <c r="B23" s="4" t="s">
        <v>215</v>
      </c>
      <c r="C23" s="2" t="s">
        <v>210</v>
      </c>
      <c r="D23" s="26" t="n">
        <v>12</v>
      </c>
      <c r="E23" s="26" t="n">
        <v>12</v>
      </c>
      <c r="F23" s="26" t="n">
        <v>12</v>
      </c>
      <c r="G23" s="24" t="s">
        <v>211</v>
      </c>
      <c r="H23" s="2" t="s">
        <v>173</v>
      </c>
    </row>
    <row r="24" customFormat="false" ht="15" hidden="false" customHeight="false" outlineLevel="0" collapsed="false">
      <c r="A24" s="2" t="s">
        <v>216</v>
      </c>
      <c r="B24" s="4" t="s">
        <v>217</v>
      </c>
      <c r="C24" s="2" t="s">
        <v>210</v>
      </c>
      <c r="D24" s="26" t="n">
        <v>21</v>
      </c>
      <c r="E24" s="26" t="n">
        <v>21</v>
      </c>
      <c r="F24" s="26" t="n">
        <v>21</v>
      </c>
      <c r="G24" s="24" t="s">
        <v>211</v>
      </c>
      <c r="H24" s="2" t="s">
        <v>173</v>
      </c>
    </row>
    <row r="25" customFormat="false" ht="15" hidden="false" customHeight="false" outlineLevel="0" collapsed="false">
      <c r="A25" s="2" t="s">
        <v>218</v>
      </c>
      <c r="B25" s="4" t="s">
        <v>219</v>
      </c>
      <c r="C25" s="2" t="s">
        <v>220</v>
      </c>
      <c r="D25" s="23" t="n">
        <v>0</v>
      </c>
      <c r="E25" s="23" t="n">
        <v>0</v>
      </c>
      <c r="F25" s="23" t="n">
        <v>0</v>
      </c>
      <c r="G25" s="24" t="s">
        <v>221</v>
      </c>
      <c r="H25" s="2" t="s">
        <v>222</v>
      </c>
    </row>
    <row r="26" customFormat="false" ht="32.8" hidden="false" customHeight="false" outlineLevel="0" collapsed="false">
      <c r="A26" s="2" t="s">
        <v>223</v>
      </c>
      <c r="B26" s="4" t="s">
        <v>224</v>
      </c>
      <c r="C26" s="2" t="s">
        <v>220</v>
      </c>
      <c r="D26" s="23" t="n">
        <v>89000</v>
      </c>
      <c r="E26" s="23" t="n">
        <v>89000</v>
      </c>
      <c r="F26" s="23" t="n">
        <v>89000</v>
      </c>
      <c r="G26" s="24" t="s">
        <v>225</v>
      </c>
      <c r="H26" s="2" t="s">
        <v>222</v>
      </c>
    </row>
    <row r="27" customFormat="false" ht="32.8" hidden="false" customHeight="false" outlineLevel="0" collapsed="false">
      <c r="A27" s="2" t="s">
        <v>226</v>
      </c>
      <c r="B27" s="4" t="s">
        <v>227</v>
      </c>
      <c r="C27" s="2" t="s">
        <v>220</v>
      </c>
      <c r="D27" s="23" t="n">
        <v>103000</v>
      </c>
      <c r="E27" s="23" t="n">
        <v>103000</v>
      </c>
      <c r="F27" s="23" t="n">
        <v>103000</v>
      </c>
      <c r="G27" s="24" t="s">
        <v>228</v>
      </c>
      <c r="H27" s="2" t="s">
        <v>222</v>
      </c>
    </row>
    <row r="28" customFormat="false" ht="15" hidden="false" customHeight="false" outlineLevel="0" collapsed="false">
      <c r="A28" s="2" t="s">
        <v>229</v>
      </c>
      <c r="B28" s="4" t="s">
        <v>230</v>
      </c>
      <c r="C28" s="2" t="s">
        <v>220</v>
      </c>
      <c r="D28" s="23" t="n">
        <v>0</v>
      </c>
      <c r="E28" s="23" t="n">
        <v>0</v>
      </c>
      <c r="F28" s="23" t="n">
        <v>0</v>
      </c>
      <c r="G28" s="24" t="s">
        <v>231</v>
      </c>
      <c r="H28" s="2" t="s">
        <v>222</v>
      </c>
    </row>
    <row r="29" customFormat="false" ht="22.35" hidden="false" customHeight="false" outlineLevel="0" collapsed="false">
      <c r="A29" s="2" t="s">
        <v>232</v>
      </c>
      <c r="B29" s="4" t="s">
        <v>233</v>
      </c>
      <c r="C29" s="2" t="s">
        <v>167</v>
      </c>
      <c r="D29" s="25" t="n">
        <v>0</v>
      </c>
      <c r="E29" s="25" t="n">
        <v>0</v>
      </c>
      <c r="F29" s="25" t="n">
        <v>0</v>
      </c>
      <c r="G29" s="24" t="s">
        <v>234</v>
      </c>
      <c r="H29" s="2" t="s">
        <v>182</v>
      </c>
    </row>
    <row r="30" customFormat="false" ht="22.35" hidden="false" customHeight="false" outlineLevel="0" collapsed="false">
      <c r="A30" s="2" t="s">
        <v>235</v>
      </c>
      <c r="B30" s="4" t="s">
        <v>236</v>
      </c>
      <c r="C30" s="2" t="s">
        <v>167</v>
      </c>
      <c r="D30" s="25" t="n">
        <v>0.55</v>
      </c>
      <c r="E30" s="25" t="n">
        <v>0.55</v>
      </c>
      <c r="F30" s="25" t="n">
        <v>0.55</v>
      </c>
      <c r="G30" s="24" t="s">
        <v>234</v>
      </c>
      <c r="H30" s="2" t="s">
        <v>182</v>
      </c>
    </row>
    <row r="31" customFormat="false" ht="22.35" hidden="false" customHeight="false" outlineLevel="0" collapsed="false">
      <c r="A31" s="2" t="s">
        <v>237</v>
      </c>
      <c r="B31" s="4" t="s">
        <v>238</v>
      </c>
      <c r="C31" s="2" t="s">
        <v>167</v>
      </c>
      <c r="D31" s="25" t="n">
        <v>0.45</v>
      </c>
      <c r="E31" s="25" t="n">
        <v>0.45</v>
      </c>
      <c r="F31" s="25" t="n">
        <v>0.45</v>
      </c>
      <c r="G31" s="24" t="s">
        <v>234</v>
      </c>
      <c r="H31" s="2" t="s">
        <v>182</v>
      </c>
    </row>
    <row r="32" customFormat="false" ht="22.35" hidden="false" customHeight="false" outlineLevel="0" collapsed="false">
      <c r="A32" s="2" t="s">
        <v>239</v>
      </c>
      <c r="B32" s="4" t="s">
        <v>240</v>
      </c>
      <c r="C32" s="2" t="s">
        <v>167</v>
      </c>
      <c r="D32" s="25" t="n">
        <v>0</v>
      </c>
      <c r="E32" s="25" t="n">
        <v>0</v>
      </c>
      <c r="F32" s="25" t="n">
        <v>0</v>
      </c>
      <c r="G32" s="24" t="s">
        <v>234</v>
      </c>
      <c r="H32" s="2" t="s">
        <v>182</v>
      </c>
    </row>
    <row r="33" customFormat="false" ht="22.35" hidden="false" customHeight="false" outlineLevel="0" collapsed="false">
      <c r="A33" s="2" t="s">
        <v>241</v>
      </c>
      <c r="B33" s="4" t="s">
        <v>242</v>
      </c>
      <c r="C33" s="2" t="s">
        <v>220</v>
      </c>
      <c r="D33" s="23" t="n">
        <v>118000</v>
      </c>
      <c r="E33" s="23" t="n">
        <v>118000</v>
      </c>
      <c r="F33" s="23" t="n">
        <v>118000</v>
      </c>
      <c r="G33" s="24" t="s">
        <v>243</v>
      </c>
      <c r="H33" s="2" t="s">
        <v>222</v>
      </c>
    </row>
    <row r="34" customFormat="false" ht="32.8" hidden="false" customHeight="false" outlineLevel="0" collapsed="false">
      <c r="A34" s="2" t="s">
        <v>244</v>
      </c>
      <c r="B34" s="4" t="s">
        <v>245</v>
      </c>
      <c r="C34" s="2" t="s">
        <v>220</v>
      </c>
      <c r="D34" s="23" t="n">
        <v>480000</v>
      </c>
      <c r="E34" s="23" t="n">
        <v>480000</v>
      </c>
      <c r="F34" s="23" t="n">
        <v>480000</v>
      </c>
      <c r="G34" s="24" t="s">
        <v>246</v>
      </c>
      <c r="H34" s="2" t="s">
        <v>222</v>
      </c>
    </row>
    <row r="35" customFormat="false" ht="15" hidden="false" customHeight="false" outlineLevel="0" collapsed="false">
      <c r="A35" s="2" t="s">
        <v>247</v>
      </c>
      <c r="B35" s="4" t="s">
        <v>116</v>
      </c>
      <c r="C35" s="2" t="s">
        <v>248</v>
      </c>
      <c r="D35" s="23" t="n">
        <v>10300</v>
      </c>
      <c r="E35" s="23" t="n">
        <v>10300</v>
      </c>
      <c r="F35" s="23" t="n">
        <v>10300</v>
      </c>
      <c r="G35" s="24" t="s">
        <v>249</v>
      </c>
      <c r="H35" s="2" t="s">
        <v>222</v>
      </c>
    </row>
    <row r="36" customFormat="false" ht="32.8" hidden="false" customHeight="false" outlineLevel="0" collapsed="false">
      <c r="A36" s="2" t="s">
        <v>250</v>
      </c>
      <c r="B36" s="4" t="s">
        <v>251</v>
      </c>
      <c r="C36" s="2" t="s">
        <v>252</v>
      </c>
      <c r="D36" s="23" t="n">
        <v>13000</v>
      </c>
      <c r="E36" s="23" t="n">
        <v>13000</v>
      </c>
      <c r="F36" s="23" t="n">
        <v>13000</v>
      </c>
      <c r="G36" s="24" t="s">
        <v>253</v>
      </c>
      <c r="H36" s="2" t="s">
        <v>222</v>
      </c>
    </row>
    <row r="37" customFormat="false" ht="15" hidden="false" customHeight="false" outlineLevel="0" collapsed="false">
      <c r="A37" s="2" t="s">
        <v>254</v>
      </c>
      <c r="B37" s="4" t="s">
        <v>255</v>
      </c>
      <c r="C37" s="2" t="s">
        <v>202</v>
      </c>
      <c r="D37" s="26" t="n">
        <v>0.9</v>
      </c>
      <c r="E37" s="26" t="n">
        <v>1</v>
      </c>
      <c r="F37" s="26" t="n">
        <v>1.05</v>
      </c>
      <c r="G37" s="24" t="s">
        <v>256</v>
      </c>
      <c r="H37" s="2" t="s">
        <v>173</v>
      </c>
    </row>
    <row r="38" customFormat="false" ht="15" hidden="false" customHeight="false" outlineLevel="0" collapsed="false">
      <c r="A38" s="2" t="s">
        <v>257</v>
      </c>
      <c r="B38" s="4" t="s">
        <v>258</v>
      </c>
      <c r="C38" s="2" t="s">
        <v>167</v>
      </c>
      <c r="D38" s="25" t="n">
        <v>0.1</v>
      </c>
      <c r="E38" s="25" t="n">
        <v>0.07</v>
      </c>
      <c r="F38" s="25" t="n">
        <v>0.05</v>
      </c>
      <c r="G38" s="24" t="s">
        <v>206</v>
      </c>
      <c r="H38" s="2" t="s">
        <v>173</v>
      </c>
    </row>
    <row r="39" customFormat="false" ht="15" hidden="false" customHeight="false" outlineLevel="0" collapsed="false">
      <c r="A39" s="2" t="s">
        <v>259</v>
      </c>
      <c r="B39" s="4" t="s">
        <v>260</v>
      </c>
      <c r="C39" s="2" t="s">
        <v>261</v>
      </c>
      <c r="D39" s="26" t="n">
        <v>20</v>
      </c>
      <c r="E39" s="26" t="n">
        <v>35</v>
      </c>
      <c r="F39" s="26" t="n">
        <v>50</v>
      </c>
      <c r="G39" s="24" t="s">
        <v>262</v>
      </c>
      <c r="H39" s="2" t="s">
        <v>182</v>
      </c>
    </row>
    <row r="40" customFormat="false" ht="15" hidden="false" customHeight="false" outlineLevel="0" collapsed="false">
      <c r="A40" s="2" t="s">
        <v>263</v>
      </c>
      <c r="B40" s="4" t="s">
        <v>264</v>
      </c>
      <c r="C40" s="2" t="s">
        <v>265</v>
      </c>
      <c r="D40" s="26" t="n">
        <v>10</v>
      </c>
      <c r="E40" s="26" t="n">
        <v>20</v>
      </c>
      <c r="F40" s="26" t="n">
        <v>30</v>
      </c>
      <c r="G40" s="24" t="s">
        <v>262</v>
      </c>
      <c r="H40" s="2" t="s">
        <v>182</v>
      </c>
    </row>
    <row r="41" customFormat="false" ht="15" hidden="false" customHeight="false" outlineLevel="0" collapsed="false">
      <c r="A41" s="2" t="s">
        <v>266</v>
      </c>
      <c r="B41" s="4" t="s">
        <v>267</v>
      </c>
      <c r="C41" s="2" t="s">
        <v>268</v>
      </c>
      <c r="D41" s="27" t="n">
        <v>0</v>
      </c>
      <c r="E41" s="27" t="n">
        <v>100</v>
      </c>
      <c r="F41" s="27" t="n">
        <v>200</v>
      </c>
      <c r="G41" s="24" t="s">
        <v>206</v>
      </c>
      <c r="H41" s="2" t="s">
        <v>182</v>
      </c>
    </row>
    <row r="42" customFormat="false" ht="15" hidden="false" customHeight="false" outlineLevel="0" collapsed="false">
      <c r="A42" s="2" t="s">
        <v>269</v>
      </c>
      <c r="B42" s="4" t="s">
        <v>270</v>
      </c>
      <c r="C42" s="2" t="s">
        <v>180</v>
      </c>
      <c r="D42" s="26" t="n">
        <v>12</v>
      </c>
      <c r="E42" s="26" t="n">
        <v>9</v>
      </c>
      <c r="F42" s="26" t="n">
        <v>6</v>
      </c>
      <c r="G42" s="24" t="s">
        <v>206</v>
      </c>
      <c r="H42" s="2" t="s">
        <v>173</v>
      </c>
    </row>
    <row r="43" customFormat="false" ht="15" hidden="false" customHeight="false" outlineLevel="0" collapsed="false">
      <c r="A43" s="2" t="s">
        <v>271</v>
      </c>
      <c r="B43" s="4" t="s">
        <v>272</v>
      </c>
      <c r="C43" s="2" t="s">
        <v>180</v>
      </c>
      <c r="D43" s="26" t="n">
        <v>10</v>
      </c>
      <c r="E43" s="26" t="n">
        <v>6</v>
      </c>
      <c r="F43" s="26" t="n">
        <v>4</v>
      </c>
      <c r="G43" s="24" t="s">
        <v>206</v>
      </c>
      <c r="H43" s="2" t="s">
        <v>182</v>
      </c>
    </row>
    <row r="44" customFormat="false" ht="15" hidden="false" customHeight="false" outlineLevel="0" collapsed="false">
      <c r="A44" s="21" t="s">
        <v>273</v>
      </c>
      <c r="B44" s="22"/>
      <c r="C44" s="22"/>
      <c r="D44" s="22"/>
      <c r="E44" s="22"/>
      <c r="F44" s="22"/>
      <c r="G44" s="22"/>
      <c r="H44" s="22"/>
    </row>
    <row r="45" customFormat="false" ht="15" hidden="false" customHeight="false" outlineLevel="0" collapsed="false">
      <c r="A45" s="2" t="s">
        <v>274</v>
      </c>
      <c r="B45" s="4" t="s">
        <v>275</v>
      </c>
      <c r="C45" s="2" t="s">
        <v>276</v>
      </c>
      <c r="D45" s="26" t="n">
        <v>0</v>
      </c>
      <c r="E45" s="26" t="n">
        <v>5</v>
      </c>
      <c r="F45" s="26" t="n">
        <v>10</v>
      </c>
      <c r="G45" s="24" t="s">
        <v>277</v>
      </c>
      <c r="H45" s="2" t="s">
        <v>182</v>
      </c>
    </row>
    <row r="46" customFormat="false" ht="22.35" hidden="false" customHeight="false" outlineLevel="0" collapsed="false">
      <c r="A46" s="2" t="s">
        <v>278</v>
      </c>
      <c r="B46" s="4" t="s">
        <v>279</v>
      </c>
      <c r="C46" s="2" t="s">
        <v>280</v>
      </c>
      <c r="D46" s="26" t="n">
        <v>2</v>
      </c>
      <c r="E46" s="26" t="n">
        <v>3</v>
      </c>
      <c r="F46" s="26" t="n">
        <v>5</v>
      </c>
      <c r="G46" s="24" t="s">
        <v>281</v>
      </c>
      <c r="H46" s="2" t="s">
        <v>182</v>
      </c>
    </row>
    <row r="47" customFormat="false" ht="22.35" hidden="false" customHeight="false" outlineLevel="0" collapsed="false">
      <c r="A47" s="2" t="s">
        <v>282</v>
      </c>
      <c r="B47" s="4" t="s">
        <v>283</v>
      </c>
      <c r="C47" s="2" t="s">
        <v>280</v>
      </c>
      <c r="D47" s="26" t="n">
        <v>2</v>
      </c>
      <c r="E47" s="26" t="n">
        <v>3</v>
      </c>
      <c r="F47" s="26" t="n">
        <v>4</v>
      </c>
      <c r="G47" s="24" t="s">
        <v>281</v>
      </c>
      <c r="H47" s="2" t="s">
        <v>182</v>
      </c>
    </row>
    <row r="48" customFormat="false" ht="22.35" hidden="false" customHeight="false" outlineLevel="0" collapsed="false">
      <c r="A48" s="2" t="s">
        <v>284</v>
      </c>
      <c r="B48" s="4" t="s">
        <v>285</v>
      </c>
      <c r="C48" s="2" t="s">
        <v>280</v>
      </c>
      <c r="D48" s="26" t="n">
        <v>1</v>
      </c>
      <c r="E48" s="26" t="n">
        <v>2</v>
      </c>
      <c r="F48" s="26" t="n">
        <v>3</v>
      </c>
      <c r="G48" s="24" t="s">
        <v>281</v>
      </c>
      <c r="H48" s="2" t="s">
        <v>182</v>
      </c>
    </row>
    <row r="49" customFormat="false" ht="15" hidden="false" customHeight="false" outlineLevel="0" collapsed="false">
      <c r="A49" s="2" t="s">
        <v>286</v>
      </c>
      <c r="B49" s="4" t="s">
        <v>287</v>
      </c>
      <c r="C49" s="2" t="s">
        <v>167</v>
      </c>
      <c r="D49" s="25" t="n">
        <v>0.08</v>
      </c>
      <c r="E49" s="25" t="n">
        <v>0.06</v>
      </c>
      <c r="F49" s="25" t="n">
        <v>0.05</v>
      </c>
      <c r="G49" s="24" t="s">
        <v>288</v>
      </c>
      <c r="H49" s="2" t="s">
        <v>182</v>
      </c>
    </row>
    <row r="50" customFormat="false" ht="15" hidden="false" customHeight="false" outlineLevel="0" collapsed="false">
      <c r="A50" s="2" t="s">
        <v>289</v>
      </c>
      <c r="B50" s="4" t="s">
        <v>290</v>
      </c>
      <c r="C50" s="2" t="s">
        <v>291</v>
      </c>
      <c r="D50" s="26" t="n">
        <v>0.5</v>
      </c>
      <c r="E50" s="26" t="n">
        <v>1</v>
      </c>
      <c r="F50" s="26" t="n">
        <v>1.5</v>
      </c>
      <c r="G50" s="24" t="s">
        <v>206</v>
      </c>
      <c r="H50" s="2" t="s">
        <v>182</v>
      </c>
    </row>
    <row r="51" customFormat="false" ht="15" hidden="false" customHeight="false" outlineLevel="0" collapsed="false">
      <c r="A51" s="2" t="s">
        <v>292</v>
      </c>
      <c r="B51" s="4" t="s">
        <v>293</v>
      </c>
      <c r="C51" s="2" t="s">
        <v>167</v>
      </c>
      <c r="D51" s="25" t="n">
        <v>0.05</v>
      </c>
      <c r="E51" s="25" t="n">
        <v>0.04</v>
      </c>
      <c r="F51" s="25" t="n">
        <v>0.03</v>
      </c>
      <c r="G51" s="24" t="s">
        <v>294</v>
      </c>
      <c r="H51" s="2" t="s">
        <v>182</v>
      </c>
    </row>
    <row r="52" customFormat="false" ht="15" hidden="false" customHeight="false" outlineLevel="0" collapsed="false">
      <c r="A52" s="21" t="s">
        <v>295</v>
      </c>
      <c r="B52" s="22"/>
      <c r="C52" s="22"/>
      <c r="D52" s="22"/>
      <c r="E52" s="22"/>
      <c r="F52" s="22"/>
      <c r="G52" s="22"/>
      <c r="H52" s="22"/>
    </row>
    <row r="53" customFormat="false" ht="22.35" hidden="false" customHeight="false" outlineLevel="0" collapsed="false">
      <c r="A53" s="2" t="s">
        <v>296</v>
      </c>
      <c r="B53" s="4" t="s">
        <v>297</v>
      </c>
      <c r="C53" s="2" t="s">
        <v>298</v>
      </c>
      <c r="D53" s="26" t="n">
        <v>1.22</v>
      </c>
      <c r="E53" s="26" t="n">
        <v>0.81</v>
      </c>
      <c r="F53" s="26" t="n">
        <v>0.41</v>
      </c>
      <c r="G53" s="24" t="s">
        <v>299</v>
      </c>
      <c r="H53" s="2" t="s">
        <v>300</v>
      </c>
    </row>
    <row r="54" customFormat="false" ht="22.35" hidden="false" customHeight="false" outlineLevel="0" collapsed="false">
      <c r="A54" s="2" t="s">
        <v>301</v>
      </c>
      <c r="B54" s="4" t="s">
        <v>302</v>
      </c>
      <c r="C54" s="2" t="s">
        <v>303</v>
      </c>
      <c r="D54" s="25" t="n">
        <v>0.0629</v>
      </c>
      <c r="E54" s="25" t="n">
        <v>0.0345</v>
      </c>
      <c r="F54" s="25" t="n">
        <v>0.006</v>
      </c>
      <c r="G54" s="24" t="s">
        <v>304</v>
      </c>
      <c r="H54" s="2" t="s">
        <v>164</v>
      </c>
    </row>
    <row r="55" customFormat="false" ht="22.35" hidden="false" customHeight="false" outlineLevel="0" collapsed="false">
      <c r="A55" s="2" t="s">
        <v>305</v>
      </c>
      <c r="B55" s="4" t="s">
        <v>306</v>
      </c>
      <c r="C55" s="2" t="s">
        <v>307</v>
      </c>
      <c r="D55" s="25" t="n">
        <v>0.05</v>
      </c>
      <c r="E55" s="25" t="n">
        <v>0.03</v>
      </c>
      <c r="F55" s="25" t="n">
        <v>0.03</v>
      </c>
      <c r="G55" s="24" t="s">
        <v>308</v>
      </c>
      <c r="H55" s="2" t="s">
        <v>164</v>
      </c>
    </row>
    <row r="56" customFormat="false" ht="15" hidden="false" customHeight="false" outlineLevel="0" collapsed="false">
      <c r="A56" s="2" t="s">
        <v>309</v>
      </c>
      <c r="B56" s="4" t="s">
        <v>310</v>
      </c>
      <c r="C56" s="2" t="s">
        <v>303</v>
      </c>
      <c r="D56" s="25" t="n">
        <v>0.012</v>
      </c>
      <c r="E56" s="25" t="n">
        <v>0.012</v>
      </c>
      <c r="F56" s="25" t="n">
        <v>0.012</v>
      </c>
      <c r="G56" s="24" t="s">
        <v>311</v>
      </c>
      <c r="H56" s="2" t="s">
        <v>164</v>
      </c>
    </row>
    <row r="57" customFormat="false" ht="15" hidden="false" customHeight="false" outlineLevel="0" collapsed="false">
      <c r="A57" s="21" t="s">
        <v>312</v>
      </c>
      <c r="B57" s="22"/>
      <c r="C57" s="22"/>
      <c r="D57" s="22"/>
      <c r="E57" s="22"/>
      <c r="F57" s="22"/>
      <c r="G57" s="22"/>
      <c r="H57" s="22"/>
    </row>
    <row r="58" customFormat="false" ht="22.35" hidden="false" customHeight="false" outlineLevel="0" collapsed="false">
      <c r="A58" s="2" t="s">
        <v>313</v>
      </c>
      <c r="B58" s="4" t="s">
        <v>314</v>
      </c>
      <c r="C58" s="2" t="s">
        <v>315</v>
      </c>
      <c r="D58" s="26" t="n">
        <v>1</v>
      </c>
      <c r="E58" s="26" t="n">
        <v>1</v>
      </c>
      <c r="F58" s="26" t="n">
        <v>1</v>
      </c>
      <c r="G58" s="24" t="s">
        <v>316</v>
      </c>
      <c r="H58" s="2" t="s">
        <v>173</v>
      </c>
    </row>
    <row r="59" customFormat="false" ht="22.35" hidden="false" customHeight="false" outlineLevel="0" collapsed="false">
      <c r="A59" s="2" t="s">
        <v>317</v>
      </c>
      <c r="B59" s="4" t="s">
        <v>318</v>
      </c>
      <c r="C59" s="2" t="s">
        <v>268</v>
      </c>
      <c r="D59" s="26" t="n">
        <v>1159.6</v>
      </c>
      <c r="E59" s="26" t="n">
        <v>1104.8</v>
      </c>
      <c r="F59" s="26" t="n">
        <v>1049.9</v>
      </c>
      <c r="G59" s="24" t="s">
        <v>319</v>
      </c>
      <c r="H59" s="2" t="s">
        <v>164</v>
      </c>
    </row>
    <row r="60" customFormat="false" ht="22.35" hidden="false" customHeight="false" outlineLevel="0" collapsed="false">
      <c r="A60" s="2" t="s">
        <v>320</v>
      </c>
      <c r="B60" s="4" t="s">
        <v>321</v>
      </c>
      <c r="C60" s="2" t="s">
        <v>268</v>
      </c>
      <c r="D60" s="27" t="n">
        <v>673.1</v>
      </c>
      <c r="E60" s="27" t="n">
        <v>376.9</v>
      </c>
      <c r="F60" s="27" t="n">
        <v>269.2</v>
      </c>
      <c r="G60" s="24" t="s">
        <v>322</v>
      </c>
      <c r="H60" s="2" t="s">
        <v>300</v>
      </c>
    </row>
    <row r="61" customFormat="false" ht="32.8" hidden="false" customHeight="false" outlineLevel="0" collapsed="false">
      <c r="A61" s="2" t="s">
        <v>323</v>
      </c>
      <c r="B61" s="4" t="s">
        <v>324</v>
      </c>
      <c r="C61" s="2" t="s">
        <v>268</v>
      </c>
      <c r="D61" s="27" t="n">
        <v>115.4</v>
      </c>
      <c r="E61" s="27" t="n">
        <v>55.8</v>
      </c>
      <c r="F61" s="27" t="n">
        <v>43</v>
      </c>
      <c r="G61" s="24" t="s">
        <v>325</v>
      </c>
      <c r="H61" s="2" t="s">
        <v>164</v>
      </c>
    </row>
    <row r="62" customFormat="false" ht="22.35" hidden="false" customHeight="false" outlineLevel="0" collapsed="false">
      <c r="A62" s="28" t="s">
        <v>326</v>
      </c>
      <c r="B62" s="29" t="s">
        <v>327</v>
      </c>
      <c r="C62" s="28" t="s">
        <v>268</v>
      </c>
      <c r="D62" s="30" t="n">
        <v>27.1</v>
      </c>
      <c r="E62" s="30" t="n">
        <v>27.1</v>
      </c>
      <c r="F62" s="30" t="n">
        <v>27.1</v>
      </c>
      <c r="G62" s="31" t="s">
        <v>328</v>
      </c>
      <c r="H62" s="28" t="s">
        <v>329</v>
      </c>
    </row>
    <row r="63" customFormat="false" ht="32.8" hidden="false" customHeight="false" outlineLevel="0" collapsed="false">
      <c r="A63" s="2" t="s">
        <v>330</v>
      </c>
      <c r="B63" s="4" t="s">
        <v>331</v>
      </c>
      <c r="C63" s="2" t="s">
        <v>268</v>
      </c>
      <c r="D63" s="27" t="n">
        <v>192.3</v>
      </c>
      <c r="E63" s="27" t="n">
        <v>112.2</v>
      </c>
      <c r="F63" s="27" t="n">
        <v>32.1</v>
      </c>
      <c r="G63" s="24" t="s">
        <v>332</v>
      </c>
      <c r="H63" s="2" t="s">
        <v>300</v>
      </c>
    </row>
    <row r="64" customFormat="false" ht="15" hidden="false" customHeight="false" outlineLevel="0" collapsed="false">
      <c r="A64" s="2" t="s">
        <v>333</v>
      </c>
      <c r="B64" s="4" t="s">
        <v>334</v>
      </c>
      <c r="C64" s="2" t="s">
        <v>268</v>
      </c>
      <c r="D64" s="27" t="n">
        <v>177</v>
      </c>
      <c r="E64" s="27" t="n">
        <v>129</v>
      </c>
      <c r="F64" s="27" t="n">
        <v>99</v>
      </c>
      <c r="G64" s="24" t="s">
        <v>335</v>
      </c>
      <c r="H64" s="2" t="s">
        <v>164</v>
      </c>
    </row>
    <row r="65" customFormat="false" ht="15" hidden="false" customHeight="false" outlineLevel="0" collapsed="false">
      <c r="A65" s="28" t="s">
        <v>336</v>
      </c>
      <c r="B65" s="29" t="s">
        <v>337</v>
      </c>
      <c r="C65" s="28" t="s">
        <v>268</v>
      </c>
      <c r="D65" s="30" t="n">
        <v>0</v>
      </c>
      <c r="E65" s="30" t="n">
        <v>0</v>
      </c>
      <c r="F65" s="30" t="n">
        <v>0</v>
      </c>
      <c r="G65" s="31" t="s">
        <v>338</v>
      </c>
      <c r="H65" s="28" t="s">
        <v>329</v>
      </c>
    </row>
    <row r="66" customFormat="false" ht="15" hidden="false" customHeight="false" outlineLevel="0" collapsed="false">
      <c r="A66" s="2" t="s">
        <v>339</v>
      </c>
      <c r="B66" s="4" t="s">
        <v>340</v>
      </c>
      <c r="C66" s="2" t="s">
        <v>167</v>
      </c>
      <c r="D66" s="25" t="n">
        <v>0.05</v>
      </c>
      <c r="E66" s="25" t="n">
        <v>0.04</v>
      </c>
      <c r="F66" s="25" t="n">
        <v>0.04</v>
      </c>
      <c r="G66" s="24" t="s">
        <v>206</v>
      </c>
      <c r="H66" s="2" t="s">
        <v>173</v>
      </c>
    </row>
    <row r="67" customFormat="false" ht="22.35" hidden="false" customHeight="false" outlineLevel="0" collapsed="false">
      <c r="A67" s="2" t="s">
        <v>341</v>
      </c>
      <c r="B67" s="4" t="s">
        <v>342</v>
      </c>
      <c r="C67" s="2" t="s">
        <v>268</v>
      </c>
      <c r="D67" s="27" t="n">
        <v>500</v>
      </c>
      <c r="E67" s="27" t="n">
        <v>400</v>
      </c>
      <c r="F67" s="27" t="n">
        <v>400</v>
      </c>
      <c r="G67" s="24" t="s">
        <v>343</v>
      </c>
      <c r="H67" s="2" t="s">
        <v>173</v>
      </c>
    </row>
    <row r="68" customFormat="false" ht="15" hidden="false" customHeight="false" outlineLevel="0" collapsed="false">
      <c r="A68" s="2" t="s">
        <v>344</v>
      </c>
      <c r="B68" s="4" t="s">
        <v>345</v>
      </c>
      <c r="C68" s="2" t="s">
        <v>268</v>
      </c>
      <c r="D68" s="27" t="n">
        <v>150</v>
      </c>
      <c r="E68" s="27" t="n">
        <v>150</v>
      </c>
      <c r="F68" s="27" t="n">
        <v>150</v>
      </c>
      <c r="G68" s="24" t="s">
        <v>346</v>
      </c>
      <c r="H68" s="2" t="s">
        <v>173</v>
      </c>
    </row>
    <row r="69" customFormat="false" ht="15" hidden="false" customHeight="false" outlineLevel="0" collapsed="false">
      <c r="A69" s="2" t="s">
        <v>347</v>
      </c>
      <c r="B69" s="4" t="s">
        <v>348</v>
      </c>
      <c r="C69" s="2" t="s">
        <v>167</v>
      </c>
      <c r="D69" s="25" t="n">
        <v>0.08</v>
      </c>
      <c r="E69" s="25" t="n">
        <v>0.05</v>
      </c>
      <c r="F69" s="25" t="n">
        <v>0.05</v>
      </c>
      <c r="G69" s="24" t="s">
        <v>206</v>
      </c>
      <c r="H69" s="2" t="s">
        <v>173</v>
      </c>
    </row>
    <row r="70" customFormat="false" ht="15" hidden="false" customHeight="false" outlineLevel="0" collapsed="false">
      <c r="A70" s="21" t="s">
        <v>349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false" outlineLevel="0" collapsed="false">
      <c r="A71" s="2" t="s">
        <v>350</v>
      </c>
      <c r="B71" s="4" t="s">
        <v>351</v>
      </c>
      <c r="C71" s="2" t="s">
        <v>352</v>
      </c>
      <c r="D71" s="26" t="n">
        <v>390</v>
      </c>
      <c r="E71" s="26" t="n">
        <v>390</v>
      </c>
      <c r="F71" s="26" t="n">
        <v>390</v>
      </c>
      <c r="G71" s="24" t="s">
        <v>353</v>
      </c>
      <c r="H71" s="2" t="s">
        <v>182</v>
      </c>
    </row>
    <row r="72" customFormat="false" ht="22.35" hidden="false" customHeight="false" outlineLevel="0" collapsed="false">
      <c r="A72" s="2" t="s">
        <v>354</v>
      </c>
      <c r="B72" s="4" t="s">
        <v>355</v>
      </c>
      <c r="C72" s="2" t="s">
        <v>356</v>
      </c>
      <c r="D72" s="27" t="n">
        <v>128.2</v>
      </c>
      <c r="E72" s="27" t="n">
        <v>89.7</v>
      </c>
      <c r="F72" s="27" t="n">
        <v>51.3</v>
      </c>
      <c r="G72" s="24" t="s">
        <v>357</v>
      </c>
      <c r="H72" s="2" t="s">
        <v>300</v>
      </c>
    </row>
    <row r="73" customFormat="false" ht="15" hidden="false" customHeight="false" outlineLevel="0" collapsed="false">
      <c r="A73" s="2" t="s">
        <v>358</v>
      </c>
      <c r="B73" s="4" t="s">
        <v>359</v>
      </c>
      <c r="C73" s="2" t="s">
        <v>352</v>
      </c>
      <c r="D73" s="26" t="n">
        <v>60</v>
      </c>
      <c r="E73" s="26" t="n">
        <v>60</v>
      </c>
      <c r="F73" s="26" t="n">
        <v>60</v>
      </c>
      <c r="G73" s="24" t="s">
        <v>360</v>
      </c>
      <c r="H73" s="2" t="s">
        <v>182</v>
      </c>
    </row>
    <row r="74" customFormat="false" ht="15" hidden="false" customHeight="false" outlineLevel="0" collapsed="false">
      <c r="A74" s="2" t="s">
        <v>361</v>
      </c>
      <c r="B74" s="4" t="s">
        <v>362</v>
      </c>
      <c r="C74" s="2" t="s">
        <v>356</v>
      </c>
      <c r="D74" s="27" t="n">
        <v>0</v>
      </c>
      <c r="E74" s="27" t="n">
        <v>0</v>
      </c>
      <c r="F74" s="27" t="n">
        <v>0</v>
      </c>
      <c r="G74" s="24" t="s">
        <v>363</v>
      </c>
      <c r="H74" s="2" t="s">
        <v>364</v>
      </c>
    </row>
    <row r="75" customFormat="false" ht="15" hidden="false" customHeight="false" outlineLevel="0" collapsed="false">
      <c r="A75" s="2" t="s">
        <v>365</v>
      </c>
      <c r="B75" s="4" t="s">
        <v>366</v>
      </c>
      <c r="C75" s="2" t="s">
        <v>298</v>
      </c>
      <c r="D75" s="27" t="n">
        <v>0</v>
      </c>
      <c r="E75" s="27" t="n">
        <v>0</v>
      </c>
      <c r="F75" s="27" t="n">
        <v>0</v>
      </c>
      <c r="G75" s="24" t="s">
        <v>363</v>
      </c>
      <c r="H75" s="2" t="s">
        <v>364</v>
      </c>
    </row>
    <row r="76" customFormat="false" ht="15" hidden="false" customHeight="false" outlineLevel="0" collapsed="false">
      <c r="A76" s="2" t="s">
        <v>367</v>
      </c>
      <c r="B76" s="4" t="s">
        <v>368</v>
      </c>
      <c r="C76" s="2" t="s">
        <v>298</v>
      </c>
      <c r="D76" s="27" t="n">
        <v>0</v>
      </c>
      <c r="E76" s="27" t="n">
        <v>0</v>
      </c>
      <c r="F76" s="27" t="n">
        <v>0</v>
      </c>
      <c r="G76" s="24" t="s">
        <v>363</v>
      </c>
      <c r="H76" s="2" t="s">
        <v>364</v>
      </c>
    </row>
    <row r="77" customFormat="false" ht="15" hidden="false" customHeight="false" outlineLevel="0" collapsed="false">
      <c r="A77" s="2" t="s">
        <v>369</v>
      </c>
      <c r="B77" s="4" t="s">
        <v>370</v>
      </c>
      <c r="C77" s="2" t="s">
        <v>298</v>
      </c>
      <c r="D77" s="27" t="n">
        <v>0</v>
      </c>
      <c r="E77" s="27" t="n">
        <v>0</v>
      </c>
      <c r="F77" s="27" t="n">
        <v>0</v>
      </c>
      <c r="G77" s="24" t="s">
        <v>363</v>
      </c>
      <c r="H77" s="2" t="s">
        <v>364</v>
      </c>
    </row>
    <row r="78" customFormat="false" ht="15" hidden="false" customHeight="false" outlineLevel="0" collapsed="false">
      <c r="A78" s="2" t="s">
        <v>371</v>
      </c>
      <c r="B78" s="4" t="s">
        <v>372</v>
      </c>
      <c r="C78" s="2" t="s">
        <v>373</v>
      </c>
      <c r="D78" s="26" t="n">
        <v>8</v>
      </c>
      <c r="E78" s="26" t="n">
        <v>8</v>
      </c>
      <c r="F78" s="26" t="n">
        <v>8</v>
      </c>
      <c r="G78" s="24" t="s">
        <v>374</v>
      </c>
      <c r="H78" s="2" t="s">
        <v>173</v>
      </c>
    </row>
    <row r="79" customFormat="false" ht="22.35" hidden="false" customHeight="false" outlineLevel="0" collapsed="false">
      <c r="A79" s="2" t="s">
        <v>375</v>
      </c>
      <c r="B79" s="4" t="s">
        <v>376</v>
      </c>
      <c r="C79" s="2" t="s">
        <v>298</v>
      </c>
      <c r="D79" s="27" t="n">
        <v>1292.8</v>
      </c>
      <c r="E79" s="27" t="n">
        <v>981.9</v>
      </c>
      <c r="F79" s="27" t="n">
        <v>906.8</v>
      </c>
      <c r="G79" s="24" t="s">
        <v>377</v>
      </c>
      <c r="H79" s="2" t="s">
        <v>164</v>
      </c>
    </row>
    <row r="80" customFormat="false" ht="32.8" hidden="false" customHeight="false" outlineLevel="0" collapsed="false">
      <c r="A80" s="2" t="s">
        <v>378</v>
      </c>
      <c r="B80" s="4" t="s">
        <v>379</v>
      </c>
      <c r="C80" s="2" t="s">
        <v>298</v>
      </c>
      <c r="D80" s="27" t="n">
        <v>384.6</v>
      </c>
      <c r="E80" s="27" t="n">
        <v>173.1</v>
      </c>
      <c r="F80" s="27" t="n">
        <v>142</v>
      </c>
      <c r="G80" s="24" t="s">
        <v>380</v>
      </c>
      <c r="H80" s="2" t="s">
        <v>164</v>
      </c>
    </row>
    <row r="81" customFormat="false" ht="32.8" hidden="false" customHeight="false" outlineLevel="0" collapsed="false">
      <c r="A81" s="2" t="s">
        <v>381</v>
      </c>
      <c r="B81" s="4" t="s">
        <v>382</v>
      </c>
      <c r="C81" s="2" t="s">
        <v>298</v>
      </c>
      <c r="D81" s="27" t="n">
        <v>3982.6</v>
      </c>
      <c r="E81" s="27" t="n">
        <v>2876.5</v>
      </c>
      <c r="F81" s="27" t="n">
        <v>1434.3</v>
      </c>
      <c r="G81" s="24" t="s">
        <v>380</v>
      </c>
      <c r="H81" s="2" t="s">
        <v>300</v>
      </c>
    </row>
    <row r="82" customFormat="false" ht="15" hidden="false" customHeight="false" outlineLevel="0" collapsed="false">
      <c r="A82" s="2" t="s">
        <v>383</v>
      </c>
      <c r="B82" s="4" t="s">
        <v>384</v>
      </c>
      <c r="C82" s="2" t="s">
        <v>385</v>
      </c>
      <c r="D82" s="26" t="n">
        <v>2</v>
      </c>
      <c r="E82" s="26" t="n">
        <v>3</v>
      </c>
      <c r="F82" s="26" t="n">
        <v>3</v>
      </c>
      <c r="G82" s="24" t="s">
        <v>206</v>
      </c>
      <c r="H82" s="2" t="s">
        <v>173</v>
      </c>
    </row>
    <row r="83" customFormat="false" ht="22.35" hidden="false" customHeight="false" outlineLevel="0" collapsed="false">
      <c r="A83" s="2" t="s">
        <v>386</v>
      </c>
      <c r="B83" s="4" t="s">
        <v>387</v>
      </c>
      <c r="C83" s="2" t="s">
        <v>298</v>
      </c>
      <c r="D83" s="27" t="n">
        <v>2500</v>
      </c>
      <c r="E83" s="27" t="n">
        <v>2000</v>
      </c>
      <c r="F83" s="27" t="n">
        <v>1500</v>
      </c>
      <c r="G83" s="24" t="s">
        <v>388</v>
      </c>
      <c r="H83" s="2" t="s">
        <v>389</v>
      </c>
    </row>
    <row r="84" customFormat="false" ht="22.35" hidden="false" customHeight="false" outlineLevel="0" collapsed="false">
      <c r="A84" s="2" t="s">
        <v>390</v>
      </c>
      <c r="B84" s="4" t="s">
        <v>391</v>
      </c>
      <c r="C84" s="2" t="s">
        <v>298</v>
      </c>
      <c r="D84" s="27" t="n">
        <v>3509.3</v>
      </c>
      <c r="E84" s="27" t="n">
        <v>2145.7</v>
      </c>
      <c r="F84" s="27" t="n">
        <v>2120.7</v>
      </c>
      <c r="G84" s="24" t="s">
        <v>392</v>
      </c>
      <c r="H84" s="2" t="s">
        <v>164</v>
      </c>
    </row>
    <row r="85" customFormat="false" ht="22.35" hidden="false" customHeight="false" outlineLevel="0" collapsed="false">
      <c r="A85" s="2" t="s">
        <v>393</v>
      </c>
      <c r="B85" s="4" t="s">
        <v>394</v>
      </c>
      <c r="C85" s="2" t="s">
        <v>298</v>
      </c>
      <c r="D85" s="27" t="n">
        <v>2735.4</v>
      </c>
      <c r="E85" s="27" t="n">
        <v>1701.5</v>
      </c>
      <c r="F85" s="27" t="n">
        <v>1166.9</v>
      </c>
      <c r="G85" s="24" t="s">
        <v>395</v>
      </c>
      <c r="H85" s="2" t="s">
        <v>164</v>
      </c>
    </row>
    <row r="86" customFormat="false" ht="15" hidden="false" customHeight="false" outlineLevel="0" collapsed="false">
      <c r="A86" s="2" t="s">
        <v>396</v>
      </c>
      <c r="B86" s="4" t="s">
        <v>397</v>
      </c>
      <c r="C86" s="2" t="s">
        <v>167</v>
      </c>
      <c r="D86" s="25" t="n">
        <v>0</v>
      </c>
      <c r="E86" s="25" t="n">
        <v>0</v>
      </c>
      <c r="F86" s="25" t="n">
        <v>0</v>
      </c>
      <c r="G86" s="24" t="s">
        <v>363</v>
      </c>
      <c r="H86" s="2" t="s">
        <v>364</v>
      </c>
    </row>
    <row r="87" customFormat="false" ht="32.8" hidden="false" customHeight="false" outlineLevel="0" collapsed="false">
      <c r="A87" s="2" t="s">
        <v>398</v>
      </c>
      <c r="B87" s="4" t="s">
        <v>399</v>
      </c>
      <c r="C87" s="2" t="s">
        <v>298</v>
      </c>
      <c r="D87" s="27" t="n">
        <v>1987.2</v>
      </c>
      <c r="E87" s="27" t="n">
        <v>1403.8</v>
      </c>
      <c r="F87" s="27" t="n">
        <v>726</v>
      </c>
      <c r="G87" s="24" t="s">
        <v>400</v>
      </c>
      <c r="H87" s="2" t="s">
        <v>300</v>
      </c>
    </row>
    <row r="88" customFormat="false" ht="15" hidden="false" customHeight="false" outlineLevel="0" collapsed="false">
      <c r="A88" s="2" t="s">
        <v>401</v>
      </c>
      <c r="B88" s="4" t="s">
        <v>402</v>
      </c>
      <c r="C88" s="2" t="s">
        <v>298</v>
      </c>
      <c r="D88" s="27" t="n">
        <v>2000</v>
      </c>
      <c r="E88" s="27" t="n">
        <v>2000</v>
      </c>
      <c r="F88" s="27" t="n">
        <v>2000</v>
      </c>
      <c r="G88" s="24" t="s">
        <v>206</v>
      </c>
      <c r="H88" s="2" t="s">
        <v>173</v>
      </c>
    </row>
    <row r="89" customFormat="false" ht="15" hidden="false" customHeight="false" outlineLevel="0" collapsed="false">
      <c r="A89" s="2" t="s">
        <v>403</v>
      </c>
      <c r="B89" s="4" t="s">
        <v>404</v>
      </c>
      <c r="C89" s="2" t="s">
        <v>167</v>
      </c>
      <c r="D89" s="25" t="n">
        <v>0.15</v>
      </c>
      <c r="E89" s="25" t="n">
        <v>0.12</v>
      </c>
      <c r="F89" s="25" t="n">
        <v>0.1</v>
      </c>
      <c r="G89" s="24" t="s">
        <v>405</v>
      </c>
      <c r="H89" s="2" t="s">
        <v>173</v>
      </c>
    </row>
    <row r="90" customFormat="false" ht="15" hidden="false" customHeight="false" outlineLevel="0" collapsed="false">
      <c r="A90" s="21" t="s">
        <v>406</v>
      </c>
      <c r="B90" s="22"/>
      <c r="C90" s="22"/>
      <c r="D90" s="22"/>
      <c r="E90" s="22"/>
      <c r="F90" s="22"/>
      <c r="G90" s="22"/>
      <c r="H90" s="22"/>
    </row>
    <row r="91" customFormat="false" ht="15" hidden="false" customHeight="false" outlineLevel="0" collapsed="false">
      <c r="A91" s="2" t="s">
        <v>407</v>
      </c>
      <c r="B91" s="4" t="s">
        <v>408</v>
      </c>
      <c r="C91" s="2" t="s">
        <v>268</v>
      </c>
      <c r="D91" s="27" t="n">
        <v>0</v>
      </c>
      <c r="E91" s="27" t="n">
        <v>0</v>
      </c>
      <c r="F91" s="27" t="n">
        <v>0</v>
      </c>
      <c r="G91" s="24" t="s">
        <v>409</v>
      </c>
      <c r="H91" s="2" t="s">
        <v>410</v>
      </c>
    </row>
    <row r="92" customFormat="false" ht="15" hidden="false" customHeight="false" outlineLevel="0" collapsed="false">
      <c r="A92" s="2" t="s">
        <v>411</v>
      </c>
      <c r="B92" s="4" t="s">
        <v>412</v>
      </c>
      <c r="C92" s="2" t="s">
        <v>167</v>
      </c>
      <c r="D92" s="25" t="n">
        <v>0.12</v>
      </c>
      <c r="E92" s="25" t="n">
        <v>0.12</v>
      </c>
      <c r="F92" s="25" t="n">
        <v>0.12</v>
      </c>
      <c r="G92" s="24" t="s">
        <v>413</v>
      </c>
      <c r="H92" s="2" t="s">
        <v>414</v>
      </c>
    </row>
    <row r="93" customFormat="false" ht="15" hidden="false" customHeight="false" outlineLevel="0" collapsed="false">
      <c r="A93" s="2" t="s">
        <v>415</v>
      </c>
      <c r="B93" s="4" t="s">
        <v>416</v>
      </c>
      <c r="C93" s="2" t="s">
        <v>298</v>
      </c>
      <c r="D93" s="27" t="n">
        <v>0</v>
      </c>
      <c r="E93" s="27" t="n">
        <v>0</v>
      </c>
      <c r="F93" s="27" t="n">
        <v>0</v>
      </c>
      <c r="G93" s="24" t="s">
        <v>417</v>
      </c>
      <c r="H93" s="2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0"/>
    <col collapsed="false" customWidth="true" hidden="false" outlineLevel="0" max="3" min="3" style="0" width="2"/>
    <col collapsed="false" customWidth="true" hidden="false" outlineLevel="0" max="6" min="4" style="0" width="16"/>
  </cols>
  <sheetData>
    <row r="1" customFormat="false" ht="17.35" hidden="false" customHeight="false" outlineLevel="0" collapsed="false">
      <c r="A1" s="1" t="s">
        <v>418</v>
      </c>
    </row>
    <row r="2" customFormat="false" ht="15" hidden="false" customHeight="false" outlineLevel="0" collapsed="false">
      <c r="A2" s="2" t="s">
        <v>419</v>
      </c>
    </row>
    <row r="4" customFormat="false" ht="15" hidden="false" customHeight="false" outlineLevel="0" collapsed="false">
      <c r="A4" s="3" t="s">
        <v>420</v>
      </c>
      <c r="B4" s="3" t="s">
        <v>421</v>
      </c>
      <c r="C4" s="3"/>
      <c r="D4" s="3" t="s">
        <v>3</v>
      </c>
      <c r="E4" s="3" t="s">
        <v>4</v>
      </c>
      <c r="F4" s="3" t="s">
        <v>5</v>
      </c>
    </row>
    <row r="5" customFormat="false" ht="15" hidden="false" customHeight="false" outlineLevel="0" collapsed="false">
      <c r="A5" s="4" t="s">
        <v>422</v>
      </c>
      <c r="B5" s="2" t="s">
        <v>423</v>
      </c>
      <c r="D5" s="32" t="n">
        <f aca="false">Supuestos!$D$71*Supuestos!$D$72</f>
        <v>49998</v>
      </c>
      <c r="E5" s="32" t="n">
        <f aca="false">Supuestos!$E$71*Supuestos!$E$72</f>
        <v>34983</v>
      </c>
      <c r="F5" s="32" t="n">
        <f aca="false">Supuestos!$F$71*Supuestos!$F$72</f>
        <v>20007</v>
      </c>
    </row>
    <row r="6" customFormat="false" ht="15" hidden="false" customHeight="false" outlineLevel="0" collapsed="false">
      <c r="A6" s="4" t="s">
        <v>424</v>
      </c>
      <c r="B6" s="2" t="s">
        <v>425</v>
      </c>
      <c r="D6" s="32" t="n">
        <f aca="false">Supuestos!$D$73*Supuestos!$D$74</f>
        <v>0</v>
      </c>
      <c r="E6" s="32" t="n">
        <f aca="false">Supuestos!$E$73*Supuestos!$E$74</f>
        <v>0</v>
      </c>
      <c r="F6" s="32" t="n">
        <f aca="false">Supuestos!$F$73*Supuestos!$F$74</f>
        <v>0</v>
      </c>
    </row>
    <row r="7" customFormat="false" ht="15" hidden="false" customHeight="false" outlineLevel="0" collapsed="false">
      <c r="A7" s="4" t="s">
        <v>366</v>
      </c>
      <c r="B7" s="2" t="s">
        <v>426</v>
      </c>
      <c r="D7" s="32" t="n">
        <f aca="false">Supuestos!$D$75</f>
        <v>0</v>
      </c>
      <c r="E7" s="32" t="n">
        <f aca="false">Supuestos!$E$75</f>
        <v>0</v>
      </c>
      <c r="F7" s="32" t="n">
        <f aca="false">Supuestos!$F$75</f>
        <v>0</v>
      </c>
    </row>
    <row r="8" customFormat="false" ht="15" hidden="false" customHeight="false" outlineLevel="0" collapsed="false">
      <c r="A8" s="4" t="s">
        <v>368</v>
      </c>
      <c r="B8" s="2" t="s">
        <v>426</v>
      </c>
      <c r="D8" s="32" t="n">
        <f aca="false">Supuestos!$D$76</f>
        <v>0</v>
      </c>
      <c r="E8" s="32" t="n">
        <f aca="false">Supuestos!$E$76</f>
        <v>0</v>
      </c>
      <c r="F8" s="32" t="n">
        <f aca="false">Supuestos!$F$76</f>
        <v>0</v>
      </c>
    </row>
    <row r="9" customFormat="false" ht="15" hidden="false" customHeight="false" outlineLevel="0" collapsed="false">
      <c r="A9" s="4" t="s">
        <v>370</v>
      </c>
      <c r="B9" s="2" t="s">
        <v>426</v>
      </c>
      <c r="D9" s="32" t="n">
        <f aca="false">Supuestos!$D$77</f>
        <v>0</v>
      </c>
      <c r="E9" s="32" t="n">
        <f aca="false">Supuestos!$E$77</f>
        <v>0</v>
      </c>
      <c r="F9" s="32" t="n">
        <f aca="false">Supuestos!$F$77</f>
        <v>0</v>
      </c>
    </row>
    <row r="10" customFormat="false" ht="15" hidden="false" customHeight="false" outlineLevel="0" collapsed="false">
      <c r="A10" s="4" t="s">
        <v>427</v>
      </c>
      <c r="B10" s="2" t="s">
        <v>428</v>
      </c>
      <c r="D10" s="32" t="n">
        <f aca="false">Supuestos!$D$78*Supuestos!$D$79</f>
        <v>10342.4</v>
      </c>
      <c r="E10" s="32" t="n">
        <f aca="false">Supuestos!$E$78*Supuestos!$E$79</f>
        <v>7855.2</v>
      </c>
      <c r="F10" s="32" t="n">
        <f aca="false">Supuestos!$F$78*Supuestos!$F$79</f>
        <v>7254.4</v>
      </c>
    </row>
    <row r="11" customFormat="false" ht="15" hidden="false" customHeight="false" outlineLevel="0" collapsed="false">
      <c r="A11" s="4" t="s">
        <v>429</v>
      </c>
      <c r="B11" s="2" t="s">
        <v>430</v>
      </c>
      <c r="D11" s="32" t="n">
        <f aca="false">(Supuestos!$D$12+Supuestos!$D$13+Supuestos!$D$14*Supuestos!$D$15)*Supuestos!$D$80</f>
        <v>15384</v>
      </c>
      <c r="E11" s="32" t="n">
        <f aca="false">(Supuestos!$E$12+Supuestos!$E$13+Supuestos!$E$14*Supuestos!$E$15)*Supuestos!$E$80</f>
        <v>8308.8</v>
      </c>
      <c r="F11" s="32" t="n">
        <f aca="false">(Supuestos!$F$12+Supuestos!$F$13+Supuestos!$F$14*Supuestos!$F$15)*Supuestos!$F$80</f>
        <v>8378</v>
      </c>
    </row>
    <row r="12" customFormat="false" ht="15" hidden="false" customHeight="false" outlineLevel="0" collapsed="false">
      <c r="A12" s="4" t="s">
        <v>382</v>
      </c>
      <c r="B12" s="2" t="s">
        <v>426</v>
      </c>
      <c r="D12" s="32" t="n">
        <f aca="false">Supuestos!$D$81</f>
        <v>3982.6</v>
      </c>
      <c r="E12" s="32" t="n">
        <f aca="false">Supuestos!$E$81</f>
        <v>2876.5</v>
      </c>
      <c r="F12" s="32" t="n">
        <f aca="false">Supuestos!$F$81</f>
        <v>1434.3</v>
      </c>
    </row>
    <row r="13" customFormat="false" ht="15" hidden="false" customHeight="false" outlineLevel="0" collapsed="false">
      <c r="A13" s="4" t="s">
        <v>384</v>
      </c>
      <c r="B13" s="2" t="s">
        <v>431</v>
      </c>
      <c r="D13" s="32" t="n">
        <f aca="false">Supuestos!$D$82*Supuestos!$D$83</f>
        <v>5000</v>
      </c>
      <c r="E13" s="32" t="n">
        <f aca="false">Supuestos!$E$82*Supuestos!$E$83</f>
        <v>6000</v>
      </c>
      <c r="F13" s="32" t="n">
        <f aca="false">Supuestos!$F$82*Supuestos!$F$83</f>
        <v>4500</v>
      </c>
    </row>
    <row r="14" customFormat="false" ht="15" hidden="false" customHeight="false" outlineLevel="0" collapsed="false">
      <c r="A14" s="4" t="s">
        <v>432</v>
      </c>
      <c r="B14" s="2" t="s">
        <v>426</v>
      </c>
      <c r="D14" s="32" t="n">
        <f aca="false">Supuestos!$D$84</f>
        <v>3509.3</v>
      </c>
      <c r="E14" s="32" t="n">
        <f aca="false">Supuestos!$E$84</f>
        <v>2145.7</v>
      </c>
      <c r="F14" s="32" t="n">
        <f aca="false">Supuestos!$F$84</f>
        <v>2120.7</v>
      </c>
    </row>
    <row r="15" customFormat="false" ht="15" hidden="false" customHeight="false" outlineLevel="0" collapsed="false">
      <c r="A15" s="4" t="s">
        <v>433</v>
      </c>
      <c r="B15" s="2" t="s">
        <v>426</v>
      </c>
      <c r="D15" s="32" t="n">
        <f aca="false">Supuestos!$D$85</f>
        <v>2735.4</v>
      </c>
      <c r="E15" s="32" t="n">
        <f aca="false">Supuestos!$E$85</f>
        <v>1701.5</v>
      </c>
      <c r="F15" s="32" t="n">
        <f aca="false">Supuestos!$F$85</f>
        <v>1166.9</v>
      </c>
    </row>
    <row r="16" customFormat="false" ht="15" hidden="false" customHeight="false" outlineLevel="0" collapsed="false">
      <c r="A16" s="13" t="s">
        <v>434</v>
      </c>
      <c r="D16" s="8" t="n">
        <f aca="false">SUM(D5:D15)</f>
        <v>90951.7</v>
      </c>
      <c r="E16" s="8" t="n">
        <f aca="false">SUM(E5:E15)</f>
        <v>63870.7</v>
      </c>
      <c r="F16" s="8" t="n">
        <f aca="false">SUM(F5:F15)</f>
        <v>44861.3</v>
      </c>
    </row>
    <row r="17" customFormat="false" ht="15" hidden="false" customHeight="false" outlineLevel="0" collapsed="false">
      <c r="A17" s="4" t="s">
        <v>435</v>
      </c>
      <c r="B17" s="2" t="s">
        <v>436</v>
      </c>
      <c r="D17" s="32" t="n">
        <f aca="false">SUM(D5:D9)*Supuestos!$D$86</f>
        <v>0</v>
      </c>
      <c r="E17" s="32" t="n">
        <f aca="false">SUM(E5:E9)*Supuestos!$E$86</f>
        <v>0</v>
      </c>
      <c r="F17" s="32" t="n">
        <f aca="false">SUM(F5:F9)*Supuestos!$F$86</f>
        <v>0</v>
      </c>
    </row>
    <row r="18" customFormat="false" ht="15" hidden="false" customHeight="false" outlineLevel="0" collapsed="false">
      <c r="A18" s="4" t="s">
        <v>399</v>
      </c>
      <c r="B18" s="2" t="s">
        <v>426</v>
      </c>
      <c r="D18" s="32" t="n">
        <f aca="false">Supuestos!$D$87</f>
        <v>1987.2</v>
      </c>
      <c r="E18" s="32" t="n">
        <f aca="false">Supuestos!$E$87</f>
        <v>1403.8</v>
      </c>
      <c r="F18" s="32" t="n">
        <f aca="false">Supuestos!$F$87</f>
        <v>726</v>
      </c>
    </row>
    <row r="19" customFormat="false" ht="15" hidden="false" customHeight="false" outlineLevel="0" collapsed="false">
      <c r="A19" s="4" t="s">
        <v>402</v>
      </c>
      <c r="B19" s="2" t="s">
        <v>426</v>
      </c>
      <c r="D19" s="32" t="n">
        <f aca="false">Supuestos!$D$88</f>
        <v>2000</v>
      </c>
      <c r="E19" s="32" t="n">
        <f aca="false">Supuestos!$E$88</f>
        <v>2000</v>
      </c>
      <c r="F19" s="32" t="n">
        <f aca="false">Supuestos!$F$88</f>
        <v>2000</v>
      </c>
    </row>
    <row r="20" customFormat="false" ht="15" hidden="false" customHeight="false" outlineLevel="0" collapsed="false">
      <c r="A20" s="4" t="s">
        <v>404</v>
      </c>
      <c r="B20" s="2" t="s">
        <v>437</v>
      </c>
      <c r="D20" s="32" t="n">
        <f aca="false">SUM(D16:D19)*Supuestos!$D$89</f>
        <v>14240.835</v>
      </c>
      <c r="E20" s="32" t="n">
        <f aca="false">SUM(E16:E19)*Supuestos!$E$89</f>
        <v>8072.94</v>
      </c>
      <c r="F20" s="32" t="n">
        <f aca="false">SUM(F16:F19)*Supuestos!$F$89</f>
        <v>4758.73</v>
      </c>
    </row>
    <row r="21" customFormat="false" ht="15" hidden="false" customHeight="false" outlineLevel="0" collapsed="false">
      <c r="A21" s="13" t="s">
        <v>438</v>
      </c>
      <c r="D21" s="33" t="n">
        <f aca="false">SUM(D16:D20)</f>
        <v>109179.735</v>
      </c>
      <c r="E21" s="33" t="n">
        <f aca="false">SUM(E16:E20)</f>
        <v>75347.44</v>
      </c>
      <c r="F21" s="33" t="n">
        <f aca="false">SUM(F16:F20)</f>
        <v>52346.03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439</v>
      </c>
    </row>
    <row r="2" customFormat="false" ht="15" hidden="false" customHeight="false" outlineLevel="0" collapsed="false">
      <c r="A2" s="2" t="s">
        <v>440</v>
      </c>
    </row>
    <row r="4" customFormat="false" ht="15" hidden="false" customHeight="false" outlineLevel="0" collapsed="false">
      <c r="A4" s="3" t="s">
        <v>75</v>
      </c>
      <c r="B4" s="3" t="s">
        <v>3</v>
      </c>
      <c r="C4" s="3" t="s">
        <v>4</v>
      </c>
      <c r="D4" s="3" t="s">
        <v>5</v>
      </c>
      <c r="E4" s="3" t="s">
        <v>441</v>
      </c>
    </row>
    <row r="5" customFormat="false" ht="15" hidden="false" customHeight="false" outlineLevel="0" collapsed="false">
      <c r="A5" s="4" t="s">
        <v>442</v>
      </c>
      <c r="B5" s="34" t="n">
        <f aca="false">((Supuestos!$D$29*Supuestos!$D$25+Supuestos!$D$30*Supuestos!$D$26+Supuestos!$D$31*Supuestos!$D$27+Supuestos!$D$32*Supuestos!$D$28)*Supuestos!$D$37*(1-Supuestos!$D$38)/(1+Supuestos!$D$7*Supuestos!$D$8)/Supuestos!$D$6)</f>
        <v>40.8947870311507</v>
      </c>
      <c r="C5" s="34" t="n">
        <f aca="false">((Supuestos!$E$29*Supuestos!$E$25+Supuestos!$E$30*Supuestos!$E$26+Supuestos!$E$31*Supuestos!$E$27+Supuestos!$E$32*Supuestos!$E$28)*Supuestos!$E$37*(1-Supuestos!$E$38)/(1+Supuestos!$E$7*Supuestos!$E$8)/Supuestos!$E$6)</f>
        <v>46.9532739987286</v>
      </c>
      <c r="D5" s="34" t="n">
        <f aca="false">((Supuestos!$F$29*Supuestos!$F$25+Supuestos!$F$30*Supuestos!$F$26+Supuestos!$F$31*Supuestos!$F$27+Supuestos!$F$32*Supuestos!$F$28)*Supuestos!$F$37*(1-Supuestos!$F$38)/(1+Supuestos!$F$7*Supuestos!$F$8)/Supuestos!$F$6)</f>
        <v>50.3611729179911</v>
      </c>
      <c r="E5" s="2" t="s">
        <v>443</v>
      </c>
    </row>
    <row r="6" customFormat="false" ht="15" hidden="false" customHeight="false" outlineLevel="0" collapsed="false">
      <c r="A6" s="4" t="s">
        <v>444</v>
      </c>
      <c r="B6" s="35" t="n">
        <f aca="false">(Supuestos!$D$29*Supuestos!$D$21+Supuestos!$D$30*Supuestos!$D$22+Supuestos!$D$31*Supuestos!$D$23+Supuestos!$D$32*Supuestos!$D$24)</f>
        <v>9.8</v>
      </c>
      <c r="C6" s="35" t="n">
        <f aca="false">(Supuestos!$E$29*Supuestos!$E$21+Supuestos!$E$30*Supuestos!$E$22+Supuestos!$E$31*Supuestos!$E$23+Supuestos!$E$32*Supuestos!$E$24)</f>
        <v>9.8</v>
      </c>
      <c r="D6" s="35" t="n">
        <f aca="false">(Supuestos!$F$29*Supuestos!$F$21+Supuestos!$F$30*Supuestos!$F$22+Supuestos!$F$31*Supuestos!$F$23+Supuestos!$F$32*Supuestos!$F$24)</f>
        <v>9.8</v>
      </c>
      <c r="E6" s="2" t="s">
        <v>445</v>
      </c>
    </row>
    <row r="7" customFormat="false" ht="15" hidden="false" customHeight="false" outlineLevel="0" collapsed="false">
      <c r="A7" s="4" t="s">
        <v>446</v>
      </c>
      <c r="B7" s="34" t="n">
        <f aca="false">(Supuestos!$D$29*Supuestos!$D$21+Supuestos!$D$30*Supuestos!$D$22+Supuestos!$D$31*Supuestos!$D$23+Supuestos!$D$32*Supuestos!$D$24)*Supuestos!$D$17*Supuestos!$D$53+((Supuestos!$D$29*Supuestos!$D$25+Supuestos!$D$30*Supuestos!$D$26+Supuestos!$D$31*Supuestos!$D$27+Supuestos!$D$32*Supuestos!$D$28)*Supuestos!$D$37*(1-Supuestos!$D$38)/(1+Supuestos!$D$7*Supuestos!$D$8)/Supuestos!$D$6)*((1+Supuestos!$D$7*Supuestos!$D$8)*(Supuestos!$D$54+Supuestos!$D$56)+Supuestos!$D$55)</f>
        <v>15.9135930054037</v>
      </c>
      <c r="C7" s="34" t="n">
        <f aca="false">(Supuestos!$E$29*Supuestos!$E$21+Supuestos!$E$30*Supuestos!$E$22+Supuestos!$E$31*Supuestos!$E$23+Supuestos!$E$32*Supuestos!$E$24)*Supuestos!$E$17*Supuestos!$E$53+((Supuestos!$E$29*Supuestos!$E$25+Supuestos!$E$30*Supuestos!$E$26+Supuestos!$E$31*Supuestos!$E$27+Supuestos!$E$32*Supuestos!$E$28)*Supuestos!$E$37*(1-Supuestos!$E$38)/(1+Supuestos!$E$7*Supuestos!$E$8)/Supuestos!$E$6)*((1+Supuestos!$E$7*Supuestos!$E$8)*(Supuestos!$E$54+Supuestos!$E$56)+Supuestos!$E$55)</f>
        <v>10.4008241815003</v>
      </c>
      <c r="D7" s="34" t="n">
        <f aca="false">(Supuestos!$F$29*Supuestos!$F$21+Supuestos!$F$30*Supuestos!$F$22+Supuestos!$F$31*Supuestos!$F$23+Supuestos!$F$32*Supuestos!$F$24)*Supuestos!$F$17*Supuestos!$F$53+((Supuestos!$F$29*Supuestos!$F$25+Supuestos!$F$30*Supuestos!$F$26+Supuestos!$F$31*Supuestos!$F$27+Supuestos!$F$32*Supuestos!$F$28)*Supuestos!$F$37*(1-Supuestos!$F$38)/(1+Supuestos!$F$7*Supuestos!$F$8)/Supuestos!$F$6)*((1+Supuestos!$F$7*Supuestos!$F$8)*(Supuestos!$F$54+Supuestos!$F$56)+Supuestos!$F$55)</f>
        <v>5.62120153369358</v>
      </c>
      <c r="E7" s="2" t="s">
        <v>447</v>
      </c>
    </row>
    <row r="8" customFormat="false" ht="15" hidden="false" customHeight="false" outlineLevel="0" collapsed="false">
      <c r="A8" s="4" t="s">
        <v>448</v>
      </c>
      <c r="B8" s="34" t="n">
        <f aca="false">B5-B7</f>
        <v>24.981194025747</v>
      </c>
      <c r="C8" s="34" t="n">
        <f aca="false">C5-C7</f>
        <v>36.5524498172282</v>
      </c>
      <c r="D8" s="34" t="n">
        <f aca="false">D5-D7</f>
        <v>44.7399713842975</v>
      </c>
      <c r="E8" s="2" t="s">
        <v>449</v>
      </c>
    </row>
    <row r="9" customFormat="false" ht="15" hidden="false" customHeight="false" outlineLevel="0" collapsed="false">
      <c r="A9" s="4" t="s">
        <v>450</v>
      </c>
      <c r="B9" s="32" t="n">
        <f aca="false">Modelo_Conservador!AM40</f>
        <v>3725.3688075</v>
      </c>
      <c r="C9" s="32" t="n">
        <f aca="false">Modelo_Base!AM40</f>
        <v>2737.30604</v>
      </c>
      <c r="D9" s="32" t="n">
        <f aca="false">Modelo_Favorable!AM40</f>
        <v>2357.026105</v>
      </c>
      <c r="E9" s="2"/>
    </row>
    <row r="10" customFormat="false" ht="15" hidden="false" customHeight="false" outlineLevel="0" collapsed="false">
      <c r="A10" s="4" t="s">
        <v>451</v>
      </c>
      <c r="B10" s="32" t="n">
        <f aca="false">Modelo_Conservador!AM28-Modelo_Conservador!AM7*B8</f>
        <v>436.393020089002</v>
      </c>
      <c r="C10" s="32" t="n">
        <f aca="false">Modelo_Base!AM28-Modelo_Base!AM7*C8</f>
        <v>951.006822367026</v>
      </c>
      <c r="D10" s="32" t="n">
        <f aca="false">Modelo_Favorable!AM28-Modelo_Favorable!AM7*D8</f>
        <v>1723.98651652893</v>
      </c>
      <c r="E10" s="2" t="s">
        <v>452</v>
      </c>
    </row>
    <row r="11" customFormat="false" ht="15" hidden="false" customHeight="false" outlineLevel="0" collapsed="false">
      <c r="A11" s="13" t="s">
        <v>453</v>
      </c>
      <c r="B11" s="36" t="n">
        <f aca="false">MAX(0,(B9-B10)/B8)</f>
        <v>131.658069827295</v>
      </c>
      <c r="C11" s="36" t="n">
        <f aca="false">MAX(0,(C9-C10)/C8)</f>
        <v>48.8694800639885</v>
      </c>
      <c r="D11" s="36" t="n">
        <f aca="false">MAX(0,(D9-D10)/D8)</f>
        <v>14.1493069593972</v>
      </c>
      <c r="E11" s="2" t="s">
        <v>454</v>
      </c>
    </row>
    <row r="12" customFormat="false" ht="15" hidden="false" customHeight="false" outlineLevel="0" collapsed="false">
      <c r="A12" s="4" t="s">
        <v>455</v>
      </c>
      <c r="B12" s="35" t="n">
        <f aca="false">Modelo_Conservador!AM5</f>
        <v>56.0224089635854</v>
      </c>
      <c r="C12" s="35" t="n">
        <f aca="false">Modelo_Base!AM5</f>
        <v>74.1758241758242</v>
      </c>
      <c r="D12" s="35" t="n">
        <f aca="false">Modelo_Favorable!AM5</f>
        <v>96</v>
      </c>
      <c r="E12" s="2"/>
    </row>
    <row r="13" customFormat="false" ht="15" hidden="false" customHeight="false" outlineLevel="0" collapsed="false">
      <c r="A13" s="4" t="s">
        <v>456</v>
      </c>
      <c r="B13" s="37" t="n">
        <f aca="false">B11/B12</f>
        <v>2.35009654641721</v>
      </c>
      <c r="C13" s="37" t="n">
        <f aca="false">C11/C12</f>
        <v>0.658832990492289</v>
      </c>
      <c r="D13" s="37" t="n">
        <f aca="false">D11/D12</f>
        <v>0.147388614160388</v>
      </c>
      <c r="E13" s="2" t="s">
        <v>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458</v>
      </c>
    </row>
    <row r="2" customFormat="false" ht="15" hidden="false" customHeight="false" outlineLevel="0" collapsed="false">
      <c r="A2" s="2" t="s">
        <v>459</v>
      </c>
    </row>
    <row r="4" customFormat="false" ht="15" hidden="false" customHeight="false" outlineLevel="0" collapsed="false">
      <c r="A4" s="13" t="s">
        <v>460</v>
      </c>
      <c r="B4" s="38" t="n">
        <v>-0.2</v>
      </c>
      <c r="C4" s="38" t="n">
        <v>-0.1</v>
      </c>
      <c r="D4" s="38" t="n">
        <v>0</v>
      </c>
      <c r="E4" s="38" t="n">
        <v>0.1</v>
      </c>
      <c r="F4" s="38" t="n">
        <v>0.2</v>
      </c>
    </row>
    <row r="5" customFormat="false" ht="15" hidden="false" customHeight="false" outlineLevel="0" collapsed="false">
      <c r="A5" s="39" t="n">
        <v>0.4</v>
      </c>
      <c r="B5" s="32" t="n">
        <f aca="false">$A5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-1146.5656853458</v>
      </c>
      <c r="C5" s="32" t="n">
        <f aca="false">$A5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-924.170833321714</v>
      </c>
      <c r="D5" s="32" t="n">
        <f aca="false">$A5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-701.775981297631</v>
      </c>
      <c r="E5" s="32" t="n">
        <f aca="false">$A5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-479.381129273547</v>
      </c>
      <c r="F5" s="32" t="n">
        <f aca="false">$A5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-256.986277249465</v>
      </c>
    </row>
    <row r="6" customFormat="false" ht="15" hidden="false" customHeight="false" outlineLevel="0" collapsed="false">
      <c r="A6" s="39" t="n">
        <v>0.5</v>
      </c>
      <c r="B6" s="32" t="n">
        <f aca="false">$A6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-939.081961155651</v>
      </c>
      <c r="C6" s="32" t="n">
        <f aca="false">$A6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-684.863566684723</v>
      </c>
      <c r="D6" s="32" t="n">
        <f aca="false">$A6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-430.645172213795</v>
      </c>
      <c r="E6" s="32" t="n">
        <f aca="false">$A6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-176.426777742866</v>
      </c>
      <c r="F6" s="32" t="n">
        <f aca="false">$A6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77.7916167280614</v>
      </c>
    </row>
    <row r="7" customFormat="false" ht="15" hidden="false" customHeight="false" outlineLevel="0" collapsed="false">
      <c r="A7" s="39" t="n">
        <v>0.6</v>
      </c>
      <c r="B7" s="32" t="n">
        <f aca="false">$A7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-731.598236965506</v>
      </c>
      <c r="C7" s="32" t="n">
        <f aca="false">$A7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-445.556300047732</v>
      </c>
      <c r="D7" s="32" t="n">
        <f aca="false">$A7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-159.514363129959</v>
      </c>
      <c r="E7" s="32" t="n">
        <f aca="false">$A7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126.527573787814</v>
      </c>
      <c r="F7" s="32" t="n">
        <f aca="false">$A7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412.569510705588</v>
      </c>
    </row>
    <row r="8" customFormat="false" ht="15" hidden="false" customHeight="false" outlineLevel="0" collapsed="false">
      <c r="A8" s="39" t="n">
        <v>0.7</v>
      </c>
      <c r="B8" s="32" t="n">
        <f aca="false">$A8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-524.11451277536</v>
      </c>
      <c r="C8" s="32" t="n">
        <f aca="false">$A8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-206.249033410742</v>
      </c>
      <c r="D8" s="32" t="n">
        <f aca="false">$A8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111.616445953876</v>
      </c>
      <c r="E8" s="32" t="n">
        <f aca="false">$A8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429.481925318496</v>
      </c>
      <c r="F8" s="32" t="n">
        <f aca="false">$A8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747.347404683113</v>
      </c>
    </row>
    <row r="9" customFormat="false" ht="15" hidden="false" customHeight="false" outlineLevel="0" collapsed="false">
      <c r="A9" s="39" t="n">
        <v>0.8</v>
      </c>
      <c r="B9" s="32" t="n">
        <f aca="false">$A9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-316.630788585215</v>
      </c>
      <c r="C9" s="32" t="n">
        <f aca="false">$A9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33.0582332262488</v>
      </c>
      <c r="D9" s="32" t="n">
        <f aca="false">$A9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382.747255037712</v>
      </c>
      <c r="E9" s="32" t="n">
        <f aca="false">$A9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732.436276849176</v>
      </c>
      <c r="F9" s="32" t="n">
        <f aca="false">$A9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1082.12529866064</v>
      </c>
    </row>
    <row r="10" customFormat="false" ht="15" hidden="false" customHeight="false" outlineLevel="0" collapsed="false">
      <c r="A10" s="39" t="n">
        <v>0.9</v>
      </c>
      <c r="B10" s="32" t="n">
        <f aca="false">$A10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-109.147064395069</v>
      </c>
      <c r="C10" s="32" t="n">
        <f aca="false">$A10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272.36549986324</v>
      </c>
      <c r="D10" s="32" t="n">
        <f aca="false">$A10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653.878064121548</v>
      </c>
      <c r="E10" s="32" t="n">
        <f aca="false">$A10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1035.39062837986</v>
      </c>
      <c r="F10" s="32" t="n">
        <f aca="false">$A10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1416.90319263817</v>
      </c>
    </row>
    <row r="11" customFormat="false" ht="15" hidden="false" customHeight="false" outlineLevel="0" collapsed="false">
      <c r="A11" s="39" t="n">
        <v>1</v>
      </c>
      <c r="B11" s="32" t="n">
        <f aca="false">$A11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98.3366597950762</v>
      </c>
      <c r="C11" s="32" t="n">
        <f aca="false">$A11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511.67276650023</v>
      </c>
      <c r="D11" s="32" t="n">
        <f aca="false">$A11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925.008873205384</v>
      </c>
      <c r="E11" s="32" t="n">
        <f aca="false">$A11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1338.34497991054</v>
      </c>
      <c r="F11" s="32" t="n">
        <f aca="false">$A11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1751.68108661569</v>
      </c>
    </row>
    <row r="13" customFormat="false" ht="15" hidden="false" customHeight="false" outlineLevel="0" collapsed="false">
      <c r="A13" s="2" t="s">
        <v>461</v>
      </c>
    </row>
    <row r="15" customFormat="false" ht="15" hidden="false" customHeight="false" outlineLevel="0" collapsed="false">
      <c r="A15" s="13" t="s">
        <v>462</v>
      </c>
    </row>
    <row r="16" customFormat="false" ht="15" hidden="false" customHeight="false" outlineLevel="0" collapsed="false">
      <c r="A16" s="40" t="s">
        <v>463</v>
      </c>
      <c r="B16" s="40" t="s">
        <v>464</v>
      </c>
      <c r="C16" s="40" t="s">
        <v>465</v>
      </c>
      <c r="D16" s="40" t="s">
        <v>466</v>
      </c>
    </row>
    <row r="17" customFormat="false" ht="15" hidden="false" customHeight="false" outlineLevel="0" collapsed="false">
      <c r="A17" s="4" t="s">
        <v>467</v>
      </c>
      <c r="B17" s="32" t="n">
        <f aca="false">Modelo_Base!AM7*Equilibrio!C8+Equilibrio!C10-Equilibrio!C9+Modelo_Base!AM7*Equilibrio!C5*(1-((1+Supuestos!$E$7*Supuestos!$E$8)*(Supuestos!$E$54+Supuestos!$E$56)+Supuestos!$E$55))*(-0.2)</f>
        <v>-883.995888402138</v>
      </c>
      <c r="C17" s="32" t="n">
        <f aca="false">Modelo_Base!AM7*Equilibrio!C8+Equilibrio!C10-Equilibrio!C9+Modelo_Base!AM7*Equilibrio!C5*(1-((1+Supuestos!$E$7*Supuestos!$E$8)*(Supuestos!$E$54+Supuestos!$E$56)+Supuestos!$E$55))*(0.2)</f>
        <v>-330.420162695727</v>
      </c>
      <c r="D17" s="32" t="n">
        <f aca="false">ABS(C17-B17)</f>
        <v>553.575725706411</v>
      </c>
    </row>
    <row r="18" customFormat="false" ht="15" hidden="false" customHeight="false" outlineLevel="0" collapsed="false">
      <c r="A18" s="4" t="s">
        <v>468</v>
      </c>
      <c r="B18" s="32" t="n">
        <f aca="false">Modelo_Base!AM7*0.8*Equilibrio!C8+Equilibrio!C10-Equilibrio!C9</f>
        <v>-843.02626396574</v>
      </c>
      <c r="C18" s="32" t="n">
        <f aca="false">MIN(Modelo_Base!AM7*1.2,Equilibrio!C12)*Equilibrio!C8+Equilibrio!C10-Equilibrio!C9</f>
        <v>-371.389787132124</v>
      </c>
      <c r="D18" s="32" t="n">
        <f aca="false">ABS(C18-B18)</f>
        <v>471.636476833616</v>
      </c>
    </row>
    <row r="19" customFormat="false" ht="15" hidden="false" customHeight="false" outlineLevel="0" collapsed="false">
      <c r="A19" s="4" t="s">
        <v>469</v>
      </c>
      <c r="B19" s="32" t="n">
        <f aca="false">Modelo_Base!AM7*Equilibrio!C8+Equilibrio!C10-Equilibrio!C9*0.8</f>
        <v>-59.7468175489325</v>
      </c>
      <c r="C19" s="32" t="n">
        <f aca="false">Modelo_Base!AM7*Equilibrio!C8+Equilibrio!C10-Equilibrio!C9*1.2</f>
        <v>-1154.66923354893</v>
      </c>
      <c r="D19" s="32" t="n">
        <f aca="false">ABS(C19-B19)</f>
        <v>1094.922416</v>
      </c>
    </row>
    <row r="20" customFormat="false" ht="15" hidden="false" customHeight="false" outlineLevel="0" collapsed="false">
      <c r="A20" s="4" t="s">
        <v>470</v>
      </c>
      <c r="B20" s="32" t="n">
        <f aca="false">Modelo_Base!AM7*Equilibrio!C8+Equilibrio!C10-Equilibrio!C9+Modelo_Base!AM30*0.2</f>
        <v>-386.248025548932</v>
      </c>
      <c r="C20" s="32" t="n">
        <f aca="false">Modelo_Base!AM7*Equilibrio!C8+Equilibrio!C10-Equilibrio!C9-Modelo_Base!AM30*0.2</f>
        <v>-828.168025548932</v>
      </c>
      <c r="D20" s="32" t="n">
        <f aca="false">ABS(C20-B20)</f>
        <v>441.92</v>
      </c>
    </row>
    <row r="22" customFormat="false" ht="15" hidden="false" customHeight="false" outlineLevel="0" collapsed="false">
      <c r="A22" s="2" t="s">
        <v>471</v>
      </c>
      <c r="B22" s="32" t="n">
        <f aca="false">Modelo_Base!AM42</f>
        <v>-607.208025548932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9" min="3" style="0" width="11"/>
  </cols>
  <sheetData>
    <row r="1" customFormat="false" ht="17.35" hidden="false" customHeight="false" outlineLevel="0" collapsed="false">
      <c r="A1" s="1" t="s">
        <v>472</v>
      </c>
    </row>
    <row r="2" customFormat="false" ht="15" hidden="false" customHeight="false" outlineLevel="0" collapsed="false">
      <c r="A2" s="2" t="s">
        <v>473</v>
      </c>
    </row>
    <row r="3" customFormat="false" ht="15" hidden="false" customHeight="false" outlineLevel="0" collapsed="false">
      <c r="B3" s="40" t="s">
        <v>474</v>
      </c>
      <c r="C3" s="41" t="n">
        <v>0</v>
      </c>
      <c r="D3" s="41" t="n">
        <v>1</v>
      </c>
      <c r="E3" s="41" t="n">
        <v>2</v>
      </c>
      <c r="F3" s="41" t="n">
        <v>3</v>
      </c>
      <c r="G3" s="41" t="n">
        <v>4</v>
      </c>
      <c r="H3" s="41" t="n">
        <v>5</v>
      </c>
      <c r="I3" s="41" t="n">
        <v>6</v>
      </c>
      <c r="J3" s="41" t="n">
        <v>7</v>
      </c>
      <c r="K3" s="41" t="n">
        <v>8</v>
      </c>
      <c r="L3" s="41" t="n">
        <v>9</v>
      </c>
      <c r="M3" s="41" t="n">
        <v>10</v>
      </c>
      <c r="N3" s="41" t="n">
        <v>11</v>
      </c>
      <c r="O3" s="41" t="n">
        <v>12</v>
      </c>
      <c r="P3" s="41" t="n">
        <v>13</v>
      </c>
      <c r="Q3" s="41" t="n">
        <v>14</v>
      </c>
      <c r="R3" s="41" t="n">
        <v>15</v>
      </c>
      <c r="S3" s="41" t="n">
        <v>16</v>
      </c>
      <c r="T3" s="41" t="n">
        <v>17</v>
      </c>
      <c r="U3" s="41" t="n">
        <v>18</v>
      </c>
      <c r="V3" s="41" t="n">
        <v>19</v>
      </c>
      <c r="W3" s="41" t="n">
        <v>20</v>
      </c>
      <c r="X3" s="41" t="n">
        <v>21</v>
      </c>
      <c r="Y3" s="41" t="n">
        <v>22</v>
      </c>
      <c r="Z3" s="41" t="n">
        <v>23</v>
      </c>
      <c r="AA3" s="41" t="n">
        <v>24</v>
      </c>
      <c r="AB3" s="41" t="n">
        <v>25</v>
      </c>
      <c r="AC3" s="41" t="n">
        <v>26</v>
      </c>
      <c r="AD3" s="41" t="n">
        <v>27</v>
      </c>
      <c r="AE3" s="41" t="n">
        <v>28</v>
      </c>
      <c r="AF3" s="41" t="n">
        <v>29</v>
      </c>
      <c r="AG3" s="41" t="n">
        <v>30</v>
      </c>
      <c r="AH3" s="41" t="n">
        <v>31</v>
      </c>
      <c r="AI3" s="41" t="n">
        <v>32</v>
      </c>
      <c r="AJ3" s="41" t="n">
        <v>33</v>
      </c>
      <c r="AK3" s="41" t="n">
        <v>34</v>
      </c>
      <c r="AL3" s="41" t="n">
        <v>35</v>
      </c>
      <c r="AM3" s="41" t="n">
        <v>36</v>
      </c>
    </row>
    <row r="4" customFormat="false" ht="15" hidden="false" customHeight="false" outlineLevel="0" collapsed="false">
      <c r="B4" s="21" t="s">
        <v>475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</row>
    <row r="5" customFormat="false" ht="15" hidden="false" customHeight="false" outlineLevel="0" collapsed="false">
      <c r="B5" s="4" t="s">
        <v>476</v>
      </c>
      <c r="D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E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F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G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H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I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J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K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L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M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N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O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P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Q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R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S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T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U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V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W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X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Y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Z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A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B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C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D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E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F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G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H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I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J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K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L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M5" s="35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</row>
    <row r="6" customFormat="false" ht="15" hidden="false" customHeight="false" outlineLevel="0" collapsed="false">
      <c r="B6" s="4" t="s">
        <v>477</v>
      </c>
      <c r="D6" s="35" t="n">
        <f aca="false">IF(D$3&lt;=6,Supuestos!$D$46,IF(D$3&lt;=12,Supuestos!$D$47,Supuestos!$D$48))</f>
        <v>2</v>
      </c>
      <c r="E6" s="35" t="n">
        <f aca="false">IF(E$3&lt;=6,Supuestos!$D$46,IF(E$3&lt;=12,Supuestos!$D$47,Supuestos!$D$48))</f>
        <v>2</v>
      </c>
      <c r="F6" s="35" t="n">
        <f aca="false">IF(F$3&lt;=6,Supuestos!$D$46,IF(F$3&lt;=12,Supuestos!$D$47,Supuestos!$D$48))</f>
        <v>2</v>
      </c>
      <c r="G6" s="35" t="n">
        <f aca="false">IF(G$3&lt;=6,Supuestos!$D$46,IF(G$3&lt;=12,Supuestos!$D$47,Supuestos!$D$48))</f>
        <v>2</v>
      </c>
      <c r="H6" s="35" t="n">
        <f aca="false">IF(H$3&lt;=6,Supuestos!$D$46,IF(H$3&lt;=12,Supuestos!$D$47,Supuestos!$D$48))</f>
        <v>2</v>
      </c>
      <c r="I6" s="35" t="n">
        <f aca="false">IF(I$3&lt;=6,Supuestos!$D$46,IF(I$3&lt;=12,Supuestos!$D$47,Supuestos!$D$48))</f>
        <v>2</v>
      </c>
      <c r="J6" s="35" t="n">
        <f aca="false">IF(J$3&lt;=6,Supuestos!$D$46,IF(J$3&lt;=12,Supuestos!$D$47,Supuestos!$D$48))</f>
        <v>2</v>
      </c>
      <c r="K6" s="35" t="n">
        <f aca="false">IF(K$3&lt;=6,Supuestos!$D$46,IF(K$3&lt;=12,Supuestos!$D$47,Supuestos!$D$48))</f>
        <v>2</v>
      </c>
      <c r="L6" s="35" t="n">
        <f aca="false">IF(L$3&lt;=6,Supuestos!$D$46,IF(L$3&lt;=12,Supuestos!$D$47,Supuestos!$D$48))</f>
        <v>2</v>
      </c>
      <c r="M6" s="35" t="n">
        <f aca="false">IF(M$3&lt;=6,Supuestos!$D$46,IF(M$3&lt;=12,Supuestos!$D$47,Supuestos!$D$48))</f>
        <v>2</v>
      </c>
      <c r="N6" s="35" t="n">
        <f aca="false">IF(N$3&lt;=6,Supuestos!$D$46,IF(N$3&lt;=12,Supuestos!$D$47,Supuestos!$D$48))</f>
        <v>2</v>
      </c>
      <c r="O6" s="35" t="n">
        <f aca="false">IF(O$3&lt;=6,Supuestos!$D$46,IF(O$3&lt;=12,Supuestos!$D$47,Supuestos!$D$48))</f>
        <v>2</v>
      </c>
      <c r="P6" s="35" t="n">
        <f aca="false">IF(P$3&lt;=6,Supuestos!$D$46,IF(P$3&lt;=12,Supuestos!$D$47,Supuestos!$D$48))</f>
        <v>1</v>
      </c>
      <c r="Q6" s="35" t="n">
        <f aca="false">IF(Q$3&lt;=6,Supuestos!$D$46,IF(Q$3&lt;=12,Supuestos!$D$47,Supuestos!$D$48))</f>
        <v>1</v>
      </c>
      <c r="R6" s="35" t="n">
        <f aca="false">IF(R$3&lt;=6,Supuestos!$D$46,IF(R$3&lt;=12,Supuestos!$D$47,Supuestos!$D$48))</f>
        <v>1</v>
      </c>
      <c r="S6" s="35" t="n">
        <f aca="false">IF(S$3&lt;=6,Supuestos!$D$46,IF(S$3&lt;=12,Supuestos!$D$47,Supuestos!$D$48))</f>
        <v>1</v>
      </c>
      <c r="T6" s="35" t="n">
        <f aca="false">IF(T$3&lt;=6,Supuestos!$D$46,IF(T$3&lt;=12,Supuestos!$D$47,Supuestos!$D$48))</f>
        <v>1</v>
      </c>
      <c r="U6" s="35" t="n">
        <f aca="false">IF(U$3&lt;=6,Supuestos!$D$46,IF(U$3&lt;=12,Supuestos!$D$47,Supuestos!$D$48))</f>
        <v>1</v>
      </c>
      <c r="V6" s="35" t="n">
        <f aca="false">IF(V$3&lt;=6,Supuestos!$D$46,IF(V$3&lt;=12,Supuestos!$D$47,Supuestos!$D$48))</f>
        <v>1</v>
      </c>
      <c r="W6" s="35" t="n">
        <f aca="false">IF(W$3&lt;=6,Supuestos!$D$46,IF(W$3&lt;=12,Supuestos!$D$47,Supuestos!$D$48))</f>
        <v>1</v>
      </c>
      <c r="X6" s="35" t="n">
        <f aca="false">IF(X$3&lt;=6,Supuestos!$D$46,IF(X$3&lt;=12,Supuestos!$D$47,Supuestos!$D$48))</f>
        <v>1</v>
      </c>
      <c r="Y6" s="35" t="n">
        <f aca="false">IF(Y$3&lt;=6,Supuestos!$D$46,IF(Y$3&lt;=12,Supuestos!$D$47,Supuestos!$D$48))</f>
        <v>1</v>
      </c>
      <c r="Z6" s="35" t="n">
        <f aca="false">IF(Z$3&lt;=6,Supuestos!$D$46,IF(Z$3&lt;=12,Supuestos!$D$47,Supuestos!$D$48))</f>
        <v>1</v>
      </c>
      <c r="AA6" s="35" t="n">
        <f aca="false">IF(AA$3&lt;=6,Supuestos!$D$46,IF(AA$3&lt;=12,Supuestos!$D$47,Supuestos!$D$48))</f>
        <v>1</v>
      </c>
      <c r="AB6" s="35" t="n">
        <f aca="false">IF(AB$3&lt;=6,Supuestos!$D$46,IF(AB$3&lt;=12,Supuestos!$D$47,Supuestos!$D$48))</f>
        <v>1</v>
      </c>
      <c r="AC6" s="35" t="n">
        <f aca="false">IF(AC$3&lt;=6,Supuestos!$D$46,IF(AC$3&lt;=12,Supuestos!$D$47,Supuestos!$D$48))</f>
        <v>1</v>
      </c>
      <c r="AD6" s="35" t="n">
        <f aca="false">IF(AD$3&lt;=6,Supuestos!$D$46,IF(AD$3&lt;=12,Supuestos!$D$47,Supuestos!$D$48))</f>
        <v>1</v>
      </c>
      <c r="AE6" s="35" t="n">
        <f aca="false">IF(AE$3&lt;=6,Supuestos!$D$46,IF(AE$3&lt;=12,Supuestos!$D$47,Supuestos!$D$48))</f>
        <v>1</v>
      </c>
      <c r="AF6" s="35" t="n">
        <f aca="false">IF(AF$3&lt;=6,Supuestos!$D$46,IF(AF$3&lt;=12,Supuestos!$D$47,Supuestos!$D$48))</f>
        <v>1</v>
      </c>
      <c r="AG6" s="35" t="n">
        <f aca="false">IF(AG$3&lt;=6,Supuestos!$D$46,IF(AG$3&lt;=12,Supuestos!$D$47,Supuestos!$D$48))</f>
        <v>1</v>
      </c>
      <c r="AH6" s="35" t="n">
        <f aca="false">IF(AH$3&lt;=6,Supuestos!$D$46,IF(AH$3&lt;=12,Supuestos!$D$47,Supuestos!$D$48))</f>
        <v>1</v>
      </c>
      <c r="AI6" s="35" t="n">
        <f aca="false">IF(AI$3&lt;=6,Supuestos!$D$46,IF(AI$3&lt;=12,Supuestos!$D$47,Supuestos!$D$48))</f>
        <v>1</v>
      </c>
      <c r="AJ6" s="35" t="n">
        <f aca="false">IF(AJ$3&lt;=6,Supuestos!$D$46,IF(AJ$3&lt;=12,Supuestos!$D$47,Supuestos!$D$48))</f>
        <v>1</v>
      </c>
      <c r="AK6" s="35" t="n">
        <f aca="false">IF(AK$3&lt;=6,Supuestos!$D$46,IF(AK$3&lt;=12,Supuestos!$D$47,Supuestos!$D$48))</f>
        <v>1</v>
      </c>
      <c r="AL6" s="35" t="n">
        <f aca="false">IF(AL$3&lt;=6,Supuestos!$D$46,IF(AL$3&lt;=12,Supuestos!$D$47,Supuestos!$D$48))</f>
        <v>1</v>
      </c>
      <c r="AM6" s="35" t="n">
        <f aca="false">IF(AM$3&lt;=6,Supuestos!$D$46,IF(AM$3&lt;=12,Supuestos!$D$47,Supuestos!$D$48))</f>
        <v>1</v>
      </c>
    </row>
    <row r="7" customFormat="false" ht="15" hidden="false" customHeight="false" outlineLevel="0" collapsed="false">
      <c r="B7" s="4" t="s">
        <v>478</v>
      </c>
      <c r="D7" s="35" t="n">
        <f aca="false">MIN(D5,Supuestos!$D$45*(1-Supuestos!$D$49)+D6)</f>
        <v>2</v>
      </c>
      <c r="E7" s="35" t="n">
        <f aca="false">MIN(E5,D7*(1-Supuestos!$D$49)+E6)</f>
        <v>3.84</v>
      </c>
      <c r="F7" s="35" t="n">
        <f aca="false">MIN(F5,E7*(1-Supuestos!$D$49)+F6)</f>
        <v>5.5328</v>
      </c>
      <c r="G7" s="35" t="n">
        <f aca="false">MIN(G5,F7*(1-Supuestos!$D$49)+G6)</f>
        <v>7.090176</v>
      </c>
      <c r="H7" s="35" t="n">
        <f aca="false">MIN(H5,G7*(1-Supuestos!$D$49)+H6)</f>
        <v>8.52296192</v>
      </c>
      <c r="I7" s="35" t="n">
        <f aca="false">MIN(I5,H7*(1-Supuestos!$D$49)+I6)</f>
        <v>9.8411249664</v>
      </c>
      <c r="J7" s="35" t="n">
        <f aca="false">MIN(J5,I7*(1-Supuestos!$D$49)+J6)</f>
        <v>11.053834969088</v>
      </c>
      <c r="K7" s="35" t="n">
        <f aca="false">MIN(K5,J7*(1-Supuestos!$D$49)+K6)</f>
        <v>12.169528171561</v>
      </c>
      <c r="L7" s="35" t="n">
        <f aca="false">MIN(L5,K7*(1-Supuestos!$D$49)+L6)</f>
        <v>13.1959659178361</v>
      </c>
      <c r="M7" s="35" t="n">
        <f aca="false">MIN(M5,L7*(1-Supuestos!$D$49)+M6)</f>
        <v>14.1402886444092</v>
      </c>
      <c r="N7" s="35" t="n">
        <f aca="false">MIN(N5,M7*(1-Supuestos!$D$49)+N6)</f>
        <v>15.0090655528565</v>
      </c>
      <c r="O7" s="35" t="n">
        <f aca="false">MIN(O5,N7*(1-Supuestos!$D$49)+O6)</f>
        <v>15.8083403086279</v>
      </c>
      <c r="P7" s="35" t="n">
        <f aca="false">MIN(P5,O7*(1-Supuestos!$D$49)+P6)</f>
        <v>15.5436730839377</v>
      </c>
      <c r="Q7" s="35" t="n">
        <f aca="false">MIN(Q5,P7*(1-Supuestos!$D$49)+Q6)</f>
        <v>15.3001792372227</v>
      </c>
      <c r="R7" s="35" t="n">
        <f aca="false">MIN(R5,Q7*(1-Supuestos!$D$49)+R6)</f>
        <v>15.0761648982449</v>
      </c>
      <c r="S7" s="35" t="n">
        <f aca="false">MIN(S5,R7*(1-Supuestos!$D$49)+S6)</f>
        <v>14.8700717063853</v>
      </c>
      <c r="T7" s="35" t="n">
        <f aca="false">MIN(T5,S7*(1-Supuestos!$D$49)+T6)</f>
        <v>14.6804659698745</v>
      </c>
      <c r="U7" s="35" t="n">
        <f aca="false">MIN(U5,T7*(1-Supuestos!$D$49)+U6)</f>
        <v>14.5060286922845</v>
      </c>
      <c r="V7" s="35" t="n">
        <f aca="false">MIN(V5,U7*(1-Supuestos!$D$49)+V6)</f>
        <v>14.3455463969018</v>
      </c>
      <c r="W7" s="35" t="n">
        <f aca="false">MIN(W5,V7*(1-Supuestos!$D$49)+W6)</f>
        <v>14.1979026851496</v>
      </c>
      <c r="X7" s="35" t="n">
        <f aca="false">MIN(X5,W7*(1-Supuestos!$D$49)+X6)</f>
        <v>14.0620704703376</v>
      </c>
      <c r="Y7" s="35" t="n">
        <f aca="false">MIN(Y5,X7*(1-Supuestos!$D$49)+Y6)</f>
        <v>13.9371048327106</v>
      </c>
      <c r="Z7" s="35" t="n">
        <f aca="false">MIN(Z5,Y7*(1-Supuestos!$D$49)+Z6)</f>
        <v>13.8221364460938</v>
      </c>
      <c r="AA7" s="35" t="n">
        <f aca="false">MIN(AA5,Z7*(1-Supuestos!$D$49)+AA6)</f>
        <v>13.7163655304063</v>
      </c>
      <c r="AB7" s="35" t="n">
        <f aca="false">MIN(AB5,AA7*(1-Supuestos!$D$49)+AB6)</f>
        <v>13.6190562879738</v>
      </c>
      <c r="AC7" s="35" t="n">
        <f aca="false">MIN(AC5,AB7*(1-Supuestos!$D$49)+AC6)</f>
        <v>13.5295317849359</v>
      </c>
      <c r="AD7" s="35" t="n">
        <f aca="false">MIN(AD5,AC7*(1-Supuestos!$D$49)+AD6)</f>
        <v>13.447169242141</v>
      </c>
      <c r="AE7" s="35" t="n">
        <f aca="false">MIN(AE5,AD7*(1-Supuestos!$D$49)+AE6)</f>
        <v>13.3713957027697</v>
      </c>
      <c r="AF7" s="35" t="n">
        <f aca="false">MIN(AF5,AE7*(1-Supuestos!$D$49)+AF6)</f>
        <v>13.3016840465481</v>
      </c>
      <c r="AG7" s="35" t="n">
        <f aca="false">MIN(AG5,AF7*(1-Supuestos!$D$49)+AG6)</f>
        <v>13.2375493228243</v>
      </c>
      <c r="AH7" s="35" t="n">
        <f aca="false">MIN(AH5,AG7*(1-Supuestos!$D$49)+AH6)</f>
        <v>13.1785453769984</v>
      </c>
      <c r="AI7" s="35" t="n">
        <f aca="false">MIN(AI5,AH7*(1-Supuestos!$D$49)+AI6)</f>
        <v>13.1242617468385</v>
      </c>
      <c r="AJ7" s="35" t="n">
        <f aca="false">MIN(AJ5,AI7*(1-Supuestos!$D$49)+AJ6)</f>
        <v>13.0743208070914</v>
      </c>
      <c r="AK7" s="35" t="n">
        <f aca="false">MIN(AK5,AJ7*(1-Supuestos!$D$49)+AK6)</f>
        <v>13.0283751425241</v>
      </c>
      <c r="AL7" s="35" t="n">
        <f aca="false">MIN(AL5,AK7*(1-Supuestos!$D$49)+AL6)</f>
        <v>12.9861051311222</v>
      </c>
      <c r="AM7" s="35" t="n">
        <f aca="false">MIN(AM5,AL7*(1-Supuestos!$D$49)+AM6)</f>
        <v>12.9472167206324</v>
      </c>
    </row>
    <row r="8" customFormat="false" ht="15" hidden="false" customHeight="false" outlineLevel="0" collapsed="false">
      <c r="B8" s="4" t="s">
        <v>479</v>
      </c>
      <c r="D8" s="35" t="n">
        <f aca="false">Supuestos!$D$45*Supuestos!$D$49</f>
        <v>0</v>
      </c>
      <c r="E8" s="35" t="n">
        <f aca="false">D7*Supuestos!$D$49</f>
        <v>0.16</v>
      </c>
      <c r="F8" s="35" t="n">
        <f aca="false">E7*Supuestos!$D$49</f>
        <v>0.3072</v>
      </c>
      <c r="G8" s="35" t="n">
        <f aca="false">F7*Supuestos!$D$49</f>
        <v>0.442624</v>
      </c>
      <c r="H8" s="35" t="n">
        <f aca="false">G7*Supuestos!$D$49</f>
        <v>0.56721408</v>
      </c>
      <c r="I8" s="35" t="n">
        <f aca="false">H7*Supuestos!$D$49</f>
        <v>0.6818369536</v>
      </c>
      <c r="J8" s="35" t="n">
        <f aca="false">I7*Supuestos!$D$49</f>
        <v>0.787289997312</v>
      </c>
      <c r="K8" s="35" t="n">
        <f aca="false">J7*Supuestos!$D$49</f>
        <v>0.88430679752704</v>
      </c>
      <c r="L8" s="35" t="n">
        <f aca="false">K7*Supuestos!$D$49</f>
        <v>0.973562253724877</v>
      </c>
      <c r="M8" s="35" t="n">
        <f aca="false">L7*Supuestos!$D$49</f>
        <v>1.05567727342689</v>
      </c>
      <c r="N8" s="35" t="n">
        <f aca="false">M7*Supuestos!$D$49</f>
        <v>1.13122309155274</v>
      </c>
      <c r="O8" s="35" t="n">
        <f aca="false">N7*Supuestos!$D$49</f>
        <v>1.20072524422852</v>
      </c>
      <c r="P8" s="35" t="n">
        <f aca="false">O7*Supuestos!$D$49</f>
        <v>1.26466722469024</v>
      </c>
      <c r="Q8" s="35" t="n">
        <f aca="false">P7*Supuestos!$D$49</f>
        <v>1.24349384671502</v>
      </c>
      <c r="R8" s="35" t="n">
        <f aca="false">Q7*Supuestos!$D$49</f>
        <v>1.22401433897782</v>
      </c>
      <c r="S8" s="35" t="n">
        <f aca="false">R7*Supuestos!$D$49</f>
        <v>1.20609319185959</v>
      </c>
      <c r="T8" s="35" t="n">
        <f aca="false">S7*Supuestos!$D$49</f>
        <v>1.18960573651082</v>
      </c>
      <c r="U8" s="35" t="n">
        <f aca="false">T7*Supuestos!$D$49</f>
        <v>1.17443727758996</v>
      </c>
      <c r="V8" s="35" t="n">
        <f aca="false">U7*Supuestos!$D$49</f>
        <v>1.16048229538276</v>
      </c>
      <c r="W8" s="35" t="n">
        <f aca="false">V7*Supuestos!$D$49</f>
        <v>1.14764371175214</v>
      </c>
      <c r="X8" s="35" t="n">
        <f aca="false">W7*Supuestos!$D$49</f>
        <v>1.13583221481197</v>
      </c>
      <c r="Y8" s="35" t="n">
        <f aca="false">X7*Supuestos!$D$49</f>
        <v>1.12496563762701</v>
      </c>
      <c r="Z8" s="35" t="n">
        <f aca="false">Y7*Supuestos!$D$49</f>
        <v>1.11496838661685</v>
      </c>
      <c r="AA8" s="35" t="n">
        <f aca="false">Z7*Supuestos!$D$49</f>
        <v>1.1057709156875</v>
      </c>
      <c r="AB8" s="35" t="n">
        <f aca="false">AA7*Supuestos!$D$49</f>
        <v>1.0973092424325</v>
      </c>
      <c r="AC8" s="35" t="n">
        <f aca="false">AB7*Supuestos!$D$49</f>
        <v>1.0895245030379</v>
      </c>
      <c r="AD8" s="35" t="n">
        <f aca="false">AC7*Supuestos!$D$49</f>
        <v>1.08236254279487</v>
      </c>
      <c r="AE8" s="35" t="n">
        <f aca="false">AD7*Supuestos!$D$49</f>
        <v>1.07577353937128</v>
      </c>
      <c r="AF8" s="35" t="n">
        <f aca="false">AE7*Supuestos!$D$49</f>
        <v>1.06971165622158</v>
      </c>
      <c r="AG8" s="35" t="n">
        <f aca="false">AF7*Supuestos!$D$49</f>
        <v>1.06413472372385</v>
      </c>
      <c r="AH8" s="35" t="n">
        <f aca="false">AG7*Supuestos!$D$49</f>
        <v>1.05900394582594</v>
      </c>
      <c r="AI8" s="35" t="n">
        <f aca="false">AH7*Supuestos!$D$49</f>
        <v>1.05428363015987</v>
      </c>
      <c r="AJ8" s="35" t="n">
        <f aca="false">AI7*Supuestos!$D$49</f>
        <v>1.04994093974708</v>
      </c>
      <c r="AK8" s="35" t="n">
        <f aca="false">AJ7*Supuestos!$D$49</f>
        <v>1.04594566456731</v>
      </c>
      <c r="AL8" s="35" t="n">
        <f aca="false">AK7*Supuestos!$D$49</f>
        <v>1.04227001140193</v>
      </c>
      <c r="AM8" s="35" t="n">
        <f aca="false">AL7*Supuestos!$D$49</f>
        <v>1.03888841048977</v>
      </c>
    </row>
    <row r="9" customFormat="false" ht="15" hidden="false" customHeight="false" outlineLevel="0" collapsed="false">
      <c r="B9" s="4" t="s">
        <v>480</v>
      </c>
      <c r="D9" s="35" t="n">
        <f aca="false">MIN(Supuestos!$D$13,Supuestos!$D$50)</f>
        <v>0.5</v>
      </c>
      <c r="E9" s="35" t="n">
        <f aca="false">MIN(Supuestos!$D$13,D9*(1-Supuestos!$D$51)+Supuestos!$D$50)</f>
        <v>0.975</v>
      </c>
      <c r="F9" s="35" t="n">
        <f aca="false">MIN(Supuestos!$D$13,E9*(1-Supuestos!$D$51)+Supuestos!$D$50)</f>
        <v>1.42625</v>
      </c>
      <c r="G9" s="35" t="n">
        <f aca="false">MIN(Supuestos!$D$13,F9*(1-Supuestos!$D$51)+Supuestos!$D$50)</f>
        <v>1.8549375</v>
      </c>
      <c r="H9" s="35" t="n">
        <f aca="false">MIN(Supuestos!$D$13,G9*(1-Supuestos!$D$51)+Supuestos!$D$50)</f>
        <v>2.262190625</v>
      </c>
      <c r="I9" s="35" t="n">
        <f aca="false">MIN(Supuestos!$D$13,H9*(1-Supuestos!$D$51)+Supuestos!$D$50)</f>
        <v>2.64908109375</v>
      </c>
      <c r="J9" s="35" t="n">
        <f aca="false">MIN(Supuestos!$D$13,I9*(1-Supuestos!$D$51)+Supuestos!$D$50)</f>
        <v>3.0166270390625</v>
      </c>
      <c r="K9" s="35" t="n">
        <f aca="false">MIN(Supuestos!$D$13,J9*(1-Supuestos!$D$51)+Supuestos!$D$50)</f>
        <v>3.36579568710937</v>
      </c>
      <c r="L9" s="35" t="n">
        <f aca="false">MIN(Supuestos!$D$13,K9*(1-Supuestos!$D$51)+Supuestos!$D$50)</f>
        <v>3.69750590275391</v>
      </c>
      <c r="M9" s="35" t="n">
        <f aca="false">MIN(Supuestos!$D$13,L9*(1-Supuestos!$D$51)+Supuestos!$D$50)</f>
        <v>4</v>
      </c>
      <c r="N9" s="35" t="n">
        <f aca="false">MIN(Supuestos!$D$13,M9*(1-Supuestos!$D$51)+Supuestos!$D$50)</f>
        <v>4</v>
      </c>
      <c r="O9" s="35" t="n">
        <f aca="false">MIN(Supuestos!$D$13,N9*(1-Supuestos!$D$51)+Supuestos!$D$50)</f>
        <v>4</v>
      </c>
      <c r="P9" s="35" t="n">
        <f aca="false">MIN(Supuestos!$D$13,O9*(1-Supuestos!$D$51)+Supuestos!$D$50)</f>
        <v>4</v>
      </c>
      <c r="Q9" s="35" t="n">
        <f aca="false">MIN(Supuestos!$D$13,P9*(1-Supuestos!$D$51)+Supuestos!$D$50)</f>
        <v>4</v>
      </c>
      <c r="R9" s="35" t="n">
        <f aca="false">MIN(Supuestos!$D$13,Q9*(1-Supuestos!$D$51)+Supuestos!$D$50)</f>
        <v>4</v>
      </c>
      <c r="S9" s="35" t="n">
        <f aca="false">MIN(Supuestos!$D$13,R9*(1-Supuestos!$D$51)+Supuestos!$D$50)</f>
        <v>4</v>
      </c>
      <c r="T9" s="35" t="n">
        <f aca="false">MIN(Supuestos!$D$13,S9*(1-Supuestos!$D$51)+Supuestos!$D$50)</f>
        <v>4</v>
      </c>
      <c r="U9" s="35" t="n">
        <f aca="false">MIN(Supuestos!$D$13,T9*(1-Supuestos!$D$51)+Supuestos!$D$50)</f>
        <v>4</v>
      </c>
      <c r="V9" s="35" t="n">
        <f aca="false">MIN(Supuestos!$D$13,U9*(1-Supuestos!$D$51)+Supuestos!$D$50)</f>
        <v>4</v>
      </c>
      <c r="W9" s="35" t="n">
        <f aca="false">MIN(Supuestos!$D$13,V9*(1-Supuestos!$D$51)+Supuestos!$D$50)</f>
        <v>4</v>
      </c>
      <c r="X9" s="35" t="n">
        <f aca="false">MIN(Supuestos!$D$13,W9*(1-Supuestos!$D$51)+Supuestos!$D$50)</f>
        <v>4</v>
      </c>
      <c r="Y9" s="35" t="n">
        <f aca="false">MIN(Supuestos!$D$13,X9*(1-Supuestos!$D$51)+Supuestos!$D$50)</f>
        <v>4</v>
      </c>
      <c r="Z9" s="35" t="n">
        <f aca="false">MIN(Supuestos!$D$13,Y9*(1-Supuestos!$D$51)+Supuestos!$D$50)</f>
        <v>4</v>
      </c>
      <c r="AA9" s="35" t="n">
        <f aca="false">MIN(Supuestos!$D$13,Z9*(1-Supuestos!$D$51)+Supuestos!$D$50)</f>
        <v>4</v>
      </c>
      <c r="AB9" s="35" t="n">
        <f aca="false">MIN(Supuestos!$D$13,AA9*(1-Supuestos!$D$51)+Supuestos!$D$50)</f>
        <v>4</v>
      </c>
      <c r="AC9" s="35" t="n">
        <f aca="false">MIN(Supuestos!$D$13,AB9*(1-Supuestos!$D$51)+Supuestos!$D$50)</f>
        <v>4</v>
      </c>
      <c r="AD9" s="35" t="n">
        <f aca="false">MIN(Supuestos!$D$13,AC9*(1-Supuestos!$D$51)+Supuestos!$D$50)</f>
        <v>4</v>
      </c>
      <c r="AE9" s="35" t="n">
        <f aca="false">MIN(Supuestos!$D$13,AD9*(1-Supuestos!$D$51)+Supuestos!$D$50)</f>
        <v>4</v>
      </c>
      <c r="AF9" s="35" t="n">
        <f aca="false">MIN(Supuestos!$D$13,AE9*(1-Supuestos!$D$51)+Supuestos!$D$50)</f>
        <v>4</v>
      </c>
      <c r="AG9" s="35" t="n">
        <f aca="false">MIN(Supuestos!$D$13,AF9*(1-Supuestos!$D$51)+Supuestos!$D$50)</f>
        <v>4</v>
      </c>
      <c r="AH9" s="35" t="n">
        <f aca="false">MIN(Supuestos!$D$13,AG9*(1-Supuestos!$D$51)+Supuestos!$D$50)</f>
        <v>4</v>
      </c>
      <c r="AI9" s="35" t="n">
        <f aca="false">MIN(Supuestos!$D$13,AH9*(1-Supuestos!$D$51)+Supuestos!$D$50)</f>
        <v>4</v>
      </c>
      <c r="AJ9" s="35" t="n">
        <f aca="false">MIN(Supuestos!$D$13,AI9*(1-Supuestos!$D$51)+Supuestos!$D$50)</f>
        <v>4</v>
      </c>
      <c r="AK9" s="35" t="n">
        <f aca="false">MIN(Supuestos!$D$13,AJ9*(1-Supuestos!$D$51)+Supuestos!$D$50)</f>
        <v>4</v>
      </c>
      <c r="AL9" s="35" t="n">
        <f aca="false">MIN(Supuestos!$D$13,AK9*(1-Supuestos!$D$51)+Supuestos!$D$50)</f>
        <v>4</v>
      </c>
      <c r="AM9" s="35" t="n">
        <f aca="false">MIN(Supuestos!$D$13,AL9*(1-Supuestos!$D$51)+Supuestos!$D$50)</f>
        <v>4</v>
      </c>
    </row>
    <row r="10" customFormat="false" ht="15" hidden="false" customHeight="false" outlineLevel="0" collapsed="false">
      <c r="B10" s="4" t="s">
        <v>481</v>
      </c>
      <c r="D10" s="35" t="n">
        <f aca="false">Supuestos!$D$14*MIN(1,D$3/Supuestos!$D$43)</f>
        <v>0.2</v>
      </c>
      <c r="E10" s="35" t="n">
        <f aca="false">Supuestos!$D$14*MIN(1,E$3/Supuestos!$D$43)</f>
        <v>0.4</v>
      </c>
      <c r="F10" s="35" t="n">
        <f aca="false">Supuestos!$D$14*MIN(1,F$3/Supuestos!$D$43)</f>
        <v>0.6</v>
      </c>
      <c r="G10" s="35" t="n">
        <f aca="false">Supuestos!$D$14*MIN(1,G$3/Supuestos!$D$43)</f>
        <v>0.8</v>
      </c>
      <c r="H10" s="35" t="n">
        <f aca="false">Supuestos!$D$14*MIN(1,H$3/Supuestos!$D$43)</f>
        <v>1</v>
      </c>
      <c r="I10" s="35" t="n">
        <f aca="false">Supuestos!$D$14*MIN(1,I$3/Supuestos!$D$43)</f>
        <v>1.2</v>
      </c>
      <c r="J10" s="35" t="n">
        <f aca="false">Supuestos!$D$14*MIN(1,J$3/Supuestos!$D$43)</f>
        <v>1.4</v>
      </c>
      <c r="K10" s="35" t="n">
        <f aca="false">Supuestos!$D$14*MIN(1,K$3/Supuestos!$D$43)</f>
        <v>1.6</v>
      </c>
      <c r="L10" s="35" t="n">
        <f aca="false">Supuestos!$D$14*MIN(1,L$3/Supuestos!$D$43)</f>
        <v>1.8</v>
      </c>
      <c r="M10" s="35" t="n">
        <f aca="false">Supuestos!$D$14*MIN(1,M$3/Supuestos!$D$43)</f>
        <v>2</v>
      </c>
      <c r="N10" s="35" t="n">
        <f aca="false">Supuestos!$D$14*MIN(1,N$3/Supuestos!$D$43)</f>
        <v>2</v>
      </c>
      <c r="O10" s="35" t="n">
        <f aca="false">Supuestos!$D$14*MIN(1,O$3/Supuestos!$D$43)</f>
        <v>2</v>
      </c>
      <c r="P10" s="35" t="n">
        <f aca="false">Supuestos!$D$14*MIN(1,P$3/Supuestos!$D$43)</f>
        <v>2</v>
      </c>
      <c r="Q10" s="35" t="n">
        <f aca="false">Supuestos!$D$14*MIN(1,Q$3/Supuestos!$D$43)</f>
        <v>2</v>
      </c>
      <c r="R10" s="35" t="n">
        <f aca="false">Supuestos!$D$14*MIN(1,R$3/Supuestos!$D$43)</f>
        <v>2</v>
      </c>
      <c r="S10" s="35" t="n">
        <f aca="false">Supuestos!$D$14*MIN(1,S$3/Supuestos!$D$43)</f>
        <v>2</v>
      </c>
      <c r="T10" s="35" t="n">
        <f aca="false">Supuestos!$D$14*MIN(1,T$3/Supuestos!$D$43)</f>
        <v>2</v>
      </c>
      <c r="U10" s="35" t="n">
        <f aca="false">Supuestos!$D$14*MIN(1,U$3/Supuestos!$D$43)</f>
        <v>2</v>
      </c>
      <c r="V10" s="35" t="n">
        <f aca="false">Supuestos!$D$14*MIN(1,V$3/Supuestos!$D$43)</f>
        <v>2</v>
      </c>
      <c r="W10" s="35" t="n">
        <f aca="false">Supuestos!$D$14*MIN(1,W$3/Supuestos!$D$43)</f>
        <v>2</v>
      </c>
      <c r="X10" s="35" t="n">
        <f aca="false">Supuestos!$D$14*MIN(1,X$3/Supuestos!$D$43)</f>
        <v>2</v>
      </c>
      <c r="Y10" s="35" t="n">
        <f aca="false">Supuestos!$D$14*MIN(1,Y$3/Supuestos!$D$43)</f>
        <v>2</v>
      </c>
      <c r="Z10" s="35" t="n">
        <f aca="false">Supuestos!$D$14*MIN(1,Z$3/Supuestos!$D$43)</f>
        <v>2</v>
      </c>
      <c r="AA10" s="35" t="n">
        <f aca="false">Supuestos!$D$14*MIN(1,AA$3/Supuestos!$D$43)</f>
        <v>2</v>
      </c>
      <c r="AB10" s="35" t="n">
        <f aca="false">Supuestos!$D$14*MIN(1,AB$3/Supuestos!$D$43)</f>
        <v>2</v>
      </c>
      <c r="AC10" s="35" t="n">
        <f aca="false">Supuestos!$D$14*MIN(1,AC$3/Supuestos!$D$43)</f>
        <v>2</v>
      </c>
      <c r="AD10" s="35" t="n">
        <f aca="false">Supuestos!$D$14*MIN(1,AD$3/Supuestos!$D$43)</f>
        <v>2</v>
      </c>
      <c r="AE10" s="35" t="n">
        <f aca="false">Supuestos!$D$14*MIN(1,AE$3/Supuestos!$D$43)</f>
        <v>2</v>
      </c>
      <c r="AF10" s="35" t="n">
        <f aca="false">Supuestos!$D$14*MIN(1,AF$3/Supuestos!$D$43)</f>
        <v>2</v>
      </c>
      <c r="AG10" s="35" t="n">
        <f aca="false">Supuestos!$D$14*MIN(1,AG$3/Supuestos!$D$43)</f>
        <v>2</v>
      </c>
      <c r="AH10" s="35" t="n">
        <f aca="false">Supuestos!$D$14*MIN(1,AH$3/Supuestos!$D$43)</f>
        <v>2</v>
      </c>
      <c r="AI10" s="35" t="n">
        <f aca="false">Supuestos!$D$14*MIN(1,AI$3/Supuestos!$D$43)</f>
        <v>2</v>
      </c>
      <c r="AJ10" s="35" t="n">
        <f aca="false">Supuestos!$D$14*MIN(1,AJ$3/Supuestos!$D$43)</f>
        <v>2</v>
      </c>
      <c r="AK10" s="35" t="n">
        <f aca="false">Supuestos!$D$14*MIN(1,AK$3/Supuestos!$D$43)</f>
        <v>2</v>
      </c>
      <c r="AL10" s="35" t="n">
        <f aca="false">Supuestos!$D$14*MIN(1,AL$3/Supuestos!$D$43)</f>
        <v>2</v>
      </c>
      <c r="AM10" s="35" t="n">
        <f aca="false">Supuestos!$D$14*MIN(1,AM$3/Supuestos!$D$43)</f>
        <v>2</v>
      </c>
    </row>
    <row r="11" customFormat="false" ht="15" hidden="false" customHeight="false" outlineLevel="0" collapsed="false">
      <c r="B11" s="4" t="s">
        <v>482</v>
      </c>
      <c r="D11" s="42" t="n">
        <f aca="false">D7*(Supuestos!$D$29*Supuestos!$D$21+Supuestos!$D$30*Supuestos!$D$22+Supuestos!$D$31*Supuestos!$D$23+Supuestos!$D$32*Supuestos!$D$24)*Supuestos!$D$17</f>
        <v>16.66</v>
      </c>
      <c r="E11" s="42" t="n">
        <f aca="false">E7*(Supuestos!$D$29*Supuestos!$D$21+Supuestos!$D$30*Supuestos!$D$22+Supuestos!$D$31*Supuestos!$D$23+Supuestos!$D$32*Supuestos!$D$24)*Supuestos!$D$17</f>
        <v>31.9872</v>
      </c>
      <c r="F11" s="42" t="n">
        <f aca="false">F7*(Supuestos!$D$29*Supuestos!$D$21+Supuestos!$D$30*Supuestos!$D$22+Supuestos!$D$31*Supuestos!$D$23+Supuestos!$D$32*Supuestos!$D$24)*Supuestos!$D$17</f>
        <v>46.088224</v>
      </c>
      <c r="G11" s="42" t="n">
        <f aca="false">G7*(Supuestos!$D$29*Supuestos!$D$21+Supuestos!$D$30*Supuestos!$D$22+Supuestos!$D$31*Supuestos!$D$23+Supuestos!$D$32*Supuestos!$D$24)*Supuestos!$D$17</f>
        <v>59.06116608</v>
      </c>
      <c r="H11" s="42" t="n">
        <f aca="false">H7*(Supuestos!$D$29*Supuestos!$D$21+Supuestos!$D$30*Supuestos!$D$22+Supuestos!$D$31*Supuestos!$D$23+Supuestos!$D$32*Supuestos!$D$24)*Supuestos!$D$17</f>
        <v>70.9962727936</v>
      </c>
      <c r="I11" s="42" t="n">
        <f aca="false">I7*(Supuestos!$D$29*Supuestos!$D$21+Supuestos!$D$30*Supuestos!$D$22+Supuestos!$D$31*Supuestos!$D$23+Supuestos!$D$32*Supuestos!$D$24)*Supuestos!$D$17</f>
        <v>81.976570970112</v>
      </c>
      <c r="J11" s="42" t="n">
        <f aca="false">J7*(Supuestos!$D$29*Supuestos!$D$21+Supuestos!$D$30*Supuestos!$D$22+Supuestos!$D$31*Supuestos!$D$23+Supuestos!$D$32*Supuestos!$D$24)*Supuestos!$D$17</f>
        <v>92.0784452925031</v>
      </c>
      <c r="K11" s="42" t="n">
        <f aca="false">K7*(Supuestos!$D$29*Supuestos!$D$21+Supuestos!$D$30*Supuestos!$D$22+Supuestos!$D$31*Supuestos!$D$23+Supuestos!$D$32*Supuestos!$D$24)*Supuestos!$D$17</f>
        <v>101.372169669103</v>
      </c>
      <c r="L11" s="42" t="n">
        <f aca="false">L7*(Supuestos!$D$29*Supuestos!$D$21+Supuestos!$D$30*Supuestos!$D$22+Supuestos!$D$31*Supuestos!$D$23+Supuestos!$D$32*Supuestos!$D$24)*Supuestos!$D$17</f>
        <v>109.922396095575</v>
      </c>
      <c r="M11" s="42" t="n">
        <f aca="false">M7*(Supuestos!$D$29*Supuestos!$D$21+Supuestos!$D$30*Supuestos!$D$22+Supuestos!$D$31*Supuestos!$D$23+Supuestos!$D$32*Supuestos!$D$24)*Supuestos!$D$17</f>
        <v>117.788604407929</v>
      </c>
      <c r="N11" s="42" t="n">
        <f aca="false">N7*(Supuestos!$D$29*Supuestos!$D$21+Supuestos!$D$30*Supuestos!$D$22+Supuestos!$D$31*Supuestos!$D$23+Supuestos!$D$32*Supuestos!$D$24)*Supuestos!$D$17</f>
        <v>125.025516055294</v>
      </c>
      <c r="O11" s="42" t="n">
        <f aca="false">O7*(Supuestos!$D$29*Supuestos!$D$21+Supuestos!$D$30*Supuestos!$D$22+Supuestos!$D$31*Supuestos!$D$23+Supuestos!$D$32*Supuestos!$D$24)*Supuestos!$D$17</f>
        <v>131.683474770871</v>
      </c>
      <c r="P11" s="42" t="n">
        <f aca="false">P7*(Supuestos!$D$29*Supuestos!$D$21+Supuestos!$D$30*Supuestos!$D$22+Supuestos!$D$31*Supuestos!$D$23+Supuestos!$D$32*Supuestos!$D$24)*Supuestos!$D$17</f>
        <v>129.478796789201</v>
      </c>
      <c r="Q11" s="42" t="n">
        <f aca="false">Q7*(Supuestos!$D$29*Supuestos!$D$21+Supuestos!$D$30*Supuestos!$D$22+Supuestos!$D$31*Supuestos!$D$23+Supuestos!$D$32*Supuestos!$D$24)*Supuestos!$D$17</f>
        <v>127.450493046065</v>
      </c>
      <c r="R11" s="42" t="n">
        <f aca="false">R7*(Supuestos!$D$29*Supuestos!$D$21+Supuestos!$D$30*Supuestos!$D$22+Supuestos!$D$31*Supuestos!$D$23+Supuestos!$D$32*Supuestos!$D$24)*Supuestos!$D$17</f>
        <v>125.58445360238</v>
      </c>
      <c r="S11" s="42" t="n">
        <f aca="false">S7*(Supuestos!$D$29*Supuestos!$D$21+Supuestos!$D$30*Supuestos!$D$22+Supuestos!$D$31*Supuestos!$D$23+Supuestos!$D$32*Supuestos!$D$24)*Supuestos!$D$17</f>
        <v>123.867697314189</v>
      </c>
      <c r="T11" s="42" t="n">
        <f aca="false">T7*(Supuestos!$D$29*Supuestos!$D$21+Supuestos!$D$30*Supuestos!$D$22+Supuestos!$D$31*Supuestos!$D$23+Supuestos!$D$32*Supuestos!$D$24)*Supuestos!$D$17</f>
        <v>122.288281529054</v>
      </c>
      <c r="U11" s="42" t="n">
        <f aca="false">U7*(Supuestos!$D$29*Supuestos!$D$21+Supuestos!$D$30*Supuestos!$D$22+Supuestos!$D$31*Supuestos!$D$23+Supuestos!$D$32*Supuestos!$D$24)*Supuestos!$D$17</f>
        <v>120.83521900673</v>
      </c>
      <c r="V11" s="42" t="n">
        <f aca="false">V7*(Supuestos!$D$29*Supuestos!$D$21+Supuestos!$D$30*Supuestos!$D$22+Supuestos!$D$31*Supuestos!$D$23+Supuestos!$D$32*Supuestos!$D$24)*Supuestos!$D$17</f>
        <v>119.498401486192</v>
      </c>
      <c r="W11" s="42" t="n">
        <f aca="false">W7*(Supuestos!$D$29*Supuestos!$D$21+Supuestos!$D$30*Supuestos!$D$22+Supuestos!$D$31*Supuestos!$D$23+Supuestos!$D$32*Supuestos!$D$24)*Supuestos!$D$17</f>
        <v>118.268529367296</v>
      </c>
      <c r="X11" s="42" t="n">
        <f aca="false">X7*(Supuestos!$D$29*Supuestos!$D$21+Supuestos!$D$30*Supuestos!$D$22+Supuestos!$D$31*Supuestos!$D$23+Supuestos!$D$32*Supuestos!$D$24)*Supuestos!$D$17</f>
        <v>117.137047017913</v>
      </c>
      <c r="Y11" s="42" t="n">
        <f aca="false">Y7*(Supuestos!$D$29*Supuestos!$D$21+Supuestos!$D$30*Supuestos!$D$22+Supuestos!$D$31*Supuestos!$D$23+Supuestos!$D$32*Supuestos!$D$24)*Supuestos!$D$17</f>
        <v>116.09608325648</v>
      </c>
      <c r="Z11" s="42" t="n">
        <f aca="false">Z7*(Supuestos!$D$29*Supuestos!$D$21+Supuestos!$D$30*Supuestos!$D$22+Supuestos!$D$31*Supuestos!$D$23+Supuestos!$D$32*Supuestos!$D$24)*Supuestos!$D$17</f>
        <v>115.138396595961</v>
      </c>
      <c r="AA11" s="42" t="n">
        <f aca="false">AA7*(Supuestos!$D$29*Supuestos!$D$21+Supuestos!$D$30*Supuestos!$D$22+Supuestos!$D$31*Supuestos!$D$23+Supuestos!$D$32*Supuestos!$D$24)*Supuestos!$D$17</f>
        <v>114.257324868284</v>
      </c>
      <c r="AB11" s="42" t="n">
        <f aca="false">AB7*(Supuestos!$D$29*Supuestos!$D$21+Supuestos!$D$30*Supuestos!$D$22+Supuestos!$D$31*Supuestos!$D$23+Supuestos!$D$32*Supuestos!$D$24)*Supuestos!$D$17</f>
        <v>113.446738878822</v>
      </c>
      <c r="AC11" s="42" t="n">
        <f aca="false">AC7*(Supuestos!$D$29*Supuestos!$D$21+Supuestos!$D$30*Supuestos!$D$22+Supuestos!$D$31*Supuestos!$D$23+Supuestos!$D$32*Supuestos!$D$24)*Supuestos!$D$17</f>
        <v>112.700999768516</v>
      </c>
      <c r="AD11" s="42" t="n">
        <f aca="false">AD7*(Supuestos!$D$29*Supuestos!$D$21+Supuestos!$D$30*Supuestos!$D$22+Supuestos!$D$31*Supuestos!$D$23+Supuestos!$D$32*Supuestos!$D$24)*Supuestos!$D$17</f>
        <v>112.014919787035</v>
      </c>
      <c r="AE11" s="42" t="n">
        <f aca="false">AE7*(Supuestos!$D$29*Supuestos!$D$21+Supuestos!$D$30*Supuestos!$D$22+Supuestos!$D$31*Supuestos!$D$23+Supuestos!$D$32*Supuestos!$D$24)*Supuestos!$D$17</f>
        <v>111.383726204072</v>
      </c>
      <c r="AF11" s="42" t="n">
        <f aca="false">AF7*(Supuestos!$D$29*Supuestos!$D$21+Supuestos!$D$30*Supuestos!$D$22+Supuestos!$D$31*Supuestos!$D$23+Supuestos!$D$32*Supuestos!$D$24)*Supuestos!$D$17</f>
        <v>110.803028107746</v>
      </c>
      <c r="AG11" s="42" t="n">
        <f aca="false">AG7*(Supuestos!$D$29*Supuestos!$D$21+Supuestos!$D$30*Supuestos!$D$22+Supuestos!$D$31*Supuestos!$D$23+Supuestos!$D$32*Supuestos!$D$24)*Supuestos!$D$17</f>
        <v>110.268785859126</v>
      </c>
      <c r="AH11" s="42" t="n">
        <f aca="false">AH7*(Supuestos!$D$29*Supuestos!$D$21+Supuestos!$D$30*Supuestos!$D$22+Supuestos!$D$31*Supuestos!$D$23+Supuestos!$D$32*Supuestos!$D$24)*Supuestos!$D$17</f>
        <v>109.777282990396</v>
      </c>
      <c r="AI11" s="42" t="n">
        <f aca="false">AI7*(Supuestos!$D$29*Supuestos!$D$21+Supuestos!$D$30*Supuestos!$D$22+Supuestos!$D$31*Supuestos!$D$23+Supuestos!$D$32*Supuestos!$D$24)*Supuestos!$D$17</f>
        <v>109.325100351165</v>
      </c>
      <c r="AJ11" s="42" t="n">
        <f aca="false">AJ7*(Supuestos!$D$29*Supuestos!$D$21+Supuestos!$D$30*Supuestos!$D$22+Supuestos!$D$31*Supuestos!$D$23+Supuestos!$D$32*Supuestos!$D$24)*Supuestos!$D$17</f>
        <v>108.909092323071</v>
      </c>
      <c r="AK11" s="42" t="n">
        <f aca="false">AK7*(Supuestos!$D$29*Supuestos!$D$21+Supuestos!$D$30*Supuestos!$D$22+Supuestos!$D$31*Supuestos!$D$23+Supuestos!$D$32*Supuestos!$D$24)*Supuestos!$D$17</f>
        <v>108.526364937226</v>
      </c>
      <c r="AL11" s="42" t="n">
        <f aca="false">AL7*(Supuestos!$D$29*Supuestos!$D$21+Supuestos!$D$30*Supuestos!$D$22+Supuestos!$D$31*Supuestos!$D$23+Supuestos!$D$32*Supuestos!$D$24)*Supuestos!$D$17</f>
        <v>108.174255742248</v>
      </c>
      <c r="AM11" s="42" t="n">
        <f aca="false">AM7*(Supuestos!$D$29*Supuestos!$D$21+Supuestos!$D$30*Supuestos!$D$22+Supuestos!$D$31*Supuestos!$D$23+Supuestos!$D$32*Supuestos!$D$24)*Supuestos!$D$17</f>
        <v>107.850315282868</v>
      </c>
    </row>
    <row r="12" customFormat="false" ht="15" hidden="false" customHeight="false" outlineLevel="0" collapsed="false">
      <c r="B12" s="4" t="s">
        <v>483</v>
      </c>
      <c r="D12" s="37" t="n">
        <f aca="false">D11/(Supuestos!$D$12*Supuestos!$D$9)</f>
        <v>0.0264444444444444</v>
      </c>
      <c r="E12" s="37" t="n">
        <f aca="false">E11/(Supuestos!$D$12*Supuestos!$D$9)</f>
        <v>0.0507733333333333</v>
      </c>
      <c r="F12" s="37" t="n">
        <f aca="false">F11/(Supuestos!$D$12*Supuestos!$D$9)</f>
        <v>0.0731559111111111</v>
      </c>
      <c r="G12" s="37" t="n">
        <f aca="false">G11/(Supuestos!$D$12*Supuestos!$D$9)</f>
        <v>0.0937478826666667</v>
      </c>
      <c r="H12" s="37" t="n">
        <f aca="false">H11/(Supuestos!$D$12*Supuestos!$D$9)</f>
        <v>0.112692496497778</v>
      </c>
      <c r="I12" s="37" t="n">
        <f aca="false">I11/(Supuestos!$D$12*Supuestos!$D$9)</f>
        <v>0.1301215412224</v>
      </c>
      <c r="J12" s="37" t="n">
        <f aca="false">J11/(Supuestos!$D$12*Supuestos!$D$9)</f>
        <v>0.146156262369053</v>
      </c>
      <c r="K12" s="37" t="n">
        <f aca="false">K11/(Supuestos!$D$12*Supuestos!$D$9)</f>
        <v>0.160908205823973</v>
      </c>
      <c r="L12" s="37" t="n">
        <f aca="false">L11/(Supuestos!$D$12*Supuestos!$D$9)</f>
        <v>0.174479993802499</v>
      </c>
      <c r="M12" s="37" t="n">
        <f aca="false">M11/(Supuestos!$D$12*Supuestos!$D$9)</f>
        <v>0.186966038742744</v>
      </c>
      <c r="N12" s="37" t="n">
        <f aca="false">N11/(Supuestos!$D$12*Supuestos!$D$9)</f>
        <v>0.198453200087769</v>
      </c>
      <c r="O12" s="37" t="n">
        <f aca="false">O11/(Supuestos!$D$12*Supuestos!$D$9)</f>
        <v>0.209021388525192</v>
      </c>
      <c r="P12" s="37" t="n">
        <f aca="false">P11/(Supuestos!$D$12*Supuestos!$D$9)</f>
        <v>0.205521899665399</v>
      </c>
      <c r="Q12" s="37" t="n">
        <f aca="false">Q11/(Supuestos!$D$12*Supuestos!$D$9)</f>
        <v>0.202302369914389</v>
      </c>
      <c r="R12" s="37" t="n">
        <f aca="false">R11/(Supuestos!$D$12*Supuestos!$D$9)</f>
        <v>0.19934040254346</v>
      </c>
      <c r="S12" s="37" t="n">
        <f aca="false">S11/(Supuestos!$D$12*Supuestos!$D$9)</f>
        <v>0.196615392562206</v>
      </c>
      <c r="T12" s="37" t="n">
        <f aca="false">T11/(Supuestos!$D$12*Supuestos!$D$9)</f>
        <v>0.194108383379451</v>
      </c>
      <c r="U12" s="37" t="n">
        <f aca="false">U11/(Supuestos!$D$12*Supuestos!$D$9)</f>
        <v>0.191801934931317</v>
      </c>
      <c r="V12" s="37" t="n">
        <f aca="false">V11/(Supuestos!$D$12*Supuestos!$D$9)</f>
        <v>0.189680002359034</v>
      </c>
      <c r="W12" s="37" t="n">
        <f aca="false">W11/(Supuestos!$D$12*Supuestos!$D$9)</f>
        <v>0.187727824392534</v>
      </c>
      <c r="X12" s="37" t="n">
        <f aca="false">X11/(Supuestos!$D$12*Supuestos!$D$9)</f>
        <v>0.185931820663353</v>
      </c>
      <c r="Y12" s="37" t="n">
        <f aca="false">Y11/(Supuestos!$D$12*Supuestos!$D$9)</f>
        <v>0.184279497232507</v>
      </c>
      <c r="Z12" s="37" t="n">
        <f aca="false">Z11/(Supuestos!$D$12*Supuestos!$D$9)</f>
        <v>0.182759359676129</v>
      </c>
      <c r="AA12" s="37" t="n">
        <f aca="false">AA11/(Supuestos!$D$12*Supuestos!$D$9)</f>
        <v>0.181360833124261</v>
      </c>
      <c r="AB12" s="37" t="n">
        <f aca="false">AB11/(Supuestos!$D$12*Supuestos!$D$9)</f>
        <v>0.180074188696542</v>
      </c>
      <c r="AC12" s="37" t="n">
        <f aca="false">AC11/(Supuestos!$D$12*Supuestos!$D$9)</f>
        <v>0.178890475823041</v>
      </c>
      <c r="AD12" s="37" t="n">
        <f aca="false">AD11/(Supuestos!$D$12*Supuestos!$D$9)</f>
        <v>0.17780145997942</v>
      </c>
      <c r="AE12" s="37" t="n">
        <f aca="false">AE11/(Supuestos!$D$12*Supuestos!$D$9)</f>
        <v>0.176799565403289</v>
      </c>
      <c r="AF12" s="37" t="n">
        <f aca="false">AF11/(Supuestos!$D$12*Supuestos!$D$9)</f>
        <v>0.175877822393248</v>
      </c>
      <c r="AG12" s="37" t="n">
        <f aca="false">AG11/(Supuestos!$D$12*Supuestos!$D$9)</f>
        <v>0.17502981882401</v>
      </c>
      <c r="AH12" s="37" t="n">
        <f aca="false">AH11/(Supuestos!$D$12*Supuestos!$D$9)</f>
        <v>0.174249655540312</v>
      </c>
      <c r="AI12" s="37" t="n">
        <f aca="false">AI11/(Supuestos!$D$12*Supuestos!$D$9)</f>
        <v>0.173531905319309</v>
      </c>
      <c r="AJ12" s="37" t="n">
        <f aca="false">AJ11/(Supuestos!$D$12*Supuestos!$D$9)</f>
        <v>0.172871575115986</v>
      </c>
      <c r="AK12" s="37" t="n">
        <f aca="false">AK11/(Supuestos!$D$12*Supuestos!$D$9)</f>
        <v>0.17226407132893</v>
      </c>
      <c r="AL12" s="37" t="n">
        <f aca="false">AL11/(Supuestos!$D$12*Supuestos!$D$9)</f>
        <v>0.171705167844838</v>
      </c>
      <c r="AM12" s="37" t="n">
        <f aca="false">AM11/(Supuestos!$D$12*Supuestos!$D$9)</f>
        <v>0.171190976639473</v>
      </c>
    </row>
    <row r="13" customFormat="false" ht="15" hidden="false" customHeight="false" outlineLevel="0" collapsed="false">
      <c r="B13" s="4" t="s">
        <v>484</v>
      </c>
      <c r="D13" s="35" t="n">
        <f aca="false">D11/Supuestos!$D$9*Supuestos!$D$18</f>
        <v>1.071</v>
      </c>
      <c r="E13" s="35" t="n">
        <f aca="false">E11/Supuestos!$D$9*Supuestos!$D$18</f>
        <v>2.05632</v>
      </c>
      <c r="F13" s="35" t="n">
        <f aca="false">F11/Supuestos!$D$9*Supuestos!$D$18</f>
        <v>2.9628144</v>
      </c>
      <c r="G13" s="35" t="n">
        <f aca="false">G11/Supuestos!$D$9*Supuestos!$D$18</f>
        <v>3.796789248</v>
      </c>
      <c r="H13" s="35" t="n">
        <f aca="false">H11/Supuestos!$D$9*Supuestos!$D$18</f>
        <v>4.56404610816</v>
      </c>
      <c r="I13" s="35" t="n">
        <f aca="false">I11/Supuestos!$D$9*Supuestos!$D$18</f>
        <v>5.2699224195072</v>
      </c>
      <c r="J13" s="35" t="n">
        <f aca="false">J11/Supuestos!$D$9*Supuestos!$D$18</f>
        <v>5.91932862594663</v>
      </c>
      <c r="K13" s="35" t="n">
        <f aca="false">K11/Supuestos!$D$9*Supuestos!$D$18</f>
        <v>6.5167823358709</v>
      </c>
      <c r="L13" s="35" t="n">
        <f aca="false">L11/Supuestos!$D$9*Supuestos!$D$18</f>
        <v>7.06643974900122</v>
      </c>
      <c r="M13" s="35" t="n">
        <f aca="false">M11/Supuestos!$D$9*Supuestos!$D$18</f>
        <v>7.57212456908113</v>
      </c>
      <c r="N13" s="35" t="n">
        <f aca="false">N11/Supuestos!$D$9*Supuestos!$D$18</f>
        <v>8.03735460355464</v>
      </c>
      <c r="O13" s="35" t="n">
        <f aca="false">O11/Supuestos!$D$9*Supuestos!$D$18</f>
        <v>8.46536623527027</v>
      </c>
      <c r="P13" s="35" t="n">
        <f aca="false">P11/Supuestos!$D$9*Supuestos!$D$18</f>
        <v>8.32363693644865</v>
      </c>
      <c r="Q13" s="35" t="n">
        <f aca="false">Q11/Supuestos!$D$9*Supuestos!$D$18</f>
        <v>8.19324598153275</v>
      </c>
      <c r="R13" s="35" t="n">
        <f aca="false">R11/Supuestos!$D$9*Supuestos!$D$18</f>
        <v>8.07328630301013</v>
      </c>
      <c r="S13" s="35" t="n">
        <f aca="false">S11/Supuestos!$D$9*Supuestos!$D$18</f>
        <v>7.96292339876932</v>
      </c>
      <c r="T13" s="35" t="n">
        <f aca="false">T11/Supuestos!$D$9*Supuestos!$D$18</f>
        <v>7.86138952686778</v>
      </c>
      <c r="U13" s="35" t="n">
        <f aca="false">U11/Supuestos!$D$9*Supuestos!$D$18</f>
        <v>7.76797836471836</v>
      </c>
      <c r="V13" s="35" t="n">
        <f aca="false">V11/Supuestos!$D$9*Supuestos!$D$18</f>
        <v>7.68204009554089</v>
      </c>
      <c r="W13" s="35" t="n">
        <f aca="false">W11/Supuestos!$D$9*Supuestos!$D$18</f>
        <v>7.60297688789762</v>
      </c>
      <c r="X13" s="35" t="n">
        <f aca="false">X11/Supuestos!$D$9*Supuestos!$D$18</f>
        <v>7.53023873686581</v>
      </c>
      <c r="Y13" s="35" t="n">
        <f aca="false">Y11/Supuestos!$D$9*Supuestos!$D$18</f>
        <v>7.46331963791654</v>
      </c>
      <c r="Z13" s="35" t="n">
        <f aca="false">Z11/Supuestos!$D$9*Supuestos!$D$18</f>
        <v>7.40175406688322</v>
      </c>
      <c r="AA13" s="35" t="n">
        <f aca="false">AA11/Supuestos!$D$9*Supuestos!$D$18</f>
        <v>7.34511374153256</v>
      </c>
      <c r="AB13" s="35" t="n">
        <f aca="false">AB11/Supuestos!$D$9*Supuestos!$D$18</f>
        <v>7.29300464220996</v>
      </c>
      <c r="AC13" s="35" t="n">
        <f aca="false">AC11/Supuestos!$D$9*Supuestos!$D$18</f>
        <v>7.24506427083316</v>
      </c>
      <c r="AD13" s="35" t="n">
        <f aca="false">AD11/Supuestos!$D$9*Supuestos!$D$18</f>
        <v>7.20095912916651</v>
      </c>
      <c r="AE13" s="35" t="n">
        <f aca="false">AE11/Supuestos!$D$9*Supuestos!$D$18</f>
        <v>7.16038239883319</v>
      </c>
      <c r="AF13" s="35" t="n">
        <f aca="false">AF11/Supuestos!$D$9*Supuestos!$D$18</f>
        <v>7.12305180692654</v>
      </c>
      <c r="AG13" s="35" t="n">
        <f aca="false">AG11/Supuestos!$D$9*Supuestos!$D$18</f>
        <v>7.08870766237241</v>
      </c>
      <c r="AH13" s="35" t="n">
        <f aca="false">AH11/Supuestos!$D$9*Supuestos!$D$18</f>
        <v>7.05711104938262</v>
      </c>
      <c r="AI13" s="35" t="n">
        <f aca="false">AI11/Supuestos!$D$9*Supuestos!$D$18</f>
        <v>7.02804216543201</v>
      </c>
      <c r="AJ13" s="35" t="n">
        <f aca="false">AJ11/Supuestos!$D$9*Supuestos!$D$18</f>
        <v>7.00129879219745</v>
      </c>
      <c r="AK13" s="35" t="n">
        <f aca="false">AK11/Supuestos!$D$9*Supuestos!$D$18</f>
        <v>6.97669488882165</v>
      </c>
      <c r="AL13" s="35" t="n">
        <f aca="false">AL11/Supuestos!$D$9*Supuestos!$D$18</f>
        <v>6.95405929771592</v>
      </c>
      <c r="AM13" s="35" t="n">
        <f aca="false">AM11/Supuestos!$D$9*Supuestos!$D$18</f>
        <v>6.93323455389865</v>
      </c>
    </row>
    <row r="14" customFormat="false" ht="15" hidden="false" customHeight="false" outlineLevel="0" collapsed="false">
      <c r="B14" s="21" t="s">
        <v>485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</row>
    <row r="15" customFormat="false" ht="15" hidden="false" customHeight="false" outlineLevel="0" collapsed="false">
      <c r="B15" s="4" t="s">
        <v>486</v>
      </c>
      <c r="D15" s="32" t="n">
        <f aca="false">D7*((Supuestos!$D$29*Supuestos!$D$25+Supuestos!$D$30*Supuestos!$D$26+Supuestos!$D$31*Supuestos!$D$27+Supuestos!$D$32*Supuestos!$D$28)*Supuestos!$D$37)*(1-Supuestos!$D$38)/(1+Supuestos!$D$7*Supuestos!$D$8)/Supuestos!$D$6</f>
        <v>81.7895740623013</v>
      </c>
      <c r="E15" s="32" t="n">
        <f aca="false">E7*((Supuestos!$D$29*Supuestos!$D$25+Supuestos!$D$30*Supuestos!$D$26+Supuestos!$D$31*Supuestos!$D$27+Supuestos!$D$32*Supuestos!$D$28)*Supuestos!$D$37)*(1-Supuestos!$D$38)/(1+Supuestos!$D$7*Supuestos!$D$8)/Supuestos!$D$6</f>
        <v>157.035982199619</v>
      </c>
      <c r="F15" s="32" t="n">
        <f aca="false">F7*((Supuestos!$D$29*Supuestos!$D$25+Supuestos!$D$30*Supuestos!$D$26+Supuestos!$D$31*Supuestos!$D$27+Supuestos!$D$32*Supuestos!$D$28)*Supuestos!$D$37)*(1-Supuestos!$D$38)/(1+Supuestos!$D$7*Supuestos!$D$8)/Supuestos!$D$6</f>
        <v>226.26267768595</v>
      </c>
      <c r="G15" s="32" t="n">
        <f aca="false">G7*((Supuestos!$D$29*Supuestos!$D$25+Supuestos!$D$30*Supuestos!$D$26+Supuestos!$D$31*Supuestos!$D$27+Supuestos!$D$32*Supuestos!$D$28)*Supuestos!$D$37)*(1-Supuestos!$D$38)/(1+Supuestos!$D$7*Supuestos!$D$8)/Supuestos!$D$6</f>
        <v>289.951237533376</v>
      </c>
      <c r="H15" s="32" t="n">
        <f aca="false">H7*((Supuestos!$D$29*Supuestos!$D$25+Supuestos!$D$30*Supuestos!$D$26+Supuestos!$D$31*Supuestos!$D$27+Supuestos!$D$32*Supuestos!$D$28)*Supuestos!$D$37)*(1-Supuestos!$D$38)/(1+Supuestos!$D$7*Supuestos!$D$8)/Supuestos!$D$6</f>
        <v>348.544712593007</v>
      </c>
      <c r="I15" s="32" t="n">
        <f aca="false">I7*((Supuestos!$D$29*Supuestos!$D$25+Supuestos!$D$30*Supuestos!$D$26+Supuestos!$D$31*Supuestos!$D$27+Supuestos!$D$32*Supuestos!$D$28)*Supuestos!$D$37)*(1-Supuestos!$D$38)/(1+Supuestos!$D$7*Supuestos!$D$8)/Supuestos!$D$6</f>
        <v>402.450709647868</v>
      </c>
      <c r="J15" s="32" t="n">
        <f aca="false">J7*((Supuestos!$D$29*Supuestos!$D$25+Supuestos!$D$30*Supuestos!$D$26+Supuestos!$D$31*Supuestos!$D$27+Supuestos!$D$32*Supuestos!$D$28)*Supuestos!$D$37)*(1-Supuestos!$D$38)/(1+Supuestos!$D$7*Supuestos!$D$8)/Supuestos!$D$6</f>
        <v>452.04422693834</v>
      </c>
      <c r="K15" s="32" t="n">
        <f aca="false">K7*((Supuestos!$D$29*Supuestos!$D$25+Supuestos!$D$30*Supuestos!$D$26+Supuestos!$D$31*Supuestos!$D$27+Supuestos!$D$32*Supuestos!$D$28)*Supuestos!$D$37)*(1-Supuestos!$D$38)/(1+Supuestos!$D$7*Supuestos!$D$8)/Supuestos!$D$6</f>
        <v>497.670262845574</v>
      </c>
      <c r="L15" s="32" t="n">
        <f aca="false">L7*((Supuestos!$D$29*Supuestos!$D$25+Supuestos!$D$30*Supuestos!$D$26+Supuestos!$D$31*Supuestos!$D$27+Supuestos!$D$32*Supuestos!$D$28)*Supuestos!$D$37)*(1-Supuestos!$D$38)/(1+Supuestos!$D$7*Supuestos!$D$8)/Supuestos!$D$6</f>
        <v>539.646215880229</v>
      </c>
      <c r="M15" s="32" t="n">
        <f aca="false">M7*((Supuestos!$D$29*Supuestos!$D$25+Supuestos!$D$30*Supuestos!$D$26+Supuestos!$D$31*Supuestos!$D$27+Supuestos!$D$32*Supuestos!$D$28)*Supuestos!$D$37)*(1-Supuestos!$D$38)/(1+Supuestos!$D$7*Supuestos!$D$8)/Supuestos!$D$6</f>
        <v>578.264092672112</v>
      </c>
      <c r="N15" s="32" t="n">
        <f aca="false">N7*((Supuestos!$D$29*Supuestos!$D$25+Supuestos!$D$30*Supuestos!$D$26+Supuestos!$D$31*Supuestos!$D$27+Supuestos!$D$32*Supuestos!$D$28)*Supuestos!$D$37)*(1-Supuestos!$D$38)/(1+Supuestos!$D$7*Supuestos!$D$8)/Supuestos!$D$6</f>
        <v>613.792539320645</v>
      </c>
      <c r="O15" s="32" t="n">
        <f aca="false">O7*((Supuestos!$D$29*Supuestos!$D$25+Supuestos!$D$30*Supuestos!$D$26+Supuestos!$D$31*Supuestos!$D$27+Supuestos!$D$32*Supuestos!$D$28)*Supuestos!$D$37)*(1-Supuestos!$D$38)/(1+Supuestos!$D$7*Supuestos!$D$8)/Supuestos!$D$6</f>
        <v>646.478710237294</v>
      </c>
      <c r="P15" s="32" t="n">
        <f aca="false">P7*((Supuestos!$D$29*Supuestos!$D$25+Supuestos!$D$30*Supuestos!$D$26+Supuestos!$D$31*Supuestos!$D$27+Supuestos!$D$32*Supuestos!$D$28)*Supuestos!$D$37)*(1-Supuestos!$D$38)/(1+Supuestos!$D$7*Supuestos!$D$8)/Supuestos!$D$6</f>
        <v>635.655200449462</v>
      </c>
      <c r="Q15" s="32" t="n">
        <f aca="false">Q7*((Supuestos!$D$29*Supuestos!$D$25+Supuestos!$D$30*Supuestos!$D$26+Supuestos!$D$31*Supuestos!$D$27+Supuestos!$D$32*Supuestos!$D$28)*Supuestos!$D$37)*(1-Supuestos!$D$38)/(1+Supuestos!$D$7*Supuestos!$D$8)/Supuestos!$D$6</f>
        <v>625.697571444655</v>
      </c>
      <c r="R15" s="32" t="n">
        <f aca="false">R7*((Supuestos!$D$29*Supuestos!$D$25+Supuestos!$D$30*Supuestos!$D$26+Supuestos!$D$31*Supuestos!$D$27+Supuestos!$D$32*Supuestos!$D$28)*Supuestos!$D$37)*(1-Supuestos!$D$38)/(1+Supuestos!$D$7*Supuestos!$D$8)/Supuestos!$D$6</f>
        <v>616.536552760234</v>
      </c>
      <c r="S15" s="32" t="n">
        <f aca="false">S7*((Supuestos!$D$29*Supuestos!$D$25+Supuestos!$D$30*Supuestos!$D$26+Supuestos!$D$31*Supuestos!$D$27+Supuestos!$D$32*Supuestos!$D$28)*Supuestos!$D$37)*(1-Supuestos!$D$38)/(1+Supuestos!$D$7*Supuestos!$D$8)/Supuestos!$D$6</f>
        <v>608.108415570566</v>
      </c>
      <c r="T15" s="32" t="n">
        <f aca="false">T7*((Supuestos!$D$29*Supuestos!$D$25+Supuestos!$D$30*Supuestos!$D$26+Supuestos!$D$31*Supuestos!$D$27+Supuestos!$D$32*Supuestos!$D$28)*Supuestos!$D$37)*(1-Supuestos!$D$38)/(1+Supuestos!$D$7*Supuestos!$D$8)/Supuestos!$D$6</f>
        <v>600.354529356071</v>
      </c>
      <c r="U15" s="32" t="n">
        <f aca="false">U7*((Supuestos!$D$29*Supuestos!$D$25+Supuestos!$D$30*Supuestos!$D$26+Supuestos!$D$31*Supuestos!$D$27+Supuestos!$D$32*Supuestos!$D$28)*Supuestos!$D$37)*(1-Supuestos!$D$38)/(1+Supuestos!$D$7*Supuestos!$D$8)/Supuestos!$D$6</f>
        <v>593.220954038736</v>
      </c>
      <c r="V15" s="32" t="n">
        <f aca="false">V7*((Supuestos!$D$29*Supuestos!$D$25+Supuestos!$D$30*Supuestos!$D$26+Supuestos!$D$31*Supuestos!$D$27+Supuestos!$D$32*Supuestos!$D$28)*Supuestos!$D$37)*(1-Supuestos!$D$38)/(1+Supuestos!$D$7*Supuestos!$D$8)/Supuestos!$D$6</f>
        <v>586.658064746788</v>
      </c>
      <c r="W15" s="32" t="n">
        <f aca="false">W7*((Supuestos!$D$29*Supuestos!$D$25+Supuestos!$D$30*Supuestos!$D$26+Supuestos!$D$31*Supuestos!$D$27+Supuestos!$D$32*Supuestos!$D$28)*Supuestos!$D$37)*(1-Supuestos!$D$38)/(1+Supuestos!$D$7*Supuestos!$D$8)/Supuestos!$D$6</f>
        <v>580.620206598196</v>
      </c>
      <c r="X15" s="32" t="n">
        <f aca="false">X7*((Supuestos!$D$29*Supuestos!$D$25+Supuestos!$D$30*Supuestos!$D$26+Supuestos!$D$31*Supuestos!$D$27+Supuestos!$D$32*Supuestos!$D$28)*Supuestos!$D$37)*(1-Supuestos!$D$38)/(1+Supuestos!$D$7*Supuestos!$D$8)/Supuestos!$D$6</f>
        <v>575.065377101491</v>
      </c>
      <c r="Y15" s="32" t="n">
        <f aca="false">Y7*((Supuestos!$D$29*Supuestos!$D$25+Supuestos!$D$30*Supuestos!$D$26+Supuestos!$D$31*Supuestos!$D$27+Supuestos!$D$32*Supuestos!$D$28)*Supuestos!$D$37)*(1-Supuestos!$D$38)/(1+Supuestos!$D$7*Supuestos!$D$8)/Supuestos!$D$6</f>
        <v>569.954933964522</v>
      </c>
      <c r="Z15" s="32" t="n">
        <f aca="false">Z7*((Supuestos!$D$29*Supuestos!$D$25+Supuestos!$D$30*Supuestos!$D$26+Supuestos!$D$31*Supuestos!$D$27+Supuestos!$D$32*Supuestos!$D$28)*Supuestos!$D$37)*(1-Supuestos!$D$38)/(1+Supuestos!$D$7*Supuestos!$D$8)/Supuestos!$D$6</f>
        <v>565.253326278511</v>
      </c>
      <c r="AA15" s="32" t="n">
        <f aca="false">AA7*((Supuestos!$D$29*Supuestos!$D$25+Supuestos!$D$30*Supuestos!$D$26+Supuestos!$D$31*Supuestos!$D$27+Supuestos!$D$32*Supuestos!$D$28)*Supuestos!$D$37)*(1-Supuestos!$D$38)/(1+Supuestos!$D$7*Supuestos!$D$8)/Supuestos!$D$6</f>
        <v>560.927847207381</v>
      </c>
      <c r="AB15" s="32" t="n">
        <f aca="false">AB7*((Supuestos!$D$29*Supuestos!$D$25+Supuestos!$D$30*Supuestos!$D$26+Supuestos!$D$31*Supuestos!$D$27+Supuestos!$D$32*Supuestos!$D$28)*Supuestos!$D$37)*(1-Supuestos!$D$38)/(1+Supuestos!$D$7*Supuestos!$D$8)/Supuestos!$D$6</f>
        <v>556.948406461941</v>
      </c>
      <c r="AC15" s="32" t="n">
        <f aca="false">AC7*((Supuestos!$D$29*Supuestos!$D$25+Supuestos!$D$30*Supuestos!$D$26+Supuestos!$D$31*Supuestos!$D$27+Supuestos!$D$32*Supuestos!$D$28)*Supuestos!$D$37)*(1-Supuestos!$D$38)/(1+Supuestos!$D$7*Supuestos!$D$8)/Supuestos!$D$6</f>
        <v>553.287320976137</v>
      </c>
      <c r="AD15" s="32" t="n">
        <f aca="false">AD7*((Supuestos!$D$29*Supuestos!$D$25+Supuestos!$D$30*Supuestos!$D$26+Supuestos!$D$31*Supuestos!$D$27+Supuestos!$D$32*Supuestos!$D$28)*Supuestos!$D$37)*(1-Supuestos!$D$38)/(1+Supuestos!$D$7*Supuestos!$D$8)/Supuestos!$D$6</f>
        <v>549.919122329196</v>
      </c>
      <c r="AE15" s="32" t="n">
        <f aca="false">AE7*((Supuestos!$D$29*Supuestos!$D$25+Supuestos!$D$30*Supuestos!$D$26+Supuestos!$D$31*Supuestos!$D$27+Supuestos!$D$32*Supuestos!$D$28)*Supuestos!$D$37)*(1-Supuestos!$D$38)/(1+Supuestos!$D$7*Supuestos!$D$8)/Supuestos!$D$6</f>
        <v>546.820379574011</v>
      </c>
      <c r="AF15" s="32" t="n">
        <f aca="false">AF7*((Supuestos!$D$29*Supuestos!$D$25+Supuestos!$D$30*Supuestos!$D$26+Supuestos!$D$31*Supuestos!$D$27+Supuestos!$D$32*Supuestos!$D$28)*Supuestos!$D$37)*(1-Supuestos!$D$38)/(1+Supuestos!$D$7*Supuestos!$D$8)/Supuestos!$D$6</f>
        <v>543.969536239241</v>
      </c>
      <c r="AG15" s="32" t="n">
        <f aca="false">AG7*((Supuestos!$D$29*Supuestos!$D$25+Supuestos!$D$30*Supuestos!$D$26+Supuestos!$D$31*Supuestos!$D$27+Supuestos!$D$32*Supuestos!$D$28)*Supuestos!$D$37)*(1-Supuestos!$D$38)/(1+Supuestos!$D$7*Supuestos!$D$8)/Supuestos!$D$6</f>
        <v>541.346760371253</v>
      </c>
      <c r="AH15" s="32" t="n">
        <f aca="false">AH7*((Supuestos!$D$29*Supuestos!$D$25+Supuestos!$D$30*Supuestos!$D$26+Supuestos!$D$31*Supuestos!$D$27+Supuestos!$D$32*Supuestos!$D$28)*Supuestos!$D$37)*(1-Supuestos!$D$38)/(1+Supuestos!$D$7*Supuestos!$D$8)/Supuestos!$D$6</f>
        <v>538.933806572703</v>
      </c>
      <c r="AI15" s="32" t="n">
        <f aca="false">AI7*((Supuestos!$D$29*Supuestos!$D$25+Supuestos!$D$30*Supuestos!$D$26+Supuestos!$D$31*Supuestos!$D$27+Supuestos!$D$32*Supuestos!$D$28)*Supuestos!$D$37)*(1-Supuestos!$D$38)/(1+Supuestos!$D$7*Supuestos!$D$8)/Supuestos!$D$6</f>
        <v>536.713889078037</v>
      </c>
      <c r="AJ15" s="32" t="n">
        <f aca="false">AJ7*((Supuestos!$D$29*Supuestos!$D$25+Supuestos!$D$30*Supuestos!$D$26+Supuestos!$D$31*Supuestos!$D$27+Supuestos!$D$32*Supuestos!$D$28)*Supuestos!$D$37)*(1-Supuestos!$D$38)/(1+Supuestos!$D$7*Supuestos!$D$8)/Supuestos!$D$6</f>
        <v>534.671564982945</v>
      </c>
      <c r="AK15" s="32" t="n">
        <f aca="false">AK7*((Supuestos!$D$29*Supuestos!$D$25+Supuestos!$D$30*Supuestos!$D$26+Supuestos!$D$31*Supuestos!$D$27+Supuestos!$D$32*Supuestos!$D$28)*Supuestos!$D$37)*(1-Supuestos!$D$38)/(1+Supuestos!$D$7*Supuestos!$D$8)/Supuestos!$D$6</f>
        <v>532.79262681546</v>
      </c>
      <c r="AL15" s="32" t="n">
        <f aca="false">AL7*((Supuestos!$D$29*Supuestos!$D$25+Supuestos!$D$30*Supuestos!$D$26+Supuestos!$D$31*Supuestos!$D$27+Supuestos!$D$32*Supuestos!$D$28)*Supuestos!$D$37)*(1-Supuestos!$D$38)/(1+Supuestos!$D$7*Supuestos!$D$8)/Supuestos!$D$6</f>
        <v>531.064003701374</v>
      </c>
      <c r="AM15" s="32" t="n">
        <f aca="false">AM7*((Supuestos!$D$29*Supuestos!$D$25+Supuestos!$D$30*Supuestos!$D$26+Supuestos!$D$31*Supuestos!$D$27+Supuestos!$D$32*Supuestos!$D$28)*Supuestos!$D$37)*(1-Supuestos!$D$38)/(1+Supuestos!$D$7*Supuestos!$D$8)/Supuestos!$D$6</f>
        <v>529.473670436415</v>
      </c>
    </row>
    <row r="16" customFormat="false" ht="15" hidden="false" customHeight="false" outlineLevel="0" collapsed="false">
      <c r="B16" s="4" t="s">
        <v>487</v>
      </c>
      <c r="D16" s="32" t="n">
        <f aca="false">D9*Supuestos!$D$33*Supuestos!$D$37*(1-Supuestos!$D$38)/(1+Supuestos!$D$7*Supuestos!$D$8)/Supuestos!$D$6</f>
        <v>25.3178639542276</v>
      </c>
      <c r="E16" s="32" t="n">
        <f aca="false">E9*Supuestos!$D$33*Supuestos!$D$37*(1-Supuestos!$D$38)/(1+Supuestos!$D$7*Supuestos!$D$8)/Supuestos!$D$6</f>
        <v>49.3698347107438</v>
      </c>
      <c r="F16" s="32" t="n">
        <f aca="false">F9*Supuestos!$D$33*Supuestos!$D$37*(1-Supuestos!$D$38)/(1+Supuestos!$D$7*Supuestos!$D$8)/Supuestos!$D$6</f>
        <v>72.2192069294342</v>
      </c>
      <c r="G16" s="32" t="n">
        <f aca="false">G9*Supuestos!$D$33*Supuestos!$D$37*(1-Supuestos!$D$38)/(1+Supuestos!$D$7*Supuestos!$D$8)/Supuestos!$D$6</f>
        <v>93.9261105371901</v>
      </c>
      <c r="H16" s="32" t="n">
        <f aca="false">H9*Supuestos!$D$33*Supuestos!$D$37*(1-Supuestos!$D$38)/(1+Supuestos!$D$7*Supuestos!$D$8)/Supuestos!$D$6</f>
        <v>114.547668964558</v>
      </c>
      <c r="I16" s="32" t="n">
        <f aca="false">I9*Supuestos!$D$33*Supuestos!$D$37*(1-Supuestos!$D$38)/(1+Supuestos!$D$7*Supuestos!$D$8)/Supuestos!$D$6</f>
        <v>134.138149470558</v>
      </c>
      <c r="J16" s="32" t="n">
        <f aca="false">J9*Supuestos!$D$33*Supuestos!$D$37*(1-Supuestos!$D$38)/(1+Supuestos!$D$7*Supuestos!$D$8)/Supuestos!$D$6</f>
        <v>152.749105951258</v>
      </c>
      <c r="K16" s="32" t="n">
        <f aca="false">K9*Supuestos!$D$33*Supuestos!$D$37*(1-Supuestos!$D$38)/(1+Supuestos!$D$7*Supuestos!$D$8)/Supuestos!$D$6</f>
        <v>170.429514607922</v>
      </c>
      <c r="L16" s="32" t="n">
        <f aca="false">L9*Supuestos!$D$33*Supuestos!$D$37*(1-Supuestos!$D$38)/(1+Supuestos!$D$7*Supuestos!$D$8)/Supuestos!$D$6</f>
        <v>187.225902831754</v>
      </c>
      <c r="M16" s="32" t="n">
        <f aca="false">M9*Supuestos!$D$33*Supuestos!$D$37*(1-Supuestos!$D$38)/(1+Supuestos!$D$7*Supuestos!$D$8)/Supuestos!$D$6</f>
        <v>202.542911633821</v>
      </c>
      <c r="N16" s="32" t="n">
        <f aca="false">N9*Supuestos!$D$33*Supuestos!$D$37*(1-Supuestos!$D$38)/(1+Supuestos!$D$7*Supuestos!$D$8)/Supuestos!$D$6</f>
        <v>202.542911633821</v>
      </c>
      <c r="O16" s="32" t="n">
        <f aca="false">O9*Supuestos!$D$33*Supuestos!$D$37*(1-Supuestos!$D$38)/(1+Supuestos!$D$7*Supuestos!$D$8)/Supuestos!$D$6</f>
        <v>202.542911633821</v>
      </c>
      <c r="P16" s="32" t="n">
        <f aca="false">P9*Supuestos!$D$33*Supuestos!$D$37*(1-Supuestos!$D$38)/(1+Supuestos!$D$7*Supuestos!$D$8)/Supuestos!$D$6</f>
        <v>202.542911633821</v>
      </c>
      <c r="Q16" s="32" t="n">
        <f aca="false">Q9*Supuestos!$D$33*Supuestos!$D$37*(1-Supuestos!$D$38)/(1+Supuestos!$D$7*Supuestos!$D$8)/Supuestos!$D$6</f>
        <v>202.542911633821</v>
      </c>
      <c r="R16" s="32" t="n">
        <f aca="false">R9*Supuestos!$D$33*Supuestos!$D$37*(1-Supuestos!$D$38)/(1+Supuestos!$D$7*Supuestos!$D$8)/Supuestos!$D$6</f>
        <v>202.542911633821</v>
      </c>
      <c r="S16" s="32" t="n">
        <f aca="false">S9*Supuestos!$D$33*Supuestos!$D$37*(1-Supuestos!$D$38)/(1+Supuestos!$D$7*Supuestos!$D$8)/Supuestos!$D$6</f>
        <v>202.542911633821</v>
      </c>
      <c r="T16" s="32" t="n">
        <f aca="false">T9*Supuestos!$D$33*Supuestos!$D$37*(1-Supuestos!$D$38)/(1+Supuestos!$D$7*Supuestos!$D$8)/Supuestos!$D$6</f>
        <v>202.542911633821</v>
      </c>
      <c r="U16" s="32" t="n">
        <f aca="false">U9*Supuestos!$D$33*Supuestos!$D$37*(1-Supuestos!$D$38)/(1+Supuestos!$D$7*Supuestos!$D$8)/Supuestos!$D$6</f>
        <v>202.542911633821</v>
      </c>
      <c r="V16" s="32" t="n">
        <f aca="false">V9*Supuestos!$D$33*Supuestos!$D$37*(1-Supuestos!$D$38)/(1+Supuestos!$D$7*Supuestos!$D$8)/Supuestos!$D$6</f>
        <v>202.542911633821</v>
      </c>
      <c r="W16" s="32" t="n">
        <f aca="false">W9*Supuestos!$D$33*Supuestos!$D$37*(1-Supuestos!$D$38)/(1+Supuestos!$D$7*Supuestos!$D$8)/Supuestos!$D$6</f>
        <v>202.542911633821</v>
      </c>
      <c r="X16" s="32" t="n">
        <f aca="false">X9*Supuestos!$D$33*Supuestos!$D$37*(1-Supuestos!$D$38)/(1+Supuestos!$D$7*Supuestos!$D$8)/Supuestos!$D$6</f>
        <v>202.542911633821</v>
      </c>
      <c r="Y16" s="32" t="n">
        <f aca="false">Y9*Supuestos!$D$33*Supuestos!$D$37*(1-Supuestos!$D$38)/(1+Supuestos!$D$7*Supuestos!$D$8)/Supuestos!$D$6</f>
        <v>202.542911633821</v>
      </c>
      <c r="Z16" s="32" t="n">
        <f aca="false">Z9*Supuestos!$D$33*Supuestos!$D$37*(1-Supuestos!$D$38)/(1+Supuestos!$D$7*Supuestos!$D$8)/Supuestos!$D$6</f>
        <v>202.542911633821</v>
      </c>
      <c r="AA16" s="32" t="n">
        <f aca="false">AA9*Supuestos!$D$33*Supuestos!$D$37*(1-Supuestos!$D$38)/(1+Supuestos!$D$7*Supuestos!$D$8)/Supuestos!$D$6</f>
        <v>202.542911633821</v>
      </c>
      <c r="AB16" s="32" t="n">
        <f aca="false">AB9*Supuestos!$D$33*Supuestos!$D$37*(1-Supuestos!$D$38)/(1+Supuestos!$D$7*Supuestos!$D$8)/Supuestos!$D$6</f>
        <v>202.542911633821</v>
      </c>
      <c r="AC16" s="32" t="n">
        <f aca="false">AC9*Supuestos!$D$33*Supuestos!$D$37*(1-Supuestos!$D$38)/(1+Supuestos!$D$7*Supuestos!$D$8)/Supuestos!$D$6</f>
        <v>202.542911633821</v>
      </c>
      <c r="AD16" s="32" t="n">
        <f aca="false">AD9*Supuestos!$D$33*Supuestos!$D$37*(1-Supuestos!$D$38)/(1+Supuestos!$D$7*Supuestos!$D$8)/Supuestos!$D$6</f>
        <v>202.542911633821</v>
      </c>
      <c r="AE16" s="32" t="n">
        <f aca="false">AE9*Supuestos!$D$33*Supuestos!$D$37*(1-Supuestos!$D$38)/(1+Supuestos!$D$7*Supuestos!$D$8)/Supuestos!$D$6</f>
        <v>202.542911633821</v>
      </c>
      <c r="AF16" s="32" t="n">
        <f aca="false">AF9*Supuestos!$D$33*Supuestos!$D$37*(1-Supuestos!$D$38)/(1+Supuestos!$D$7*Supuestos!$D$8)/Supuestos!$D$6</f>
        <v>202.542911633821</v>
      </c>
      <c r="AG16" s="32" t="n">
        <f aca="false">AG9*Supuestos!$D$33*Supuestos!$D$37*(1-Supuestos!$D$38)/(1+Supuestos!$D$7*Supuestos!$D$8)/Supuestos!$D$6</f>
        <v>202.542911633821</v>
      </c>
      <c r="AH16" s="32" t="n">
        <f aca="false">AH9*Supuestos!$D$33*Supuestos!$D$37*(1-Supuestos!$D$38)/(1+Supuestos!$D$7*Supuestos!$D$8)/Supuestos!$D$6</f>
        <v>202.542911633821</v>
      </c>
      <c r="AI16" s="32" t="n">
        <f aca="false">AI9*Supuestos!$D$33*Supuestos!$D$37*(1-Supuestos!$D$38)/(1+Supuestos!$D$7*Supuestos!$D$8)/Supuestos!$D$6</f>
        <v>202.542911633821</v>
      </c>
      <c r="AJ16" s="32" t="n">
        <f aca="false">AJ9*Supuestos!$D$33*Supuestos!$D$37*(1-Supuestos!$D$38)/(1+Supuestos!$D$7*Supuestos!$D$8)/Supuestos!$D$6</f>
        <v>202.542911633821</v>
      </c>
      <c r="AK16" s="32" t="n">
        <f aca="false">AK9*Supuestos!$D$33*Supuestos!$D$37*(1-Supuestos!$D$38)/(1+Supuestos!$D$7*Supuestos!$D$8)/Supuestos!$D$6</f>
        <v>202.542911633821</v>
      </c>
      <c r="AL16" s="32" t="n">
        <f aca="false">AL9*Supuestos!$D$33*Supuestos!$D$37*(1-Supuestos!$D$38)/(1+Supuestos!$D$7*Supuestos!$D$8)/Supuestos!$D$6</f>
        <v>202.542911633821</v>
      </c>
      <c r="AM16" s="32" t="n">
        <f aca="false">AM9*Supuestos!$D$33*Supuestos!$D$37*(1-Supuestos!$D$38)/(1+Supuestos!$D$7*Supuestos!$D$8)/Supuestos!$D$6</f>
        <v>202.542911633821</v>
      </c>
    </row>
    <row r="17" customFormat="false" ht="15" hidden="false" customHeight="false" outlineLevel="0" collapsed="false">
      <c r="B17" s="4" t="s">
        <v>488</v>
      </c>
      <c r="D17" s="32" t="n">
        <f aca="false">D10*Supuestos!$D$34*Supuestos!$D$37*(1-Supuestos!$D$38)/(1+Supuestos!$D$7*Supuestos!$D$8)/Supuestos!$D$6</f>
        <v>41.1951684678957</v>
      </c>
      <c r="E17" s="32" t="n">
        <f aca="false">E10*Supuestos!$D$34*Supuestos!$D$37*(1-Supuestos!$D$38)/(1+Supuestos!$D$7*Supuestos!$D$8)/Supuestos!$D$6</f>
        <v>82.3903369357915</v>
      </c>
      <c r="F17" s="32" t="n">
        <f aca="false">F10*Supuestos!$D$34*Supuestos!$D$37*(1-Supuestos!$D$38)/(1+Supuestos!$D$7*Supuestos!$D$8)/Supuestos!$D$6</f>
        <v>123.585505403687</v>
      </c>
      <c r="G17" s="32" t="n">
        <f aca="false">G10*Supuestos!$D$34*Supuestos!$D$37*(1-Supuestos!$D$38)/(1+Supuestos!$D$7*Supuestos!$D$8)/Supuestos!$D$6</f>
        <v>164.780673871583</v>
      </c>
      <c r="H17" s="32" t="n">
        <f aca="false">H10*Supuestos!$D$34*Supuestos!$D$37*(1-Supuestos!$D$38)/(1+Supuestos!$D$7*Supuestos!$D$8)/Supuestos!$D$6</f>
        <v>205.975842339479</v>
      </c>
      <c r="I17" s="32" t="n">
        <f aca="false">I10*Supuestos!$D$34*Supuestos!$D$37*(1-Supuestos!$D$38)/(1+Supuestos!$D$7*Supuestos!$D$8)/Supuestos!$D$6</f>
        <v>247.171010807374</v>
      </c>
      <c r="J17" s="32" t="n">
        <f aca="false">J10*Supuestos!$D$34*Supuestos!$D$37*(1-Supuestos!$D$38)/(1+Supuestos!$D$7*Supuestos!$D$8)/Supuestos!$D$6</f>
        <v>288.36617927527</v>
      </c>
      <c r="K17" s="32" t="n">
        <f aca="false">K10*Supuestos!$D$34*Supuestos!$D$37*(1-Supuestos!$D$38)/(1+Supuestos!$D$7*Supuestos!$D$8)/Supuestos!$D$6</f>
        <v>329.561347743166</v>
      </c>
      <c r="L17" s="32" t="n">
        <f aca="false">L10*Supuestos!$D$34*Supuestos!$D$37*(1-Supuestos!$D$38)/(1+Supuestos!$D$7*Supuestos!$D$8)/Supuestos!$D$6</f>
        <v>370.756516211062</v>
      </c>
      <c r="M17" s="32" t="n">
        <f aca="false">M10*Supuestos!$D$34*Supuestos!$D$37*(1-Supuestos!$D$38)/(1+Supuestos!$D$7*Supuestos!$D$8)/Supuestos!$D$6</f>
        <v>411.951684678957</v>
      </c>
      <c r="N17" s="32" t="n">
        <f aca="false">N10*Supuestos!$D$34*Supuestos!$D$37*(1-Supuestos!$D$38)/(1+Supuestos!$D$7*Supuestos!$D$8)/Supuestos!$D$6</f>
        <v>411.951684678957</v>
      </c>
      <c r="O17" s="32" t="n">
        <f aca="false">O10*Supuestos!$D$34*Supuestos!$D$37*(1-Supuestos!$D$38)/(1+Supuestos!$D$7*Supuestos!$D$8)/Supuestos!$D$6</f>
        <v>411.951684678957</v>
      </c>
      <c r="P17" s="32" t="n">
        <f aca="false">P10*Supuestos!$D$34*Supuestos!$D$37*(1-Supuestos!$D$38)/(1+Supuestos!$D$7*Supuestos!$D$8)/Supuestos!$D$6</f>
        <v>411.951684678957</v>
      </c>
      <c r="Q17" s="32" t="n">
        <f aca="false">Q10*Supuestos!$D$34*Supuestos!$D$37*(1-Supuestos!$D$38)/(1+Supuestos!$D$7*Supuestos!$D$8)/Supuestos!$D$6</f>
        <v>411.951684678957</v>
      </c>
      <c r="R17" s="32" t="n">
        <f aca="false">R10*Supuestos!$D$34*Supuestos!$D$37*(1-Supuestos!$D$38)/(1+Supuestos!$D$7*Supuestos!$D$8)/Supuestos!$D$6</f>
        <v>411.951684678957</v>
      </c>
      <c r="S17" s="32" t="n">
        <f aca="false">S10*Supuestos!$D$34*Supuestos!$D$37*(1-Supuestos!$D$38)/(1+Supuestos!$D$7*Supuestos!$D$8)/Supuestos!$D$6</f>
        <v>411.951684678957</v>
      </c>
      <c r="T17" s="32" t="n">
        <f aca="false">T10*Supuestos!$D$34*Supuestos!$D$37*(1-Supuestos!$D$38)/(1+Supuestos!$D$7*Supuestos!$D$8)/Supuestos!$D$6</f>
        <v>411.951684678957</v>
      </c>
      <c r="U17" s="32" t="n">
        <f aca="false">U10*Supuestos!$D$34*Supuestos!$D$37*(1-Supuestos!$D$38)/(1+Supuestos!$D$7*Supuestos!$D$8)/Supuestos!$D$6</f>
        <v>411.951684678957</v>
      </c>
      <c r="V17" s="32" t="n">
        <f aca="false">V10*Supuestos!$D$34*Supuestos!$D$37*(1-Supuestos!$D$38)/(1+Supuestos!$D$7*Supuestos!$D$8)/Supuestos!$D$6</f>
        <v>411.951684678957</v>
      </c>
      <c r="W17" s="32" t="n">
        <f aca="false">W10*Supuestos!$D$34*Supuestos!$D$37*(1-Supuestos!$D$38)/(1+Supuestos!$D$7*Supuestos!$D$8)/Supuestos!$D$6</f>
        <v>411.951684678957</v>
      </c>
      <c r="X17" s="32" t="n">
        <f aca="false">X10*Supuestos!$D$34*Supuestos!$D$37*(1-Supuestos!$D$38)/(1+Supuestos!$D$7*Supuestos!$D$8)/Supuestos!$D$6</f>
        <v>411.951684678957</v>
      </c>
      <c r="Y17" s="32" t="n">
        <f aca="false">Y10*Supuestos!$D$34*Supuestos!$D$37*(1-Supuestos!$D$38)/(1+Supuestos!$D$7*Supuestos!$D$8)/Supuestos!$D$6</f>
        <v>411.951684678957</v>
      </c>
      <c r="Z17" s="32" t="n">
        <f aca="false">Z10*Supuestos!$D$34*Supuestos!$D$37*(1-Supuestos!$D$38)/(1+Supuestos!$D$7*Supuestos!$D$8)/Supuestos!$D$6</f>
        <v>411.951684678957</v>
      </c>
      <c r="AA17" s="32" t="n">
        <f aca="false">AA10*Supuestos!$D$34*Supuestos!$D$37*(1-Supuestos!$D$38)/(1+Supuestos!$D$7*Supuestos!$D$8)/Supuestos!$D$6</f>
        <v>411.951684678957</v>
      </c>
      <c r="AB17" s="32" t="n">
        <f aca="false">AB10*Supuestos!$D$34*Supuestos!$D$37*(1-Supuestos!$D$38)/(1+Supuestos!$D$7*Supuestos!$D$8)/Supuestos!$D$6</f>
        <v>411.951684678957</v>
      </c>
      <c r="AC17" s="32" t="n">
        <f aca="false">AC10*Supuestos!$D$34*Supuestos!$D$37*(1-Supuestos!$D$38)/(1+Supuestos!$D$7*Supuestos!$D$8)/Supuestos!$D$6</f>
        <v>411.951684678957</v>
      </c>
      <c r="AD17" s="32" t="n">
        <f aca="false">AD10*Supuestos!$D$34*Supuestos!$D$37*(1-Supuestos!$D$38)/(1+Supuestos!$D$7*Supuestos!$D$8)/Supuestos!$D$6</f>
        <v>411.951684678957</v>
      </c>
      <c r="AE17" s="32" t="n">
        <f aca="false">AE10*Supuestos!$D$34*Supuestos!$D$37*(1-Supuestos!$D$38)/(1+Supuestos!$D$7*Supuestos!$D$8)/Supuestos!$D$6</f>
        <v>411.951684678957</v>
      </c>
      <c r="AF17" s="32" t="n">
        <f aca="false">AF10*Supuestos!$D$34*Supuestos!$D$37*(1-Supuestos!$D$38)/(1+Supuestos!$D$7*Supuestos!$D$8)/Supuestos!$D$6</f>
        <v>411.951684678957</v>
      </c>
      <c r="AG17" s="32" t="n">
        <f aca="false">AG10*Supuestos!$D$34*Supuestos!$D$37*(1-Supuestos!$D$38)/(1+Supuestos!$D$7*Supuestos!$D$8)/Supuestos!$D$6</f>
        <v>411.951684678957</v>
      </c>
      <c r="AH17" s="32" t="n">
        <f aca="false">AH10*Supuestos!$D$34*Supuestos!$D$37*(1-Supuestos!$D$38)/(1+Supuestos!$D$7*Supuestos!$D$8)/Supuestos!$D$6</f>
        <v>411.951684678957</v>
      </c>
      <c r="AI17" s="32" t="n">
        <f aca="false">AI10*Supuestos!$D$34*Supuestos!$D$37*(1-Supuestos!$D$38)/(1+Supuestos!$D$7*Supuestos!$D$8)/Supuestos!$D$6</f>
        <v>411.951684678957</v>
      </c>
      <c r="AJ17" s="32" t="n">
        <f aca="false">AJ10*Supuestos!$D$34*Supuestos!$D$37*(1-Supuestos!$D$38)/(1+Supuestos!$D$7*Supuestos!$D$8)/Supuestos!$D$6</f>
        <v>411.951684678957</v>
      </c>
      <c r="AK17" s="32" t="n">
        <f aca="false">AK10*Supuestos!$D$34*Supuestos!$D$37*(1-Supuestos!$D$38)/(1+Supuestos!$D$7*Supuestos!$D$8)/Supuestos!$D$6</f>
        <v>411.951684678957</v>
      </c>
      <c r="AL17" s="32" t="n">
        <f aca="false">AL10*Supuestos!$D$34*Supuestos!$D$37*(1-Supuestos!$D$38)/(1+Supuestos!$D$7*Supuestos!$D$8)/Supuestos!$D$6</f>
        <v>411.951684678957</v>
      </c>
      <c r="AM17" s="32" t="n">
        <f aca="false">AM10*Supuestos!$D$34*Supuestos!$D$37*(1-Supuestos!$D$38)/(1+Supuestos!$D$7*Supuestos!$D$8)/Supuestos!$D$6</f>
        <v>411.951684678957</v>
      </c>
    </row>
    <row r="18" customFormat="false" ht="15" hidden="false" customHeight="false" outlineLevel="0" collapsed="false">
      <c r="B18" s="4" t="s">
        <v>489</v>
      </c>
      <c r="D18" s="32" t="n">
        <f aca="false">Supuestos!$D$39*MIN(1,D$3/Supuestos!$D$42)*Supuestos!$D$35*Supuestos!$D$37/(1+Supuestos!$D$7*Supuestos!$D$8)/Supuestos!$D$6</f>
        <v>8.18499682136046</v>
      </c>
      <c r="E18" s="32" t="n">
        <f aca="false">Supuestos!$D$39*MIN(1,E$3/Supuestos!$D$42)*Supuestos!$D$35*Supuestos!$D$37/(1+Supuestos!$D$7*Supuestos!$D$8)/Supuestos!$D$6</f>
        <v>16.3699936427209</v>
      </c>
      <c r="F18" s="32" t="n">
        <f aca="false">Supuestos!$D$39*MIN(1,F$3/Supuestos!$D$42)*Supuestos!$D$35*Supuestos!$D$37/(1+Supuestos!$D$7*Supuestos!$D$8)/Supuestos!$D$6</f>
        <v>24.5549904640814</v>
      </c>
      <c r="G18" s="32" t="n">
        <f aca="false">Supuestos!$D$39*MIN(1,G$3/Supuestos!$D$42)*Supuestos!$D$35*Supuestos!$D$37/(1+Supuestos!$D$7*Supuestos!$D$8)/Supuestos!$D$6</f>
        <v>32.7399872854418</v>
      </c>
      <c r="H18" s="32" t="n">
        <f aca="false">Supuestos!$D$39*MIN(1,H$3/Supuestos!$D$42)*Supuestos!$D$35*Supuestos!$D$37/(1+Supuestos!$D$7*Supuestos!$D$8)/Supuestos!$D$6</f>
        <v>40.9249841068023</v>
      </c>
      <c r="I18" s="32" t="n">
        <f aca="false">Supuestos!$D$39*MIN(1,I$3/Supuestos!$D$42)*Supuestos!$D$35*Supuestos!$D$37/(1+Supuestos!$D$7*Supuestos!$D$8)/Supuestos!$D$6</f>
        <v>49.1099809281627</v>
      </c>
      <c r="J18" s="32" t="n">
        <f aca="false">Supuestos!$D$39*MIN(1,J$3/Supuestos!$D$42)*Supuestos!$D$35*Supuestos!$D$37/(1+Supuestos!$D$7*Supuestos!$D$8)/Supuestos!$D$6</f>
        <v>57.2949777495232</v>
      </c>
      <c r="K18" s="32" t="n">
        <f aca="false">Supuestos!$D$39*MIN(1,K$3/Supuestos!$D$42)*Supuestos!$D$35*Supuestos!$D$37/(1+Supuestos!$D$7*Supuestos!$D$8)/Supuestos!$D$6</f>
        <v>65.4799745708837</v>
      </c>
      <c r="L18" s="32" t="n">
        <f aca="false">Supuestos!$D$39*MIN(1,L$3/Supuestos!$D$42)*Supuestos!$D$35*Supuestos!$D$37/(1+Supuestos!$D$7*Supuestos!$D$8)/Supuestos!$D$6</f>
        <v>73.6649713922441</v>
      </c>
      <c r="M18" s="32" t="n">
        <f aca="false">Supuestos!$D$39*MIN(1,M$3/Supuestos!$D$42)*Supuestos!$D$35*Supuestos!$D$37/(1+Supuestos!$D$7*Supuestos!$D$8)/Supuestos!$D$6</f>
        <v>81.8499682136046</v>
      </c>
      <c r="N18" s="32" t="n">
        <f aca="false">Supuestos!$D$39*MIN(1,N$3/Supuestos!$D$42)*Supuestos!$D$35*Supuestos!$D$37/(1+Supuestos!$D$7*Supuestos!$D$8)/Supuestos!$D$6</f>
        <v>90.034965034965</v>
      </c>
      <c r="O18" s="32" t="n">
        <f aca="false">Supuestos!$D$39*MIN(1,O$3/Supuestos!$D$42)*Supuestos!$D$35*Supuestos!$D$37/(1+Supuestos!$D$7*Supuestos!$D$8)/Supuestos!$D$6</f>
        <v>98.2199618563255</v>
      </c>
      <c r="P18" s="32" t="n">
        <f aca="false">Supuestos!$D$39*MIN(1,P$3/Supuestos!$D$42)*Supuestos!$D$35*Supuestos!$D$37/(1+Supuestos!$D$7*Supuestos!$D$8)/Supuestos!$D$6</f>
        <v>98.2199618563255</v>
      </c>
      <c r="Q18" s="32" t="n">
        <f aca="false">Supuestos!$D$39*MIN(1,Q$3/Supuestos!$D$42)*Supuestos!$D$35*Supuestos!$D$37/(1+Supuestos!$D$7*Supuestos!$D$8)/Supuestos!$D$6</f>
        <v>98.2199618563255</v>
      </c>
      <c r="R18" s="32" t="n">
        <f aca="false">Supuestos!$D$39*MIN(1,R$3/Supuestos!$D$42)*Supuestos!$D$35*Supuestos!$D$37/(1+Supuestos!$D$7*Supuestos!$D$8)/Supuestos!$D$6</f>
        <v>98.2199618563255</v>
      </c>
      <c r="S18" s="32" t="n">
        <f aca="false">Supuestos!$D$39*MIN(1,S$3/Supuestos!$D$42)*Supuestos!$D$35*Supuestos!$D$37/(1+Supuestos!$D$7*Supuestos!$D$8)/Supuestos!$D$6</f>
        <v>98.2199618563255</v>
      </c>
      <c r="T18" s="32" t="n">
        <f aca="false">Supuestos!$D$39*MIN(1,T$3/Supuestos!$D$42)*Supuestos!$D$35*Supuestos!$D$37/(1+Supuestos!$D$7*Supuestos!$D$8)/Supuestos!$D$6</f>
        <v>98.2199618563255</v>
      </c>
      <c r="U18" s="32" t="n">
        <f aca="false">Supuestos!$D$39*MIN(1,U$3/Supuestos!$D$42)*Supuestos!$D$35*Supuestos!$D$37/(1+Supuestos!$D$7*Supuestos!$D$8)/Supuestos!$D$6</f>
        <v>98.2199618563255</v>
      </c>
      <c r="V18" s="32" t="n">
        <f aca="false">Supuestos!$D$39*MIN(1,V$3/Supuestos!$D$42)*Supuestos!$D$35*Supuestos!$D$37/(1+Supuestos!$D$7*Supuestos!$D$8)/Supuestos!$D$6</f>
        <v>98.2199618563255</v>
      </c>
      <c r="W18" s="32" t="n">
        <f aca="false">Supuestos!$D$39*MIN(1,W$3/Supuestos!$D$42)*Supuestos!$D$35*Supuestos!$D$37/(1+Supuestos!$D$7*Supuestos!$D$8)/Supuestos!$D$6</f>
        <v>98.2199618563255</v>
      </c>
      <c r="X18" s="32" t="n">
        <f aca="false">Supuestos!$D$39*MIN(1,X$3/Supuestos!$D$42)*Supuestos!$D$35*Supuestos!$D$37/(1+Supuestos!$D$7*Supuestos!$D$8)/Supuestos!$D$6</f>
        <v>98.2199618563255</v>
      </c>
      <c r="Y18" s="32" t="n">
        <f aca="false">Supuestos!$D$39*MIN(1,Y$3/Supuestos!$D$42)*Supuestos!$D$35*Supuestos!$D$37/(1+Supuestos!$D$7*Supuestos!$D$8)/Supuestos!$D$6</f>
        <v>98.2199618563255</v>
      </c>
      <c r="Z18" s="32" t="n">
        <f aca="false">Supuestos!$D$39*MIN(1,Z$3/Supuestos!$D$42)*Supuestos!$D$35*Supuestos!$D$37/(1+Supuestos!$D$7*Supuestos!$D$8)/Supuestos!$D$6</f>
        <v>98.2199618563255</v>
      </c>
      <c r="AA18" s="32" t="n">
        <f aca="false">Supuestos!$D$39*MIN(1,AA$3/Supuestos!$D$42)*Supuestos!$D$35*Supuestos!$D$37/(1+Supuestos!$D$7*Supuestos!$D$8)/Supuestos!$D$6</f>
        <v>98.2199618563255</v>
      </c>
      <c r="AB18" s="32" t="n">
        <f aca="false">Supuestos!$D$39*MIN(1,AB$3/Supuestos!$D$42)*Supuestos!$D$35*Supuestos!$D$37/(1+Supuestos!$D$7*Supuestos!$D$8)/Supuestos!$D$6</f>
        <v>98.2199618563255</v>
      </c>
      <c r="AC18" s="32" t="n">
        <f aca="false">Supuestos!$D$39*MIN(1,AC$3/Supuestos!$D$42)*Supuestos!$D$35*Supuestos!$D$37/(1+Supuestos!$D$7*Supuestos!$D$8)/Supuestos!$D$6</f>
        <v>98.2199618563255</v>
      </c>
      <c r="AD18" s="32" t="n">
        <f aca="false">Supuestos!$D$39*MIN(1,AD$3/Supuestos!$D$42)*Supuestos!$D$35*Supuestos!$D$37/(1+Supuestos!$D$7*Supuestos!$D$8)/Supuestos!$D$6</f>
        <v>98.2199618563255</v>
      </c>
      <c r="AE18" s="32" t="n">
        <f aca="false">Supuestos!$D$39*MIN(1,AE$3/Supuestos!$D$42)*Supuestos!$D$35*Supuestos!$D$37/(1+Supuestos!$D$7*Supuestos!$D$8)/Supuestos!$D$6</f>
        <v>98.2199618563255</v>
      </c>
      <c r="AF18" s="32" t="n">
        <f aca="false">Supuestos!$D$39*MIN(1,AF$3/Supuestos!$D$42)*Supuestos!$D$35*Supuestos!$D$37/(1+Supuestos!$D$7*Supuestos!$D$8)/Supuestos!$D$6</f>
        <v>98.2199618563255</v>
      </c>
      <c r="AG18" s="32" t="n">
        <f aca="false">Supuestos!$D$39*MIN(1,AG$3/Supuestos!$D$42)*Supuestos!$D$35*Supuestos!$D$37/(1+Supuestos!$D$7*Supuestos!$D$8)/Supuestos!$D$6</f>
        <v>98.2199618563255</v>
      </c>
      <c r="AH18" s="32" t="n">
        <f aca="false">Supuestos!$D$39*MIN(1,AH$3/Supuestos!$D$42)*Supuestos!$D$35*Supuestos!$D$37/(1+Supuestos!$D$7*Supuestos!$D$8)/Supuestos!$D$6</f>
        <v>98.2199618563255</v>
      </c>
      <c r="AI18" s="32" t="n">
        <f aca="false">Supuestos!$D$39*MIN(1,AI$3/Supuestos!$D$42)*Supuestos!$D$35*Supuestos!$D$37/(1+Supuestos!$D$7*Supuestos!$D$8)/Supuestos!$D$6</f>
        <v>98.2199618563255</v>
      </c>
      <c r="AJ18" s="32" t="n">
        <f aca="false">Supuestos!$D$39*MIN(1,AJ$3/Supuestos!$D$42)*Supuestos!$D$35*Supuestos!$D$37/(1+Supuestos!$D$7*Supuestos!$D$8)/Supuestos!$D$6</f>
        <v>98.2199618563255</v>
      </c>
      <c r="AK18" s="32" t="n">
        <f aca="false">Supuestos!$D$39*MIN(1,AK$3/Supuestos!$D$42)*Supuestos!$D$35*Supuestos!$D$37/(1+Supuestos!$D$7*Supuestos!$D$8)/Supuestos!$D$6</f>
        <v>98.2199618563255</v>
      </c>
      <c r="AL18" s="32" t="n">
        <f aca="false">Supuestos!$D$39*MIN(1,AL$3/Supuestos!$D$42)*Supuestos!$D$35*Supuestos!$D$37/(1+Supuestos!$D$7*Supuestos!$D$8)/Supuestos!$D$6</f>
        <v>98.2199618563255</v>
      </c>
      <c r="AM18" s="32" t="n">
        <f aca="false">Supuestos!$D$39*MIN(1,AM$3/Supuestos!$D$42)*Supuestos!$D$35*Supuestos!$D$37/(1+Supuestos!$D$7*Supuestos!$D$8)/Supuestos!$D$6</f>
        <v>98.2199618563255</v>
      </c>
    </row>
    <row r="19" customFormat="false" ht="15" hidden="false" customHeight="false" outlineLevel="0" collapsed="false">
      <c r="B19" s="4" t="s">
        <v>490</v>
      </c>
      <c r="D19" s="32" t="n">
        <f aca="false">Supuestos!$D$40*MIN(1,D$3/Supuestos!$D$42)*Supuestos!$D$36*Supuestos!$D$37/(1+Supuestos!$D$7*Supuestos!$D$8)/Supuestos!$D$6</f>
        <v>5.16528925619835</v>
      </c>
      <c r="E19" s="32" t="n">
        <f aca="false">Supuestos!$D$40*MIN(1,E$3/Supuestos!$D$42)*Supuestos!$D$36*Supuestos!$D$37/(1+Supuestos!$D$7*Supuestos!$D$8)/Supuestos!$D$6</f>
        <v>10.3305785123967</v>
      </c>
      <c r="F19" s="32" t="n">
        <f aca="false">Supuestos!$D$40*MIN(1,F$3/Supuestos!$D$42)*Supuestos!$D$36*Supuestos!$D$37/(1+Supuestos!$D$7*Supuestos!$D$8)/Supuestos!$D$6</f>
        <v>15.495867768595</v>
      </c>
      <c r="G19" s="32" t="n">
        <f aca="false">Supuestos!$D$40*MIN(1,G$3/Supuestos!$D$42)*Supuestos!$D$36*Supuestos!$D$37/(1+Supuestos!$D$7*Supuestos!$D$8)/Supuestos!$D$6</f>
        <v>20.6611570247934</v>
      </c>
      <c r="H19" s="32" t="n">
        <f aca="false">Supuestos!$D$40*MIN(1,H$3/Supuestos!$D$42)*Supuestos!$D$36*Supuestos!$D$37/(1+Supuestos!$D$7*Supuestos!$D$8)/Supuestos!$D$6</f>
        <v>25.8264462809917</v>
      </c>
      <c r="I19" s="32" t="n">
        <f aca="false">Supuestos!$D$40*MIN(1,I$3/Supuestos!$D$42)*Supuestos!$D$36*Supuestos!$D$37/(1+Supuestos!$D$7*Supuestos!$D$8)/Supuestos!$D$6</f>
        <v>30.9917355371901</v>
      </c>
      <c r="J19" s="32" t="n">
        <f aca="false">Supuestos!$D$40*MIN(1,J$3/Supuestos!$D$42)*Supuestos!$D$36*Supuestos!$D$37/(1+Supuestos!$D$7*Supuestos!$D$8)/Supuestos!$D$6</f>
        <v>36.1570247933884</v>
      </c>
      <c r="K19" s="32" t="n">
        <f aca="false">Supuestos!$D$40*MIN(1,K$3/Supuestos!$D$42)*Supuestos!$D$36*Supuestos!$D$37/(1+Supuestos!$D$7*Supuestos!$D$8)/Supuestos!$D$6</f>
        <v>41.3223140495868</v>
      </c>
      <c r="L19" s="32" t="n">
        <f aca="false">Supuestos!$D$40*MIN(1,L$3/Supuestos!$D$42)*Supuestos!$D$36*Supuestos!$D$37/(1+Supuestos!$D$7*Supuestos!$D$8)/Supuestos!$D$6</f>
        <v>46.4876033057851</v>
      </c>
      <c r="M19" s="32" t="n">
        <f aca="false">Supuestos!$D$40*MIN(1,M$3/Supuestos!$D$42)*Supuestos!$D$36*Supuestos!$D$37/(1+Supuestos!$D$7*Supuestos!$D$8)/Supuestos!$D$6</f>
        <v>51.6528925619835</v>
      </c>
      <c r="N19" s="32" t="n">
        <f aca="false">Supuestos!$D$40*MIN(1,N$3/Supuestos!$D$42)*Supuestos!$D$36*Supuestos!$D$37/(1+Supuestos!$D$7*Supuestos!$D$8)/Supuestos!$D$6</f>
        <v>56.8181818181818</v>
      </c>
      <c r="O19" s="32" t="n">
        <f aca="false">Supuestos!$D$40*MIN(1,O$3/Supuestos!$D$42)*Supuestos!$D$36*Supuestos!$D$37/(1+Supuestos!$D$7*Supuestos!$D$8)/Supuestos!$D$6</f>
        <v>61.9834710743802</v>
      </c>
      <c r="P19" s="32" t="n">
        <f aca="false">Supuestos!$D$40*MIN(1,P$3/Supuestos!$D$42)*Supuestos!$D$36*Supuestos!$D$37/(1+Supuestos!$D$7*Supuestos!$D$8)/Supuestos!$D$6</f>
        <v>61.9834710743802</v>
      </c>
      <c r="Q19" s="32" t="n">
        <f aca="false">Supuestos!$D$40*MIN(1,Q$3/Supuestos!$D$42)*Supuestos!$D$36*Supuestos!$D$37/(1+Supuestos!$D$7*Supuestos!$D$8)/Supuestos!$D$6</f>
        <v>61.9834710743802</v>
      </c>
      <c r="R19" s="32" t="n">
        <f aca="false">Supuestos!$D$40*MIN(1,R$3/Supuestos!$D$42)*Supuestos!$D$36*Supuestos!$D$37/(1+Supuestos!$D$7*Supuestos!$D$8)/Supuestos!$D$6</f>
        <v>61.9834710743802</v>
      </c>
      <c r="S19" s="32" t="n">
        <f aca="false">Supuestos!$D$40*MIN(1,S$3/Supuestos!$D$42)*Supuestos!$D$36*Supuestos!$D$37/(1+Supuestos!$D$7*Supuestos!$D$8)/Supuestos!$D$6</f>
        <v>61.9834710743802</v>
      </c>
      <c r="T19" s="32" t="n">
        <f aca="false">Supuestos!$D$40*MIN(1,T$3/Supuestos!$D$42)*Supuestos!$D$36*Supuestos!$D$37/(1+Supuestos!$D$7*Supuestos!$D$8)/Supuestos!$D$6</f>
        <v>61.9834710743802</v>
      </c>
      <c r="U19" s="32" t="n">
        <f aca="false">Supuestos!$D$40*MIN(1,U$3/Supuestos!$D$42)*Supuestos!$D$36*Supuestos!$D$37/(1+Supuestos!$D$7*Supuestos!$D$8)/Supuestos!$D$6</f>
        <v>61.9834710743802</v>
      </c>
      <c r="V19" s="32" t="n">
        <f aca="false">Supuestos!$D$40*MIN(1,V$3/Supuestos!$D$42)*Supuestos!$D$36*Supuestos!$D$37/(1+Supuestos!$D$7*Supuestos!$D$8)/Supuestos!$D$6</f>
        <v>61.9834710743802</v>
      </c>
      <c r="W19" s="32" t="n">
        <f aca="false">Supuestos!$D$40*MIN(1,W$3/Supuestos!$D$42)*Supuestos!$D$36*Supuestos!$D$37/(1+Supuestos!$D$7*Supuestos!$D$8)/Supuestos!$D$6</f>
        <v>61.9834710743802</v>
      </c>
      <c r="X19" s="32" t="n">
        <f aca="false">Supuestos!$D$40*MIN(1,X$3/Supuestos!$D$42)*Supuestos!$D$36*Supuestos!$D$37/(1+Supuestos!$D$7*Supuestos!$D$8)/Supuestos!$D$6</f>
        <v>61.9834710743802</v>
      </c>
      <c r="Y19" s="32" t="n">
        <f aca="false">Supuestos!$D$40*MIN(1,Y$3/Supuestos!$D$42)*Supuestos!$D$36*Supuestos!$D$37/(1+Supuestos!$D$7*Supuestos!$D$8)/Supuestos!$D$6</f>
        <v>61.9834710743802</v>
      </c>
      <c r="Z19" s="32" t="n">
        <f aca="false">Supuestos!$D$40*MIN(1,Z$3/Supuestos!$D$42)*Supuestos!$D$36*Supuestos!$D$37/(1+Supuestos!$D$7*Supuestos!$D$8)/Supuestos!$D$6</f>
        <v>61.9834710743802</v>
      </c>
      <c r="AA19" s="32" t="n">
        <f aca="false">Supuestos!$D$40*MIN(1,AA$3/Supuestos!$D$42)*Supuestos!$D$36*Supuestos!$D$37/(1+Supuestos!$D$7*Supuestos!$D$8)/Supuestos!$D$6</f>
        <v>61.9834710743802</v>
      </c>
      <c r="AB19" s="32" t="n">
        <f aca="false">Supuestos!$D$40*MIN(1,AB$3/Supuestos!$D$42)*Supuestos!$D$36*Supuestos!$D$37/(1+Supuestos!$D$7*Supuestos!$D$8)/Supuestos!$D$6</f>
        <v>61.9834710743802</v>
      </c>
      <c r="AC19" s="32" t="n">
        <f aca="false">Supuestos!$D$40*MIN(1,AC$3/Supuestos!$D$42)*Supuestos!$D$36*Supuestos!$D$37/(1+Supuestos!$D$7*Supuestos!$D$8)/Supuestos!$D$6</f>
        <v>61.9834710743802</v>
      </c>
      <c r="AD19" s="32" t="n">
        <f aca="false">Supuestos!$D$40*MIN(1,AD$3/Supuestos!$D$42)*Supuestos!$D$36*Supuestos!$D$37/(1+Supuestos!$D$7*Supuestos!$D$8)/Supuestos!$D$6</f>
        <v>61.9834710743802</v>
      </c>
      <c r="AE19" s="32" t="n">
        <f aca="false">Supuestos!$D$40*MIN(1,AE$3/Supuestos!$D$42)*Supuestos!$D$36*Supuestos!$D$37/(1+Supuestos!$D$7*Supuestos!$D$8)/Supuestos!$D$6</f>
        <v>61.9834710743802</v>
      </c>
      <c r="AF19" s="32" t="n">
        <f aca="false">Supuestos!$D$40*MIN(1,AF$3/Supuestos!$D$42)*Supuestos!$D$36*Supuestos!$D$37/(1+Supuestos!$D$7*Supuestos!$D$8)/Supuestos!$D$6</f>
        <v>61.9834710743802</v>
      </c>
      <c r="AG19" s="32" t="n">
        <f aca="false">Supuestos!$D$40*MIN(1,AG$3/Supuestos!$D$42)*Supuestos!$D$36*Supuestos!$D$37/(1+Supuestos!$D$7*Supuestos!$D$8)/Supuestos!$D$6</f>
        <v>61.9834710743802</v>
      </c>
      <c r="AH19" s="32" t="n">
        <f aca="false">Supuestos!$D$40*MIN(1,AH$3/Supuestos!$D$42)*Supuestos!$D$36*Supuestos!$D$37/(1+Supuestos!$D$7*Supuestos!$D$8)/Supuestos!$D$6</f>
        <v>61.9834710743802</v>
      </c>
      <c r="AI19" s="32" t="n">
        <f aca="false">Supuestos!$D$40*MIN(1,AI$3/Supuestos!$D$42)*Supuestos!$D$36*Supuestos!$D$37/(1+Supuestos!$D$7*Supuestos!$D$8)/Supuestos!$D$6</f>
        <v>61.9834710743802</v>
      </c>
      <c r="AJ19" s="32" t="n">
        <f aca="false">Supuestos!$D$40*MIN(1,AJ$3/Supuestos!$D$42)*Supuestos!$D$36*Supuestos!$D$37/(1+Supuestos!$D$7*Supuestos!$D$8)/Supuestos!$D$6</f>
        <v>61.9834710743802</v>
      </c>
      <c r="AK19" s="32" t="n">
        <f aca="false">Supuestos!$D$40*MIN(1,AK$3/Supuestos!$D$42)*Supuestos!$D$36*Supuestos!$D$37/(1+Supuestos!$D$7*Supuestos!$D$8)/Supuestos!$D$6</f>
        <v>61.9834710743802</v>
      </c>
      <c r="AL19" s="32" t="n">
        <f aca="false">Supuestos!$D$40*MIN(1,AL$3/Supuestos!$D$42)*Supuestos!$D$36*Supuestos!$D$37/(1+Supuestos!$D$7*Supuestos!$D$8)/Supuestos!$D$6</f>
        <v>61.9834710743802</v>
      </c>
      <c r="AM19" s="32" t="n">
        <f aca="false">Supuestos!$D$40*MIN(1,AM$3/Supuestos!$D$42)*Supuestos!$D$36*Supuestos!$D$37/(1+Supuestos!$D$7*Supuestos!$D$8)/Supuestos!$D$6</f>
        <v>61.9834710743802</v>
      </c>
    </row>
    <row r="20" customFormat="false" ht="15" hidden="false" customHeight="false" outlineLevel="0" collapsed="false">
      <c r="B20" s="4" t="s">
        <v>491</v>
      </c>
      <c r="D20" s="32" t="n">
        <f aca="false">Supuestos!$D$41*MIN(1,D$3/Supuestos!$D$42)</f>
        <v>0</v>
      </c>
      <c r="E20" s="32" t="n">
        <f aca="false">Supuestos!$D$41*MIN(1,E$3/Supuestos!$D$42)</f>
        <v>0</v>
      </c>
      <c r="F20" s="32" t="n">
        <f aca="false">Supuestos!$D$41*MIN(1,F$3/Supuestos!$D$42)</f>
        <v>0</v>
      </c>
      <c r="G20" s="32" t="n">
        <f aca="false">Supuestos!$D$41*MIN(1,G$3/Supuestos!$D$42)</f>
        <v>0</v>
      </c>
      <c r="H20" s="32" t="n">
        <f aca="false">Supuestos!$D$41*MIN(1,H$3/Supuestos!$D$42)</f>
        <v>0</v>
      </c>
      <c r="I20" s="32" t="n">
        <f aca="false">Supuestos!$D$41*MIN(1,I$3/Supuestos!$D$42)</f>
        <v>0</v>
      </c>
      <c r="J20" s="32" t="n">
        <f aca="false">Supuestos!$D$41*MIN(1,J$3/Supuestos!$D$42)</f>
        <v>0</v>
      </c>
      <c r="K20" s="32" t="n">
        <f aca="false">Supuestos!$D$41*MIN(1,K$3/Supuestos!$D$42)</f>
        <v>0</v>
      </c>
      <c r="L20" s="32" t="n">
        <f aca="false">Supuestos!$D$41*MIN(1,L$3/Supuestos!$D$42)</f>
        <v>0</v>
      </c>
      <c r="M20" s="32" t="n">
        <f aca="false">Supuestos!$D$41*MIN(1,M$3/Supuestos!$D$42)</f>
        <v>0</v>
      </c>
      <c r="N20" s="32" t="n">
        <f aca="false">Supuestos!$D$41*MIN(1,N$3/Supuestos!$D$42)</f>
        <v>0</v>
      </c>
      <c r="O20" s="32" t="n">
        <f aca="false">Supuestos!$D$41*MIN(1,O$3/Supuestos!$D$42)</f>
        <v>0</v>
      </c>
      <c r="P20" s="32" t="n">
        <f aca="false">Supuestos!$D$41*MIN(1,P$3/Supuestos!$D$42)</f>
        <v>0</v>
      </c>
      <c r="Q20" s="32" t="n">
        <f aca="false">Supuestos!$D$41*MIN(1,Q$3/Supuestos!$D$42)</f>
        <v>0</v>
      </c>
      <c r="R20" s="32" t="n">
        <f aca="false">Supuestos!$D$41*MIN(1,R$3/Supuestos!$D$42)</f>
        <v>0</v>
      </c>
      <c r="S20" s="32" t="n">
        <f aca="false">Supuestos!$D$41*MIN(1,S$3/Supuestos!$D$42)</f>
        <v>0</v>
      </c>
      <c r="T20" s="32" t="n">
        <f aca="false">Supuestos!$D$41*MIN(1,T$3/Supuestos!$D$42)</f>
        <v>0</v>
      </c>
      <c r="U20" s="32" t="n">
        <f aca="false">Supuestos!$D$41*MIN(1,U$3/Supuestos!$D$42)</f>
        <v>0</v>
      </c>
      <c r="V20" s="32" t="n">
        <f aca="false">Supuestos!$D$41*MIN(1,V$3/Supuestos!$D$42)</f>
        <v>0</v>
      </c>
      <c r="W20" s="32" t="n">
        <f aca="false">Supuestos!$D$41*MIN(1,W$3/Supuestos!$D$42)</f>
        <v>0</v>
      </c>
      <c r="X20" s="32" t="n">
        <f aca="false">Supuestos!$D$41*MIN(1,X$3/Supuestos!$D$42)</f>
        <v>0</v>
      </c>
      <c r="Y20" s="32" t="n">
        <f aca="false">Supuestos!$D$41*MIN(1,Y$3/Supuestos!$D$42)</f>
        <v>0</v>
      </c>
      <c r="Z20" s="32" t="n">
        <f aca="false">Supuestos!$D$41*MIN(1,Z$3/Supuestos!$D$42)</f>
        <v>0</v>
      </c>
      <c r="AA20" s="32" t="n">
        <f aca="false">Supuestos!$D$41*MIN(1,AA$3/Supuestos!$D$42)</f>
        <v>0</v>
      </c>
      <c r="AB20" s="32" t="n">
        <f aca="false">Supuestos!$D$41*MIN(1,AB$3/Supuestos!$D$42)</f>
        <v>0</v>
      </c>
      <c r="AC20" s="32" t="n">
        <f aca="false">Supuestos!$D$41*MIN(1,AC$3/Supuestos!$D$42)</f>
        <v>0</v>
      </c>
      <c r="AD20" s="32" t="n">
        <f aca="false">Supuestos!$D$41*MIN(1,AD$3/Supuestos!$D$42)</f>
        <v>0</v>
      </c>
      <c r="AE20" s="32" t="n">
        <f aca="false">Supuestos!$D$41*MIN(1,AE$3/Supuestos!$D$42)</f>
        <v>0</v>
      </c>
      <c r="AF20" s="32" t="n">
        <f aca="false">Supuestos!$D$41*MIN(1,AF$3/Supuestos!$D$42)</f>
        <v>0</v>
      </c>
      <c r="AG20" s="32" t="n">
        <f aca="false">Supuestos!$D$41*MIN(1,AG$3/Supuestos!$D$42)</f>
        <v>0</v>
      </c>
      <c r="AH20" s="32" t="n">
        <f aca="false">Supuestos!$D$41*MIN(1,AH$3/Supuestos!$D$42)</f>
        <v>0</v>
      </c>
      <c r="AI20" s="32" t="n">
        <f aca="false">Supuestos!$D$41*MIN(1,AI$3/Supuestos!$D$42)</f>
        <v>0</v>
      </c>
      <c r="AJ20" s="32" t="n">
        <f aca="false">Supuestos!$D$41*MIN(1,AJ$3/Supuestos!$D$42)</f>
        <v>0</v>
      </c>
      <c r="AK20" s="32" t="n">
        <f aca="false">Supuestos!$D$41*MIN(1,AK$3/Supuestos!$D$42)</f>
        <v>0</v>
      </c>
      <c r="AL20" s="32" t="n">
        <f aca="false">Supuestos!$D$41*MIN(1,AL$3/Supuestos!$D$42)</f>
        <v>0</v>
      </c>
      <c r="AM20" s="32" t="n">
        <f aca="false">Supuestos!$D$41*MIN(1,AM$3/Supuestos!$D$42)</f>
        <v>0</v>
      </c>
    </row>
    <row r="21" customFormat="false" ht="15" hidden="false" customHeight="false" outlineLevel="0" collapsed="false">
      <c r="B21" s="13" t="s">
        <v>492</v>
      </c>
      <c r="D21" s="32" t="n">
        <f aca="false">SUM(D15:D20)</f>
        <v>161.652892561984</v>
      </c>
      <c r="E21" s="32" t="n">
        <f aca="false">SUM(E15:E20)</f>
        <v>315.496726001272</v>
      </c>
      <c r="F21" s="32" t="n">
        <f aca="false">SUM(F15:F20)</f>
        <v>462.118248251748</v>
      </c>
      <c r="G21" s="32" t="n">
        <f aca="false">SUM(G15:G20)</f>
        <v>602.059166252384</v>
      </c>
      <c r="H21" s="32" t="n">
        <f aca="false">SUM(H15:H20)</f>
        <v>735.819654284838</v>
      </c>
      <c r="I21" s="32" t="n">
        <f aca="false">SUM(I15:I20)</f>
        <v>863.861586391153</v>
      </c>
      <c r="J21" s="32" t="n">
        <f aca="false">SUM(J15:J20)</f>
        <v>986.611514707779</v>
      </c>
      <c r="K21" s="32" t="n">
        <f aca="false">SUM(K15:K20)</f>
        <v>1104.46341381713</v>
      </c>
      <c r="L21" s="32" t="n">
        <f aca="false">SUM(L15:L20)</f>
        <v>1217.78120962107</v>
      </c>
      <c r="M21" s="32" t="n">
        <f aca="false">SUM(M15:M20)</f>
        <v>1326.26154976048</v>
      </c>
      <c r="N21" s="32" t="n">
        <f aca="false">SUM(N15:N20)</f>
        <v>1375.14028248657</v>
      </c>
      <c r="O21" s="32" t="n">
        <f aca="false">SUM(O15:O20)</f>
        <v>1421.17673948078</v>
      </c>
      <c r="P21" s="32" t="n">
        <f aca="false">SUM(P15:P20)</f>
        <v>1410.35322969295</v>
      </c>
      <c r="Q21" s="32" t="n">
        <f aca="false">SUM(Q15:Q20)</f>
        <v>1400.39560068814</v>
      </c>
      <c r="R21" s="32" t="n">
        <f aca="false">SUM(R15:R20)</f>
        <v>1391.23458200372</v>
      </c>
      <c r="S21" s="32" t="n">
        <f aca="false">SUM(S15:S20)</f>
        <v>1382.80644481405</v>
      </c>
      <c r="T21" s="32" t="n">
        <f aca="false">SUM(T15:T20)</f>
        <v>1375.05255859955</v>
      </c>
      <c r="U21" s="32" t="n">
        <f aca="false">SUM(U15:U20)</f>
        <v>1367.91898328222</v>
      </c>
      <c r="V21" s="32" t="n">
        <f aca="false">SUM(V15:V20)</f>
        <v>1361.35609399027</v>
      </c>
      <c r="W21" s="32" t="n">
        <f aca="false">SUM(W15:W20)</f>
        <v>1355.31823584168</v>
      </c>
      <c r="X21" s="32" t="n">
        <f aca="false">SUM(X15:X20)</f>
        <v>1349.76340634497</v>
      </c>
      <c r="Y21" s="32" t="n">
        <f aca="false">SUM(Y15:Y20)</f>
        <v>1344.65296320801</v>
      </c>
      <c r="Z21" s="32" t="n">
        <f aca="false">SUM(Z15:Z20)</f>
        <v>1339.95135552199</v>
      </c>
      <c r="AA21" s="32" t="n">
        <f aca="false">SUM(AA15:AA20)</f>
        <v>1335.62587645086</v>
      </c>
      <c r="AB21" s="32" t="n">
        <f aca="false">SUM(AB15:AB20)</f>
        <v>1331.64643570543</v>
      </c>
      <c r="AC21" s="32" t="n">
        <f aca="false">SUM(AC15:AC20)</f>
        <v>1327.98535021962</v>
      </c>
      <c r="AD21" s="32" t="n">
        <f aca="false">SUM(AD15:AD20)</f>
        <v>1324.61715157268</v>
      </c>
      <c r="AE21" s="32" t="n">
        <f aca="false">SUM(AE15:AE20)</f>
        <v>1321.5184088175</v>
      </c>
      <c r="AF21" s="32" t="n">
        <f aca="false">SUM(AF15:AF20)</f>
        <v>1318.66756548272</v>
      </c>
      <c r="AG21" s="32" t="n">
        <f aca="false">SUM(AG15:AG20)</f>
        <v>1316.04478961474</v>
      </c>
      <c r="AH21" s="32" t="n">
        <f aca="false">SUM(AH15:AH20)</f>
        <v>1313.63183581619</v>
      </c>
      <c r="AI21" s="32" t="n">
        <f aca="false">SUM(AI15:AI20)</f>
        <v>1311.41191832152</v>
      </c>
      <c r="AJ21" s="32" t="n">
        <f aca="false">SUM(AJ15:AJ20)</f>
        <v>1309.36959422643</v>
      </c>
      <c r="AK21" s="32" t="n">
        <f aca="false">SUM(AK15:AK20)</f>
        <v>1307.49065605894</v>
      </c>
      <c r="AL21" s="32" t="n">
        <f aca="false">SUM(AL15:AL20)</f>
        <v>1305.76203294486</v>
      </c>
      <c r="AM21" s="32" t="n">
        <f aca="false">SUM(AM15:AM20)</f>
        <v>1304.1716996799</v>
      </c>
    </row>
    <row r="22" customFormat="false" ht="15" hidden="false" customHeight="false" outlineLevel="0" collapsed="false">
      <c r="B22" s="21" t="s">
        <v>295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customFormat="false" ht="15" hidden="false" customHeight="false" outlineLevel="0" collapsed="false">
      <c r="B23" s="4" t="s">
        <v>493</v>
      </c>
      <c r="D23" s="32" t="n">
        <f aca="false">(D11+D9*Supuestos!$D$9*Supuestos!$D$19+(D10*Supuestos!$D$15*Supuestos!$D$9*Supuestos!$D$19)+Supuestos!$D$39*MIN(1,D$3/Supuestos!$D$42))*Supuestos!$D$53</f>
        <v>44.9041333333333</v>
      </c>
      <c r="E23" s="32" t="n">
        <f aca="false">(E11+E9*Supuestos!$D$9*Supuestos!$D$19+(E10*Supuestos!$D$15*Supuestos!$D$9*Supuestos!$D$19)+Supuestos!$D$39*MIN(1,E$3/Supuestos!$D$42))*Supuestos!$D$53</f>
        <v>87.6698506666667</v>
      </c>
      <c r="F23" s="32" t="n">
        <f aca="false">(F11+F9*Supuestos!$D$9*Supuestos!$D$19+(F10*Supuestos!$D$15*Supuestos!$D$9*Supuestos!$D$19)+Supuestos!$D$39*MIN(1,F$3/Supuestos!$D$42))*Supuestos!$D$53</f>
        <v>128.45285328</v>
      </c>
      <c r="G23" s="32" t="n">
        <f aca="false">(G11+G9*Supuestos!$D$9*Supuestos!$D$19+(G10*Supuestos!$D$15*Supuestos!$D$9*Supuestos!$D$19)+Supuestos!$D$39*MIN(1,G$3/Supuestos!$D$42))*Supuestos!$D$53</f>
        <v>167.397154950933</v>
      </c>
      <c r="H23" s="32" t="n">
        <f aca="false">(H11+H9*Supuestos!$D$9*Supuestos!$D$19+(H10*Supuestos!$D$15*Supuestos!$D$9*Supuestos!$D$19)+Supuestos!$D$39*MIN(1,H$3/Supuestos!$D$42))*Supuestos!$D$53</f>
        <v>204.635978524859</v>
      </c>
      <c r="I23" s="32" t="n">
        <f aca="false">(I11+I9*Supuestos!$D$9*Supuestos!$D$19+(I10*Supuestos!$D$15*Supuestos!$D$9*Supuestos!$D$19)+Supuestos!$D$39*MIN(1,I$3/Supuestos!$D$42))*Supuestos!$D$53</f>
        <v>240.292582681037</v>
      </c>
      <c r="J23" s="32" t="n">
        <f aca="false">(J11+J9*Supuestos!$D$9*Supuestos!$D$19+(J10*Supuestos!$D$15*Supuestos!$D$9*Supuestos!$D$19)+Supuestos!$D$39*MIN(1,J$3/Supuestos!$D$42))*Supuestos!$D$53</f>
        <v>274.481024382812</v>
      </c>
      <c r="K23" s="32" t="n">
        <f aca="false">(K11+K9*Supuestos!$D$9*Supuestos!$D$19+(K10*Supuestos!$D$15*Supuestos!$D$9*Supuestos!$D$19)+Supuestos!$D$39*MIN(1,K$3/Supuestos!$D$42))*Supuestos!$D$53</f>
        <v>307.306862065966</v>
      </c>
      <c r="L23" s="32" t="n">
        <f aca="false">(L11+L9*Supuestos!$D$9*Supuestos!$D$19+(L10*Supuestos!$D$15*Supuestos!$D$9*Supuestos!$D$19)+Supuestos!$D$39*MIN(1,L$3/Supuestos!$D$42))*Supuestos!$D$53</f>
        <v>338.867804219445</v>
      </c>
      <c r="M23" s="32" t="n">
        <f aca="false">(M11+M9*Supuestos!$D$9*Supuestos!$D$19+(M10*Supuestos!$D$15*Supuestos!$D$9*Supuestos!$D$19)+Supuestos!$D$39*MIN(1,M$3/Supuestos!$D$42))*Supuestos!$D$53</f>
        <v>368.995430711006</v>
      </c>
      <c r="N23" s="32" t="n">
        <f aca="false">(N11+N9*Supuestos!$D$9*Supuestos!$D$19+(N10*Supuestos!$D$15*Supuestos!$D$9*Supuestos!$D$19)+Supuestos!$D$39*MIN(1,N$3/Supuestos!$D$42))*Supuestos!$D$53</f>
        <v>379.857796254126</v>
      </c>
      <c r="O23" s="32" t="n">
        <f aca="false">(O11+O9*Supuestos!$D$9*Supuestos!$D$19+(O10*Supuestos!$D$15*Supuestos!$D$9*Supuestos!$D$19)+Supuestos!$D$39*MIN(1,O$3/Supuestos!$D$42))*Supuestos!$D$53</f>
        <v>390.013839220462</v>
      </c>
      <c r="P23" s="32" t="n">
        <f aca="false">(P11+P9*Supuestos!$D$9*Supuestos!$D$19+(P10*Supuestos!$D$15*Supuestos!$D$9*Supuestos!$D$19)+Supuestos!$D$39*MIN(1,P$3/Supuestos!$D$42))*Supuestos!$D$53</f>
        <v>387.324132082825</v>
      </c>
      <c r="Q23" s="32" t="n">
        <f aca="false">(Q11+Q9*Supuestos!$D$9*Supuestos!$D$19+(Q10*Supuestos!$D$15*Supuestos!$D$9*Supuestos!$D$19)+Supuestos!$D$39*MIN(1,Q$3/Supuestos!$D$42))*Supuestos!$D$53</f>
        <v>384.849601516199</v>
      </c>
      <c r="R23" s="32" t="n">
        <f aca="false">(R11+R9*Supuestos!$D$9*Supuestos!$D$19+(R10*Supuestos!$D$15*Supuestos!$D$9*Supuestos!$D$19)+Supuestos!$D$39*MIN(1,R$3/Supuestos!$D$42))*Supuestos!$D$53</f>
        <v>382.573033394903</v>
      </c>
      <c r="S23" s="32" t="n">
        <f aca="false">(S11+S9*Supuestos!$D$9*Supuestos!$D$19+(S10*Supuestos!$D$15*Supuestos!$D$9*Supuestos!$D$19)+Supuestos!$D$39*MIN(1,S$3/Supuestos!$D$42))*Supuestos!$D$53</f>
        <v>380.478590723311</v>
      </c>
      <c r="T23" s="32" t="n">
        <f aca="false">(T11+T9*Supuestos!$D$9*Supuestos!$D$19+(T10*Supuestos!$D$15*Supuestos!$D$9*Supuestos!$D$19)+Supuestos!$D$39*MIN(1,T$3/Supuestos!$D$42))*Supuestos!$D$53</f>
        <v>378.551703465446</v>
      </c>
      <c r="U23" s="32" t="n">
        <f aca="false">(U11+U9*Supuestos!$D$9*Supuestos!$D$19+(U10*Supuestos!$D$15*Supuestos!$D$9*Supuestos!$D$19)+Supuestos!$D$39*MIN(1,U$3/Supuestos!$D$42))*Supuestos!$D$53</f>
        <v>376.778967188211</v>
      </c>
      <c r="V23" s="32" t="n">
        <f aca="false">(V11+V9*Supuestos!$D$9*Supuestos!$D$19+(V10*Supuestos!$D$15*Supuestos!$D$9*Supuestos!$D$19)+Supuestos!$D$39*MIN(1,V$3/Supuestos!$D$42))*Supuestos!$D$53</f>
        <v>375.148049813154</v>
      </c>
      <c r="W23" s="32" t="n">
        <f aca="false">(W11+W9*Supuestos!$D$9*Supuestos!$D$19+(W10*Supuestos!$D$15*Supuestos!$D$9*Supuestos!$D$19)+Supuestos!$D$39*MIN(1,W$3/Supuestos!$D$42))*Supuestos!$D$53</f>
        <v>373.647605828101</v>
      </c>
      <c r="X23" s="32" t="n">
        <f aca="false">(X11+X9*Supuestos!$D$9*Supuestos!$D$19+(X10*Supuestos!$D$15*Supuestos!$D$9*Supuestos!$D$19)+Supuestos!$D$39*MIN(1,X$3/Supuestos!$D$42))*Supuestos!$D$53</f>
        <v>372.267197361853</v>
      </c>
      <c r="Y23" s="32" t="n">
        <f aca="false">(Y11+Y9*Supuestos!$D$9*Supuestos!$D$19+(Y10*Supuestos!$D$15*Supuestos!$D$9*Supuestos!$D$19)+Supuestos!$D$39*MIN(1,Y$3/Supuestos!$D$42))*Supuestos!$D$53</f>
        <v>370.997221572905</v>
      </c>
      <c r="Z23" s="32" t="n">
        <f aca="false">(Z11+Z9*Supuestos!$D$9*Supuestos!$D$19+(Z10*Supuestos!$D$15*Supuestos!$D$9*Supuestos!$D$19)+Supuestos!$D$39*MIN(1,Z$3/Supuestos!$D$42))*Supuestos!$D$53</f>
        <v>369.828843847073</v>
      </c>
      <c r="AA23" s="32" t="n">
        <f aca="false">(AA11+AA9*Supuestos!$D$9*Supuestos!$D$19+(AA10*Supuestos!$D$15*Supuestos!$D$9*Supuestos!$D$19)+Supuestos!$D$39*MIN(1,AA$3/Supuestos!$D$42))*Supuestos!$D$53</f>
        <v>368.753936339307</v>
      </c>
      <c r="AB23" s="32" t="n">
        <f aca="false">(AB11+AB9*Supuestos!$D$9*Supuestos!$D$19+(AB10*Supuestos!$D$15*Supuestos!$D$9*Supuestos!$D$19)+Supuestos!$D$39*MIN(1,AB$3/Supuestos!$D$42))*Supuestos!$D$53</f>
        <v>367.765021432162</v>
      </c>
      <c r="AC23" s="32" t="n">
        <f aca="false">(AC11+AC9*Supuestos!$D$9*Supuestos!$D$19+(AC10*Supuestos!$D$15*Supuestos!$D$9*Supuestos!$D$19)+Supuestos!$D$39*MIN(1,AC$3/Supuestos!$D$42))*Supuestos!$D$53</f>
        <v>366.855219717589</v>
      </c>
      <c r="AD23" s="32" t="n">
        <f aca="false">(AD11+AD9*Supuestos!$D$9*Supuestos!$D$19+(AD10*Supuestos!$D$15*Supuestos!$D$9*Supuestos!$D$19)+Supuestos!$D$39*MIN(1,AD$3/Supuestos!$D$42))*Supuestos!$D$53</f>
        <v>366.018202140182</v>
      </c>
      <c r="AE23" s="32" t="n">
        <f aca="false">(AE11+AE9*Supuestos!$D$9*Supuestos!$D$19+(AE10*Supuestos!$D$15*Supuestos!$D$9*Supuestos!$D$19)+Supuestos!$D$39*MIN(1,AE$3/Supuestos!$D$42))*Supuestos!$D$53</f>
        <v>365.248145968968</v>
      </c>
      <c r="AF23" s="32" t="n">
        <f aca="false">(AF11+AF9*Supuestos!$D$9*Supuestos!$D$19+(AF10*Supuestos!$D$15*Supuestos!$D$9*Supuestos!$D$19)+Supuestos!$D$39*MIN(1,AF$3/Supuestos!$D$42))*Supuestos!$D$53</f>
        <v>364.53969429145</v>
      </c>
      <c r="AG23" s="32" t="n">
        <f aca="false">(AG11+AG9*Supuestos!$D$9*Supuestos!$D$19+(AG10*Supuestos!$D$15*Supuestos!$D$9*Supuestos!$D$19)+Supuestos!$D$39*MIN(1,AG$3/Supuestos!$D$42))*Supuestos!$D$53</f>
        <v>363.887918748134</v>
      </c>
      <c r="AH23" s="32" t="n">
        <f aca="false">(AH11+AH9*Supuestos!$D$9*Supuestos!$D$19+(AH10*Supuestos!$D$15*Supuestos!$D$9*Supuestos!$D$19)+Supuestos!$D$39*MIN(1,AH$3/Supuestos!$D$42))*Supuestos!$D$53</f>
        <v>363.288285248284</v>
      </c>
      <c r="AI23" s="32" t="n">
        <f aca="false">(AI11+AI9*Supuestos!$D$9*Supuestos!$D$19+(AI10*Supuestos!$D$15*Supuestos!$D$9*Supuestos!$D$19)+Supuestos!$D$39*MIN(1,AI$3/Supuestos!$D$42))*Supuestos!$D$53</f>
        <v>362.736622428421</v>
      </c>
      <c r="AJ23" s="32" t="n">
        <f aca="false">(AJ11+AJ9*Supuestos!$D$9*Supuestos!$D$19+(AJ10*Supuestos!$D$15*Supuestos!$D$9*Supuestos!$D$19)+Supuestos!$D$39*MIN(1,AJ$3/Supuestos!$D$42))*Supuestos!$D$53</f>
        <v>362.229092634147</v>
      </c>
      <c r="AK23" s="32" t="n">
        <f aca="false">(AK11+AK9*Supuestos!$D$9*Supuestos!$D$19+(AK10*Supuestos!$D$15*Supuestos!$D$9*Supuestos!$D$19)+Supuestos!$D$39*MIN(1,AK$3/Supuestos!$D$42))*Supuestos!$D$53</f>
        <v>361.762165223415</v>
      </c>
      <c r="AL23" s="32" t="n">
        <f aca="false">(AL11+AL9*Supuestos!$D$9*Supuestos!$D$19+(AL10*Supuestos!$D$15*Supuestos!$D$9*Supuestos!$D$19)+Supuestos!$D$39*MIN(1,AL$3/Supuestos!$D$42))*Supuestos!$D$53</f>
        <v>361.332592005542</v>
      </c>
      <c r="AM23" s="32" t="n">
        <f aca="false">(AM11+AM9*Supuestos!$D$9*Supuestos!$D$19+(AM10*Supuestos!$D$15*Supuestos!$D$9*Supuestos!$D$19)+Supuestos!$D$39*MIN(1,AM$3/Supuestos!$D$42))*Supuestos!$D$53</f>
        <v>360.937384645099</v>
      </c>
    </row>
    <row r="24" customFormat="false" ht="15" hidden="false" customHeight="false" outlineLevel="0" collapsed="false">
      <c r="B24" s="4" t="s">
        <v>494</v>
      </c>
      <c r="D24" s="32" t="n">
        <f aca="false">D21*(1+Supuestos!$D$7*Supuestos!$D$8)*Supuestos!$D$54</f>
        <v>12.30324</v>
      </c>
      <c r="E24" s="32" t="n">
        <f aca="false">E21*(1+Supuestos!$D$7*Supuestos!$D$8)*Supuestos!$D$54</f>
        <v>24.0121403192308</v>
      </c>
      <c r="F24" s="32" t="n">
        <f aca="false">F21*(1+Supuestos!$D$7*Supuestos!$D$8)*Supuestos!$D$54</f>
        <v>35.1713577561923</v>
      </c>
      <c r="G24" s="32" t="n">
        <f aca="false">G21*(1+Supuestos!$D$7*Supuestos!$D$8)*Supuestos!$D$54</f>
        <v>45.8221210843027</v>
      </c>
      <c r="H24" s="32" t="n">
        <f aca="false">H21*(1+Supuestos!$D$7*Supuestos!$D$8)*Supuestos!$D$54</f>
        <v>56.0024980679647</v>
      </c>
      <c r="I24" s="32" t="n">
        <f aca="false">I21*(1+Supuestos!$D$7*Supuestos!$D$8)*Supuestos!$D$54</f>
        <v>65.7476414786443</v>
      </c>
      <c r="J24" s="32" t="n">
        <f aca="false">J21*(1+Supuestos!$D$7*Supuestos!$D$8)*Supuestos!$D$54</f>
        <v>75.0900157728944</v>
      </c>
      <c r="K24" s="32" t="n">
        <f aca="false">K21*(1+Supuestos!$D$7*Supuestos!$D$8)*Supuestos!$D$54</f>
        <v>84.0596059622081</v>
      </c>
      <c r="L24" s="32" t="n">
        <f aca="false">L21*(1+Supuestos!$D$7*Supuestos!$D$8)*Supuestos!$D$54</f>
        <v>92.6841100830503</v>
      </c>
      <c r="M24" s="32" t="n">
        <f aca="false">M21*(1+Supuestos!$D$7*Supuestos!$D$8)*Supuestos!$D$54</f>
        <v>100.94044029072</v>
      </c>
      <c r="N24" s="32" t="n">
        <f aca="false">N21*(1+Supuestos!$D$7*Supuestos!$D$8)*Supuestos!$D$54</f>
        <v>104.66055175977</v>
      </c>
      <c r="O24" s="32" t="n">
        <f aca="false">O21*(1+Supuestos!$D$7*Supuestos!$D$8)*Supuestos!$D$54</f>
        <v>108.164340465143</v>
      </c>
      <c r="P24" s="32" t="n">
        <f aca="false">P21*(1+Supuestos!$D$7*Supuestos!$D$8)*Supuestos!$D$54</f>
        <v>107.3405739587</v>
      </c>
      <c r="Q24" s="32" t="n">
        <f aca="false">Q21*(1+Supuestos!$D$7*Supuestos!$D$8)*Supuestos!$D$54</f>
        <v>106.582708772774</v>
      </c>
      <c r="R24" s="32" t="n">
        <f aca="false">R21*(1+Supuestos!$D$7*Supuestos!$D$8)*Supuestos!$D$54</f>
        <v>105.885472801721</v>
      </c>
      <c r="S24" s="32" t="n">
        <f aca="false">S21*(1+Supuestos!$D$7*Supuestos!$D$8)*Supuestos!$D$54</f>
        <v>105.244015708352</v>
      </c>
      <c r="T24" s="32" t="n">
        <f aca="false">T21*(1+Supuestos!$D$7*Supuestos!$D$8)*Supuestos!$D$54</f>
        <v>104.653875182454</v>
      </c>
      <c r="U24" s="32" t="n">
        <f aca="false">U21*(1+Supuestos!$D$7*Supuestos!$D$8)*Supuestos!$D$54</f>
        <v>104.110945898626</v>
      </c>
      <c r="V24" s="32" t="n">
        <f aca="false">V21*(1+Supuestos!$D$7*Supuestos!$D$8)*Supuestos!$D$54</f>
        <v>103.611450957506</v>
      </c>
      <c r="W24" s="32" t="n">
        <f aca="false">W21*(1+Supuestos!$D$7*Supuestos!$D$8)*Supuestos!$D$54</f>
        <v>103.151915611674</v>
      </c>
      <c r="X24" s="32" t="n">
        <f aca="false">X21*(1+Supuestos!$D$7*Supuestos!$D$8)*Supuestos!$D$54</f>
        <v>102.72914309351</v>
      </c>
      <c r="Y24" s="32" t="n">
        <f aca="false">Y21*(1+Supuestos!$D$7*Supuestos!$D$8)*Supuestos!$D$54</f>
        <v>102.340192376798</v>
      </c>
      <c r="Z24" s="32" t="n">
        <f aca="false">Z21*(1+Supuestos!$D$7*Supuestos!$D$8)*Supuestos!$D$54</f>
        <v>101.982357717424</v>
      </c>
      <c r="AA24" s="32" t="n">
        <f aca="false">AA21*(1+Supuestos!$D$7*Supuestos!$D$8)*Supuestos!$D$54</f>
        <v>101.653149830799</v>
      </c>
      <c r="AB24" s="32" t="n">
        <f aca="false">AB21*(1+Supuestos!$D$7*Supuestos!$D$8)*Supuestos!$D$54</f>
        <v>101.350278575104</v>
      </c>
      <c r="AC24" s="32" t="n">
        <f aca="false">AC21*(1+Supuestos!$D$7*Supuestos!$D$8)*Supuestos!$D$54</f>
        <v>101.071637019865</v>
      </c>
      <c r="AD24" s="32" t="n">
        <f aca="false">AD21*(1+Supuestos!$D$7*Supuestos!$D$8)*Supuestos!$D$54</f>
        <v>100.815286789045</v>
      </c>
      <c r="AE24" s="32" t="n">
        <f aca="false">AE21*(1+Supuestos!$D$7*Supuestos!$D$8)*Supuestos!$D$54</f>
        <v>100.579444576691</v>
      </c>
      <c r="AF24" s="32" t="n">
        <f aca="false">AF21*(1+Supuestos!$D$7*Supuestos!$D$8)*Supuestos!$D$54</f>
        <v>100.362469741325</v>
      </c>
      <c r="AG24" s="32" t="n">
        <f aca="false">AG21*(1+Supuestos!$D$7*Supuestos!$D$8)*Supuestos!$D$54</f>
        <v>100.162852892788</v>
      </c>
      <c r="AH24" s="32" t="n">
        <f aca="false">AH21*(1+Supuestos!$D$7*Supuestos!$D$8)*Supuestos!$D$54</f>
        <v>99.9792053921341</v>
      </c>
      <c r="AI24" s="32" t="n">
        <f aca="false">AI21*(1+Supuestos!$D$7*Supuestos!$D$8)*Supuestos!$D$54</f>
        <v>99.8102496915327</v>
      </c>
      <c r="AJ24" s="32" t="n">
        <f aca="false">AJ21*(1+Supuestos!$D$7*Supuestos!$D$8)*Supuestos!$D$54</f>
        <v>99.6548104469793</v>
      </c>
      <c r="AK24" s="32" t="n">
        <f aca="false">AK21*(1+Supuestos!$D$7*Supuestos!$D$8)*Supuestos!$D$54</f>
        <v>99.5118063419902</v>
      </c>
      <c r="AL24" s="32" t="n">
        <f aca="false">AL21*(1+Supuestos!$D$7*Supuestos!$D$8)*Supuestos!$D$54</f>
        <v>99.3802425654002</v>
      </c>
      <c r="AM24" s="32" t="n">
        <f aca="false">AM21*(1+Supuestos!$D$7*Supuestos!$D$8)*Supuestos!$D$54</f>
        <v>99.2592038909374</v>
      </c>
    </row>
    <row r="25" customFormat="false" ht="15" hidden="false" customHeight="false" outlineLevel="0" collapsed="false">
      <c r="B25" s="4" t="s">
        <v>495</v>
      </c>
      <c r="D25" s="32" t="n">
        <f aca="false">D21*Supuestos!$D$55</f>
        <v>8.08264462809918</v>
      </c>
      <c r="E25" s="32" t="n">
        <f aca="false">E21*Supuestos!$D$55</f>
        <v>15.7748363000636</v>
      </c>
      <c r="F25" s="32" t="n">
        <f aca="false">F21*Supuestos!$D$55</f>
        <v>23.1059124125874</v>
      </c>
      <c r="G25" s="32" t="n">
        <f aca="false">G21*Supuestos!$D$55</f>
        <v>30.1029583126192</v>
      </c>
      <c r="H25" s="32" t="n">
        <f aca="false">H21*Supuestos!$D$55</f>
        <v>36.7909827142419</v>
      </c>
      <c r="I25" s="32" t="n">
        <f aca="false">I21*Supuestos!$D$55</f>
        <v>43.1930793195577</v>
      </c>
      <c r="J25" s="32" t="n">
        <f aca="false">J21*Supuestos!$D$55</f>
        <v>49.330575735389</v>
      </c>
      <c r="K25" s="32" t="n">
        <f aca="false">K21*Supuestos!$D$55</f>
        <v>55.2231706908566</v>
      </c>
      <c r="L25" s="32" t="n">
        <f aca="false">L21*Supuestos!$D$55</f>
        <v>60.8890604810537</v>
      </c>
      <c r="M25" s="32" t="n">
        <f aca="false">M21*Supuestos!$D$55</f>
        <v>66.3130774880239</v>
      </c>
      <c r="N25" s="32" t="n">
        <f aca="false">N21*Supuestos!$D$55</f>
        <v>68.7570141243285</v>
      </c>
      <c r="O25" s="32" t="n">
        <f aca="false">O21*Supuestos!$D$55</f>
        <v>71.0588369740389</v>
      </c>
      <c r="P25" s="32" t="n">
        <f aca="false">P21*Supuestos!$D$55</f>
        <v>70.5176614846473</v>
      </c>
      <c r="Q25" s="32" t="n">
        <f aca="false">Q21*Supuestos!$D$55</f>
        <v>70.019780034407</v>
      </c>
      <c r="R25" s="32" t="n">
        <f aca="false">R21*Supuestos!$D$55</f>
        <v>69.5617291001859</v>
      </c>
      <c r="S25" s="32" t="n">
        <f aca="false">S21*Supuestos!$D$55</f>
        <v>69.1403222407025</v>
      </c>
      <c r="T25" s="32" t="n">
        <f aca="false">T21*Supuestos!$D$55</f>
        <v>68.7526279299777</v>
      </c>
      <c r="U25" s="32" t="n">
        <f aca="false">U21*Supuestos!$D$55</f>
        <v>68.395949164111</v>
      </c>
      <c r="V25" s="32" t="n">
        <f aca="false">V21*Supuestos!$D$55</f>
        <v>68.0678046995136</v>
      </c>
      <c r="W25" s="32" t="n">
        <f aca="false">W21*Supuestos!$D$55</f>
        <v>67.765911792084</v>
      </c>
      <c r="X25" s="32" t="n">
        <f aca="false">X21*Supuestos!$D$55</f>
        <v>67.4881703172487</v>
      </c>
      <c r="Y25" s="32" t="n">
        <f aca="false">Y21*Supuestos!$D$55</f>
        <v>67.2326481604003</v>
      </c>
      <c r="Z25" s="32" t="n">
        <f aca="false">Z21*Supuestos!$D$55</f>
        <v>66.9975677760997</v>
      </c>
      <c r="AA25" s="32" t="n">
        <f aca="false">AA21*Supuestos!$D$55</f>
        <v>66.7812938225432</v>
      </c>
      <c r="AB25" s="32" t="n">
        <f aca="false">AB21*Supuestos!$D$55</f>
        <v>66.5823217852713</v>
      </c>
      <c r="AC25" s="32" t="n">
        <f aca="false">AC21*Supuestos!$D$55</f>
        <v>66.399267510981</v>
      </c>
      <c r="AD25" s="32" t="n">
        <f aca="false">AD21*Supuestos!$D$55</f>
        <v>66.230857578634</v>
      </c>
      <c r="AE25" s="32" t="n">
        <f aca="false">AE21*Supuestos!$D$55</f>
        <v>66.0759204408748</v>
      </c>
      <c r="AF25" s="32" t="n">
        <f aca="false">AF21*Supuestos!$D$55</f>
        <v>65.9333782741363</v>
      </c>
      <c r="AG25" s="32" t="n">
        <f aca="false">AG21*Supuestos!$D$55</f>
        <v>65.8022394807368</v>
      </c>
      <c r="AH25" s="32" t="n">
        <f aca="false">AH21*Supuestos!$D$55</f>
        <v>65.6815917908093</v>
      </c>
      <c r="AI25" s="32" t="n">
        <f aca="false">AI21*Supuestos!$D$55</f>
        <v>65.5705959160761</v>
      </c>
      <c r="AJ25" s="32" t="n">
        <f aca="false">AJ21*Supuestos!$D$55</f>
        <v>65.4684797113215</v>
      </c>
      <c r="AK25" s="32" t="n">
        <f aca="false">AK21*Supuestos!$D$55</f>
        <v>65.3745328029472</v>
      </c>
      <c r="AL25" s="32" t="n">
        <f aca="false">AL21*Supuestos!$D$55</f>
        <v>65.2881016472429</v>
      </c>
      <c r="AM25" s="32" t="n">
        <f aca="false">AM21*Supuestos!$D$55</f>
        <v>65.2085849839949</v>
      </c>
    </row>
    <row r="26" customFormat="false" ht="15" hidden="false" customHeight="false" outlineLevel="0" collapsed="false">
      <c r="B26" s="4" t="s">
        <v>496</v>
      </c>
      <c r="D26" s="32" t="n">
        <f aca="false">D21*(1+Supuestos!$D$7*Supuestos!$D$8)*Supuestos!$D$56</f>
        <v>2.3472</v>
      </c>
      <c r="E26" s="32" t="n">
        <f aca="false">E21*(1+Supuestos!$D$7*Supuestos!$D$8)*Supuestos!$D$56</f>
        <v>4.58101246153846</v>
      </c>
      <c r="F26" s="32" t="n">
        <f aca="false">F21*(1+Supuestos!$D$7*Supuestos!$D$8)*Supuestos!$D$56</f>
        <v>6.70995696461538</v>
      </c>
      <c r="G26" s="32" t="n">
        <f aca="false">G21*(1+Supuestos!$D$7*Supuestos!$D$8)*Supuestos!$D$56</f>
        <v>8.74189909398462</v>
      </c>
      <c r="H26" s="32" t="n">
        <f aca="false">H21*(1+Supuestos!$D$7*Supuestos!$D$8)*Supuestos!$D$56</f>
        <v>10.6841013802158</v>
      </c>
      <c r="I26" s="32" t="n">
        <f aca="false">I21*(1+Supuestos!$D$7*Supuestos!$D$8)*Supuestos!$D$56</f>
        <v>12.5432702343995</v>
      </c>
      <c r="J26" s="32" t="n">
        <f aca="false">J21*(1+Supuestos!$D$7*Supuestos!$D$8)*Supuestos!$D$56</f>
        <v>14.325599193557</v>
      </c>
      <c r="K26" s="32" t="n">
        <f aca="false">K21*(1+Supuestos!$D$7*Supuestos!$D$8)*Supuestos!$D$56</f>
        <v>16.0368087686248</v>
      </c>
      <c r="L26" s="32" t="n">
        <f aca="false">L21*(1+Supuestos!$D$7*Supuestos!$D$8)*Supuestos!$D$56</f>
        <v>17.682183163698</v>
      </c>
      <c r="M26" s="32" t="n">
        <f aca="false">M21*(1+Supuestos!$D$7*Supuestos!$D$8)*Supuestos!$D$56</f>
        <v>19.2573177025222</v>
      </c>
      <c r="N26" s="32" t="n">
        <f aca="false">N21*(1+Supuestos!$D$7*Supuestos!$D$8)*Supuestos!$D$56</f>
        <v>19.967036901705</v>
      </c>
      <c r="O26" s="32" t="n">
        <f aca="false">O21*(1+Supuestos!$D$7*Supuestos!$D$8)*Supuestos!$D$56</f>
        <v>20.6354862572609</v>
      </c>
      <c r="P26" s="32" t="n">
        <f aca="false">P21*(1+Supuestos!$D$7*Supuestos!$D$8)*Supuestos!$D$56</f>
        <v>20.4783288951416</v>
      </c>
      <c r="Q26" s="32" t="n">
        <f aca="false">Q21*(1+Supuestos!$D$7*Supuestos!$D$8)*Supuestos!$D$56</f>
        <v>20.3337441219918</v>
      </c>
      <c r="R26" s="32" t="n">
        <f aca="false">R21*(1+Supuestos!$D$7*Supuestos!$D$8)*Supuestos!$D$56</f>
        <v>20.200726130694</v>
      </c>
      <c r="S26" s="32" t="n">
        <f aca="false">S21*(1+Supuestos!$D$7*Supuestos!$D$8)*Supuestos!$D$56</f>
        <v>20.0783495787</v>
      </c>
      <c r="T26" s="32" t="n">
        <f aca="false">T21*(1+Supuestos!$D$7*Supuestos!$D$8)*Supuestos!$D$56</f>
        <v>19.9657631508655</v>
      </c>
      <c r="U26" s="32" t="n">
        <f aca="false">U21*(1+Supuestos!$D$7*Supuestos!$D$8)*Supuestos!$D$56</f>
        <v>19.8621836372578</v>
      </c>
      <c r="V26" s="32" t="n">
        <f aca="false">V21*(1+Supuestos!$D$7*Supuestos!$D$8)*Supuestos!$D$56</f>
        <v>19.7668904847387</v>
      </c>
      <c r="W26" s="32" t="n">
        <f aca="false">W21*(1+Supuestos!$D$7*Supuestos!$D$8)*Supuestos!$D$56</f>
        <v>19.6792207844212</v>
      </c>
      <c r="X26" s="32" t="n">
        <f aca="false">X21*(1+Supuestos!$D$7*Supuestos!$D$8)*Supuestos!$D$56</f>
        <v>19.598564660129</v>
      </c>
      <c r="Y26" s="32" t="n">
        <f aca="false">Y21*(1+Supuestos!$D$7*Supuestos!$D$8)*Supuestos!$D$56</f>
        <v>19.5243610257802</v>
      </c>
      <c r="Z26" s="32" t="n">
        <f aca="false">Z21*(1+Supuestos!$D$7*Supuestos!$D$8)*Supuestos!$D$56</f>
        <v>19.4560936821794</v>
      </c>
      <c r="AA26" s="32" t="n">
        <f aca="false">AA21*(1+Supuestos!$D$7*Supuestos!$D$8)*Supuestos!$D$56</f>
        <v>19.3932877260666</v>
      </c>
      <c r="AB26" s="32" t="n">
        <f aca="false">AB21*(1+Supuestos!$D$7*Supuestos!$D$8)*Supuestos!$D$56</f>
        <v>19.3355062464428</v>
      </c>
      <c r="AC26" s="32" t="n">
        <f aca="false">AC21*(1+Supuestos!$D$7*Supuestos!$D$8)*Supuestos!$D$56</f>
        <v>19.2823472851889</v>
      </c>
      <c r="AD26" s="32" t="n">
        <f aca="false">AD21*(1+Supuestos!$D$7*Supuestos!$D$8)*Supuestos!$D$56</f>
        <v>19.2334410408353</v>
      </c>
      <c r="AE26" s="32" t="n">
        <f aca="false">AE21*(1+Supuestos!$D$7*Supuestos!$D$8)*Supuestos!$D$56</f>
        <v>19.18844729603</v>
      </c>
      <c r="AF26" s="32" t="n">
        <f aca="false">AF21*(1+Supuestos!$D$7*Supuestos!$D$8)*Supuestos!$D$56</f>
        <v>19.1470530508092</v>
      </c>
      <c r="AG26" s="32" t="n">
        <f aca="false">AG21*(1+Supuestos!$D$7*Supuestos!$D$8)*Supuestos!$D$56</f>
        <v>19.108970345206</v>
      </c>
      <c r="AH26" s="32" t="n">
        <f aca="false">AH21*(1+Supuestos!$D$7*Supuestos!$D$8)*Supuestos!$D$56</f>
        <v>19.073934256051</v>
      </c>
      <c r="AI26" s="32" t="n">
        <f aca="false">AI21*(1+Supuestos!$D$7*Supuestos!$D$8)*Supuestos!$D$56</f>
        <v>19.0417010540285</v>
      </c>
      <c r="AJ26" s="32" t="n">
        <f aca="false">AJ21*(1+Supuestos!$D$7*Supuestos!$D$8)*Supuestos!$D$56</f>
        <v>19.0120465081678</v>
      </c>
      <c r="AK26" s="32" t="n">
        <f aca="false">AK21*(1+Supuestos!$D$7*Supuestos!$D$8)*Supuestos!$D$56</f>
        <v>18.9847643259759</v>
      </c>
      <c r="AL26" s="32" t="n">
        <f aca="false">AL21*(1+Supuestos!$D$7*Supuestos!$D$8)*Supuestos!$D$56</f>
        <v>18.9596647183593</v>
      </c>
      <c r="AM26" s="32" t="n">
        <f aca="false">AM21*(1+Supuestos!$D$7*Supuestos!$D$8)*Supuestos!$D$56</f>
        <v>18.9365730793521</v>
      </c>
    </row>
    <row r="27" customFormat="false" ht="15" hidden="false" customHeight="false" outlineLevel="0" collapsed="false">
      <c r="B27" s="4" t="s">
        <v>497</v>
      </c>
      <c r="D27" s="32" t="n">
        <f aca="false">SUM(D23:D26)</f>
        <v>67.6372179614325</v>
      </c>
      <c r="E27" s="32" t="n">
        <f aca="false">SUM(E23:E26)</f>
        <v>132.037839747499</v>
      </c>
      <c r="F27" s="32" t="n">
        <f aca="false">SUM(F23:F26)</f>
        <v>193.440080413395</v>
      </c>
      <c r="G27" s="32" t="n">
        <f aca="false">SUM(G23:G26)</f>
        <v>252.06413344184</v>
      </c>
      <c r="H27" s="32" t="n">
        <f aca="false">SUM(H23:H26)</f>
        <v>308.113560687281</v>
      </c>
      <c r="I27" s="32" t="n">
        <f aca="false">SUM(I23:I26)</f>
        <v>361.776573713638</v>
      </c>
      <c r="J27" s="32" t="n">
        <f aca="false">SUM(J23:J26)</f>
        <v>413.227215084652</v>
      </c>
      <c r="K27" s="32" t="n">
        <f aca="false">SUM(K23:K26)</f>
        <v>462.626447487655</v>
      </c>
      <c r="L27" s="32" t="n">
        <f aca="false">SUM(L23:L26)</f>
        <v>510.123157947247</v>
      </c>
      <c r="M27" s="32" t="n">
        <f aca="false">SUM(M23:M26)</f>
        <v>555.506266192273</v>
      </c>
      <c r="N27" s="32" t="n">
        <f aca="false">SUM(N23:N26)</f>
        <v>573.24239903993</v>
      </c>
      <c r="O27" s="32" t="n">
        <f aca="false">SUM(O23:O26)</f>
        <v>589.872502916905</v>
      </c>
      <c r="P27" s="32" t="n">
        <f aca="false">SUM(P23:P26)</f>
        <v>585.660696421315</v>
      </c>
      <c r="Q27" s="32" t="n">
        <f aca="false">SUM(Q23:Q26)</f>
        <v>581.785834445372</v>
      </c>
      <c r="R27" s="32" t="n">
        <f aca="false">SUM(R23:R26)</f>
        <v>578.220961427504</v>
      </c>
      <c r="S27" s="32" t="n">
        <f aca="false">SUM(S23:S26)</f>
        <v>574.941278251066</v>
      </c>
      <c r="T27" s="32" t="n">
        <f aca="false">SUM(T23:T26)</f>
        <v>571.923969728743</v>
      </c>
      <c r="U27" s="32" t="n">
        <f aca="false">SUM(U23:U26)</f>
        <v>569.148045888206</v>
      </c>
      <c r="V27" s="32" t="n">
        <f aca="false">SUM(V23:V26)</f>
        <v>566.594195954912</v>
      </c>
      <c r="W27" s="32" t="n">
        <f aca="false">SUM(W23:W26)</f>
        <v>564.244654016281</v>
      </c>
      <c r="X27" s="32" t="n">
        <f aca="false">SUM(X23:X26)</f>
        <v>562.083075432741</v>
      </c>
      <c r="Y27" s="32" t="n">
        <f aca="false">SUM(Y23:Y26)</f>
        <v>560.094423135884</v>
      </c>
      <c r="Z27" s="32" t="n">
        <f aca="false">SUM(Z23:Z26)</f>
        <v>558.264863022775</v>
      </c>
      <c r="AA27" s="32" t="n">
        <f aca="false">SUM(AA23:AA26)</f>
        <v>556.581667718716</v>
      </c>
      <c r="AB27" s="32" t="n">
        <f aca="false">SUM(AB23:AB26)</f>
        <v>555.033128038981</v>
      </c>
      <c r="AC27" s="32" t="n">
        <f aca="false">SUM(AC23:AC26)</f>
        <v>553.608471533624</v>
      </c>
      <c r="AD27" s="32" t="n">
        <f aca="false">SUM(AD23:AD26)</f>
        <v>552.297787548697</v>
      </c>
      <c r="AE27" s="32" t="n">
        <f aca="false">SUM(AE23:AE26)</f>
        <v>551.091958282563</v>
      </c>
      <c r="AF27" s="32" t="n">
        <f aca="false">SUM(AF23:AF26)</f>
        <v>549.98259535772</v>
      </c>
      <c r="AG27" s="32" t="n">
        <f aca="false">SUM(AG23:AG26)</f>
        <v>548.961981466865</v>
      </c>
      <c r="AH27" s="32" t="n">
        <f aca="false">SUM(AH23:AH26)</f>
        <v>548.023016687278</v>
      </c>
      <c r="AI27" s="32" t="n">
        <f aca="false">SUM(AI23:AI26)</f>
        <v>547.159169090058</v>
      </c>
      <c r="AJ27" s="32" t="n">
        <f aca="false">SUM(AJ23:AJ26)</f>
        <v>546.364429300616</v>
      </c>
      <c r="AK27" s="32" t="n">
        <f aca="false">SUM(AK23:AK26)</f>
        <v>545.633268694329</v>
      </c>
      <c r="AL27" s="32" t="n">
        <f aca="false">SUM(AL23:AL26)</f>
        <v>544.960600936545</v>
      </c>
      <c r="AM27" s="32" t="n">
        <f aca="false">SUM(AM23:AM26)</f>
        <v>544.341746599383</v>
      </c>
    </row>
    <row r="28" customFormat="false" ht="15" hidden="false" customHeight="false" outlineLevel="0" collapsed="false">
      <c r="B28" s="13" t="s">
        <v>498</v>
      </c>
      <c r="D28" s="32" t="n">
        <f aca="false">D21-D27</f>
        <v>94.015674600551</v>
      </c>
      <c r="E28" s="32" t="n">
        <f aca="false">E21-E27</f>
        <v>183.458886253772</v>
      </c>
      <c r="F28" s="32" t="n">
        <f aca="false">F21-F27</f>
        <v>268.678167838353</v>
      </c>
      <c r="G28" s="32" t="n">
        <f aca="false">G21-G27</f>
        <v>349.995032810544</v>
      </c>
      <c r="H28" s="32" t="n">
        <f aca="false">H21-H27</f>
        <v>427.706093597557</v>
      </c>
      <c r="I28" s="32" t="n">
        <f aca="false">I21-I27</f>
        <v>502.085012677515</v>
      </c>
      <c r="J28" s="32" t="n">
        <f aca="false">J21-J27</f>
        <v>573.384299623127</v>
      </c>
      <c r="K28" s="32" t="n">
        <f aca="false">K21-K27</f>
        <v>641.836966329477</v>
      </c>
      <c r="L28" s="32" t="n">
        <f aca="false">L21-L27</f>
        <v>707.658051673827</v>
      </c>
      <c r="M28" s="32" t="n">
        <f aca="false">M21-M27</f>
        <v>770.755283568206</v>
      </c>
      <c r="N28" s="32" t="n">
        <f aca="false">N21-N27</f>
        <v>801.89788344664</v>
      </c>
      <c r="O28" s="32" t="n">
        <f aca="false">O21-O27</f>
        <v>831.304236563874</v>
      </c>
      <c r="P28" s="32" t="n">
        <f aca="false">P21-P27</f>
        <v>824.692533271631</v>
      </c>
      <c r="Q28" s="32" t="n">
        <f aca="false">Q21-Q27</f>
        <v>818.609766242768</v>
      </c>
      <c r="R28" s="32" t="n">
        <f aca="false">R21-R27</f>
        <v>813.013620576213</v>
      </c>
      <c r="S28" s="32" t="n">
        <f aca="false">S21-S27</f>
        <v>807.865166562983</v>
      </c>
      <c r="T28" s="32" t="n">
        <f aca="false">T21-T27</f>
        <v>803.128588870812</v>
      </c>
      <c r="U28" s="32" t="n">
        <f aca="false">U21-U27</f>
        <v>798.770937394014</v>
      </c>
      <c r="V28" s="32" t="n">
        <f aca="false">V21-V27</f>
        <v>794.76189803536</v>
      </c>
      <c r="W28" s="32" t="n">
        <f aca="false">W21-W27</f>
        <v>791.073581825398</v>
      </c>
      <c r="X28" s="32" t="n">
        <f aca="false">X21-X27</f>
        <v>787.680330912234</v>
      </c>
      <c r="Y28" s="32" t="n">
        <f aca="false">Y21-Y27</f>
        <v>784.558540072122</v>
      </c>
      <c r="Z28" s="32" t="n">
        <f aca="false">Z21-Z27</f>
        <v>781.68649249922</v>
      </c>
      <c r="AA28" s="32" t="n">
        <f aca="false">AA21-AA27</f>
        <v>779.044208732149</v>
      </c>
      <c r="AB28" s="32" t="n">
        <f aca="false">AB21-AB27</f>
        <v>776.613307666444</v>
      </c>
      <c r="AC28" s="32" t="n">
        <f aca="false">AC21-AC27</f>
        <v>774.376878685996</v>
      </c>
      <c r="AD28" s="32" t="n">
        <f aca="false">AD21-AD27</f>
        <v>772.319364023984</v>
      </c>
      <c r="AE28" s="32" t="n">
        <f aca="false">AE21-AE27</f>
        <v>770.426450534932</v>
      </c>
      <c r="AF28" s="32" t="n">
        <f aca="false">AF21-AF27</f>
        <v>768.684970125004</v>
      </c>
      <c r="AG28" s="32" t="n">
        <f aca="false">AG21-AG27</f>
        <v>767.082808147871</v>
      </c>
      <c r="AH28" s="32" t="n">
        <f aca="false">AH21-AH27</f>
        <v>765.608819128909</v>
      </c>
      <c r="AI28" s="32" t="n">
        <f aca="false">AI21-AI27</f>
        <v>764.252749231463</v>
      </c>
      <c r="AJ28" s="32" t="n">
        <f aca="false">AJ21-AJ27</f>
        <v>763.005164925813</v>
      </c>
      <c r="AK28" s="32" t="n">
        <f aca="false">AK21-AK27</f>
        <v>761.857387364615</v>
      </c>
      <c r="AL28" s="32" t="n">
        <f aca="false">AL21-AL27</f>
        <v>760.801432008313</v>
      </c>
      <c r="AM28" s="32" t="n">
        <f aca="false">AM21-AM27</f>
        <v>759.829953080515</v>
      </c>
    </row>
    <row r="29" customFormat="false" ht="15" hidden="false" customHeight="false" outlineLevel="0" collapsed="false">
      <c r="B29" s="21" t="s">
        <v>499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</row>
    <row r="30" customFormat="false" ht="15" hidden="false" customHeight="false" outlineLevel="0" collapsed="false">
      <c r="B30" s="4" t="s">
        <v>500</v>
      </c>
      <c r="D30" s="32" t="n">
        <f aca="false">Supuestos!$D$58*Supuestos!$D$59</f>
        <v>1159.6</v>
      </c>
      <c r="E30" s="32" t="n">
        <f aca="false">Supuestos!$D$58*Supuestos!$D$59</f>
        <v>1159.6</v>
      </c>
      <c r="F30" s="32" t="n">
        <f aca="false">Supuestos!$D$58*Supuestos!$D$59</f>
        <v>1159.6</v>
      </c>
      <c r="G30" s="32" t="n">
        <f aca="false">Supuestos!$D$58*Supuestos!$D$59</f>
        <v>1159.6</v>
      </c>
      <c r="H30" s="32" t="n">
        <f aca="false">Supuestos!$D$58*Supuestos!$D$59</f>
        <v>1159.6</v>
      </c>
      <c r="I30" s="32" t="n">
        <f aca="false">Supuestos!$D$58*Supuestos!$D$59</f>
        <v>1159.6</v>
      </c>
      <c r="J30" s="32" t="n">
        <f aca="false">Supuestos!$D$58*Supuestos!$D$59</f>
        <v>1159.6</v>
      </c>
      <c r="K30" s="32" t="n">
        <f aca="false">Supuestos!$D$58*Supuestos!$D$59</f>
        <v>1159.6</v>
      </c>
      <c r="L30" s="32" t="n">
        <f aca="false">Supuestos!$D$58*Supuestos!$D$59</f>
        <v>1159.6</v>
      </c>
      <c r="M30" s="32" t="n">
        <f aca="false">Supuestos!$D$58*Supuestos!$D$59</f>
        <v>1159.6</v>
      </c>
      <c r="N30" s="32" t="n">
        <f aca="false">Supuestos!$D$58*Supuestos!$D$59</f>
        <v>1159.6</v>
      </c>
      <c r="O30" s="32" t="n">
        <f aca="false">Supuestos!$D$58*Supuestos!$D$59</f>
        <v>1159.6</v>
      </c>
      <c r="P30" s="32" t="n">
        <f aca="false">Supuestos!$D$58*Supuestos!$D$59</f>
        <v>1159.6</v>
      </c>
      <c r="Q30" s="32" t="n">
        <f aca="false">Supuestos!$D$58*Supuestos!$D$59</f>
        <v>1159.6</v>
      </c>
      <c r="R30" s="32" t="n">
        <f aca="false">Supuestos!$D$58*Supuestos!$D$59</f>
        <v>1159.6</v>
      </c>
      <c r="S30" s="32" t="n">
        <f aca="false">Supuestos!$D$58*Supuestos!$D$59</f>
        <v>1159.6</v>
      </c>
      <c r="T30" s="32" t="n">
        <f aca="false">Supuestos!$D$58*Supuestos!$D$59</f>
        <v>1159.6</v>
      </c>
      <c r="U30" s="32" t="n">
        <f aca="false">Supuestos!$D$58*Supuestos!$D$59</f>
        <v>1159.6</v>
      </c>
      <c r="V30" s="32" t="n">
        <f aca="false">Supuestos!$D$58*Supuestos!$D$59</f>
        <v>1159.6</v>
      </c>
      <c r="W30" s="32" t="n">
        <f aca="false">Supuestos!$D$58*Supuestos!$D$59</f>
        <v>1159.6</v>
      </c>
      <c r="X30" s="32" t="n">
        <f aca="false">Supuestos!$D$58*Supuestos!$D$59</f>
        <v>1159.6</v>
      </c>
      <c r="Y30" s="32" t="n">
        <f aca="false">Supuestos!$D$58*Supuestos!$D$59</f>
        <v>1159.6</v>
      </c>
      <c r="Z30" s="32" t="n">
        <f aca="false">Supuestos!$D$58*Supuestos!$D$59</f>
        <v>1159.6</v>
      </c>
      <c r="AA30" s="32" t="n">
        <f aca="false">Supuestos!$D$58*Supuestos!$D$59</f>
        <v>1159.6</v>
      </c>
      <c r="AB30" s="32" t="n">
        <f aca="false">Supuestos!$D$58*Supuestos!$D$59</f>
        <v>1159.6</v>
      </c>
      <c r="AC30" s="32" t="n">
        <f aca="false">Supuestos!$D$58*Supuestos!$D$59</f>
        <v>1159.6</v>
      </c>
      <c r="AD30" s="32" t="n">
        <f aca="false">Supuestos!$D$58*Supuestos!$D$59</f>
        <v>1159.6</v>
      </c>
      <c r="AE30" s="32" t="n">
        <f aca="false">Supuestos!$D$58*Supuestos!$D$59</f>
        <v>1159.6</v>
      </c>
      <c r="AF30" s="32" t="n">
        <f aca="false">Supuestos!$D$58*Supuestos!$D$59</f>
        <v>1159.6</v>
      </c>
      <c r="AG30" s="32" t="n">
        <f aca="false">Supuestos!$D$58*Supuestos!$D$59</f>
        <v>1159.6</v>
      </c>
      <c r="AH30" s="32" t="n">
        <f aca="false">Supuestos!$D$58*Supuestos!$D$59</f>
        <v>1159.6</v>
      </c>
      <c r="AI30" s="32" t="n">
        <f aca="false">Supuestos!$D$58*Supuestos!$D$59</f>
        <v>1159.6</v>
      </c>
      <c r="AJ30" s="32" t="n">
        <f aca="false">Supuestos!$D$58*Supuestos!$D$59</f>
        <v>1159.6</v>
      </c>
      <c r="AK30" s="32" t="n">
        <f aca="false">Supuestos!$D$58*Supuestos!$D$59</f>
        <v>1159.6</v>
      </c>
      <c r="AL30" s="32" t="n">
        <f aca="false">Supuestos!$D$58*Supuestos!$D$59</f>
        <v>1159.6</v>
      </c>
      <c r="AM30" s="32" t="n">
        <f aca="false">Supuestos!$D$58*Supuestos!$D$59</f>
        <v>1159.6</v>
      </c>
    </row>
    <row r="31" customFormat="false" ht="15" hidden="false" customHeight="false" outlineLevel="0" collapsed="false">
      <c r="B31" s="4" t="s">
        <v>321</v>
      </c>
      <c r="D31" s="32" t="n">
        <f aca="false">Supuestos!$D$60</f>
        <v>673.1</v>
      </c>
      <c r="E31" s="32" t="n">
        <f aca="false">Supuestos!$D$60</f>
        <v>673.1</v>
      </c>
      <c r="F31" s="32" t="n">
        <f aca="false">Supuestos!$D$60</f>
        <v>673.1</v>
      </c>
      <c r="G31" s="32" t="n">
        <f aca="false">Supuestos!$D$60</f>
        <v>673.1</v>
      </c>
      <c r="H31" s="32" t="n">
        <f aca="false">Supuestos!$D$60</f>
        <v>673.1</v>
      </c>
      <c r="I31" s="32" t="n">
        <f aca="false">Supuestos!$D$60</f>
        <v>673.1</v>
      </c>
      <c r="J31" s="32" t="n">
        <f aca="false">Supuestos!$D$60</f>
        <v>673.1</v>
      </c>
      <c r="K31" s="32" t="n">
        <f aca="false">Supuestos!$D$60</f>
        <v>673.1</v>
      </c>
      <c r="L31" s="32" t="n">
        <f aca="false">Supuestos!$D$60</f>
        <v>673.1</v>
      </c>
      <c r="M31" s="32" t="n">
        <f aca="false">Supuestos!$D$60</f>
        <v>673.1</v>
      </c>
      <c r="N31" s="32" t="n">
        <f aca="false">Supuestos!$D$60</f>
        <v>673.1</v>
      </c>
      <c r="O31" s="32" t="n">
        <f aca="false">Supuestos!$D$60</f>
        <v>673.1</v>
      </c>
      <c r="P31" s="32" t="n">
        <f aca="false">Supuestos!$D$60</f>
        <v>673.1</v>
      </c>
      <c r="Q31" s="32" t="n">
        <f aca="false">Supuestos!$D$60</f>
        <v>673.1</v>
      </c>
      <c r="R31" s="32" t="n">
        <f aca="false">Supuestos!$D$60</f>
        <v>673.1</v>
      </c>
      <c r="S31" s="32" t="n">
        <f aca="false">Supuestos!$D$60</f>
        <v>673.1</v>
      </c>
      <c r="T31" s="32" t="n">
        <f aca="false">Supuestos!$D$60</f>
        <v>673.1</v>
      </c>
      <c r="U31" s="32" t="n">
        <f aca="false">Supuestos!$D$60</f>
        <v>673.1</v>
      </c>
      <c r="V31" s="32" t="n">
        <f aca="false">Supuestos!$D$60</f>
        <v>673.1</v>
      </c>
      <c r="W31" s="32" t="n">
        <f aca="false">Supuestos!$D$60</f>
        <v>673.1</v>
      </c>
      <c r="X31" s="32" t="n">
        <f aca="false">Supuestos!$D$60</f>
        <v>673.1</v>
      </c>
      <c r="Y31" s="32" t="n">
        <f aca="false">Supuestos!$D$60</f>
        <v>673.1</v>
      </c>
      <c r="Z31" s="32" t="n">
        <f aca="false">Supuestos!$D$60</f>
        <v>673.1</v>
      </c>
      <c r="AA31" s="32" t="n">
        <f aca="false">Supuestos!$D$60</f>
        <v>673.1</v>
      </c>
      <c r="AB31" s="32" t="n">
        <f aca="false">Supuestos!$D$60</f>
        <v>673.1</v>
      </c>
      <c r="AC31" s="32" t="n">
        <f aca="false">Supuestos!$D$60</f>
        <v>673.1</v>
      </c>
      <c r="AD31" s="32" t="n">
        <f aca="false">Supuestos!$D$60</f>
        <v>673.1</v>
      </c>
      <c r="AE31" s="32" t="n">
        <f aca="false">Supuestos!$D$60</f>
        <v>673.1</v>
      </c>
      <c r="AF31" s="32" t="n">
        <f aca="false">Supuestos!$D$60</f>
        <v>673.1</v>
      </c>
      <c r="AG31" s="32" t="n">
        <f aca="false">Supuestos!$D$60</f>
        <v>673.1</v>
      </c>
      <c r="AH31" s="32" t="n">
        <f aca="false">Supuestos!$D$60</f>
        <v>673.1</v>
      </c>
      <c r="AI31" s="32" t="n">
        <f aca="false">Supuestos!$D$60</f>
        <v>673.1</v>
      </c>
      <c r="AJ31" s="32" t="n">
        <f aca="false">Supuestos!$D$60</f>
        <v>673.1</v>
      </c>
      <c r="AK31" s="32" t="n">
        <f aca="false">Supuestos!$D$60</f>
        <v>673.1</v>
      </c>
      <c r="AL31" s="32" t="n">
        <f aca="false">Supuestos!$D$60</f>
        <v>673.1</v>
      </c>
      <c r="AM31" s="32" t="n">
        <f aca="false">Supuestos!$D$60</f>
        <v>673.1</v>
      </c>
    </row>
    <row r="32" customFormat="false" ht="15" hidden="false" customHeight="false" outlineLevel="0" collapsed="false">
      <c r="B32" s="4" t="s">
        <v>324</v>
      </c>
      <c r="D32" s="32" t="n">
        <f aca="false">Supuestos!$D$61</f>
        <v>115.4</v>
      </c>
      <c r="E32" s="32" t="n">
        <f aca="false">Supuestos!$D$61</f>
        <v>115.4</v>
      </c>
      <c r="F32" s="32" t="n">
        <f aca="false">Supuestos!$D$61</f>
        <v>115.4</v>
      </c>
      <c r="G32" s="32" t="n">
        <f aca="false">Supuestos!$D$61</f>
        <v>115.4</v>
      </c>
      <c r="H32" s="32" t="n">
        <f aca="false">Supuestos!$D$61</f>
        <v>115.4</v>
      </c>
      <c r="I32" s="32" t="n">
        <f aca="false">Supuestos!$D$61</f>
        <v>115.4</v>
      </c>
      <c r="J32" s="32" t="n">
        <f aca="false">Supuestos!$D$61</f>
        <v>115.4</v>
      </c>
      <c r="K32" s="32" t="n">
        <f aca="false">Supuestos!$D$61</f>
        <v>115.4</v>
      </c>
      <c r="L32" s="32" t="n">
        <f aca="false">Supuestos!$D$61</f>
        <v>115.4</v>
      </c>
      <c r="M32" s="32" t="n">
        <f aca="false">Supuestos!$D$61</f>
        <v>115.4</v>
      </c>
      <c r="N32" s="32" t="n">
        <f aca="false">Supuestos!$D$61</f>
        <v>115.4</v>
      </c>
      <c r="O32" s="32" t="n">
        <f aca="false">Supuestos!$D$61</f>
        <v>115.4</v>
      </c>
      <c r="P32" s="32" t="n">
        <f aca="false">Supuestos!$D$61</f>
        <v>115.4</v>
      </c>
      <c r="Q32" s="32" t="n">
        <f aca="false">Supuestos!$D$61</f>
        <v>115.4</v>
      </c>
      <c r="R32" s="32" t="n">
        <f aca="false">Supuestos!$D$61</f>
        <v>115.4</v>
      </c>
      <c r="S32" s="32" t="n">
        <f aca="false">Supuestos!$D$61</f>
        <v>115.4</v>
      </c>
      <c r="T32" s="32" t="n">
        <f aca="false">Supuestos!$D$61</f>
        <v>115.4</v>
      </c>
      <c r="U32" s="32" t="n">
        <f aca="false">Supuestos!$D$61</f>
        <v>115.4</v>
      </c>
      <c r="V32" s="32" t="n">
        <f aca="false">Supuestos!$D$61</f>
        <v>115.4</v>
      </c>
      <c r="W32" s="32" t="n">
        <f aca="false">Supuestos!$D$61</f>
        <v>115.4</v>
      </c>
      <c r="X32" s="32" t="n">
        <f aca="false">Supuestos!$D$61</f>
        <v>115.4</v>
      </c>
      <c r="Y32" s="32" t="n">
        <f aca="false">Supuestos!$D$61</f>
        <v>115.4</v>
      </c>
      <c r="Z32" s="32" t="n">
        <f aca="false">Supuestos!$D$61</f>
        <v>115.4</v>
      </c>
      <c r="AA32" s="32" t="n">
        <f aca="false">Supuestos!$D$61</f>
        <v>115.4</v>
      </c>
      <c r="AB32" s="32" t="n">
        <f aca="false">Supuestos!$D$61</f>
        <v>115.4</v>
      </c>
      <c r="AC32" s="32" t="n">
        <f aca="false">Supuestos!$D$61</f>
        <v>115.4</v>
      </c>
      <c r="AD32" s="32" t="n">
        <f aca="false">Supuestos!$D$61</f>
        <v>115.4</v>
      </c>
      <c r="AE32" s="32" t="n">
        <f aca="false">Supuestos!$D$61</f>
        <v>115.4</v>
      </c>
      <c r="AF32" s="32" t="n">
        <f aca="false">Supuestos!$D$61</f>
        <v>115.4</v>
      </c>
      <c r="AG32" s="32" t="n">
        <f aca="false">Supuestos!$D$61</f>
        <v>115.4</v>
      </c>
      <c r="AH32" s="32" t="n">
        <f aca="false">Supuestos!$D$61</f>
        <v>115.4</v>
      </c>
      <c r="AI32" s="32" t="n">
        <f aca="false">Supuestos!$D$61</f>
        <v>115.4</v>
      </c>
      <c r="AJ32" s="32" t="n">
        <f aca="false">Supuestos!$D$61</f>
        <v>115.4</v>
      </c>
      <c r="AK32" s="32" t="n">
        <f aca="false">Supuestos!$D$61</f>
        <v>115.4</v>
      </c>
      <c r="AL32" s="32" t="n">
        <f aca="false">Supuestos!$D$61</f>
        <v>115.4</v>
      </c>
      <c r="AM32" s="32" t="n">
        <f aca="false">Supuestos!$D$61</f>
        <v>115.4</v>
      </c>
    </row>
    <row r="33" customFormat="false" ht="15" hidden="false" customHeight="false" outlineLevel="0" collapsed="false">
      <c r="B33" s="4" t="s">
        <v>327</v>
      </c>
      <c r="D33" s="32" t="n">
        <f aca="false">Supuestos!$D$62</f>
        <v>27.1</v>
      </c>
      <c r="E33" s="32" t="n">
        <f aca="false">Supuestos!$D$62</f>
        <v>27.1</v>
      </c>
      <c r="F33" s="32" t="n">
        <f aca="false">Supuestos!$D$62</f>
        <v>27.1</v>
      </c>
      <c r="G33" s="32" t="n">
        <f aca="false">Supuestos!$D$62</f>
        <v>27.1</v>
      </c>
      <c r="H33" s="32" t="n">
        <f aca="false">Supuestos!$D$62</f>
        <v>27.1</v>
      </c>
      <c r="I33" s="32" t="n">
        <f aca="false">Supuestos!$D$62</f>
        <v>27.1</v>
      </c>
      <c r="J33" s="32" t="n">
        <f aca="false">Supuestos!$D$62</f>
        <v>27.1</v>
      </c>
      <c r="K33" s="32" t="n">
        <f aca="false">Supuestos!$D$62</f>
        <v>27.1</v>
      </c>
      <c r="L33" s="32" t="n">
        <f aca="false">Supuestos!$D$62</f>
        <v>27.1</v>
      </c>
      <c r="M33" s="32" t="n">
        <f aca="false">Supuestos!$D$62</f>
        <v>27.1</v>
      </c>
      <c r="N33" s="32" t="n">
        <f aca="false">Supuestos!$D$62</f>
        <v>27.1</v>
      </c>
      <c r="O33" s="32" t="n">
        <f aca="false">Supuestos!$D$62</f>
        <v>27.1</v>
      </c>
      <c r="P33" s="32" t="n">
        <f aca="false">Supuestos!$D$62</f>
        <v>27.1</v>
      </c>
      <c r="Q33" s="32" t="n">
        <f aca="false">Supuestos!$D$62</f>
        <v>27.1</v>
      </c>
      <c r="R33" s="32" t="n">
        <f aca="false">Supuestos!$D$62</f>
        <v>27.1</v>
      </c>
      <c r="S33" s="32" t="n">
        <f aca="false">Supuestos!$D$62</f>
        <v>27.1</v>
      </c>
      <c r="T33" s="32" t="n">
        <f aca="false">Supuestos!$D$62</f>
        <v>27.1</v>
      </c>
      <c r="U33" s="32" t="n">
        <f aca="false">Supuestos!$D$62</f>
        <v>27.1</v>
      </c>
      <c r="V33" s="32" t="n">
        <f aca="false">Supuestos!$D$62</f>
        <v>27.1</v>
      </c>
      <c r="W33" s="32" t="n">
        <f aca="false">Supuestos!$D$62</f>
        <v>27.1</v>
      </c>
      <c r="X33" s="32" t="n">
        <f aca="false">Supuestos!$D$62</f>
        <v>27.1</v>
      </c>
      <c r="Y33" s="32" t="n">
        <f aca="false">Supuestos!$D$62</f>
        <v>27.1</v>
      </c>
      <c r="Z33" s="32" t="n">
        <f aca="false">Supuestos!$D$62</f>
        <v>27.1</v>
      </c>
      <c r="AA33" s="32" t="n">
        <f aca="false">Supuestos!$D$62</f>
        <v>27.1</v>
      </c>
      <c r="AB33" s="32" t="n">
        <f aca="false">Supuestos!$D$62</f>
        <v>27.1</v>
      </c>
      <c r="AC33" s="32" t="n">
        <f aca="false">Supuestos!$D$62</f>
        <v>27.1</v>
      </c>
      <c r="AD33" s="32" t="n">
        <f aca="false">Supuestos!$D$62</f>
        <v>27.1</v>
      </c>
      <c r="AE33" s="32" t="n">
        <f aca="false">Supuestos!$D$62</f>
        <v>27.1</v>
      </c>
      <c r="AF33" s="32" t="n">
        <f aca="false">Supuestos!$D$62</f>
        <v>27.1</v>
      </c>
      <c r="AG33" s="32" t="n">
        <f aca="false">Supuestos!$D$62</f>
        <v>27.1</v>
      </c>
      <c r="AH33" s="32" t="n">
        <f aca="false">Supuestos!$D$62</f>
        <v>27.1</v>
      </c>
      <c r="AI33" s="32" t="n">
        <f aca="false">Supuestos!$D$62</f>
        <v>27.1</v>
      </c>
      <c r="AJ33" s="32" t="n">
        <f aca="false">Supuestos!$D$62</f>
        <v>27.1</v>
      </c>
      <c r="AK33" s="32" t="n">
        <f aca="false">Supuestos!$D$62</f>
        <v>27.1</v>
      </c>
      <c r="AL33" s="32" t="n">
        <f aca="false">Supuestos!$D$62</f>
        <v>27.1</v>
      </c>
      <c r="AM33" s="32" t="n">
        <f aca="false">Supuestos!$D$62</f>
        <v>27.1</v>
      </c>
    </row>
    <row r="34" customFormat="false" ht="15" hidden="false" customHeight="false" outlineLevel="0" collapsed="false">
      <c r="B34" s="4" t="s">
        <v>501</v>
      </c>
      <c r="D34" s="32" t="n">
        <f aca="false">Supuestos!$D$63</f>
        <v>192.3</v>
      </c>
      <c r="E34" s="32" t="n">
        <f aca="false">Supuestos!$D$63</f>
        <v>192.3</v>
      </c>
      <c r="F34" s="32" t="n">
        <f aca="false">Supuestos!$D$63</f>
        <v>192.3</v>
      </c>
      <c r="G34" s="32" t="n">
        <f aca="false">Supuestos!$D$63</f>
        <v>192.3</v>
      </c>
      <c r="H34" s="32" t="n">
        <f aca="false">Supuestos!$D$63</f>
        <v>192.3</v>
      </c>
      <c r="I34" s="32" t="n">
        <f aca="false">Supuestos!$D$63</f>
        <v>192.3</v>
      </c>
      <c r="J34" s="32" t="n">
        <f aca="false">Supuestos!$D$63</f>
        <v>192.3</v>
      </c>
      <c r="K34" s="32" t="n">
        <f aca="false">Supuestos!$D$63</f>
        <v>192.3</v>
      </c>
      <c r="L34" s="32" t="n">
        <f aca="false">Supuestos!$D$63</f>
        <v>192.3</v>
      </c>
      <c r="M34" s="32" t="n">
        <f aca="false">Supuestos!$D$63</f>
        <v>192.3</v>
      </c>
      <c r="N34" s="32" t="n">
        <f aca="false">Supuestos!$D$63</f>
        <v>192.3</v>
      </c>
      <c r="O34" s="32" t="n">
        <f aca="false">Supuestos!$D$63</f>
        <v>192.3</v>
      </c>
      <c r="P34" s="32" t="n">
        <f aca="false">Supuestos!$D$63</f>
        <v>192.3</v>
      </c>
      <c r="Q34" s="32" t="n">
        <f aca="false">Supuestos!$D$63</f>
        <v>192.3</v>
      </c>
      <c r="R34" s="32" t="n">
        <f aca="false">Supuestos!$D$63</f>
        <v>192.3</v>
      </c>
      <c r="S34" s="32" t="n">
        <f aca="false">Supuestos!$D$63</f>
        <v>192.3</v>
      </c>
      <c r="T34" s="32" t="n">
        <f aca="false">Supuestos!$D$63</f>
        <v>192.3</v>
      </c>
      <c r="U34" s="32" t="n">
        <f aca="false">Supuestos!$D$63</f>
        <v>192.3</v>
      </c>
      <c r="V34" s="32" t="n">
        <f aca="false">Supuestos!$D$63</f>
        <v>192.3</v>
      </c>
      <c r="W34" s="32" t="n">
        <f aca="false">Supuestos!$D$63</f>
        <v>192.3</v>
      </c>
      <c r="X34" s="32" t="n">
        <f aca="false">Supuestos!$D$63</f>
        <v>192.3</v>
      </c>
      <c r="Y34" s="32" t="n">
        <f aca="false">Supuestos!$D$63</f>
        <v>192.3</v>
      </c>
      <c r="Z34" s="32" t="n">
        <f aca="false">Supuestos!$D$63</f>
        <v>192.3</v>
      </c>
      <c r="AA34" s="32" t="n">
        <f aca="false">Supuestos!$D$63</f>
        <v>192.3</v>
      </c>
      <c r="AB34" s="32" t="n">
        <f aca="false">Supuestos!$D$63</f>
        <v>192.3</v>
      </c>
      <c r="AC34" s="32" t="n">
        <f aca="false">Supuestos!$D$63</f>
        <v>192.3</v>
      </c>
      <c r="AD34" s="32" t="n">
        <f aca="false">Supuestos!$D$63</f>
        <v>192.3</v>
      </c>
      <c r="AE34" s="32" t="n">
        <f aca="false">Supuestos!$D$63</f>
        <v>192.3</v>
      </c>
      <c r="AF34" s="32" t="n">
        <f aca="false">Supuestos!$D$63</f>
        <v>192.3</v>
      </c>
      <c r="AG34" s="32" t="n">
        <f aca="false">Supuestos!$D$63</f>
        <v>192.3</v>
      </c>
      <c r="AH34" s="32" t="n">
        <f aca="false">Supuestos!$D$63</f>
        <v>192.3</v>
      </c>
      <c r="AI34" s="32" t="n">
        <f aca="false">Supuestos!$D$63</f>
        <v>192.3</v>
      </c>
      <c r="AJ34" s="32" t="n">
        <f aca="false">Supuestos!$D$63</f>
        <v>192.3</v>
      </c>
      <c r="AK34" s="32" t="n">
        <f aca="false">Supuestos!$D$63</f>
        <v>192.3</v>
      </c>
      <c r="AL34" s="32" t="n">
        <f aca="false">Supuestos!$D$63</f>
        <v>192.3</v>
      </c>
      <c r="AM34" s="32" t="n">
        <f aca="false">Supuestos!$D$63</f>
        <v>192.3</v>
      </c>
    </row>
    <row r="35" customFormat="false" ht="15" hidden="false" customHeight="false" outlineLevel="0" collapsed="false">
      <c r="B35" s="4" t="s">
        <v>334</v>
      </c>
      <c r="D35" s="32" t="n">
        <f aca="false">Supuestos!$D$64</f>
        <v>177</v>
      </c>
      <c r="E35" s="32" t="n">
        <f aca="false">Supuestos!$D$64</f>
        <v>177</v>
      </c>
      <c r="F35" s="32" t="n">
        <f aca="false">Supuestos!$D$64</f>
        <v>177</v>
      </c>
      <c r="G35" s="32" t="n">
        <f aca="false">Supuestos!$D$64</f>
        <v>177</v>
      </c>
      <c r="H35" s="32" t="n">
        <f aca="false">Supuestos!$D$64</f>
        <v>177</v>
      </c>
      <c r="I35" s="32" t="n">
        <f aca="false">Supuestos!$D$64</f>
        <v>177</v>
      </c>
      <c r="J35" s="32" t="n">
        <f aca="false">Supuestos!$D$64</f>
        <v>177</v>
      </c>
      <c r="K35" s="32" t="n">
        <f aca="false">Supuestos!$D$64</f>
        <v>177</v>
      </c>
      <c r="L35" s="32" t="n">
        <f aca="false">Supuestos!$D$64</f>
        <v>177</v>
      </c>
      <c r="M35" s="32" t="n">
        <f aca="false">Supuestos!$D$64</f>
        <v>177</v>
      </c>
      <c r="N35" s="32" t="n">
        <f aca="false">Supuestos!$D$64</f>
        <v>177</v>
      </c>
      <c r="O35" s="32" t="n">
        <f aca="false">Supuestos!$D$64</f>
        <v>177</v>
      </c>
      <c r="P35" s="32" t="n">
        <f aca="false">Supuestos!$D$64</f>
        <v>177</v>
      </c>
      <c r="Q35" s="32" t="n">
        <f aca="false">Supuestos!$D$64</f>
        <v>177</v>
      </c>
      <c r="R35" s="32" t="n">
        <f aca="false">Supuestos!$D$64</f>
        <v>177</v>
      </c>
      <c r="S35" s="32" t="n">
        <f aca="false">Supuestos!$D$64</f>
        <v>177</v>
      </c>
      <c r="T35" s="32" t="n">
        <f aca="false">Supuestos!$D$64</f>
        <v>177</v>
      </c>
      <c r="U35" s="32" t="n">
        <f aca="false">Supuestos!$D$64</f>
        <v>177</v>
      </c>
      <c r="V35" s="32" t="n">
        <f aca="false">Supuestos!$D$64</f>
        <v>177</v>
      </c>
      <c r="W35" s="32" t="n">
        <f aca="false">Supuestos!$D$64</f>
        <v>177</v>
      </c>
      <c r="X35" s="32" t="n">
        <f aca="false">Supuestos!$D$64</f>
        <v>177</v>
      </c>
      <c r="Y35" s="32" t="n">
        <f aca="false">Supuestos!$D$64</f>
        <v>177</v>
      </c>
      <c r="Z35" s="32" t="n">
        <f aca="false">Supuestos!$D$64</f>
        <v>177</v>
      </c>
      <c r="AA35" s="32" t="n">
        <f aca="false">Supuestos!$D$64</f>
        <v>177</v>
      </c>
      <c r="AB35" s="32" t="n">
        <f aca="false">Supuestos!$D$64</f>
        <v>177</v>
      </c>
      <c r="AC35" s="32" t="n">
        <f aca="false">Supuestos!$D$64</f>
        <v>177</v>
      </c>
      <c r="AD35" s="32" t="n">
        <f aca="false">Supuestos!$D$64</f>
        <v>177</v>
      </c>
      <c r="AE35" s="32" t="n">
        <f aca="false">Supuestos!$D$64</f>
        <v>177</v>
      </c>
      <c r="AF35" s="32" t="n">
        <f aca="false">Supuestos!$D$64</f>
        <v>177</v>
      </c>
      <c r="AG35" s="32" t="n">
        <f aca="false">Supuestos!$D$64</f>
        <v>177</v>
      </c>
      <c r="AH35" s="32" t="n">
        <f aca="false">Supuestos!$D$64</f>
        <v>177</v>
      </c>
      <c r="AI35" s="32" t="n">
        <f aca="false">Supuestos!$D$64</f>
        <v>177</v>
      </c>
      <c r="AJ35" s="32" t="n">
        <f aca="false">Supuestos!$D$64</f>
        <v>177</v>
      </c>
      <c r="AK35" s="32" t="n">
        <f aca="false">Supuestos!$D$64</f>
        <v>177</v>
      </c>
      <c r="AL35" s="32" t="n">
        <f aca="false">Supuestos!$D$64</f>
        <v>177</v>
      </c>
      <c r="AM35" s="32" t="n">
        <f aca="false">Supuestos!$D$64</f>
        <v>177</v>
      </c>
    </row>
    <row r="36" customFormat="false" ht="15" hidden="false" customHeight="false" outlineLevel="0" collapsed="false">
      <c r="B36" s="4" t="s">
        <v>337</v>
      </c>
      <c r="D36" s="32" t="n">
        <f aca="false">Supuestos!$D$65</f>
        <v>0</v>
      </c>
      <c r="E36" s="32" t="n">
        <f aca="false">Supuestos!$D$65</f>
        <v>0</v>
      </c>
      <c r="F36" s="32" t="n">
        <f aca="false">Supuestos!$D$65</f>
        <v>0</v>
      </c>
      <c r="G36" s="32" t="n">
        <f aca="false">Supuestos!$D$65</f>
        <v>0</v>
      </c>
      <c r="H36" s="32" t="n">
        <f aca="false">Supuestos!$D$65</f>
        <v>0</v>
      </c>
      <c r="I36" s="32" t="n">
        <f aca="false">Supuestos!$D$65</f>
        <v>0</v>
      </c>
      <c r="J36" s="32" t="n">
        <f aca="false">Supuestos!$D$65</f>
        <v>0</v>
      </c>
      <c r="K36" s="32" t="n">
        <f aca="false">Supuestos!$D$65</f>
        <v>0</v>
      </c>
      <c r="L36" s="32" t="n">
        <f aca="false">Supuestos!$D$65</f>
        <v>0</v>
      </c>
      <c r="M36" s="32" t="n">
        <f aca="false">Supuestos!$D$65</f>
        <v>0</v>
      </c>
      <c r="N36" s="32" t="n">
        <f aca="false">Supuestos!$D$65</f>
        <v>0</v>
      </c>
      <c r="O36" s="32" t="n">
        <f aca="false">Supuestos!$D$65</f>
        <v>0</v>
      </c>
      <c r="P36" s="32" t="n">
        <f aca="false">Supuestos!$D$65</f>
        <v>0</v>
      </c>
      <c r="Q36" s="32" t="n">
        <f aca="false">Supuestos!$D$65</f>
        <v>0</v>
      </c>
      <c r="R36" s="32" t="n">
        <f aca="false">Supuestos!$D$65</f>
        <v>0</v>
      </c>
      <c r="S36" s="32" t="n">
        <f aca="false">Supuestos!$D$65</f>
        <v>0</v>
      </c>
      <c r="T36" s="32" t="n">
        <f aca="false">Supuestos!$D$65</f>
        <v>0</v>
      </c>
      <c r="U36" s="32" t="n">
        <f aca="false">Supuestos!$D$65</f>
        <v>0</v>
      </c>
      <c r="V36" s="32" t="n">
        <f aca="false">Supuestos!$D$65</f>
        <v>0</v>
      </c>
      <c r="W36" s="32" t="n">
        <f aca="false">Supuestos!$D$65</f>
        <v>0</v>
      </c>
      <c r="X36" s="32" t="n">
        <f aca="false">Supuestos!$D$65</f>
        <v>0</v>
      </c>
      <c r="Y36" s="32" t="n">
        <f aca="false">Supuestos!$D$65</f>
        <v>0</v>
      </c>
      <c r="Z36" s="32" t="n">
        <f aca="false">Supuestos!$D$65</f>
        <v>0</v>
      </c>
      <c r="AA36" s="32" t="n">
        <f aca="false">Supuestos!$D$65</f>
        <v>0</v>
      </c>
      <c r="AB36" s="32" t="n">
        <f aca="false">Supuestos!$D$65</f>
        <v>0</v>
      </c>
      <c r="AC36" s="32" t="n">
        <f aca="false">Supuestos!$D$65</f>
        <v>0</v>
      </c>
      <c r="AD36" s="32" t="n">
        <f aca="false">Supuestos!$D$65</f>
        <v>0</v>
      </c>
      <c r="AE36" s="32" t="n">
        <f aca="false">Supuestos!$D$65</f>
        <v>0</v>
      </c>
      <c r="AF36" s="32" t="n">
        <f aca="false">Supuestos!$D$65</f>
        <v>0</v>
      </c>
      <c r="AG36" s="32" t="n">
        <f aca="false">Supuestos!$D$65</f>
        <v>0</v>
      </c>
      <c r="AH36" s="32" t="n">
        <f aca="false">Supuestos!$D$65</f>
        <v>0</v>
      </c>
      <c r="AI36" s="32" t="n">
        <f aca="false">Supuestos!$D$65</f>
        <v>0</v>
      </c>
      <c r="AJ36" s="32" t="n">
        <f aca="false">Supuestos!$D$65</f>
        <v>0</v>
      </c>
      <c r="AK36" s="32" t="n">
        <f aca="false">Supuestos!$D$65</f>
        <v>0</v>
      </c>
      <c r="AL36" s="32" t="n">
        <f aca="false">Supuestos!$D$65</f>
        <v>0</v>
      </c>
      <c r="AM36" s="32" t="n">
        <f aca="false">Supuestos!$D$65</f>
        <v>0</v>
      </c>
    </row>
    <row r="37" customFormat="false" ht="15" hidden="false" customHeight="false" outlineLevel="0" collapsed="false">
      <c r="B37" s="4" t="s">
        <v>502</v>
      </c>
      <c r="D37" s="32" t="n">
        <f aca="false">Inversion!D21*Supuestos!$D$66/12</f>
        <v>454.9155625</v>
      </c>
      <c r="E37" s="32" t="n">
        <f aca="false">Inversion!D21*Supuestos!$D$66/12</f>
        <v>454.9155625</v>
      </c>
      <c r="F37" s="32" t="n">
        <f aca="false">Inversion!D21*Supuestos!$D$66/12</f>
        <v>454.9155625</v>
      </c>
      <c r="G37" s="32" t="n">
        <f aca="false">Inversion!D21*Supuestos!$D$66/12</f>
        <v>454.9155625</v>
      </c>
      <c r="H37" s="32" t="n">
        <f aca="false">Inversion!D21*Supuestos!$D$66/12</f>
        <v>454.9155625</v>
      </c>
      <c r="I37" s="32" t="n">
        <f aca="false">Inversion!D21*Supuestos!$D$66/12</f>
        <v>454.9155625</v>
      </c>
      <c r="J37" s="32" t="n">
        <f aca="false">Inversion!D21*Supuestos!$D$66/12</f>
        <v>454.9155625</v>
      </c>
      <c r="K37" s="32" t="n">
        <f aca="false">Inversion!D21*Supuestos!$D$66/12</f>
        <v>454.9155625</v>
      </c>
      <c r="L37" s="32" t="n">
        <f aca="false">Inversion!D21*Supuestos!$D$66/12</f>
        <v>454.9155625</v>
      </c>
      <c r="M37" s="32" t="n">
        <f aca="false">Inversion!D21*Supuestos!$D$66/12</f>
        <v>454.9155625</v>
      </c>
      <c r="N37" s="32" t="n">
        <f aca="false">Inversion!D21*Supuestos!$D$66/12</f>
        <v>454.9155625</v>
      </c>
      <c r="O37" s="32" t="n">
        <f aca="false">Inversion!D21*Supuestos!$D$66/12</f>
        <v>454.9155625</v>
      </c>
      <c r="P37" s="32" t="n">
        <f aca="false">Inversion!D21*Supuestos!$D$66/12</f>
        <v>454.9155625</v>
      </c>
      <c r="Q37" s="32" t="n">
        <f aca="false">Inversion!D21*Supuestos!$D$66/12</f>
        <v>454.9155625</v>
      </c>
      <c r="R37" s="32" t="n">
        <f aca="false">Inversion!D21*Supuestos!$D$66/12</f>
        <v>454.9155625</v>
      </c>
      <c r="S37" s="32" t="n">
        <f aca="false">Inversion!D21*Supuestos!$D$66/12</f>
        <v>454.9155625</v>
      </c>
      <c r="T37" s="32" t="n">
        <f aca="false">Inversion!D21*Supuestos!$D$66/12</f>
        <v>454.9155625</v>
      </c>
      <c r="U37" s="32" t="n">
        <f aca="false">Inversion!D21*Supuestos!$D$66/12</f>
        <v>454.9155625</v>
      </c>
      <c r="V37" s="32" t="n">
        <f aca="false">Inversion!D21*Supuestos!$D$66/12</f>
        <v>454.9155625</v>
      </c>
      <c r="W37" s="32" t="n">
        <f aca="false">Inversion!D21*Supuestos!$D$66/12</f>
        <v>454.9155625</v>
      </c>
      <c r="X37" s="32" t="n">
        <f aca="false">Inversion!D21*Supuestos!$D$66/12</f>
        <v>454.9155625</v>
      </c>
      <c r="Y37" s="32" t="n">
        <f aca="false">Inversion!D21*Supuestos!$D$66/12</f>
        <v>454.9155625</v>
      </c>
      <c r="Z37" s="32" t="n">
        <f aca="false">Inversion!D21*Supuestos!$D$66/12</f>
        <v>454.9155625</v>
      </c>
      <c r="AA37" s="32" t="n">
        <f aca="false">Inversion!D21*Supuestos!$D$66/12</f>
        <v>454.9155625</v>
      </c>
      <c r="AB37" s="32" t="n">
        <f aca="false">Inversion!D21*Supuestos!$D$66/12</f>
        <v>454.9155625</v>
      </c>
      <c r="AC37" s="32" t="n">
        <f aca="false">Inversion!D21*Supuestos!$D$66/12</f>
        <v>454.9155625</v>
      </c>
      <c r="AD37" s="32" t="n">
        <f aca="false">Inversion!D21*Supuestos!$D$66/12</f>
        <v>454.9155625</v>
      </c>
      <c r="AE37" s="32" t="n">
        <f aca="false">Inversion!D21*Supuestos!$D$66/12</f>
        <v>454.9155625</v>
      </c>
      <c r="AF37" s="32" t="n">
        <f aca="false">Inversion!D21*Supuestos!$D$66/12</f>
        <v>454.9155625</v>
      </c>
      <c r="AG37" s="32" t="n">
        <f aca="false">Inversion!D21*Supuestos!$D$66/12</f>
        <v>454.9155625</v>
      </c>
      <c r="AH37" s="32" t="n">
        <f aca="false">Inversion!D21*Supuestos!$D$66/12</f>
        <v>454.9155625</v>
      </c>
      <c r="AI37" s="32" t="n">
        <f aca="false">Inversion!D21*Supuestos!$D$66/12</f>
        <v>454.9155625</v>
      </c>
      <c r="AJ37" s="32" t="n">
        <f aca="false">Inversion!D21*Supuestos!$D$66/12</f>
        <v>454.9155625</v>
      </c>
      <c r="AK37" s="32" t="n">
        <f aca="false">Inversion!D21*Supuestos!$D$66/12</f>
        <v>454.9155625</v>
      </c>
      <c r="AL37" s="32" t="n">
        <f aca="false">Inversion!D21*Supuestos!$D$66/12</f>
        <v>454.9155625</v>
      </c>
      <c r="AM37" s="32" t="n">
        <f aca="false">Inversion!D21*Supuestos!$D$66/12</f>
        <v>454.9155625</v>
      </c>
    </row>
    <row r="38" customFormat="false" ht="15" hidden="false" customHeight="false" outlineLevel="0" collapsed="false">
      <c r="B38" s="4" t="s">
        <v>503</v>
      </c>
      <c r="D38" s="32" t="n">
        <f aca="false">Supuestos!$D$67+Supuestos!$D$68</f>
        <v>650</v>
      </c>
      <c r="E38" s="32" t="n">
        <f aca="false">Supuestos!$D$67+Supuestos!$D$68</f>
        <v>650</v>
      </c>
      <c r="F38" s="32" t="n">
        <f aca="false">Supuestos!$D$67+Supuestos!$D$68</f>
        <v>650</v>
      </c>
      <c r="G38" s="32" t="n">
        <f aca="false">Supuestos!$D$67+Supuestos!$D$68</f>
        <v>650</v>
      </c>
      <c r="H38" s="32" t="n">
        <f aca="false">Supuestos!$D$67+Supuestos!$D$68</f>
        <v>650</v>
      </c>
      <c r="I38" s="32" t="n">
        <f aca="false">Supuestos!$D$67+Supuestos!$D$68</f>
        <v>650</v>
      </c>
      <c r="J38" s="32" t="n">
        <f aca="false">Supuestos!$D$67+Supuestos!$D$68</f>
        <v>650</v>
      </c>
      <c r="K38" s="32" t="n">
        <f aca="false">Supuestos!$D$67+Supuestos!$D$68</f>
        <v>650</v>
      </c>
      <c r="L38" s="32" t="n">
        <f aca="false">Supuestos!$D$67+Supuestos!$D$68</f>
        <v>650</v>
      </c>
      <c r="M38" s="32" t="n">
        <f aca="false">Supuestos!$D$67+Supuestos!$D$68</f>
        <v>650</v>
      </c>
      <c r="N38" s="32" t="n">
        <f aca="false">Supuestos!$D$67+Supuestos!$D$68</f>
        <v>650</v>
      </c>
      <c r="O38" s="32" t="n">
        <f aca="false">Supuestos!$D$67+Supuestos!$D$68</f>
        <v>650</v>
      </c>
      <c r="P38" s="32" t="n">
        <f aca="false">Supuestos!$D$67+Supuestos!$D$68</f>
        <v>650</v>
      </c>
      <c r="Q38" s="32" t="n">
        <f aca="false">Supuestos!$D$67+Supuestos!$D$68</f>
        <v>650</v>
      </c>
      <c r="R38" s="32" t="n">
        <f aca="false">Supuestos!$D$67+Supuestos!$D$68</f>
        <v>650</v>
      </c>
      <c r="S38" s="32" t="n">
        <f aca="false">Supuestos!$D$67+Supuestos!$D$68</f>
        <v>650</v>
      </c>
      <c r="T38" s="32" t="n">
        <f aca="false">Supuestos!$D$67+Supuestos!$D$68</f>
        <v>650</v>
      </c>
      <c r="U38" s="32" t="n">
        <f aca="false">Supuestos!$D$67+Supuestos!$D$68</f>
        <v>650</v>
      </c>
      <c r="V38" s="32" t="n">
        <f aca="false">Supuestos!$D$67+Supuestos!$D$68</f>
        <v>650</v>
      </c>
      <c r="W38" s="32" t="n">
        <f aca="false">Supuestos!$D$67+Supuestos!$D$68</f>
        <v>650</v>
      </c>
      <c r="X38" s="32" t="n">
        <f aca="false">Supuestos!$D$67+Supuestos!$D$68</f>
        <v>650</v>
      </c>
      <c r="Y38" s="32" t="n">
        <f aca="false">Supuestos!$D$67+Supuestos!$D$68</f>
        <v>650</v>
      </c>
      <c r="Z38" s="32" t="n">
        <f aca="false">Supuestos!$D$67+Supuestos!$D$68</f>
        <v>650</v>
      </c>
      <c r="AA38" s="32" t="n">
        <f aca="false">Supuestos!$D$67+Supuestos!$D$68</f>
        <v>650</v>
      </c>
      <c r="AB38" s="32" t="n">
        <f aca="false">Supuestos!$D$67+Supuestos!$D$68</f>
        <v>650</v>
      </c>
      <c r="AC38" s="32" t="n">
        <f aca="false">Supuestos!$D$67+Supuestos!$D$68</f>
        <v>650</v>
      </c>
      <c r="AD38" s="32" t="n">
        <f aca="false">Supuestos!$D$67+Supuestos!$D$68</f>
        <v>650</v>
      </c>
      <c r="AE38" s="32" t="n">
        <f aca="false">Supuestos!$D$67+Supuestos!$D$68</f>
        <v>650</v>
      </c>
      <c r="AF38" s="32" t="n">
        <f aca="false">Supuestos!$D$67+Supuestos!$D$68</f>
        <v>650</v>
      </c>
      <c r="AG38" s="32" t="n">
        <f aca="false">Supuestos!$D$67+Supuestos!$D$68</f>
        <v>650</v>
      </c>
      <c r="AH38" s="32" t="n">
        <f aca="false">Supuestos!$D$67+Supuestos!$D$68</f>
        <v>650</v>
      </c>
      <c r="AI38" s="32" t="n">
        <f aca="false">Supuestos!$D$67+Supuestos!$D$68</f>
        <v>650</v>
      </c>
      <c r="AJ38" s="32" t="n">
        <f aca="false">Supuestos!$D$67+Supuestos!$D$68</f>
        <v>650</v>
      </c>
      <c r="AK38" s="32" t="n">
        <f aca="false">Supuestos!$D$67+Supuestos!$D$68</f>
        <v>650</v>
      </c>
      <c r="AL38" s="32" t="n">
        <f aca="false">Supuestos!$D$67+Supuestos!$D$68</f>
        <v>650</v>
      </c>
      <c r="AM38" s="32" t="n">
        <f aca="false">Supuestos!$D$67+Supuestos!$D$68</f>
        <v>650</v>
      </c>
    </row>
    <row r="39" customFormat="false" ht="15" hidden="false" customHeight="false" outlineLevel="0" collapsed="false">
      <c r="B39" s="4" t="s">
        <v>504</v>
      </c>
      <c r="D39" s="32" t="n">
        <f aca="false">SUM(D30:D38)*Supuestos!$D$69</f>
        <v>275.953245</v>
      </c>
      <c r="E39" s="32" t="n">
        <f aca="false">SUM(E30:E38)*Supuestos!$D$69</f>
        <v>275.953245</v>
      </c>
      <c r="F39" s="32" t="n">
        <f aca="false">SUM(F30:F38)*Supuestos!$D$69</f>
        <v>275.953245</v>
      </c>
      <c r="G39" s="32" t="n">
        <f aca="false">SUM(G30:G38)*Supuestos!$D$69</f>
        <v>275.953245</v>
      </c>
      <c r="H39" s="32" t="n">
        <f aca="false">SUM(H30:H38)*Supuestos!$D$69</f>
        <v>275.953245</v>
      </c>
      <c r="I39" s="32" t="n">
        <f aca="false">SUM(I30:I38)*Supuestos!$D$69</f>
        <v>275.953245</v>
      </c>
      <c r="J39" s="32" t="n">
        <f aca="false">SUM(J30:J38)*Supuestos!$D$69</f>
        <v>275.953245</v>
      </c>
      <c r="K39" s="32" t="n">
        <f aca="false">SUM(K30:K38)*Supuestos!$D$69</f>
        <v>275.953245</v>
      </c>
      <c r="L39" s="32" t="n">
        <f aca="false">SUM(L30:L38)*Supuestos!$D$69</f>
        <v>275.953245</v>
      </c>
      <c r="M39" s="32" t="n">
        <f aca="false">SUM(M30:M38)*Supuestos!$D$69</f>
        <v>275.953245</v>
      </c>
      <c r="N39" s="32" t="n">
        <f aca="false">SUM(N30:N38)*Supuestos!$D$69</f>
        <v>275.953245</v>
      </c>
      <c r="O39" s="32" t="n">
        <f aca="false">SUM(O30:O38)*Supuestos!$D$69</f>
        <v>275.953245</v>
      </c>
      <c r="P39" s="32" t="n">
        <f aca="false">SUM(P30:P38)*Supuestos!$D$69</f>
        <v>275.953245</v>
      </c>
      <c r="Q39" s="32" t="n">
        <f aca="false">SUM(Q30:Q38)*Supuestos!$D$69</f>
        <v>275.953245</v>
      </c>
      <c r="R39" s="32" t="n">
        <f aca="false">SUM(R30:R38)*Supuestos!$D$69</f>
        <v>275.953245</v>
      </c>
      <c r="S39" s="32" t="n">
        <f aca="false">SUM(S30:S38)*Supuestos!$D$69</f>
        <v>275.953245</v>
      </c>
      <c r="T39" s="32" t="n">
        <f aca="false">SUM(T30:T38)*Supuestos!$D$69</f>
        <v>275.953245</v>
      </c>
      <c r="U39" s="32" t="n">
        <f aca="false">SUM(U30:U38)*Supuestos!$D$69</f>
        <v>275.953245</v>
      </c>
      <c r="V39" s="32" t="n">
        <f aca="false">SUM(V30:V38)*Supuestos!$D$69</f>
        <v>275.953245</v>
      </c>
      <c r="W39" s="32" t="n">
        <f aca="false">SUM(W30:W38)*Supuestos!$D$69</f>
        <v>275.953245</v>
      </c>
      <c r="X39" s="32" t="n">
        <f aca="false">SUM(X30:X38)*Supuestos!$D$69</f>
        <v>275.953245</v>
      </c>
      <c r="Y39" s="32" t="n">
        <f aca="false">SUM(Y30:Y38)*Supuestos!$D$69</f>
        <v>275.953245</v>
      </c>
      <c r="Z39" s="32" t="n">
        <f aca="false">SUM(Z30:Z38)*Supuestos!$D$69</f>
        <v>275.953245</v>
      </c>
      <c r="AA39" s="32" t="n">
        <f aca="false">SUM(AA30:AA38)*Supuestos!$D$69</f>
        <v>275.953245</v>
      </c>
      <c r="AB39" s="32" t="n">
        <f aca="false">SUM(AB30:AB38)*Supuestos!$D$69</f>
        <v>275.953245</v>
      </c>
      <c r="AC39" s="32" t="n">
        <f aca="false">SUM(AC30:AC38)*Supuestos!$D$69</f>
        <v>275.953245</v>
      </c>
      <c r="AD39" s="32" t="n">
        <f aca="false">SUM(AD30:AD38)*Supuestos!$D$69</f>
        <v>275.953245</v>
      </c>
      <c r="AE39" s="32" t="n">
        <f aca="false">SUM(AE30:AE38)*Supuestos!$D$69</f>
        <v>275.953245</v>
      </c>
      <c r="AF39" s="32" t="n">
        <f aca="false">SUM(AF30:AF38)*Supuestos!$D$69</f>
        <v>275.953245</v>
      </c>
      <c r="AG39" s="32" t="n">
        <f aca="false">SUM(AG30:AG38)*Supuestos!$D$69</f>
        <v>275.953245</v>
      </c>
      <c r="AH39" s="32" t="n">
        <f aca="false">SUM(AH30:AH38)*Supuestos!$D$69</f>
        <v>275.953245</v>
      </c>
      <c r="AI39" s="32" t="n">
        <f aca="false">SUM(AI30:AI38)*Supuestos!$D$69</f>
        <v>275.953245</v>
      </c>
      <c r="AJ39" s="32" t="n">
        <f aca="false">SUM(AJ30:AJ38)*Supuestos!$D$69</f>
        <v>275.953245</v>
      </c>
      <c r="AK39" s="32" t="n">
        <f aca="false">SUM(AK30:AK38)*Supuestos!$D$69</f>
        <v>275.953245</v>
      </c>
      <c r="AL39" s="32" t="n">
        <f aca="false">SUM(AL30:AL38)*Supuestos!$D$69</f>
        <v>275.953245</v>
      </c>
      <c r="AM39" s="32" t="n">
        <f aca="false">SUM(AM30:AM38)*Supuestos!$D$69</f>
        <v>275.953245</v>
      </c>
    </row>
    <row r="40" customFormat="false" ht="15" hidden="false" customHeight="false" outlineLevel="0" collapsed="false">
      <c r="B40" s="13" t="s">
        <v>505</v>
      </c>
      <c r="D40" s="32" t="n">
        <f aca="false">SUM(D30:D39)</f>
        <v>3725.3688075</v>
      </c>
      <c r="E40" s="32" t="n">
        <f aca="false">SUM(E30:E39)</f>
        <v>3725.3688075</v>
      </c>
      <c r="F40" s="32" t="n">
        <f aca="false">SUM(F30:F39)</f>
        <v>3725.3688075</v>
      </c>
      <c r="G40" s="32" t="n">
        <f aca="false">SUM(G30:G39)</f>
        <v>3725.3688075</v>
      </c>
      <c r="H40" s="32" t="n">
        <f aca="false">SUM(H30:H39)</f>
        <v>3725.3688075</v>
      </c>
      <c r="I40" s="32" t="n">
        <f aca="false">SUM(I30:I39)</f>
        <v>3725.3688075</v>
      </c>
      <c r="J40" s="32" t="n">
        <f aca="false">SUM(J30:J39)</f>
        <v>3725.3688075</v>
      </c>
      <c r="K40" s="32" t="n">
        <f aca="false">SUM(K30:K39)</f>
        <v>3725.3688075</v>
      </c>
      <c r="L40" s="32" t="n">
        <f aca="false">SUM(L30:L39)</f>
        <v>3725.3688075</v>
      </c>
      <c r="M40" s="32" t="n">
        <f aca="false">SUM(M30:M39)</f>
        <v>3725.3688075</v>
      </c>
      <c r="N40" s="32" t="n">
        <f aca="false">SUM(N30:N39)</f>
        <v>3725.3688075</v>
      </c>
      <c r="O40" s="32" t="n">
        <f aca="false">SUM(O30:O39)</f>
        <v>3725.3688075</v>
      </c>
      <c r="P40" s="32" t="n">
        <f aca="false">SUM(P30:P39)</f>
        <v>3725.3688075</v>
      </c>
      <c r="Q40" s="32" t="n">
        <f aca="false">SUM(Q30:Q39)</f>
        <v>3725.3688075</v>
      </c>
      <c r="R40" s="32" t="n">
        <f aca="false">SUM(R30:R39)</f>
        <v>3725.3688075</v>
      </c>
      <c r="S40" s="32" t="n">
        <f aca="false">SUM(S30:S39)</f>
        <v>3725.3688075</v>
      </c>
      <c r="T40" s="32" t="n">
        <f aca="false">SUM(T30:T39)</f>
        <v>3725.3688075</v>
      </c>
      <c r="U40" s="32" t="n">
        <f aca="false">SUM(U30:U39)</f>
        <v>3725.3688075</v>
      </c>
      <c r="V40" s="32" t="n">
        <f aca="false">SUM(V30:V39)</f>
        <v>3725.3688075</v>
      </c>
      <c r="W40" s="32" t="n">
        <f aca="false">SUM(W30:W39)</f>
        <v>3725.3688075</v>
      </c>
      <c r="X40" s="32" t="n">
        <f aca="false">SUM(X30:X39)</f>
        <v>3725.3688075</v>
      </c>
      <c r="Y40" s="32" t="n">
        <f aca="false">SUM(Y30:Y39)</f>
        <v>3725.3688075</v>
      </c>
      <c r="Z40" s="32" t="n">
        <f aca="false">SUM(Z30:Z39)</f>
        <v>3725.3688075</v>
      </c>
      <c r="AA40" s="32" t="n">
        <f aca="false">SUM(AA30:AA39)</f>
        <v>3725.3688075</v>
      </c>
      <c r="AB40" s="32" t="n">
        <f aca="false">SUM(AB30:AB39)</f>
        <v>3725.3688075</v>
      </c>
      <c r="AC40" s="32" t="n">
        <f aca="false">SUM(AC30:AC39)</f>
        <v>3725.3688075</v>
      </c>
      <c r="AD40" s="32" t="n">
        <f aca="false">SUM(AD30:AD39)</f>
        <v>3725.3688075</v>
      </c>
      <c r="AE40" s="32" t="n">
        <f aca="false">SUM(AE30:AE39)</f>
        <v>3725.3688075</v>
      </c>
      <c r="AF40" s="32" t="n">
        <f aca="false">SUM(AF30:AF39)</f>
        <v>3725.3688075</v>
      </c>
      <c r="AG40" s="32" t="n">
        <f aca="false">SUM(AG30:AG39)</f>
        <v>3725.3688075</v>
      </c>
      <c r="AH40" s="32" t="n">
        <f aca="false">SUM(AH30:AH39)</f>
        <v>3725.3688075</v>
      </c>
      <c r="AI40" s="32" t="n">
        <f aca="false">SUM(AI30:AI39)</f>
        <v>3725.3688075</v>
      </c>
      <c r="AJ40" s="32" t="n">
        <f aca="false">SUM(AJ30:AJ39)</f>
        <v>3725.3688075</v>
      </c>
      <c r="AK40" s="32" t="n">
        <f aca="false">SUM(AK30:AK39)</f>
        <v>3725.3688075</v>
      </c>
      <c r="AL40" s="32" t="n">
        <f aca="false">SUM(AL30:AL39)</f>
        <v>3725.3688075</v>
      </c>
      <c r="AM40" s="32" t="n">
        <f aca="false">SUM(AM30:AM39)</f>
        <v>3725.3688075</v>
      </c>
    </row>
    <row r="41" customFormat="false" ht="15" hidden="false" customHeight="false" outlineLevel="0" collapsed="false">
      <c r="B41" s="21" t="s">
        <v>506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</row>
    <row r="42" customFormat="false" ht="15" hidden="false" customHeight="false" outlineLevel="0" collapsed="false">
      <c r="B42" s="13" t="s">
        <v>507</v>
      </c>
      <c r="D42" s="8" t="n">
        <f aca="false">D28-D40</f>
        <v>-3631.35313289945</v>
      </c>
      <c r="E42" s="8" t="n">
        <f aca="false">E28-E40</f>
        <v>-3541.90992124623</v>
      </c>
      <c r="F42" s="8" t="n">
        <f aca="false">F28-F40</f>
        <v>-3456.69063966165</v>
      </c>
      <c r="G42" s="8" t="n">
        <f aca="false">G28-G40</f>
        <v>-3375.37377468946</v>
      </c>
      <c r="H42" s="8" t="n">
        <f aca="false">H28-H40</f>
        <v>-3297.66271390244</v>
      </c>
      <c r="I42" s="8" t="n">
        <f aca="false">I28-I40</f>
        <v>-3223.28379482249</v>
      </c>
      <c r="J42" s="8" t="n">
        <f aca="false">J28-J40</f>
        <v>-3151.98450787687</v>
      </c>
      <c r="K42" s="8" t="n">
        <f aca="false">K28-K40</f>
        <v>-3083.53184117052</v>
      </c>
      <c r="L42" s="8" t="n">
        <f aca="false">L28-L40</f>
        <v>-3017.71075582617</v>
      </c>
      <c r="M42" s="8" t="n">
        <f aca="false">M28-M40</f>
        <v>-2954.61352393179</v>
      </c>
      <c r="N42" s="8" t="n">
        <f aca="false">N28-N40</f>
        <v>-2923.47092405336</v>
      </c>
      <c r="O42" s="8" t="n">
        <f aca="false">O28-O40</f>
        <v>-2894.06457093613</v>
      </c>
      <c r="P42" s="8" t="n">
        <f aca="false">P28-P40</f>
        <v>-2900.67627422837</v>
      </c>
      <c r="Q42" s="8" t="n">
        <f aca="false">Q28-Q40</f>
        <v>-2906.75904125723</v>
      </c>
      <c r="R42" s="8" t="n">
        <f aca="false">R28-R40</f>
        <v>-2912.35518692379</v>
      </c>
      <c r="S42" s="8" t="n">
        <f aca="false">S28-S40</f>
        <v>-2917.50364093702</v>
      </c>
      <c r="T42" s="8" t="n">
        <f aca="false">T28-T40</f>
        <v>-2922.24021862919</v>
      </c>
      <c r="U42" s="8" t="n">
        <f aca="false">U28-U40</f>
        <v>-2926.59787010599</v>
      </c>
      <c r="V42" s="8" t="n">
        <f aca="false">V28-V40</f>
        <v>-2930.60690946464</v>
      </c>
      <c r="W42" s="8" t="n">
        <f aca="false">W28-W40</f>
        <v>-2934.2952256746</v>
      </c>
      <c r="X42" s="8" t="n">
        <f aca="false">X28-X40</f>
        <v>-2937.68847658777</v>
      </c>
      <c r="Y42" s="8" t="n">
        <f aca="false">Y28-Y40</f>
        <v>-2940.81026742788</v>
      </c>
      <c r="Z42" s="8" t="n">
        <f aca="false">Z28-Z40</f>
        <v>-2943.68231500078</v>
      </c>
      <c r="AA42" s="8" t="n">
        <f aca="false">AA28-AA40</f>
        <v>-2946.32459876785</v>
      </c>
      <c r="AB42" s="8" t="n">
        <f aca="false">AB28-AB40</f>
        <v>-2948.75549983356</v>
      </c>
      <c r="AC42" s="8" t="n">
        <f aca="false">AC28-AC40</f>
        <v>-2950.991928814</v>
      </c>
      <c r="AD42" s="8" t="n">
        <f aca="false">AD28-AD40</f>
        <v>-2953.04944347602</v>
      </c>
      <c r="AE42" s="8" t="n">
        <f aca="false">AE28-AE40</f>
        <v>-2954.94235696507</v>
      </c>
      <c r="AF42" s="8" t="n">
        <f aca="false">AF28-AF40</f>
        <v>-2956.683837375</v>
      </c>
      <c r="AG42" s="8" t="n">
        <f aca="false">AG28-AG40</f>
        <v>-2958.28599935213</v>
      </c>
      <c r="AH42" s="8" t="n">
        <f aca="false">AH28-AH40</f>
        <v>-2959.75998837109</v>
      </c>
      <c r="AI42" s="8" t="n">
        <f aca="false">AI28-AI40</f>
        <v>-2961.11605826854</v>
      </c>
      <c r="AJ42" s="8" t="n">
        <f aca="false">AJ28-AJ40</f>
        <v>-2962.36364257419</v>
      </c>
      <c r="AK42" s="8" t="n">
        <f aca="false">AK28-AK40</f>
        <v>-2963.51142013538</v>
      </c>
      <c r="AL42" s="8" t="n">
        <f aca="false">AL28-AL40</f>
        <v>-2964.56737549169</v>
      </c>
      <c r="AM42" s="8" t="n">
        <f aca="false">AM28-AM40</f>
        <v>-2965.53885441949</v>
      </c>
    </row>
    <row r="43" customFormat="false" ht="15" hidden="false" customHeight="false" outlineLevel="0" collapsed="false">
      <c r="B43" s="4" t="s">
        <v>508</v>
      </c>
      <c r="C43" s="32" t="n">
        <f aca="false">-Inversion!D21</f>
        <v>-109179.735</v>
      </c>
      <c r="D43" s="32" t="n">
        <v>0</v>
      </c>
      <c r="E43" s="32" t="n">
        <v>0</v>
      </c>
      <c r="F43" s="32" t="n">
        <v>0</v>
      </c>
      <c r="G43" s="32" t="n">
        <v>0</v>
      </c>
      <c r="H43" s="32" t="n">
        <v>0</v>
      </c>
      <c r="I43" s="32" t="n">
        <v>0</v>
      </c>
      <c r="J43" s="32" t="n">
        <v>0</v>
      </c>
      <c r="K43" s="32" t="n">
        <v>0</v>
      </c>
      <c r="L43" s="32" t="n">
        <v>0</v>
      </c>
      <c r="M43" s="32" t="n">
        <v>0</v>
      </c>
      <c r="N43" s="32" t="n">
        <v>0</v>
      </c>
      <c r="O43" s="32" t="n">
        <v>0</v>
      </c>
      <c r="P43" s="32" t="n">
        <v>0</v>
      </c>
      <c r="Q43" s="32" t="n">
        <v>0</v>
      </c>
      <c r="R43" s="32" t="n">
        <v>0</v>
      </c>
      <c r="S43" s="32" t="n">
        <v>0</v>
      </c>
      <c r="T43" s="32" t="n">
        <v>0</v>
      </c>
      <c r="U43" s="32" t="n">
        <v>0</v>
      </c>
      <c r="V43" s="32" t="n">
        <v>0</v>
      </c>
      <c r="W43" s="32" t="n">
        <v>0</v>
      </c>
      <c r="X43" s="32" t="n">
        <v>0</v>
      </c>
      <c r="Y43" s="32" t="n">
        <v>0</v>
      </c>
      <c r="Z43" s="32" t="n">
        <v>0</v>
      </c>
      <c r="AA43" s="32" t="n">
        <v>0</v>
      </c>
      <c r="AB43" s="32" t="n">
        <v>0</v>
      </c>
      <c r="AC43" s="32" t="n">
        <v>0</v>
      </c>
      <c r="AD43" s="32" t="n">
        <v>0</v>
      </c>
      <c r="AE43" s="32" t="n">
        <v>0</v>
      </c>
      <c r="AF43" s="32" t="n">
        <v>0</v>
      </c>
      <c r="AG43" s="32" t="n">
        <v>0</v>
      </c>
      <c r="AH43" s="32" t="n">
        <v>0</v>
      </c>
      <c r="AI43" s="32" t="n">
        <v>0</v>
      </c>
      <c r="AJ43" s="32" t="n">
        <v>0</v>
      </c>
      <c r="AK43" s="32" t="n">
        <v>0</v>
      </c>
      <c r="AL43" s="32" t="n">
        <v>0</v>
      </c>
      <c r="AM43" s="32" t="n">
        <v>0</v>
      </c>
    </row>
    <row r="44" customFormat="false" ht="15" hidden="false" customHeight="false" outlineLevel="0" collapsed="false">
      <c r="B44" s="13" t="s">
        <v>509</v>
      </c>
      <c r="C44" s="32" t="n">
        <f aca="false">C43</f>
        <v>-109179.735</v>
      </c>
      <c r="D44" s="8" t="n">
        <f aca="false">D42+D43</f>
        <v>-3631.35313289945</v>
      </c>
      <c r="E44" s="8" t="n">
        <f aca="false">E42+E43</f>
        <v>-3541.90992124623</v>
      </c>
      <c r="F44" s="8" t="n">
        <f aca="false">F42+F43</f>
        <v>-3456.69063966165</v>
      </c>
      <c r="G44" s="8" t="n">
        <f aca="false">G42+G43</f>
        <v>-3375.37377468946</v>
      </c>
      <c r="H44" s="8" t="n">
        <f aca="false">H42+H43</f>
        <v>-3297.66271390244</v>
      </c>
      <c r="I44" s="8" t="n">
        <f aca="false">I42+I43</f>
        <v>-3223.28379482249</v>
      </c>
      <c r="J44" s="8" t="n">
        <f aca="false">J42+J43</f>
        <v>-3151.98450787687</v>
      </c>
      <c r="K44" s="8" t="n">
        <f aca="false">K42+K43</f>
        <v>-3083.53184117052</v>
      </c>
      <c r="L44" s="8" t="n">
        <f aca="false">L42+L43</f>
        <v>-3017.71075582617</v>
      </c>
      <c r="M44" s="8" t="n">
        <f aca="false">M42+M43</f>
        <v>-2954.61352393179</v>
      </c>
      <c r="N44" s="8" t="n">
        <f aca="false">N42+N43</f>
        <v>-2923.47092405336</v>
      </c>
      <c r="O44" s="8" t="n">
        <f aca="false">O42+O43</f>
        <v>-2894.06457093613</v>
      </c>
      <c r="P44" s="8" t="n">
        <f aca="false">P42+P43</f>
        <v>-2900.67627422837</v>
      </c>
      <c r="Q44" s="8" t="n">
        <f aca="false">Q42+Q43</f>
        <v>-2906.75904125723</v>
      </c>
      <c r="R44" s="8" t="n">
        <f aca="false">R42+R43</f>
        <v>-2912.35518692379</v>
      </c>
      <c r="S44" s="8" t="n">
        <f aca="false">S42+S43</f>
        <v>-2917.50364093702</v>
      </c>
      <c r="T44" s="8" t="n">
        <f aca="false">T42+T43</f>
        <v>-2922.24021862919</v>
      </c>
      <c r="U44" s="8" t="n">
        <f aca="false">U42+U43</f>
        <v>-2926.59787010599</v>
      </c>
      <c r="V44" s="8" t="n">
        <f aca="false">V42+V43</f>
        <v>-2930.60690946464</v>
      </c>
      <c r="W44" s="8" t="n">
        <f aca="false">W42+W43</f>
        <v>-2934.2952256746</v>
      </c>
      <c r="X44" s="8" t="n">
        <f aca="false">X42+X43</f>
        <v>-2937.68847658777</v>
      </c>
      <c r="Y44" s="8" t="n">
        <f aca="false">Y42+Y43</f>
        <v>-2940.81026742788</v>
      </c>
      <c r="Z44" s="8" t="n">
        <f aca="false">Z42+Z43</f>
        <v>-2943.68231500078</v>
      </c>
      <c r="AA44" s="8" t="n">
        <f aca="false">AA42+AA43</f>
        <v>-2946.32459876785</v>
      </c>
      <c r="AB44" s="8" t="n">
        <f aca="false">AB42+AB43</f>
        <v>-2948.75549983356</v>
      </c>
      <c r="AC44" s="8" t="n">
        <f aca="false">AC42+AC43</f>
        <v>-2950.991928814</v>
      </c>
      <c r="AD44" s="8" t="n">
        <f aca="false">AD42+AD43</f>
        <v>-2953.04944347602</v>
      </c>
      <c r="AE44" s="8" t="n">
        <f aca="false">AE42+AE43</f>
        <v>-2954.94235696507</v>
      </c>
      <c r="AF44" s="8" t="n">
        <f aca="false">AF42+AF43</f>
        <v>-2956.683837375</v>
      </c>
      <c r="AG44" s="8" t="n">
        <f aca="false">AG42+AG43</f>
        <v>-2958.28599935213</v>
      </c>
      <c r="AH44" s="8" t="n">
        <f aca="false">AH42+AH43</f>
        <v>-2959.75998837109</v>
      </c>
      <c r="AI44" s="8" t="n">
        <f aca="false">AI42+AI43</f>
        <v>-2961.11605826854</v>
      </c>
      <c r="AJ44" s="8" t="n">
        <f aca="false">AJ42+AJ43</f>
        <v>-2962.36364257419</v>
      </c>
      <c r="AK44" s="8" t="n">
        <f aca="false">AK42+AK43</f>
        <v>-2963.51142013538</v>
      </c>
      <c r="AL44" s="8" t="n">
        <f aca="false">AL42+AL43</f>
        <v>-2964.56737549169</v>
      </c>
      <c r="AM44" s="8" t="n">
        <f aca="false">AM42+AM43</f>
        <v>-2965.53885441949</v>
      </c>
    </row>
    <row r="45" customFormat="false" ht="15" hidden="false" customHeight="false" outlineLevel="0" collapsed="false">
      <c r="B45" s="4" t="s">
        <v>510</v>
      </c>
      <c r="C45" s="32" t="n">
        <f aca="false">C44</f>
        <v>-109179.735</v>
      </c>
      <c r="D45" s="32" t="n">
        <f aca="false">C45+D44</f>
        <v>-112811.088132899</v>
      </c>
      <c r="E45" s="32" t="n">
        <f aca="false">D45+E44</f>
        <v>-116352.998054146</v>
      </c>
      <c r="F45" s="32" t="n">
        <f aca="false">E45+F44</f>
        <v>-119809.688693807</v>
      </c>
      <c r="G45" s="32" t="n">
        <f aca="false">F45+G44</f>
        <v>-123185.062468497</v>
      </c>
      <c r="H45" s="32" t="n">
        <f aca="false">G45+H44</f>
        <v>-126482.725182399</v>
      </c>
      <c r="I45" s="32" t="n">
        <f aca="false">H45+I44</f>
        <v>-129706.008977222</v>
      </c>
      <c r="J45" s="32" t="n">
        <f aca="false">I45+J44</f>
        <v>-132857.993485099</v>
      </c>
      <c r="K45" s="32" t="n">
        <f aca="false">J45+K44</f>
        <v>-135941.525326269</v>
      </c>
      <c r="L45" s="32" t="n">
        <f aca="false">K45+L44</f>
        <v>-138959.236082095</v>
      </c>
      <c r="M45" s="32" t="n">
        <f aca="false">L45+M44</f>
        <v>-141913.849606027</v>
      </c>
      <c r="N45" s="32" t="n">
        <f aca="false">M45+N44</f>
        <v>-144837.32053008</v>
      </c>
      <c r="O45" s="32" t="n">
        <f aca="false">N45+O44</f>
        <v>-147731.385101017</v>
      </c>
      <c r="P45" s="32" t="n">
        <f aca="false">O45+P44</f>
        <v>-150632.061375245</v>
      </c>
      <c r="Q45" s="32" t="n">
        <f aca="false">P45+Q44</f>
        <v>-153538.820416502</v>
      </c>
      <c r="R45" s="32" t="n">
        <f aca="false">Q45+R44</f>
        <v>-156451.175603426</v>
      </c>
      <c r="S45" s="32" t="n">
        <f aca="false">R45+S44</f>
        <v>-159368.679244363</v>
      </c>
      <c r="T45" s="32" t="n">
        <f aca="false">S45+T44</f>
        <v>-162290.919462992</v>
      </c>
      <c r="U45" s="32" t="n">
        <f aca="false">T45+U44</f>
        <v>-165217.517333098</v>
      </c>
      <c r="V45" s="32" t="n">
        <f aca="false">U45+V44</f>
        <v>-168148.124242563</v>
      </c>
      <c r="W45" s="32" t="n">
        <f aca="false">V45+W44</f>
        <v>-171082.419468237</v>
      </c>
      <c r="X45" s="32" t="n">
        <f aca="false">W45+X44</f>
        <v>-174020.107944825</v>
      </c>
      <c r="Y45" s="32" t="n">
        <f aca="false">X45+Y44</f>
        <v>-176960.918212253</v>
      </c>
      <c r="Z45" s="32" t="n">
        <f aca="false">Y45+Z44</f>
        <v>-179904.600527254</v>
      </c>
      <c r="AA45" s="32" t="n">
        <f aca="false">Z45+AA44</f>
        <v>-182850.925126022</v>
      </c>
      <c r="AB45" s="32" t="n">
        <f aca="false">AA45+AB44</f>
        <v>-185799.680625855</v>
      </c>
      <c r="AC45" s="32" t="n">
        <f aca="false">AB45+AC44</f>
        <v>-188750.672554669</v>
      </c>
      <c r="AD45" s="32" t="n">
        <f aca="false">AC45+AD44</f>
        <v>-191703.721998145</v>
      </c>
      <c r="AE45" s="32" t="n">
        <f aca="false">AD45+AE44</f>
        <v>-194658.66435511</v>
      </c>
      <c r="AF45" s="32" t="n">
        <f aca="false">AE45+AF44</f>
        <v>-197615.348192485</v>
      </c>
      <c r="AG45" s="32" t="n">
        <f aca="false">AF45+AG44</f>
        <v>-200573.634191837</v>
      </c>
      <c r="AH45" s="32" t="n">
        <f aca="false">AG45+AH44</f>
        <v>-203533.394180209</v>
      </c>
      <c r="AI45" s="32" t="n">
        <f aca="false">AH45+AI44</f>
        <v>-206494.510238477</v>
      </c>
      <c r="AJ45" s="32" t="n">
        <f aca="false">AI45+AJ44</f>
        <v>-209456.873881051</v>
      </c>
      <c r="AK45" s="32" t="n">
        <f aca="false">AJ45+AK44</f>
        <v>-212420.385301187</v>
      </c>
      <c r="AL45" s="32" t="n">
        <f aca="false">AK45+AL44</f>
        <v>-215384.952676678</v>
      </c>
      <c r="AM45" s="32" t="n">
        <f aca="false">AL45+AM44</f>
        <v>-218350.491531098</v>
      </c>
    </row>
    <row r="46" customFormat="false" ht="15" hidden="false" customHeight="false" outlineLevel="0" collapsed="false">
      <c r="B46" s="4" t="s">
        <v>511</v>
      </c>
      <c r="C46" s="32" t="n">
        <f aca="false">-Supuestos!$D$91*Supuestos!$D$10</f>
        <v>-0</v>
      </c>
      <c r="D46" s="32" t="n">
        <f aca="false">-Supuestos!$D$91</f>
        <v>-0</v>
      </c>
      <c r="E46" s="32" t="n">
        <f aca="false">-Supuestos!$D$91</f>
        <v>-0</v>
      </c>
      <c r="F46" s="32" t="n">
        <f aca="false">-Supuestos!$D$91</f>
        <v>-0</v>
      </c>
      <c r="G46" s="32" t="n">
        <f aca="false">-Supuestos!$D$91</f>
        <v>-0</v>
      </c>
      <c r="H46" s="32" t="n">
        <f aca="false">-Supuestos!$D$91</f>
        <v>-0</v>
      </c>
      <c r="I46" s="32" t="n">
        <f aca="false">-Supuestos!$D$91</f>
        <v>-0</v>
      </c>
      <c r="J46" s="32" t="n">
        <f aca="false">-Supuestos!$D$91</f>
        <v>-0</v>
      </c>
      <c r="K46" s="32" t="n">
        <f aca="false">-Supuestos!$D$91</f>
        <v>-0</v>
      </c>
      <c r="L46" s="32" t="n">
        <f aca="false">-Supuestos!$D$91</f>
        <v>-0</v>
      </c>
      <c r="M46" s="32" t="n">
        <f aca="false">-Supuestos!$D$91</f>
        <v>-0</v>
      </c>
      <c r="N46" s="32" t="n">
        <f aca="false">-Supuestos!$D$91</f>
        <v>-0</v>
      </c>
      <c r="O46" s="32" t="n">
        <f aca="false">-Supuestos!$D$91</f>
        <v>-0</v>
      </c>
      <c r="P46" s="32" t="n">
        <f aca="false">-Supuestos!$D$91</f>
        <v>-0</v>
      </c>
      <c r="Q46" s="32" t="n">
        <f aca="false">-Supuestos!$D$91</f>
        <v>-0</v>
      </c>
      <c r="R46" s="32" t="n">
        <f aca="false">-Supuestos!$D$91</f>
        <v>-0</v>
      </c>
      <c r="S46" s="32" t="n">
        <f aca="false">-Supuestos!$D$91</f>
        <v>-0</v>
      </c>
      <c r="T46" s="32" t="n">
        <f aca="false">-Supuestos!$D$91</f>
        <v>-0</v>
      </c>
      <c r="U46" s="32" t="n">
        <f aca="false">-Supuestos!$D$91</f>
        <v>-0</v>
      </c>
      <c r="V46" s="32" t="n">
        <f aca="false">-Supuestos!$D$91</f>
        <v>-0</v>
      </c>
      <c r="W46" s="32" t="n">
        <f aca="false">-Supuestos!$D$91</f>
        <v>-0</v>
      </c>
      <c r="X46" s="32" t="n">
        <f aca="false">-Supuestos!$D$91</f>
        <v>-0</v>
      </c>
      <c r="Y46" s="32" t="n">
        <f aca="false">-Supuestos!$D$91</f>
        <v>-0</v>
      </c>
      <c r="Z46" s="32" t="n">
        <f aca="false">-Supuestos!$D$91</f>
        <v>-0</v>
      </c>
      <c r="AA46" s="32" t="n">
        <f aca="false">-Supuestos!$D$91</f>
        <v>-0</v>
      </c>
      <c r="AB46" s="32" t="n">
        <f aca="false">-Supuestos!$D$91</f>
        <v>-0</v>
      </c>
      <c r="AC46" s="32" t="n">
        <f aca="false">-Supuestos!$D$91</f>
        <v>-0</v>
      </c>
      <c r="AD46" s="32" t="n">
        <f aca="false">-Supuestos!$D$91</f>
        <v>-0</v>
      </c>
      <c r="AE46" s="32" t="n">
        <f aca="false">-Supuestos!$D$91</f>
        <v>-0</v>
      </c>
      <c r="AF46" s="32" t="n">
        <f aca="false">-Supuestos!$D$91</f>
        <v>-0</v>
      </c>
      <c r="AG46" s="32" t="n">
        <f aca="false">-Supuestos!$D$91</f>
        <v>-0</v>
      </c>
      <c r="AH46" s="32" t="n">
        <f aca="false">-Supuestos!$D$91</f>
        <v>-0</v>
      </c>
      <c r="AI46" s="32" t="n">
        <f aca="false">-Supuestos!$D$91</f>
        <v>-0</v>
      </c>
      <c r="AJ46" s="32" t="n">
        <f aca="false">-Supuestos!$D$91</f>
        <v>-0</v>
      </c>
      <c r="AK46" s="32" t="n">
        <f aca="false">-Supuestos!$D$91</f>
        <v>-0</v>
      </c>
      <c r="AL46" s="32" t="n">
        <f aca="false">-Supuestos!$D$91</f>
        <v>-0</v>
      </c>
      <c r="AM46" s="32" t="n">
        <f aca="false">-Supuestos!$D$91</f>
        <v>-0</v>
      </c>
    </row>
    <row r="47" customFormat="false" ht="15" hidden="false" customHeight="false" outlineLevel="0" collapsed="false">
      <c r="B47" s="13" t="s">
        <v>512</v>
      </c>
      <c r="C47" s="32" t="n">
        <f aca="false">C44+C46</f>
        <v>-109179.735</v>
      </c>
      <c r="D47" s="8" t="n">
        <f aca="false">D44+D46</f>
        <v>-3631.35313289945</v>
      </c>
      <c r="E47" s="8" t="n">
        <f aca="false">E44+E46</f>
        <v>-3541.90992124623</v>
      </c>
      <c r="F47" s="8" t="n">
        <f aca="false">F44+F46</f>
        <v>-3456.69063966165</v>
      </c>
      <c r="G47" s="8" t="n">
        <f aca="false">G44+G46</f>
        <v>-3375.37377468946</v>
      </c>
      <c r="H47" s="8" t="n">
        <f aca="false">H44+H46</f>
        <v>-3297.66271390244</v>
      </c>
      <c r="I47" s="8" t="n">
        <f aca="false">I44+I46</f>
        <v>-3223.28379482249</v>
      </c>
      <c r="J47" s="8" t="n">
        <f aca="false">J44+J46</f>
        <v>-3151.98450787687</v>
      </c>
      <c r="K47" s="8" t="n">
        <f aca="false">K44+K46</f>
        <v>-3083.53184117052</v>
      </c>
      <c r="L47" s="8" t="n">
        <f aca="false">L44+L46</f>
        <v>-3017.71075582617</v>
      </c>
      <c r="M47" s="8" t="n">
        <f aca="false">M44+M46</f>
        <v>-2954.61352393179</v>
      </c>
      <c r="N47" s="8" t="n">
        <f aca="false">N44+N46</f>
        <v>-2923.47092405336</v>
      </c>
      <c r="O47" s="8" t="n">
        <f aca="false">O44+O46</f>
        <v>-2894.06457093613</v>
      </c>
      <c r="P47" s="8" t="n">
        <f aca="false">P44+P46</f>
        <v>-2900.67627422837</v>
      </c>
      <c r="Q47" s="8" t="n">
        <f aca="false">Q44+Q46</f>
        <v>-2906.75904125723</v>
      </c>
      <c r="R47" s="8" t="n">
        <f aca="false">R44+R46</f>
        <v>-2912.35518692379</v>
      </c>
      <c r="S47" s="8" t="n">
        <f aca="false">S44+S46</f>
        <v>-2917.50364093702</v>
      </c>
      <c r="T47" s="8" t="n">
        <f aca="false">T44+T46</f>
        <v>-2922.24021862919</v>
      </c>
      <c r="U47" s="8" t="n">
        <f aca="false">U44+U46</f>
        <v>-2926.59787010599</v>
      </c>
      <c r="V47" s="8" t="n">
        <f aca="false">V44+V46</f>
        <v>-2930.60690946464</v>
      </c>
      <c r="W47" s="8" t="n">
        <f aca="false">W44+W46</f>
        <v>-2934.2952256746</v>
      </c>
      <c r="X47" s="8" t="n">
        <f aca="false">X44+X46</f>
        <v>-2937.68847658777</v>
      </c>
      <c r="Y47" s="8" t="n">
        <f aca="false">Y44+Y46</f>
        <v>-2940.81026742788</v>
      </c>
      <c r="Z47" s="8" t="n">
        <f aca="false">Z44+Z46</f>
        <v>-2943.68231500078</v>
      </c>
      <c r="AA47" s="8" t="n">
        <f aca="false">AA44+AA46</f>
        <v>-2946.32459876785</v>
      </c>
      <c r="AB47" s="8" t="n">
        <f aca="false">AB44+AB46</f>
        <v>-2948.75549983356</v>
      </c>
      <c r="AC47" s="8" t="n">
        <f aca="false">AC44+AC46</f>
        <v>-2950.991928814</v>
      </c>
      <c r="AD47" s="8" t="n">
        <f aca="false">AD44+AD46</f>
        <v>-2953.04944347602</v>
      </c>
      <c r="AE47" s="8" t="n">
        <f aca="false">AE44+AE46</f>
        <v>-2954.94235696507</v>
      </c>
      <c r="AF47" s="8" t="n">
        <f aca="false">AF44+AF46</f>
        <v>-2956.683837375</v>
      </c>
      <c r="AG47" s="8" t="n">
        <f aca="false">AG44+AG46</f>
        <v>-2958.28599935213</v>
      </c>
      <c r="AH47" s="8" t="n">
        <f aca="false">AH44+AH46</f>
        <v>-2959.75998837109</v>
      </c>
      <c r="AI47" s="8" t="n">
        <f aca="false">AI44+AI46</f>
        <v>-2961.11605826854</v>
      </c>
      <c r="AJ47" s="8" t="n">
        <f aca="false">AJ44+AJ46</f>
        <v>-2962.36364257419</v>
      </c>
      <c r="AK47" s="8" t="n">
        <f aca="false">AK44+AK46</f>
        <v>-2963.51142013538</v>
      </c>
      <c r="AL47" s="8" t="n">
        <f aca="false">AL44+AL46</f>
        <v>-2964.56737549169</v>
      </c>
      <c r="AM47" s="8" t="n">
        <f aca="false">AM44+AM46</f>
        <v>-2965.53885441949</v>
      </c>
    </row>
    <row r="48" customFormat="false" ht="15" hidden="false" customHeight="false" outlineLevel="0" collapsed="false">
      <c r="B48" s="4" t="s">
        <v>513</v>
      </c>
      <c r="C48" s="32" t="n">
        <f aca="false">C47</f>
        <v>-109179.735</v>
      </c>
      <c r="D48" s="32" t="n">
        <f aca="false">C48+D47</f>
        <v>-112811.088132899</v>
      </c>
      <c r="E48" s="32" t="n">
        <f aca="false">D48+E47</f>
        <v>-116352.998054146</v>
      </c>
      <c r="F48" s="32" t="n">
        <f aca="false">E48+F47</f>
        <v>-119809.688693807</v>
      </c>
      <c r="G48" s="32" t="n">
        <f aca="false">F48+G47</f>
        <v>-123185.062468497</v>
      </c>
      <c r="H48" s="32" t="n">
        <f aca="false">G48+H47</f>
        <v>-126482.725182399</v>
      </c>
      <c r="I48" s="32" t="n">
        <f aca="false">H48+I47</f>
        <v>-129706.008977222</v>
      </c>
      <c r="J48" s="32" t="n">
        <f aca="false">I48+J47</f>
        <v>-132857.993485099</v>
      </c>
      <c r="K48" s="32" t="n">
        <f aca="false">J48+K47</f>
        <v>-135941.525326269</v>
      </c>
      <c r="L48" s="32" t="n">
        <f aca="false">K48+L47</f>
        <v>-138959.236082095</v>
      </c>
      <c r="M48" s="32" t="n">
        <f aca="false">L48+M47</f>
        <v>-141913.849606027</v>
      </c>
      <c r="N48" s="32" t="n">
        <f aca="false">M48+N47</f>
        <v>-144837.32053008</v>
      </c>
      <c r="O48" s="32" t="n">
        <f aca="false">N48+O47</f>
        <v>-147731.385101017</v>
      </c>
      <c r="P48" s="32" t="n">
        <f aca="false">O48+P47</f>
        <v>-150632.061375245</v>
      </c>
      <c r="Q48" s="32" t="n">
        <f aca="false">P48+Q47</f>
        <v>-153538.820416502</v>
      </c>
      <c r="R48" s="32" t="n">
        <f aca="false">Q48+R47</f>
        <v>-156451.175603426</v>
      </c>
      <c r="S48" s="32" t="n">
        <f aca="false">R48+S47</f>
        <v>-159368.679244363</v>
      </c>
      <c r="T48" s="32" t="n">
        <f aca="false">S48+T47</f>
        <v>-162290.919462992</v>
      </c>
      <c r="U48" s="32" t="n">
        <f aca="false">T48+U47</f>
        <v>-165217.517333098</v>
      </c>
      <c r="V48" s="32" t="n">
        <f aca="false">U48+V47</f>
        <v>-168148.124242563</v>
      </c>
      <c r="W48" s="32" t="n">
        <f aca="false">V48+W47</f>
        <v>-171082.419468237</v>
      </c>
      <c r="X48" s="32" t="n">
        <f aca="false">W48+X47</f>
        <v>-174020.107944825</v>
      </c>
      <c r="Y48" s="32" t="n">
        <f aca="false">X48+Y47</f>
        <v>-176960.918212253</v>
      </c>
      <c r="Z48" s="32" t="n">
        <f aca="false">Y48+Z47</f>
        <v>-179904.600527254</v>
      </c>
      <c r="AA48" s="32" t="n">
        <f aca="false">Z48+AA47</f>
        <v>-182850.925126022</v>
      </c>
      <c r="AB48" s="32" t="n">
        <f aca="false">AA48+AB47</f>
        <v>-185799.680625855</v>
      </c>
      <c r="AC48" s="32" t="n">
        <f aca="false">AB48+AC47</f>
        <v>-188750.672554669</v>
      </c>
      <c r="AD48" s="32" t="n">
        <f aca="false">AC48+AD47</f>
        <v>-191703.721998145</v>
      </c>
      <c r="AE48" s="32" t="n">
        <f aca="false">AD48+AE47</f>
        <v>-194658.66435511</v>
      </c>
      <c r="AF48" s="32" t="n">
        <f aca="false">AE48+AF47</f>
        <v>-197615.348192485</v>
      </c>
      <c r="AG48" s="32" t="n">
        <f aca="false">AF48+AG47</f>
        <v>-200573.634191837</v>
      </c>
      <c r="AH48" s="32" t="n">
        <f aca="false">AG48+AH47</f>
        <v>-203533.394180209</v>
      </c>
      <c r="AI48" s="32" t="n">
        <f aca="false">AH48+AI47</f>
        <v>-206494.510238477</v>
      </c>
      <c r="AJ48" s="32" t="n">
        <f aca="false">AI48+AJ47</f>
        <v>-209456.873881051</v>
      </c>
      <c r="AK48" s="32" t="n">
        <f aca="false">AJ48+AK47</f>
        <v>-212420.385301187</v>
      </c>
      <c r="AL48" s="32" t="n">
        <f aca="false">AK48+AL47</f>
        <v>-215384.952676678</v>
      </c>
      <c r="AM48" s="32" t="n">
        <f aca="false">AL48+AM47</f>
        <v>-218350.491531098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9" min="3" style="0" width="11"/>
  </cols>
  <sheetData>
    <row r="1" customFormat="false" ht="17.35" hidden="false" customHeight="false" outlineLevel="0" collapsed="false">
      <c r="A1" s="1" t="s">
        <v>514</v>
      </c>
    </row>
    <row r="2" customFormat="false" ht="15" hidden="false" customHeight="false" outlineLevel="0" collapsed="false">
      <c r="A2" s="2" t="s">
        <v>473</v>
      </c>
    </row>
    <row r="3" customFormat="false" ht="15" hidden="false" customHeight="false" outlineLevel="0" collapsed="false">
      <c r="B3" s="40" t="s">
        <v>474</v>
      </c>
      <c r="C3" s="41" t="n">
        <v>0</v>
      </c>
      <c r="D3" s="41" t="n">
        <v>1</v>
      </c>
      <c r="E3" s="41" t="n">
        <v>2</v>
      </c>
      <c r="F3" s="41" t="n">
        <v>3</v>
      </c>
      <c r="G3" s="41" t="n">
        <v>4</v>
      </c>
      <c r="H3" s="41" t="n">
        <v>5</v>
      </c>
      <c r="I3" s="41" t="n">
        <v>6</v>
      </c>
      <c r="J3" s="41" t="n">
        <v>7</v>
      </c>
      <c r="K3" s="41" t="n">
        <v>8</v>
      </c>
      <c r="L3" s="41" t="n">
        <v>9</v>
      </c>
      <c r="M3" s="41" t="n">
        <v>10</v>
      </c>
      <c r="N3" s="41" t="n">
        <v>11</v>
      </c>
      <c r="O3" s="41" t="n">
        <v>12</v>
      </c>
      <c r="P3" s="41" t="n">
        <v>13</v>
      </c>
      <c r="Q3" s="41" t="n">
        <v>14</v>
      </c>
      <c r="R3" s="41" t="n">
        <v>15</v>
      </c>
      <c r="S3" s="41" t="n">
        <v>16</v>
      </c>
      <c r="T3" s="41" t="n">
        <v>17</v>
      </c>
      <c r="U3" s="41" t="n">
        <v>18</v>
      </c>
      <c r="V3" s="41" t="n">
        <v>19</v>
      </c>
      <c r="W3" s="41" t="n">
        <v>20</v>
      </c>
      <c r="X3" s="41" t="n">
        <v>21</v>
      </c>
      <c r="Y3" s="41" t="n">
        <v>22</v>
      </c>
      <c r="Z3" s="41" t="n">
        <v>23</v>
      </c>
      <c r="AA3" s="41" t="n">
        <v>24</v>
      </c>
      <c r="AB3" s="41" t="n">
        <v>25</v>
      </c>
      <c r="AC3" s="41" t="n">
        <v>26</v>
      </c>
      <c r="AD3" s="41" t="n">
        <v>27</v>
      </c>
      <c r="AE3" s="41" t="n">
        <v>28</v>
      </c>
      <c r="AF3" s="41" t="n">
        <v>29</v>
      </c>
      <c r="AG3" s="41" t="n">
        <v>30</v>
      </c>
      <c r="AH3" s="41" t="n">
        <v>31</v>
      </c>
      <c r="AI3" s="41" t="n">
        <v>32</v>
      </c>
      <c r="AJ3" s="41" t="n">
        <v>33</v>
      </c>
      <c r="AK3" s="41" t="n">
        <v>34</v>
      </c>
      <c r="AL3" s="41" t="n">
        <v>35</v>
      </c>
      <c r="AM3" s="41" t="n">
        <v>36</v>
      </c>
    </row>
    <row r="4" customFormat="false" ht="15" hidden="false" customHeight="false" outlineLevel="0" collapsed="false">
      <c r="B4" s="21" t="s">
        <v>475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</row>
    <row r="5" customFormat="false" ht="15" hidden="false" customHeight="false" outlineLevel="0" collapsed="false">
      <c r="B5" s="4" t="s">
        <v>476</v>
      </c>
      <c r="D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E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F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G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H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I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J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K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L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M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N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O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P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Q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R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S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T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U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V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W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X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Y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Z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A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B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C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D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E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F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G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H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I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J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K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L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M5" s="35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</row>
    <row r="6" customFormat="false" ht="15" hidden="false" customHeight="false" outlineLevel="0" collapsed="false">
      <c r="B6" s="4" t="s">
        <v>477</v>
      </c>
      <c r="D6" s="35" t="n">
        <f aca="false">IF(D$3&lt;=6,Supuestos!$E$46,IF(D$3&lt;=12,Supuestos!$E$47,Supuestos!$E$48))</f>
        <v>3</v>
      </c>
      <c r="E6" s="35" t="n">
        <f aca="false">IF(E$3&lt;=6,Supuestos!$E$46,IF(E$3&lt;=12,Supuestos!$E$47,Supuestos!$E$48))</f>
        <v>3</v>
      </c>
      <c r="F6" s="35" t="n">
        <f aca="false">IF(F$3&lt;=6,Supuestos!$E$46,IF(F$3&lt;=12,Supuestos!$E$47,Supuestos!$E$48))</f>
        <v>3</v>
      </c>
      <c r="G6" s="35" t="n">
        <f aca="false">IF(G$3&lt;=6,Supuestos!$E$46,IF(G$3&lt;=12,Supuestos!$E$47,Supuestos!$E$48))</f>
        <v>3</v>
      </c>
      <c r="H6" s="35" t="n">
        <f aca="false">IF(H$3&lt;=6,Supuestos!$E$46,IF(H$3&lt;=12,Supuestos!$E$47,Supuestos!$E$48))</f>
        <v>3</v>
      </c>
      <c r="I6" s="35" t="n">
        <f aca="false">IF(I$3&lt;=6,Supuestos!$E$46,IF(I$3&lt;=12,Supuestos!$E$47,Supuestos!$E$48))</f>
        <v>3</v>
      </c>
      <c r="J6" s="35" t="n">
        <f aca="false">IF(J$3&lt;=6,Supuestos!$E$46,IF(J$3&lt;=12,Supuestos!$E$47,Supuestos!$E$48))</f>
        <v>3</v>
      </c>
      <c r="K6" s="35" t="n">
        <f aca="false">IF(K$3&lt;=6,Supuestos!$E$46,IF(K$3&lt;=12,Supuestos!$E$47,Supuestos!$E$48))</f>
        <v>3</v>
      </c>
      <c r="L6" s="35" t="n">
        <f aca="false">IF(L$3&lt;=6,Supuestos!$E$46,IF(L$3&lt;=12,Supuestos!$E$47,Supuestos!$E$48))</f>
        <v>3</v>
      </c>
      <c r="M6" s="35" t="n">
        <f aca="false">IF(M$3&lt;=6,Supuestos!$E$46,IF(M$3&lt;=12,Supuestos!$E$47,Supuestos!$E$48))</f>
        <v>3</v>
      </c>
      <c r="N6" s="35" t="n">
        <f aca="false">IF(N$3&lt;=6,Supuestos!$E$46,IF(N$3&lt;=12,Supuestos!$E$47,Supuestos!$E$48))</f>
        <v>3</v>
      </c>
      <c r="O6" s="35" t="n">
        <f aca="false">IF(O$3&lt;=6,Supuestos!$E$46,IF(O$3&lt;=12,Supuestos!$E$47,Supuestos!$E$48))</f>
        <v>3</v>
      </c>
      <c r="P6" s="35" t="n">
        <f aca="false">IF(P$3&lt;=6,Supuestos!$E$46,IF(P$3&lt;=12,Supuestos!$E$47,Supuestos!$E$48))</f>
        <v>2</v>
      </c>
      <c r="Q6" s="35" t="n">
        <f aca="false">IF(Q$3&lt;=6,Supuestos!$E$46,IF(Q$3&lt;=12,Supuestos!$E$47,Supuestos!$E$48))</f>
        <v>2</v>
      </c>
      <c r="R6" s="35" t="n">
        <f aca="false">IF(R$3&lt;=6,Supuestos!$E$46,IF(R$3&lt;=12,Supuestos!$E$47,Supuestos!$E$48))</f>
        <v>2</v>
      </c>
      <c r="S6" s="35" t="n">
        <f aca="false">IF(S$3&lt;=6,Supuestos!$E$46,IF(S$3&lt;=12,Supuestos!$E$47,Supuestos!$E$48))</f>
        <v>2</v>
      </c>
      <c r="T6" s="35" t="n">
        <f aca="false">IF(T$3&lt;=6,Supuestos!$E$46,IF(T$3&lt;=12,Supuestos!$E$47,Supuestos!$E$48))</f>
        <v>2</v>
      </c>
      <c r="U6" s="35" t="n">
        <f aca="false">IF(U$3&lt;=6,Supuestos!$E$46,IF(U$3&lt;=12,Supuestos!$E$47,Supuestos!$E$48))</f>
        <v>2</v>
      </c>
      <c r="V6" s="35" t="n">
        <f aca="false">IF(V$3&lt;=6,Supuestos!$E$46,IF(V$3&lt;=12,Supuestos!$E$47,Supuestos!$E$48))</f>
        <v>2</v>
      </c>
      <c r="W6" s="35" t="n">
        <f aca="false">IF(W$3&lt;=6,Supuestos!$E$46,IF(W$3&lt;=12,Supuestos!$E$47,Supuestos!$E$48))</f>
        <v>2</v>
      </c>
      <c r="X6" s="35" t="n">
        <f aca="false">IF(X$3&lt;=6,Supuestos!$E$46,IF(X$3&lt;=12,Supuestos!$E$47,Supuestos!$E$48))</f>
        <v>2</v>
      </c>
      <c r="Y6" s="35" t="n">
        <f aca="false">IF(Y$3&lt;=6,Supuestos!$E$46,IF(Y$3&lt;=12,Supuestos!$E$47,Supuestos!$E$48))</f>
        <v>2</v>
      </c>
      <c r="Z6" s="35" t="n">
        <f aca="false">IF(Z$3&lt;=6,Supuestos!$E$46,IF(Z$3&lt;=12,Supuestos!$E$47,Supuestos!$E$48))</f>
        <v>2</v>
      </c>
      <c r="AA6" s="35" t="n">
        <f aca="false">IF(AA$3&lt;=6,Supuestos!$E$46,IF(AA$3&lt;=12,Supuestos!$E$47,Supuestos!$E$48))</f>
        <v>2</v>
      </c>
      <c r="AB6" s="35" t="n">
        <f aca="false">IF(AB$3&lt;=6,Supuestos!$E$46,IF(AB$3&lt;=12,Supuestos!$E$47,Supuestos!$E$48))</f>
        <v>2</v>
      </c>
      <c r="AC6" s="35" t="n">
        <f aca="false">IF(AC$3&lt;=6,Supuestos!$E$46,IF(AC$3&lt;=12,Supuestos!$E$47,Supuestos!$E$48))</f>
        <v>2</v>
      </c>
      <c r="AD6" s="35" t="n">
        <f aca="false">IF(AD$3&lt;=6,Supuestos!$E$46,IF(AD$3&lt;=12,Supuestos!$E$47,Supuestos!$E$48))</f>
        <v>2</v>
      </c>
      <c r="AE6" s="35" t="n">
        <f aca="false">IF(AE$3&lt;=6,Supuestos!$E$46,IF(AE$3&lt;=12,Supuestos!$E$47,Supuestos!$E$48))</f>
        <v>2</v>
      </c>
      <c r="AF6" s="35" t="n">
        <f aca="false">IF(AF$3&lt;=6,Supuestos!$E$46,IF(AF$3&lt;=12,Supuestos!$E$47,Supuestos!$E$48))</f>
        <v>2</v>
      </c>
      <c r="AG6" s="35" t="n">
        <f aca="false">IF(AG$3&lt;=6,Supuestos!$E$46,IF(AG$3&lt;=12,Supuestos!$E$47,Supuestos!$E$48))</f>
        <v>2</v>
      </c>
      <c r="AH6" s="35" t="n">
        <f aca="false">IF(AH$3&lt;=6,Supuestos!$E$46,IF(AH$3&lt;=12,Supuestos!$E$47,Supuestos!$E$48))</f>
        <v>2</v>
      </c>
      <c r="AI6" s="35" t="n">
        <f aca="false">IF(AI$3&lt;=6,Supuestos!$E$46,IF(AI$3&lt;=12,Supuestos!$E$47,Supuestos!$E$48))</f>
        <v>2</v>
      </c>
      <c r="AJ6" s="35" t="n">
        <f aca="false">IF(AJ$3&lt;=6,Supuestos!$E$46,IF(AJ$3&lt;=12,Supuestos!$E$47,Supuestos!$E$48))</f>
        <v>2</v>
      </c>
      <c r="AK6" s="35" t="n">
        <f aca="false">IF(AK$3&lt;=6,Supuestos!$E$46,IF(AK$3&lt;=12,Supuestos!$E$47,Supuestos!$E$48))</f>
        <v>2</v>
      </c>
      <c r="AL6" s="35" t="n">
        <f aca="false">IF(AL$3&lt;=6,Supuestos!$E$46,IF(AL$3&lt;=12,Supuestos!$E$47,Supuestos!$E$48))</f>
        <v>2</v>
      </c>
      <c r="AM6" s="35" t="n">
        <f aca="false">IF(AM$3&lt;=6,Supuestos!$E$46,IF(AM$3&lt;=12,Supuestos!$E$47,Supuestos!$E$48))</f>
        <v>2</v>
      </c>
    </row>
    <row r="7" customFormat="false" ht="15" hidden="false" customHeight="false" outlineLevel="0" collapsed="false">
      <c r="B7" s="4" t="s">
        <v>478</v>
      </c>
      <c r="D7" s="35" t="n">
        <f aca="false">MIN(D5,Supuestos!$E$45*(1-Supuestos!$E$49)+D6)</f>
        <v>7.7</v>
      </c>
      <c r="E7" s="35" t="n">
        <f aca="false">MIN(E5,D7*(1-Supuestos!$E$49)+E6)</f>
        <v>10.238</v>
      </c>
      <c r="F7" s="35" t="n">
        <f aca="false">MIN(F5,E7*(1-Supuestos!$E$49)+F6)</f>
        <v>12.62372</v>
      </c>
      <c r="G7" s="35" t="n">
        <f aca="false">MIN(G5,F7*(1-Supuestos!$E$49)+G6)</f>
        <v>14.8662968</v>
      </c>
      <c r="H7" s="35" t="n">
        <f aca="false">MIN(H5,G7*(1-Supuestos!$E$49)+H6)</f>
        <v>16.974318992</v>
      </c>
      <c r="I7" s="35" t="n">
        <f aca="false">MIN(I5,H7*(1-Supuestos!$E$49)+I6)</f>
        <v>18.95585985248</v>
      </c>
      <c r="J7" s="35" t="n">
        <f aca="false">MIN(J5,I7*(1-Supuestos!$E$49)+J6)</f>
        <v>20.8185082613312</v>
      </c>
      <c r="K7" s="35" t="n">
        <f aca="false">MIN(K5,J7*(1-Supuestos!$E$49)+K6)</f>
        <v>22.5693977656513</v>
      </c>
      <c r="L7" s="35" t="n">
        <f aca="false">MIN(L5,K7*(1-Supuestos!$E$49)+L6)</f>
        <v>24.2152338997122</v>
      </c>
      <c r="M7" s="35" t="n">
        <f aca="false">MIN(M5,L7*(1-Supuestos!$E$49)+M6)</f>
        <v>25.7623198657295</v>
      </c>
      <c r="N7" s="35" t="n">
        <f aca="false">MIN(N5,M7*(1-Supuestos!$E$49)+N6)</f>
        <v>27.2165806737857</v>
      </c>
      <c r="O7" s="35" t="n">
        <f aca="false">MIN(O5,N7*(1-Supuestos!$E$49)+O6)</f>
        <v>28.5835858333586</v>
      </c>
      <c r="P7" s="35" t="n">
        <f aca="false">MIN(P5,O7*(1-Supuestos!$E$49)+P6)</f>
        <v>28.8685706833571</v>
      </c>
      <c r="Q7" s="35" t="n">
        <f aca="false">MIN(Q5,P7*(1-Supuestos!$E$49)+Q6)</f>
        <v>29.1364564423557</v>
      </c>
      <c r="R7" s="35" t="n">
        <f aca="false">MIN(R5,Q7*(1-Supuestos!$E$49)+R6)</f>
        <v>29.3882690558143</v>
      </c>
      <c r="S7" s="35" t="n">
        <f aca="false">MIN(S5,R7*(1-Supuestos!$E$49)+S6)</f>
        <v>29.6249729124655</v>
      </c>
      <c r="T7" s="35" t="n">
        <f aca="false">MIN(T5,S7*(1-Supuestos!$E$49)+T6)</f>
        <v>29.8474745377175</v>
      </c>
      <c r="U7" s="35" t="n">
        <f aca="false">MIN(U5,T7*(1-Supuestos!$E$49)+U6)</f>
        <v>30.0566260654545</v>
      </c>
      <c r="V7" s="35" t="n">
        <f aca="false">MIN(V5,U7*(1-Supuestos!$E$49)+V6)</f>
        <v>30.2532285015272</v>
      </c>
      <c r="W7" s="35" t="n">
        <f aca="false">MIN(W5,V7*(1-Supuestos!$E$49)+W6)</f>
        <v>30.4380347914356</v>
      </c>
      <c r="X7" s="35" t="n">
        <f aca="false">MIN(X5,W7*(1-Supuestos!$E$49)+X6)</f>
        <v>30.6117527039494</v>
      </c>
      <c r="Y7" s="35" t="n">
        <f aca="false">MIN(Y5,X7*(1-Supuestos!$E$49)+Y6)</f>
        <v>30.7750475417125</v>
      </c>
      <c r="Z7" s="35" t="n">
        <f aca="false">MIN(Z5,Y7*(1-Supuestos!$E$49)+Z6)</f>
        <v>30.9285446892097</v>
      </c>
      <c r="AA7" s="35" t="n">
        <f aca="false">MIN(AA5,Z7*(1-Supuestos!$E$49)+AA6)</f>
        <v>31.0728320078571</v>
      </c>
      <c r="AB7" s="35" t="n">
        <f aca="false">MIN(AB5,AA7*(1-Supuestos!$E$49)+AB6)</f>
        <v>31.2084620873857</v>
      </c>
      <c r="AC7" s="35" t="n">
        <f aca="false">MIN(AC5,AB7*(1-Supuestos!$E$49)+AC6)</f>
        <v>31.3359543621426</v>
      </c>
      <c r="AD7" s="35" t="n">
        <f aca="false">MIN(AD5,AC7*(1-Supuestos!$E$49)+AD6)</f>
        <v>31.455797100414</v>
      </c>
      <c r="AE7" s="35" t="n">
        <f aca="false">MIN(AE5,AD7*(1-Supuestos!$E$49)+AE6)</f>
        <v>31.5684492743892</v>
      </c>
      <c r="AF7" s="35" t="n">
        <f aca="false">MIN(AF5,AE7*(1-Supuestos!$E$49)+AF6)</f>
        <v>31.6743423179258</v>
      </c>
      <c r="AG7" s="35" t="n">
        <f aca="false">MIN(AG5,AF7*(1-Supuestos!$E$49)+AG6)</f>
        <v>31.7738817788503</v>
      </c>
      <c r="AH7" s="35" t="n">
        <f aca="false">MIN(AH5,AG7*(1-Supuestos!$E$49)+AH6)</f>
        <v>31.8674488721192</v>
      </c>
      <c r="AI7" s="35" t="n">
        <f aca="false">MIN(AI5,AH7*(1-Supuestos!$E$49)+AI6)</f>
        <v>31.9554019397921</v>
      </c>
      <c r="AJ7" s="35" t="n">
        <f aca="false">MIN(AJ5,AI7*(1-Supuestos!$E$49)+AJ6)</f>
        <v>32.0380778234046</v>
      </c>
      <c r="AK7" s="35" t="n">
        <f aca="false">MIN(AK5,AJ7*(1-Supuestos!$E$49)+AK6)</f>
        <v>32.1157931540003</v>
      </c>
      <c r="AL7" s="35" t="n">
        <f aca="false">MIN(AL5,AK7*(1-Supuestos!$E$49)+AL6)</f>
        <v>32.1888455647603</v>
      </c>
      <c r="AM7" s="35" t="n">
        <f aca="false">MIN(AM5,AL7*(1-Supuestos!$E$49)+AM6)</f>
        <v>32.2575148308747</v>
      </c>
    </row>
    <row r="8" customFormat="false" ht="15" hidden="false" customHeight="false" outlineLevel="0" collapsed="false">
      <c r="B8" s="4" t="s">
        <v>479</v>
      </c>
      <c r="D8" s="35" t="n">
        <f aca="false">Supuestos!$E$45*Supuestos!$E$49</f>
        <v>0.3</v>
      </c>
      <c r="E8" s="35" t="n">
        <f aca="false">D7*Supuestos!$E$49</f>
        <v>0.462</v>
      </c>
      <c r="F8" s="35" t="n">
        <f aca="false">E7*Supuestos!$E$49</f>
        <v>0.61428</v>
      </c>
      <c r="G8" s="35" t="n">
        <f aca="false">F7*Supuestos!$E$49</f>
        <v>0.7574232</v>
      </c>
      <c r="H8" s="35" t="n">
        <f aca="false">G7*Supuestos!$E$49</f>
        <v>0.891977808</v>
      </c>
      <c r="I8" s="35" t="n">
        <f aca="false">H7*Supuestos!$E$49</f>
        <v>1.01845913952</v>
      </c>
      <c r="J8" s="35" t="n">
        <f aca="false">I7*Supuestos!$E$49</f>
        <v>1.1373515911488</v>
      </c>
      <c r="K8" s="35" t="n">
        <f aca="false">J7*Supuestos!$E$49</f>
        <v>1.24911049567987</v>
      </c>
      <c r="L8" s="35" t="n">
        <f aca="false">K7*Supuestos!$E$49</f>
        <v>1.35416386593908</v>
      </c>
      <c r="M8" s="35" t="n">
        <f aca="false">L7*Supuestos!$E$49</f>
        <v>1.45291403398273</v>
      </c>
      <c r="N8" s="35" t="n">
        <f aca="false">M7*Supuestos!$E$49</f>
        <v>1.54573919194377</v>
      </c>
      <c r="O8" s="35" t="n">
        <f aca="false">N7*Supuestos!$E$49</f>
        <v>1.63299484042714</v>
      </c>
      <c r="P8" s="35" t="n">
        <f aca="false">O7*Supuestos!$E$49</f>
        <v>1.71501515000152</v>
      </c>
      <c r="Q8" s="35" t="n">
        <f aca="false">P7*Supuestos!$E$49</f>
        <v>1.73211424100142</v>
      </c>
      <c r="R8" s="35" t="n">
        <f aca="false">Q7*Supuestos!$E$49</f>
        <v>1.74818738654134</v>
      </c>
      <c r="S8" s="35" t="n">
        <f aca="false">R7*Supuestos!$E$49</f>
        <v>1.76329614334886</v>
      </c>
      <c r="T8" s="35" t="n">
        <f aca="false">S7*Supuestos!$E$49</f>
        <v>1.77749837474793</v>
      </c>
      <c r="U8" s="35" t="n">
        <f aca="false">T7*Supuestos!$E$49</f>
        <v>1.79084847226305</v>
      </c>
      <c r="V8" s="35" t="n">
        <f aca="false">U7*Supuestos!$E$49</f>
        <v>1.80339756392727</v>
      </c>
      <c r="W8" s="35" t="n">
        <f aca="false">V7*Supuestos!$E$49</f>
        <v>1.81519371009163</v>
      </c>
      <c r="X8" s="35" t="n">
        <f aca="false">W7*Supuestos!$E$49</f>
        <v>1.82628208748613</v>
      </c>
      <c r="Y8" s="35" t="n">
        <f aca="false">X7*Supuestos!$E$49</f>
        <v>1.83670516223697</v>
      </c>
      <c r="Z8" s="35" t="n">
        <f aca="false">Y7*Supuestos!$E$49</f>
        <v>1.84650285250275</v>
      </c>
      <c r="AA8" s="35" t="n">
        <f aca="false">Z7*Supuestos!$E$49</f>
        <v>1.85571268135258</v>
      </c>
      <c r="AB8" s="35" t="n">
        <f aca="false">AA7*Supuestos!$E$49</f>
        <v>1.86436992047143</v>
      </c>
      <c r="AC8" s="35" t="n">
        <f aca="false">AB7*Supuestos!$E$49</f>
        <v>1.87250772524314</v>
      </c>
      <c r="AD8" s="35" t="n">
        <f aca="false">AC7*Supuestos!$E$49</f>
        <v>1.88015726172855</v>
      </c>
      <c r="AE8" s="35" t="n">
        <f aca="false">AD7*Supuestos!$E$49</f>
        <v>1.88734782602484</v>
      </c>
      <c r="AF8" s="35" t="n">
        <f aca="false">AE7*Supuestos!$E$49</f>
        <v>1.89410695646335</v>
      </c>
      <c r="AG8" s="35" t="n">
        <f aca="false">AF7*Supuestos!$E$49</f>
        <v>1.90046053907555</v>
      </c>
      <c r="AH8" s="35" t="n">
        <f aca="false">AG7*Supuestos!$E$49</f>
        <v>1.90643290673102</v>
      </c>
      <c r="AI8" s="35" t="n">
        <f aca="false">AH7*Supuestos!$E$49</f>
        <v>1.91204693232715</v>
      </c>
      <c r="AJ8" s="35" t="n">
        <f aca="false">AI7*Supuestos!$E$49</f>
        <v>1.91732411638753</v>
      </c>
      <c r="AK8" s="35" t="n">
        <f aca="false">AJ7*Supuestos!$E$49</f>
        <v>1.92228466940427</v>
      </c>
      <c r="AL8" s="35" t="n">
        <f aca="false">AK7*Supuestos!$E$49</f>
        <v>1.92694758924002</v>
      </c>
      <c r="AM8" s="35" t="n">
        <f aca="false">AL7*Supuestos!$E$49</f>
        <v>1.93133073388562</v>
      </c>
    </row>
    <row r="9" customFormat="false" ht="15" hidden="false" customHeight="false" outlineLevel="0" collapsed="false">
      <c r="B9" s="4" t="s">
        <v>480</v>
      </c>
      <c r="D9" s="35" t="n">
        <f aca="false">MIN(Supuestos!$E$13,Supuestos!$E$50)</f>
        <v>1</v>
      </c>
      <c r="E9" s="35" t="n">
        <f aca="false">MIN(Supuestos!$E$13,D9*(1-Supuestos!$E$51)+Supuestos!$E$50)</f>
        <v>1.96</v>
      </c>
      <c r="F9" s="35" t="n">
        <f aca="false">MIN(Supuestos!$E$13,E9*(1-Supuestos!$E$51)+Supuestos!$E$50)</f>
        <v>2.8816</v>
      </c>
      <c r="G9" s="35" t="n">
        <f aca="false">MIN(Supuestos!$E$13,F9*(1-Supuestos!$E$51)+Supuestos!$E$50)</f>
        <v>3.766336</v>
      </c>
      <c r="H9" s="35" t="n">
        <f aca="false">MIN(Supuestos!$E$13,G9*(1-Supuestos!$E$51)+Supuestos!$E$50)</f>
        <v>4.61568256</v>
      </c>
      <c r="I9" s="35" t="n">
        <f aca="false">MIN(Supuestos!$E$13,H9*(1-Supuestos!$E$51)+Supuestos!$E$50)</f>
        <v>5.4310552576</v>
      </c>
      <c r="J9" s="35" t="n">
        <f aca="false">MIN(Supuestos!$E$13,I9*(1-Supuestos!$E$51)+Supuestos!$E$50)</f>
        <v>6</v>
      </c>
      <c r="K9" s="35" t="n">
        <f aca="false">MIN(Supuestos!$E$13,J9*(1-Supuestos!$E$51)+Supuestos!$E$50)</f>
        <v>6</v>
      </c>
      <c r="L9" s="35" t="n">
        <f aca="false">MIN(Supuestos!$E$13,K9*(1-Supuestos!$E$51)+Supuestos!$E$50)</f>
        <v>6</v>
      </c>
      <c r="M9" s="35" t="n">
        <f aca="false">MIN(Supuestos!$E$13,L9*(1-Supuestos!$E$51)+Supuestos!$E$50)</f>
        <v>6</v>
      </c>
      <c r="N9" s="35" t="n">
        <f aca="false">MIN(Supuestos!$E$13,M9*(1-Supuestos!$E$51)+Supuestos!$E$50)</f>
        <v>6</v>
      </c>
      <c r="O9" s="35" t="n">
        <f aca="false">MIN(Supuestos!$E$13,N9*(1-Supuestos!$E$51)+Supuestos!$E$50)</f>
        <v>6</v>
      </c>
      <c r="P9" s="35" t="n">
        <f aca="false">MIN(Supuestos!$E$13,O9*(1-Supuestos!$E$51)+Supuestos!$E$50)</f>
        <v>6</v>
      </c>
      <c r="Q9" s="35" t="n">
        <f aca="false">MIN(Supuestos!$E$13,P9*(1-Supuestos!$E$51)+Supuestos!$E$50)</f>
        <v>6</v>
      </c>
      <c r="R9" s="35" t="n">
        <f aca="false">MIN(Supuestos!$E$13,Q9*(1-Supuestos!$E$51)+Supuestos!$E$50)</f>
        <v>6</v>
      </c>
      <c r="S9" s="35" t="n">
        <f aca="false">MIN(Supuestos!$E$13,R9*(1-Supuestos!$E$51)+Supuestos!$E$50)</f>
        <v>6</v>
      </c>
      <c r="T9" s="35" t="n">
        <f aca="false">MIN(Supuestos!$E$13,S9*(1-Supuestos!$E$51)+Supuestos!$E$50)</f>
        <v>6</v>
      </c>
      <c r="U9" s="35" t="n">
        <f aca="false">MIN(Supuestos!$E$13,T9*(1-Supuestos!$E$51)+Supuestos!$E$50)</f>
        <v>6</v>
      </c>
      <c r="V9" s="35" t="n">
        <f aca="false">MIN(Supuestos!$E$13,U9*(1-Supuestos!$E$51)+Supuestos!$E$50)</f>
        <v>6</v>
      </c>
      <c r="W9" s="35" t="n">
        <f aca="false">MIN(Supuestos!$E$13,V9*(1-Supuestos!$E$51)+Supuestos!$E$50)</f>
        <v>6</v>
      </c>
      <c r="X9" s="35" t="n">
        <f aca="false">MIN(Supuestos!$E$13,W9*(1-Supuestos!$E$51)+Supuestos!$E$50)</f>
        <v>6</v>
      </c>
      <c r="Y9" s="35" t="n">
        <f aca="false">MIN(Supuestos!$E$13,X9*(1-Supuestos!$E$51)+Supuestos!$E$50)</f>
        <v>6</v>
      </c>
      <c r="Z9" s="35" t="n">
        <f aca="false">MIN(Supuestos!$E$13,Y9*(1-Supuestos!$E$51)+Supuestos!$E$50)</f>
        <v>6</v>
      </c>
      <c r="AA9" s="35" t="n">
        <f aca="false">MIN(Supuestos!$E$13,Z9*(1-Supuestos!$E$51)+Supuestos!$E$50)</f>
        <v>6</v>
      </c>
      <c r="AB9" s="35" t="n">
        <f aca="false">MIN(Supuestos!$E$13,AA9*(1-Supuestos!$E$51)+Supuestos!$E$50)</f>
        <v>6</v>
      </c>
      <c r="AC9" s="35" t="n">
        <f aca="false">MIN(Supuestos!$E$13,AB9*(1-Supuestos!$E$51)+Supuestos!$E$50)</f>
        <v>6</v>
      </c>
      <c r="AD9" s="35" t="n">
        <f aca="false">MIN(Supuestos!$E$13,AC9*(1-Supuestos!$E$51)+Supuestos!$E$50)</f>
        <v>6</v>
      </c>
      <c r="AE9" s="35" t="n">
        <f aca="false">MIN(Supuestos!$E$13,AD9*(1-Supuestos!$E$51)+Supuestos!$E$50)</f>
        <v>6</v>
      </c>
      <c r="AF9" s="35" t="n">
        <f aca="false">MIN(Supuestos!$E$13,AE9*(1-Supuestos!$E$51)+Supuestos!$E$50)</f>
        <v>6</v>
      </c>
      <c r="AG9" s="35" t="n">
        <f aca="false">MIN(Supuestos!$E$13,AF9*(1-Supuestos!$E$51)+Supuestos!$E$50)</f>
        <v>6</v>
      </c>
      <c r="AH9" s="35" t="n">
        <f aca="false">MIN(Supuestos!$E$13,AG9*(1-Supuestos!$E$51)+Supuestos!$E$50)</f>
        <v>6</v>
      </c>
      <c r="AI9" s="35" t="n">
        <f aca="false">MIN(Supuestos!$E$13,AH9*(1-Supuestos!$E$51)+Supuestos!$E$50)</f>
        <v>6</v>
      </c>
      <c r="AJ9" s="35" t="n">
        <f aca="false">MIN(Supuestos!$E$13,AI9*(1-Supuestos!$E$51)+Supuestos!$E$50)</f>
        <v>6</v>
      </c>
      <c r="AK9" s="35" t="n">
        <f aca="false">MIN(Supuestos!$E$13,AJ9*(1-Supuestos!$E$51)+Supuestos!$E$50)</f>
        <v>6</v>
      </c>
      <c r="AL9" s="35" t="n">
        <f aca="false">MIN(Supuestos!$E$13,AK9*(1-Supuestos!$E$51)+Supuestos!$E$50)</f>
        <v>6</v>
      </c>
      <c r="AM9" s="35" t="n">
        <f aca="false">MIN(Supuestos!$E$13,AL9*(1-Supuestos!$E$51)+Supuestos!$E$50)</f>
        <v>6</v>
      </c>
    </row>
    <row r="10" customFormat="false" ht="15" hidden="false" customHeight="false" outlineLevel="0" collapsed="false">
      <c r="B10" s="4" t="s">
        <v>481</v>
      </c>
      <c r="D10" s="35" t="n">
        <f aca="false">Supuestos!$E$14*MIN(1,D$3/Supuestos!$E$43)</f>
        <v>0.333333333333333</v>
      </c>
      <c r="E10" s="35" t="n">
        <f aca="false">Supuestos!$E$14*MIN(1,E$3/Supuestos!$E$43)</f>
        <v>0.666666666666667</v>
      </c>
      <c r="F10" s="35" t="n">
        <f aca="false">Supuestos!$E$14*MIN(1,F$3/Supuestos!$E$43)</f>
        <v>1</v>
      </c>
      <c r="G10" s="35" t="n">
        <f aca="false">Supuestos!$E$14*MIN(1,G$3/Supuestos!$E$43)</f>
        <v>1.33333333333333</v>
      </c>
      <c r="H10" s="35" t="n">
        <f aca="false">Supuestos!$E$14*MIN(1,H$3/Supuestos!$E$43)</f>
        <v>1.66666666666667</v>
      </c>
      <c r="I10" s="35" t="n">
        <f aca="false">Supuestos!$E$14*MIN(1,I$3/Supuestos!$E$43)</f>
        <v>2</v>
      </c>
      <c r="J10" s="35" t="n">
        <f aca="false">Supuestos!$E$14*MIN(1,J$3/Supuestos!$E$43)</f>
        <v>2</v>
      </c>
      <c r="K10" s="35" t="n">
        <f aca="false">Supuestos!$E$14*MIN(1,K$3/Supuestos!$E$43)</f>
        <v>2</v>
      </c>
      <c r="L10" s="35" t="n">
        <f aca="false">Supuestos!$E$14*MIN(1,L$3/Supuestos!$E$43)</f>
        <v>2</v>
      </c>
      <c r="M10" s="35" t="n">
        <f aca="false">Supuestos!$E$14*MIN(1,M$3/Supuestos!$E$43)</f>
        <v>2</v>
      </c>
      <c r="N10" s="35" t="n">
        <f aca="false">Supuestos!$E$14*MIN(1,N$3/Supuestos!$E$43)</f>
        <v>2</v>
      </c>
      <c r="O10" s="35" t="n">
        <f aca="false">Supuestos!$E$14*MIN(1,O$3/Supuestos!$E$43)</f>
        <v>2</v>
      </c>
      <c r="P10" s="35" t="n">
        <f aca="false">Supuestos!$E$14*MIN(1,P$3/Supuestos!$E$43)</f>
        <v>2</v>
      </c>
      <c r="Q10" s="35" t="n">
        <f aca="false">Supuestos!$E$14*MIN(1,Q$3/Supuestos!$E$43)</f>
        <v>2</v>
      </c>
      <c r="R10" s="35" t="n">
        <f aca="false">Supuestos!$E$14*MIN(1,R$3/Supuestos!$E$43)</f>
        <v>2</v>
      </c>
      <c r="S10" s="35" t="n">
        <f aca="false">Supuestos!$E$14*MIN(1,S$3/Supuestos!$E$43)</f>
        <v>2</v>
      </c>
      <c r="T10" s="35" t="n">
        <f aca="false">Supuestos!$E$14*MIN(1,T$3/Supuestos!$E$43)</f>
        <v>2</v>
      </c>
      <c r="U10" s="35" t="n">
        <f aca="false">Supuestos!$E$14*MIN(1,U$3/Supuestos!$E$43)</f>
        <v>2</v>
      </c>
      <c r="V10" s="35" t="n">
        <f aca="false">Supuestos!$E$14*MIN(1,V$3/Supuestos!$E$43)</f>
        <v>2</v>
      </c>
      <c r="W10" s="35" t="n">
        <f aca="false">Supuestos!$E$14*MIN(1,W$3/Supuestos!$E$43)</f>
        <v>2</v>
      </c>
      <c r="X10" s="35" t="n">
        <f aca="false">Supuestos!$E$14*MIN(1,X$3/Supuestos!$E$43)</f>
        <v>2</v>
      </c>
      <c r="Y10" s="35" t="n">
        <f aca="false">Supuestos!$E$14*MIN(1,Y$3/Supuestos!$E$43)</f>
        <v>2</v>
      </c>
      <c r="Z10" s="35" t="n">
        <f aca="false">Supuestos!$E$14*MIN(1,Z$3/Supuestos!$E$43)</f>
        <v>2</v>
      </c>
      <c r="AA10" s="35" t="n">
        <f aca="false">Supuestos!$E$14*MIN(1,AA$3/Supuestos!$E$43)</f>
        <v>2</v>
      </c>
      <c r="AB10" s="35" t="n">
        <f aca="false">Supuestos!$E$14*MIN(1,AB$3/Supuestos!$E$43)</f>
        <v>2</v>
      </c>
      <c r="AC10" s="35" t="n">
        <f aca="false">Supuestos!$E$14*MIN(1,AC$3/Supuestos!$E$43)</f>
        <v>2</v>
      </c>
      <c r="AD10" s="35" t="n">
        <f aca="false">Supuestos!$E$14*MIN(1,AD$3/Supuestos!$E$43)</f>
        <v>2</v>
      </c>
      <c r="AE10" s="35" t="n">
        <f aca="false">Supuestos!$E$14*MIN(1,AE$3/Supuestos!$E$43)</f>
        <v>2</v>
      </c>
      <c r="AF10" s="35" t="n">
        <f aca="false">Supuestos!$E$14*MIN(1,AF$3/Supuestos!$E$43)</f>
        <v>2</v>
      </c>
      <c r="AG10" s="35" t="n">
        <f aca="false">Supuestos!$E$14*MIN(1,AG$3/Supuestos!$E$43)</f>
        <v>2</v>
      </c>
      <c r="AH10" s="35" t="n">
        <f aca="false">Supuestos!$E$14*MIN(1,AH$3/Supuestos!$E$43)</f>
        <v>2</v>
      </c>
      <c r="AI10" s="35" t="n">
        <f aca="false">Supuestos!$E$14*MIN(1,AI$3/Supuestos!$E$43)</f>
        <v>2</v>
      </c>
      <c r="AJ10" s="35" t="n">
        <f aca="false">Supuestos!$E$14*MIN(1,AJ$3/Supuestos!$E$43)</f>
        <v>2</v>
      </c>
      <c r="AK10" s="35" t="n">
        <f aca="false">Supuestos!$E$14*MIN(1,AK$3/Supuestos!$E$43)</f>
        <v>2</v>
      </c>
      <c r="AL10" s="35" t="n">
        <f aca="false">Supuestos!$E$14*MIN(1,AL$3/Supuestos!$E$43)</f>
        <v>2</v>
      </c>
      <c r="AM10" s="35" t="n">
        <f aca="false">Supuestos!$E$14*MIN(1,AM$3/Supuestos!$E$43)</f>
        <v>2</v>
      </c>
    </row>
    <row r="11" customFormat="false" ht="15" hidden="false" customHeight="false" outlineLevel="0" collapsed="false">
      <c r="B11" s="4" t="s">
        <v>482</v>
      </c>
      <c r="D11" s="42" t="n">
        <f aca="false">D7*(Supuestos!$E$29*Supuestos!$E$21+Supuestos!$E$30*Supuestos!$E$22+Supuestos!$E$31*Supuestos!$E$23+Supuestos!$E$32*Supuestos!$E$24)*Supuestos!$E$17</f>
        <v>60.368</v>
      </c>
      <c r="E11" s="42" t="n">
        <f aca="false">E7*(Supuestos!$E$29*Supuestos!$E$21+Supuestos!$E$30*Supuestos!$E$22+Supuestos!$E$31*Supuestos!$E$23+Supuestos!$E$32*Supuestos!$E$24)*Supuestos!$E$17</f>
        <v>80.26592</v>
      </c>
      <c r="F11" s="42" t="n">
        <f aca="false">F7*(Supuestos!$E$29*Supuestos!$E$21+Supuestos!$E$30*Supuestos!$E$22+Supuestos!$E$31*Supuestos!$E$23+Supuestos!$E$32*Supuestos!$E$24)*Supuestos!$E$17</f>
        <v>98.9699648</v>
      </c>
      <c r="G11" s="42" t="n">
        <f aca="false">G7*(Supuestos!$E$29*Supuestos!$E$21+Supuestos!$E$30*Supuestos!$E$22+Supuestos!$E$31*Supuestos!$E$23+Supuestos!$E$32*Supuestos!$E$24)*Supuestos!$E$17</f>
        <v>116.551766912</v>
      </c>
      <c r="H11" s="42" t="n">
        <f aca="false">H7*(Supuestos!$E$29*Supuestos!$E$21+Supuestos!$E$30*Supuestos!$E$22+Supuestos!$E$31*Supuestos!$E$23+Supuestos!$E$32*Supuestos!$E$24)*Supuestos!$E$17</f>
        <v>133.07866089728</v>
      </c>
      <c r="I11" s="42" t="n">
        <f aca="false">I7*(Supuestos!$E$29*Supuestos!$E$21+Supuestos!$E$30*Supuestos!$E$22+Supuestos!$E$31*Supuestos!$E$23+Supuestos!$E$32*Supuestos!$E$24)*Supuestos!$E$17</f>
        <v>148.613941243443</v>
      </c>
      <c r="J11" s="42" t="n">
        <f aca="false">J7*(Supuestos!$E$29*Supuestos!$E$21+Supuestos!$E$30*Supuestos!$E$22+Supuestos!$E$31*Supuestos!$E$23+Supuestos!$E$32*Supuestos!$E$24)*Supuestos!$E$17</f>
        <v>163.217104768837</v>
      </c>
      <c r="K11" s="42" t="n">
        <f aca="false">K7*(Supuestos!$E$29*Supuestos!$E$21+Supuestos!$E$30*Supuestos!$E$22+Supuestos!$E$31*Supuestos!$E$23+Supuestos!$E$32*Supuestos!$E$24)*Supuestos!$E$17</f>
        <v>176.944078482706</v>
      </c>
      <c r="L11" s="42" t="n">
        <f aca="false">L7*(Supuestos!$E$29*Supuestos!$E$21+Supuestos!$E$30*Supuestos!$E$22+Supuestos!$E$31*Supuestos!$E$23+Supuestos!$E$32*Supuestos!$E$24)*Supuestos!$E$17</f>
        <v>189.847433773744</v>
      </c>
      <c r="M11" s="42" t="n">
        <f aca="false">M7*(Supuestos!$E$29*Supuestos!$E$21+Supuestos!$E$30*Supuestos!$E$22+Supuestos!$E$31*Supuestos!$E$23+Supuestos!$E$32*Supuestos!$E$24)*Supuestos!$E$17</f>
        <v>201.976587747319</v>
      </c>
      <c r="N11" s="42" t="n">
        <f aca="false">N7*(Supuestos!$E$29*Supuestos!$E$21+Supuestos!$E$30*Supuestos!$E$22+Supuestos!$E$31*Supuestos!$E$23+Supuestos!$E$32*Supuestos!$E$24)*Supuestos!$E$17</f>
        <v>213.37799248248</v>
      </c>
      <c r="O11" s="42" t="n">
        <f aca="false">O7*(Supuestos!$E$29*Supuestos!$E$21+Supuestos!$E$30*Supuestos!$E$22+Supuestos!$E$31*Supuestos!$E$23+Supuestos!$E$32*Supuestos!$E$24)*Supuestos!$E$17</f>
        <v>224.095312933531</v>
      </c>
      <c r="P11" s="42" t="n">
        <f aca="false">P7*(Supuestos!$E$29*Supuestos!$E$21+Supuestos!$E$30*Supuestos!$E$22+Supuestos!$E$31*Supuestos!$E$23+Supuestos!$E$32*Supuestos!$E$24)*Supuestos!$E$17</f>
        <v>226.32959415752</v>
      </c>
      <c r="Q11" s="42" t="n">
        <f aca="false">Q7*(Supuestos!$E$29*Supuestos!$E$21+Supuestos!$E$30*Supuestos!$E$22+Supuestos!$E$31*Supuestos!$E$23+Supuestos!$E$32*Supuestos!$E$24)*Supuestos!$E$17</f>
        <v>228.429818508068</v>
      </c>
      <c r="R11" s="42" t="n">
        <f aca="false">R7*(Supuestos!$E$29*Supuestos!$E$21+Supuestos!$E$30*Supuestos!$E$22+Supuestos!$E$31*Supuestos!$E$23+Supuestos!$E$32*Supuestos!$E$24)*Supuestos!$E$17</f>
        <v>230.404029397584</v>
      </c>
      <c r="S11" s="42" t="n">
        <f aca="false">S7*(Supuestos!$E$29*Supuestos!$E$21+Supuestos!$E$30*Supuestos!$E$22+Supuestos!$E$31*Supuestos!$E$23+Supuestos!$E$32*Supuestos!$E$24)*Supuestos!$E$17</f>
        <v>232.259787633729</v>
      </c>
      <c r="T11" s="42" t="n">
        <f aca="false">T7*(Supuestos!$E$29*Supuestos!$E$21+Supuestos!$E$30*Supuestos!$E$22+Supuestos!$E$31*Supuestos!$E$23+Supuestos!$E$32*Supuestos!$E$24)*Supuestos!$E$17</f>
        <v>234.004200375705</v>
      </c>
      <c r="U11" s="42" t="n">
        <f aca="false">U7*(Supuestos!$E$29*Supuestos!$E$21+Supuestos!$E$30*Supuestos!$E$22+Supuestos!$E$31*Supuestos!$E$23+Supuestos!$E$32*Supuestos!$E$24)*Supuestos!$E$17</f>
        <v>235.643948353163</v>
      </c>
      <c r="V11" s="42" t="n">
        <f aca="false">V7*(Supuestos!$E$29*Supuestos!$E$21+Supuestos!$E$30*Supuestos!$E$22+Supuestos!$E$31*Supuestos!$E$23+Supuestos!$E$32*Supuestos!$E$24)*Supuestos!$E$17</f>
        <v>237.185311451973</v>
      </c>
      <c r="W11" s="42" t="n">
        <f aca="false">W7*(Supuestos!$E$29*Supuestos!$E$21+Supuestos!$E$30*Supuestos!$E$22+Supuestos!$E$31*Supuestos!$E$23+Supuestos!$E$32*Supuestos!$E$24)*Supuestos!$E$17</f>
        <v>238.634192764855</v>
      </c>
      <c r="X11" s="42" t="n">
        <f aca="false">X7*(Supuestos!$E$29*Supuestos!$E$21+Supuestos!$E$30*Supuestos!$E$22+Supuestos!$E$31*Supuestos!$E$23+Supuestos!$E$32*Supuestos!$E$24)*Supuestos!$E$17</f>
        <v>239.996141198964</v>
      </c>
      <c r="Y11" s="42" t="n">
        <f aca="false">Y7*(Supuestos!$E$29*Supuestos!$E$21+Supuestos!$E$30*Supuestos!$E$22+Supuestos!$E$31*Supuestos!$E$23+Supuestos!$E$32*Supuestos!$E$24)*Supuestos!$E$17</f>
        <v>241.276372727026</v>
      </c>
      <c r="Z11" s="42" t="n">
        <f aca="false">Z7*(Supuestos!$E$29*Supuestos!$E$21+Supuestos!$E$30*Supuestos!$E$22+Supuestos!$E$31*Supuestos!$E$23+Supuestos!$E$32*Supuestos!$E$24)*Supuestos!$E$17</f>
        <v>242.479790363404</v>
      </c>
      <c r="AA11" s="42" t="n">
        <f aca="false">AA7*(Supuestos!$E$29*Supuestos!$E$21+Supuestos!$E$30*Supuestos!$E$22+Supuestos!$E$31*Supuestos!$E$23+Supuestos!$E$32*Supuestos!$E$24)*Supuestos!$E$17</f>
        <v>243.6110029416</v>
      </c>
      <c r="AB11" s="42" t="n">
        <f aca="false">AB7*(Supuestos!$E$29*Supuestos!$E$21+Supuestos!$E$30*Supuestos!$E$22+Supuestos!$E$31*Supuestos!$E$23+Supuestos!$E$32*Supuestos!$E$24)*Supuestos!$E$17</f>
        <v>244.674342765104</v>
      </c>
      <c r="AC11" s="42" t="n">
        <f aca="false">AC7*(Supuestos!$E$29*Supuestos!$E$21+Supuestos!$E$30*Supuestos!$E$22+Supuestos!$E$31*Supuestos!$E$23+Supuestos!$E$32*Supuestos!$E$24)*Supuestos!$E$17</f>
        <v>245.673882199198</v>
      </c>
      <c r="AD11" s="42" t="n">
        <f aca="false">AD7*(Supuestos!$E$29*Supuestos!$E$21+Supuestos!$E$30*Supuestos!$E$22+Supuestos!$E$31*Supuestos!$E$23+Supuestos!$E$32*Supuestos!$E$24)*Supuestos!$E$17</f>
        <v>246.613449267246</v>
      </c>
      <c r="AE11" s="42" t="n">
        <f aca="false">AE7*(Supuestos!$E$29*Supuestos!$E$21+Supuestos!$E$30*Supuestos!$E$22+Supuestos!$E$31*Supuestos!$E$23+Supuestos!$E$32*Supuestos!$E$24)*Supuestos!$E$17</f>
        <v>247.496642311211</v>
      </c>
      <c r="AF11" s="42" t="n">
        <f aca="false">AF7*(Supuestos!$E$29*Supuestos!$E$21+Supuestos!$E$30*Supuestos!$E$22+Supuestos!$E$31*Supuestos!$E$23+Supuestos!$E$32*Supuestos!$E$24)*Supuestos!$E$17</f>
        <v>248.326843772538</v>
      </c>
      <c r="AG11" s="42" t="n">
        <f aca="false">AG7*(Supuestos!$E$29*Supuestos!$E$21+Supuestos!$E$30*Supuestos!$E$22+Supuestos!$E$31*Supuestos!$E$23+Supuestos!$E$32*Supuestos!$E$24)*Supuestos!$E$17</f>
        <v>249.107233146186</v>
      </c>
      <c r="AH11" s="42" t="n">
        <f aca="false">AH7*(Supuestos!$E$29*Supuestos!$E$21+Supuestos!$E$30*Supuestos!$E$22+Supuestos!$E$31*Supuestos!$E$23+Supuestos!$E$32*Supuestos!$E$24)*Supuestos!$E$17</f>
        <v>249.840799157415</v>
      </c>
      <c r="AI11" s="42" t="n">
        <f aca="false">AI7*(Supuestos!$E$29*Supuestos!$E$21+Supuestos!$E$30*Supuestos!$E$22+Supuestos!$E$31*Supuestos!$E$23+Supuestos!$E$32*Supuestos!$E$24)*Supuestos!$E$17</f>
        <v>250.53035120797</v>
      </c>
      <c r="AJ11" s="42" t="n">
        <f aca="false">AJ7*(Supuestos!$E$29*Supuestos!$E$21+Supuestos!$E$30*Supuestos!$E$22+Supuestos!$E$31*Supuestos!$E$23+Supuestos!$E$32*Supuestos!$E$24)*Supuestos!$E$17</f>
        <v>251.178530135492</v>
      </c>
      <c r="AK11" s="42" t="n">
        <f aca="false">AK7*(Supuestos!$E$29*Supuestos!$E$21+Supuestos!$E$30*Supuestos!$E$22+Supuestos!$E$31*Supuestos!$E$23+Supuestos!$E$32*Supuestos!$E$24)*Supuestos!$E$17</f>
        <v>251.787818327362</v>
      </c>
      <c r="AL11" s="42" t="n">
        <f aca="false">AL7*(Supuestos!$E$29*Supuestos!$E$21+Supuestos!$E$30*Supuestos!$E$22+Supuestos!$E$31*Supuestos!$E$23+Supuestos!$E$32*Supuestos!$E$24)*Supuestos!$E$17</f>
        <v>252.360549227721</v>
      </c>
      <c r="AM11" s="42" t="n">
        <f aca="false">AM7*(Supuestos!$E$29*Supuestos!$E$21+Supuestos!$E$30*Supuestos!$E$22+Supuestos!$E$31*Supuestos!$E$23+Supuestos!$E$32*Supuestos!$E$24)*Supuestos!$E$17</f>
        <v>252.898916274057</v>
      </c>
    </row>
    <row r="12" customFormat="false" ht="15" hidden="false" customHeight="false" outlineLevel="0" collapsed="false">
      <c r="B12" s="4" t="s">
        <v>483</v>
      </c>
      <c r="D12" s="37" t="n">
        <f aca="false">D11/(Supuestos!$E$12*Supuestos!$E$9)</f>
        <v>0.0798518518518518</v>
      </c>
      <c r="E12" s="37" t="n">
        <f aca="false">E11/(Supuestos!$E$12*Supuestos!$E$9)</f>
        <v>0.106171851851852</v>
      </c>
      <c r="F12" s="37" t="n">
        <f aca="false">F11/(Supuestos!$E$12*Supuestos!$E$9)</f>
        <v>0.130912651851852</v>
      </c>
      <c r="G12" s="37" t="n">
        <f aca="false">G11/(Supuestos!$E$12*Supuestos!$E$9)</f>
        <v>0.154169003851852</v>
      </c>
      <c r="H12" s="37" t="n">
        <f aca="false">H11/(Supuestos!$E$12*Supuestos!$E$9)</f>
        <v>0.176029974731852</v>
      </c>
      <c r="I12" s="37" t="n">
        <f aca="false">I11/(Supuestos!$E$12*Supuestos!$E$9)</f>
        <v>0.196579287359052</v>
      </c>
      <c r="J12" s="37" t="n">
        <f aca="false">J11/(Supuestos!$E$12*Supuestos!$E$9)</f>
        <v>0.21589564122862</v>
      </c>
      <c r="K12" s="37" t="n">
        <f aca="false">K11/(Supuestos!$E$12*Supuestos!$E$9)</f>
        <v>0.234053013866014</v>
      </c>
      <c r="L12" s="37" t="n">
        <f aca="false">L11/(Supuestos!$E$12*Supuestos!$E$9)</f>
        <v>0.251120944145164</v>
      </c>
      <c r="M12" s="37" t="n">
        <f aca="false">M11/(Supuestos!$E$12*Supuestos!$E$9)</f>
        <v>0.267164798607565</v>
      </c>
      <c r="N12" s="37" t="n">
        <f aca="false">N11/(Supuestos!$E$12*Supuestos!$E$9)</f>
        <v>0.282246021802223</v>
      </c>
      <c r="O12" s="37" t="n">
        <f aca="false">O11/(Supuestos!$E$12*Supuestos!$E$9)</f>
        <v>0.2964223716052</v>
      </c>
      <c r="P12" s="37" t="n">
        <f aca="false">P11/(Supuestos!$E$12*Supuestos!$E$9)</f>
        <v>0.299377770049629</v>
      </c>
      <c r="Q12" s="37" t="n">
        <f aca="false">Q11/(Supuestos!$E$12*Supuestos!$E$9)</f>
        <v>0.302155844587392</v>
      </c>
      <c r="R12" s="37" t="n">
        <f aca="false">R11/(Supuestos!$E$12*Supuestos!$E$9)</f>
        <v>0.304767234652889</v>
      </c>
      <c r="S12" s="37" t="n">
        <f aca="false">S11/(Supuestos!$E$12*Supuestos!$E$9)</f>
        <v>0.307221941314457</v>
      </c>
      <c r="T12" s="37" t="n">
        <f aca="false">T11/(Supuestos!$E$12*Supuestos!$E$9)</f>
        <v>0.30952936557633</v>
      </c>
      <c r="U12" s="37" t="n">
        <f aca="false">U11/(Supuestos!$E$12*Supuestos!$E$9)</f>
        <v>0.311698344382491</v>
      </c>
      <c r="V12" s="37" t="n">
        <f aca="false">V11/(Supuestos!$E$12*Supuestos!$E$9)</f>
        <v>0.313737184460282</v>
      </c>
      <c r="W12" s="37" t="n">
        <f aca="false">W11/(Supuestos!$E$12*Supuestos!$E$9)</f>
        <v>0.315653694133406</v>
      </c>
      <c r="X12" s="37" t="n">
        <f aca="false">X11/(Supuestos!$E$12*Supuestos!$E$9)</f>
        <v>0.317455213226142</v>
      </c>
      <c r="Y12" s="37" t="n">
        <f aca="false">Y11/(Supuestos!$E$12*Supuestos!$E$9)</f>
        <v>0.319148641173315</v>
      </c>
      <c r="Z12" s="37" t="n">
        <f aca="false">Z11/(Supuestos!$E$12*Supuestos!$E$9)</f>
        <v>0.320740463443656</v>
      </c>
      <c r="AA12" s="37" t="n">
        <f aca="false">AA11/(Supuestos!$E$12*Supuestos!$E$9)</f>
        <v>0.322236776377778</v>
      </c>
      <c r="AB12" s="37" t="n">
        <f aca="false">AB11/(Supuestos!$E$12*Supuestos!$E$9)</f>
        <v>0.323643310535852</v>
      </c>
      <c r="AC12" s="37" t="n">
        <f aca="false">AC11/(Supuestos!$E$12*Supuestos!$E$9)</f>
        <v>0.324965452644441</v>
      </c>
      <c r="AD12" s="37" t="n">
        <f aca="false">AD11/(Supuestos!$E$12*Supuestos!$E$9)</f>
        <v>0.326208266226516</v>
      </c>
      <c r="AE12" s="37" t="n">
        <f aca="false">AE11/(Supuestos!$E$12*Supuestos!$E$9)</f>
        <v>0.327376510993665</v>
      </c>
      <c r="AF12" s="37" t="n">
        <f aca="false">AF11/(Supuestos!$E$12*Supuestos!$E$9)</f>
        <v>0.328474661074786</v>
      </c>
      <c r="AG12" s="37" t="n">
        <f aca="false">AG11/(Supuestos!$E$12*Supuestos!$E$9)</f>
        <v>0.32950692215104</v>
      </c>
      <c r="AH12" s="37" t="n">
        <f aca="false">AH11/(Supuestos!$E$12*Supuestos!$E$9)</f>
        <v>0.330477247562718</v>
      </c>
      <c r="AI12" s="37" t="n">
        <f aca="false">AI11/(Supuestos!$E$12*Supuestos!$E$9)</f>
        <v>0.331389353449696</v>
      </c>
      <c r="AJ12" s="37" t="n">
        <f aca="false">AJ11/(Supuestos!$E$12*Supuestos!$E$9)</f>
        <v>0.332246732983455</v>
      </c>
      <c r="AK12" s="37" t="n">
        <f aca="false">AK11/(Supuestos!$E$12*Supuestos!$E$9)</f>
        <v>0.333052669745188</v>
      </c>
      <c r="AL12" s="37" t="n">
        <f aca="false">AL11/(Supuestos!$E$12*Supuestos!$E$9)</f>
        <v>0.333810250301218</v>
      </c>
      <c r="AM12" s="37" t="n">
        <f aca="false">AM11/(Supuestos!$E$12*Supuestos!$E$9)</f>
        <v>0.334522376023885</v>
      </c>
    </row>
    <row r="13" customFormat="false" ht="15" hidden="false" customHeight="false" outlineLevel="0" collapsed="false">
      <c r="B13" s="4" t="s">
        <v>484</v>
      </c>
      <c r="D13" s="35" t="n">
        <f aca="false">D11/Supuestos!$E$9*Supuestos!$E$18</f>
        <v>3.73706666666667</v>
      </c>
      <c r="E13" s="35" t="n">
        <f aca="false">E11/Supuestos!$E$9*Supuestos!$E$18</f>
        <v>4.96884266666667</v>
      </c>
      <c r="F13" s="35" t="n">
        <f aca="false">F11/Supuestos!$E$9*Supuestos!$E$18</f>
        <v>6.12671210666667</v>
      </c>
      <c r="G13" s="35" t="n">
        <f aca="false">G11/Supuestos!$E$9*Supuestos!$E$18</f>
        <v>7.21510938026667</v>
      </c>
      <c r="H13" s="35" t="n">
        <f aca="false">H11/Supuestos!$E$9*Supuestos!$E$18</f>
        <v>8.23820281745067</v>
      </c>
      <c r="I13" s="35" t="n">
        <f aca="false">I11/Supuestos!$E$9*Supuestos!$E$18</f>
        <v>9.19991064840363</v>
      </c>
      <c r="J13" s="35" t="n">
        <f aca="false">J11/Supuestos!$E$9*Supuestos!$E$18</f>
        <v>10.1039160094994</v>
      </c>
      <c r="K13" s="35" t="n">
        <f aca="false">K11/Supuestos!$E$9*Supuestos!$E$18</f>
        <v>10.9536810489294</v>
      </c>
      <c r="L13" s="35" t="n">
        <f aca="false">L11/Supuestos!$E$9*Supuestos!$E$18</f>
        <v>11.7524601859937</v>
      </c>
      <c r="M13" s="35" t="n">
        <f aca="false">M11/Supuestos!$E$9*Supuestos!$E$18</f>
        <v>12.5033125748341</v>
      </c>
      <c r="N13" s="35" t="n">
        <f aca="false">N11/Supuestos!$E$9*Supuestos!$E$18</f>
        <v>13.209113820344</v>
      </c>
      <c r="O13" s="35" t="n">
        <f aca="false">O11/Supuestos!$E$9*Supuestos!$E$18</f>
        <v>13.8725669911234</v>
      </c>
      <c r="P13" s="35" t="n">
        <f aca="false">P11/Supuestos!$E$9*Supuestos!$E$18</f>
        <v>14.0108796383226</v>
      </c>
      <c r="Q13" s="35" t="n">
        <f aca="false">Q11/Supuestos!$E$9*Supuestos!$E$18</f>
        <v>14.1408935266899</v>
      </c>
      <c r="R13" s="35" t="n">
        <f aca="false">R11/Supuestos!$E$9*Supuestos!$E$18</f>
        <v>14.2631065817552</v>
      </c>
      <c r="S13" s="35" t="n">
        <f aca="false">S11/Supuestos!$E$9*Supuestos!$E$18</f>
        <v>14.3779868535166</v>
      </c>
      <c r="T13" s="35" t="n">
        <f aca="false">T11/Supuestos!$E$9*Supuestos!$E$18</f>
        <v>14.4859743089722</v>
      </c>
      <c r="U13" s="35" t="n">
        <f aca="false">U11/Supuestos!$E$9*Supuestos!$E$18</f>
        <v>14.5874825171006</v>
      </c>
      <c r="V13" s="35" t="n">
        <f aca="false">V11/Supuestos!$E$9*Supuestos!$E$18</f>
        <v>14.6829002327412</v>
      </c>
      <c r="W13" s="35" t="n">
        <f aca="false">W11/Supuestos!$E$9*Supuestos!$E$18</f>
        <v>14.7725928854434</v>
      </c>
      <c r="X13" s="35" t="n">
        <f aca="false">X11/Supuestos!$E$9*Supuestos!$E$18</f>
        <v>14.8569039789835</v>
      </c>
      <c r="Y13" s="35" t="n">
        <f aca="false">Y11/Supuestos!$E$9*Supuestos!$E$18</f>
        <v>14.9361564069111</v>
      </c>
      <c r="Z13" s="35" t="n">
        <f aca="false">Z11/Supuestos!$E$9*Supuestos!$E$18</f>
        <v>15.0106536891631</v>
      </c>
      <c r="AA13" s="35" t="n">
        <f aca="false">AA11/Supuestos!$E$9*Supuestos!$E$18</f>
        <v>15.08068113448</v>
      </c>
      <c r="AB13" s="35" t="n">
        <f aca="false">AB11/Supuestos!$E$9*Supuestos!$E$18</f>
        <v>15.1465069330779</v>
      </c>
      <c r="AC13" s="35" t="n">
        <f aca="false">AC11/Supuestos!$E$9*Supuestos!$E$18</f>
        <v>15.2083831837599</v>
      </c>
      <c r="AD13" s="35" t="n">
        <f aca="false">AD11/Supuestos!$E$9*Supuestos!$E$18</f>
        <v>15.2665468594009</v>
      </c>
      <c r="AE13" s="35" t="n">
        <f aca="false">AE11/Supuestos!$E$9*Supuestos!$E$18</f>
        <v>15.3212207145035</v>
      </c>
      <c r="AF13" s="35" t="n">
        <f aca="false">AF11/Supuestos!$E$9*Supuestos!$E$18</f>
        <v>15.3726141383</v>
      </c>
      <c r="AG13" s="35" t="n">
        <f aca="false">AG11/Supuestos!$E$9*Supuestos!$E$18</f>
        <v>15.4209239566687</v>
      </c>
      <c r="AH13" s="35" t="n">
        <f aca="false">AH11/Supuestos!$E$9*Supuestos!$E$18</f>
        <v>15.4663351859352</v>
      </c>
      <c r="AI13" s="35" t="n">
        <f aca="false">AI11/Supuestos!$E$9*Supuestos!$E$18</f>
        <v>15.5090217414458</v>
      </c>
      <c r="AJ13" s="35" t="n">
        <f aca="false">AJ11/Supuestos!$E$9*Supuestos!$E$18</f>
        <v>15.5491471036257</v>
      </c>
      <c r="AK13" s="35" t="n">
        <f aca="false">AK11/Supuestos!$E$9*Supuestos!$E$18</f>
        <v>15.5868649440748</v>
      </c>
      <c r="AL13" s="35" t="n">
        <f aca="false">AL11/Supuestos!$E$9*Supuestos!$E$18</f>
        <v>15.622319714097</v>
      </c>
      <c r="AM13" s="35" t="n">
        <f aca="false">AM11/Supuestos!$E$9*Supuestos!$E$18</f>
        <v>15.6556471979178</v>
      </c>
    </row>
    <row r="14" customFormat="false" ht="15" hidden="false" customHeight="false" outlineLevel="0" collapsed="false">
      <c r="B14" s="21" t="s">
        <v>485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</row>
    <row r="15" customFormat="false" ht="15" hidden="false" customHeight="false" outlineLevel="0" collapsed="false">
      <c r="B15" s="4" t="s">
        <v>486</v>
      </c>
      <c r="D15" s="32" t="n">
        <f aca="false">D7*((Supuestos!$E$29*Supuestos!$E$25+Supuestos!$E$30*Supuestos!$E$26+Supuestos!$E$31*Supuestos!$E$27+Supuestos!$E$32*Supuestos!$E$28)*Supuestos!$E$37)*(1-Supuestos!$E$38)/(1+Supuestos!$E$7*Supuestos!$E$8)/Supuestos!$E$6</f>
        <v>361.54020979021</v>
      </c>
      <c r="E15" s="32" t="n">
        <f aca="false">E7*((Supuestos!$E$29*Supuestos!$E$25+Supuestos!$E$30*Supuestos!$E$26+Supuestos!$E$31*Supuestos!$E$27+Supuestos!$E$32*Supuestos!$E$28)*Supuestos!$E$37)*(1-Supuestos!$E$38)/(1+Supuestos!$E$7*Supuestos!$E$8)/Supuestos!$E$6</f>
        <v>480.707619198983</v>
      </c>
      <c r="F15" s="32" t="n">
        <f aca="false">F7*((Supuestos!$E$29*Supuestos!$E$25+Supuestos!$E$30*Supuestos!$E$26+Supuestos!$E$31*Supuestos!$E$27+Supuestos!$E$32*Supuestos!$E$28)*Supuestos!$E$37)*(1-Supuestos!$E$38)/(1+Supuestos!$E$7*Supuestos!$E$8)/Supuestos!$E$6</f>
        <v>592.724984043229</v>
      </c>
      <c r="G15" s="32" t="n">
        <f aca="false">G7*((Supuestos!$E$29*Supuestos!$E$25+Supuestos!$E$30*Supuestos!$E$26+Supuestos!$E$31*Supuestos!$E$27+Supuestos!$E$32*Supuestos!$E$28)*Supuestos!$E$37)*(1-Supuestos!$E$38)/(1+Supuestos!$E$7*Supuestos!$E$8)/Supuestos!$E$6</f>
        <v>698.021306996821</v>
      </c>
      <c r="H15" s="32" t="n">
        <f aca="false">H7*((Supuestos!$E$29*Supuestos!$E$25+Supuestos!$E$30*Supuestos!$E$26+Supuestos!$E$31*Supuestos!$E$27+Supuestos!$E$32*Supuestos!$E$28)*Supuestos!$E$37)*(1-Supuestos!$E$38)/(1+Supuestos!$E$7*Supuestos!$E$8)/Supuestos!$E$6</f>
        <v>796.999850573198</v>
      </c>
      <c r="I15" s="32" t="n">
        <f aca="false">I7*((Supuestos!$E$29*Supuestos!$E$25+Supuestos!$E$30*Supuestos!$E$26+Supuestos!$E$31*Supuestos!$E$27+Supuestos!$E$32*Supuestos!$E$28)*Supuestos!$E$37)*(1-Supuestos!$E$38)/(1+Supuestos!$E$7*Supuestos!$E$8)/Supuestos!$E$6</f>
        <v>890.039681534992</v>
      </c>
      <c r="J15" s="32" t="n">
        <f aca="false">J7*((Supuestos!$E$29*Supuestos!$E$25+Supuestos!$E$30*Supuestos!$E$26+Supuestos!$E$31*Supuestos!$E$27+Supuestos!$E$32*Supuestos!$E$28)*Supuestos!$E$37)*(1-Supuestos!$E$38)/(1+Supuestos!$E$7*Supuestos!$E$8)/Supuestos!$E$6</f>
        <v>977.497122639078</v>
      </c>
      <c r="K15" s="32" t="n">
        <f aca="false">K7*((Supuestos!$E$29*Supuestos!$E$25+Supuestos!$E$30*Supuestos!$E$26+Supuestos!$E$31*Supuestos!$E$27+Supuestos!$E$32*Supuestos!$E$28)*Supuestos!$E$37)*(1-Supuestos!$E$38)/(1+Supuestos!$E$7*Supuestos!$E$8)/Supuestos!$E$6</f>
        <v>1059.70711727692</v>
      </c>
      <c r="L15" s="32" t="n">
        <f aca="false">L7*((Supuestos!$E$29*Supuestos!$E$25+Supuestos!$E$30*Supuestos!$E$26+Supuestos!$E$31*Supuestos!$E$27+Supuestos!$E$32*Supuestos!$E$28)*Supuestos!$E$37)*(1-Supuestos!$E$38)/(1+Supuestos!$E$7*Supuestos!$E$8)/Supuestos!$E$6</f>
        <v>1136.98451223649</v>
      </c>
      <c r="M15" s="32" t="n">
        <f aca="false">M7*((Supuestos!$E$29*Supuestos!$E$25+Supuestos!$E$30*Supuestos!$E$26+Supuestos!$E$31*Supuestos!$E$27+Supuestos!$E$32*Supuestos!$E$28)*Supuestos!$E$37)*(1-Supuestos!$E$38)/(1+Supuestos!$E$7*Supuestos!$E$8)/Supuestos!$E$6</f>
        <v>1209.62526349849</v>
      </c>
      <c r="N15" s="32" t="n">
        <f aca="false">N7*((Supuestos!$E$29*Supuestos!$E$25+Supuestos!$E$30*Supuestos!$E$26+Supuestos!$E$31*Supuestos!$E$27+Supuestos!$E$32*Supuestos!$E$28)*Supuestos!$E$37)*(1-Supuestos!$E$38)/(1+Supuestos!$E$7*Supuestos!$E$8)/Supuestos!$E$6</f>
        <v>1277.90756968476</v>
      </c>
      <c r="O15" s="32" t="n">
        <f aca="false">O7*((Supuestos!$E$29*Supuestos!$E$25+Supuestos!$E$30*Supuestos!$E$26+Supuestos!$E$31*Supuestos!$E$27+Supuestos!$E$32*Supuestos!$E$28)*Supuestos!$E$37)*(1-Supuestos!$E$38)/(1+Supuestos!$E$7*Supuestos!$E$8)/Supuestos!$E$6</f>
        <v>1342.09293749986</v>
      </c>
      <c r="P15" s="32" t="n">
        <f aca="false">P7*((Supuestos!$E$29*Supuestos!$E$25+Supuestos!$E$30*Supuestos!$E$26+Supuestos!$E$31*Supuestos!$E$27+Supuestos!$E$32*Supuestos!$E$28)*Supuestos!$E$37)*(1-Supuestos!$E$38)/(1+Supuestos!$E$7*Supuestos!$E$8)/Supuestos!$E$6</f>
        <v>1355.47390924733</v>
      </c>
      <c r="Q15" s="32" t="n">
        <f aca="false">Q7*((Supuestos!$E$29*Supuestos!$E$25+Supuestos!$E$30*Supuestos!$E$26+Supuestos!$E$31*Supuestos!$E$27+Supuestos!$E$32*Supuestos!$E$28)*Supuestos!$E$37)*(1-Supuestos!$E$38)/(1+Supuestos!$E$7*Supuestos!$E$8)/Supuestos!$E$6</f>
        <v>1368.05202268994</v>
      </c>
      <c r="R15" s="32" t="n">
        <f aca="false">R7*((Supuestos!$E$29*Supuestos!$E$25+Supuestos!$E$30*Supuestos!$E$26+Supuestos!$E$31*Supuestos!$E$27+Supuestos!$E$32*Supuestos!$E$28)*Supuestos!$E$37)*(1-Supuestos!$E$38)/(1+Supuestos!$E$7*Supuestos!$E$8)/Supuestos!$E$6</f>
        <v>1379.875449326</v>
      </c>
      <c r="S15" s="32" t="n">
        <f aca="false">S7*((Supuestos!$E$29*Supuestos!$E$25+Supuestos!$E$30*Supuestos!$E$26+Supuestos!$E$31*Supuestos!$E$27+Supuestos!$E$32*Supuestos!$E$28)*Supuestos!$E$37)*(1-Supuestos!$E$38)/(1+Supuestos!$E$7*Supuestos!$E$8)/Supuestos!$E$6</f>
        <v>1390.9894703639</v>
      </c>
      <c r="T15" s="32" t="n">
        <f aca="false">T7*((Supuestos!$E$29*Supuestos!$E$25+Supuestos!$E$30*Supuestos!$E$26+Supuestos!$E$31*Supuestos!$E$27+Supuestos!$E$32*Supuestos!$E$28)*Supuestos!$E$37)*(1-Supuestos!$E$38)/(1+Supuestos!$E$7*Supuestos!$E$8)/Supuestos!$E$6</f>
        <v>1401.43665013952</v>
      </c>
      <c r="U15" s="32" t="n">
        <f aca="false">U7*((Supuestos!$E$29*Supuestos!$E$25+Supuestos!$E$30*Supuestos!$E$26+Supuestos!$E$31*Supuestos!$E$27+Supuestos!$E$32*Supuestos!$E$28)*Supuestos!$E$37)*(1-Supuestos!$E$38)/(1+Supuestos!$E$7*Supuestos!$E$8)/Supuestos!$E$6</f>
        <v>1411.25699912861</v>
      </c>
      <c r="V15" s="32" t="n">
        <f aca="false">V7*((Supuestos!$E$29*Supuestos!$E$25+Supuestos!$E$30*Supuestos!$E$26+Supuestos!$E$31*Supuestos!$E$27+Supuestos!$E$32*Supuestos!$E$28)*Supuestos!$E$37)*(1-Supuestos!$E$38)/(1+Supuestos!$E$7*Supuestos!$E$8)/Supuestos!$E$6</f>
        <v>1420.48812717835</v>
      </c>
      <c r="W15" s="32" t="n">
        <f aca="false">W7*((Supuestos!$E$29*Supuestos!$E$25+Supuestos!$E$30*Supuestos!$E$26+Supuestos!$E$31*Supuestos!$E$27+Supuestos!$E$32*Supuestos!$E$28)*Supuestos!$E$37)*(1-Supuestos!$E$38)/(1+Supuestos!$E$7*Supuestos!$E$8)/Supuestos!$E$6</f>
        <v>1429.16538754511</v>
      </c>
      <c r="X15" s="32" t="n">
        <f aca="false">X7*((Supuestos!$E$29*Supuestos!$E$25+Supuestos!$E$30*Supuestos!$E$26+Supuestos!$E$31*Supuestos!$E$27+Supuestos!$E$32*Supuestos!$E$28)*Supuestos!$E$37)*(1-Supuestos!$E$38)/(1+Supuestos!$E$7*Supuestos!$E$8)/Supuestos!$E$6</f>
        <v>1437.32201228986</v>
      </c>
      <c r="Y15" s="32" t="n">
        <f aca="false">Y7*((Supuestos!$E$29*Supuestos!$E$25+Supuestos!$E$30*Supuestos!$E$26+Supuestos!$E$31*Supuestos!$E$27+Supuestos!$E$32*Supuestos!$E$28)*Supuestos!$E$37)*(1-Supuestos!$E$38)/(1+Supuestos!$E$7*Supuestos!$E$8)/Supuestos!$E$6</f>
        <v>1444.98923954992</v>
      </c>
      <c r="Z15" s="32" t="n">
        <f aca="false">Z7*((Supuestos!$E$29*Supuestos!$E$25+Supuestos!$E$30*Supuestos!$E$26+Supuestos!$E$31*Supuestos!$E$27+Supuestos!$E$32*Supuestos!$E$28)*Supuestos!$E$37)*(1-Supuestos!$E$38)/(1+Supuestos!$E$7*Supuestos!$E$8)/Supuestos!$E$6</f>
        <v>1452.19643317438</v>
      </c>
      <c r="AA15" s="32" t="n">
        <f aca="false">AA7*((Supuestos!$E$29*Supuestos!$E$25+Supuestos!$E$30*Supuestos!$E$26+Supuestos!$E$31*Supuestos!$E$27+Supuestos!$E$32*Supuestos!$E$28)*Supuestos!$E$37)*(1-Supuestos!$E$38)/(1+Supuestos!$E$7*Supuestos!$E$8)/Supuestos!$E$6</f>
        <v>1458.97119518138</v>
      </c>
      <c r="AB15" s="32" t="n">
        <f aca="false">AB7*((Supuestos!$E$29*Supuestos!$E$25+Supuestos!$E$30*Supuestos!$E$26+Supuestos!$E$31*Supuestos!$E$27+Supuestos!$E$32*Supuestos!$E$28)*Supuestos!$E$37)*(1-Supuestos!$E$38)/(1+Supuestos!$E$7*Supuestos!$E$8)/Supuestos!$E$6</f>
        <v>1465.33947146795</v>
      </c>
      <c r="AC15" s="32" t="n">
        <f aca="false">AC7*((Supuestos!$E$29*Supuestos!$E$25+Supuestos!$E$30*Supuestos!$E$26+Supuestos!$E$31*Supuestos!$E$27+Supuestos!$E$32*Supuestos!$E$28)*Supuestos!$E$37)*(1-Supuestos!$E$38)/(1+Supuestos!$E$7*Supuestos!$E$8)/Supuestos!$E$6</f>
        <v>1471.32565117733</v>
      </c>
      <c r="AD15" s="32" t="n">
        <f aca="false">AD7*((Supuestos!$E$29*Supuestos!$E$25+Supuestos!$E$30*Supuestos!$E$26+Supuestos!$E$31*Supuestos!$E$27+Supuestos!$E$32*Supuestos!$E$28)*Supuestos!$E$37)*(1-Supuestos!$E$38)/(1+Supuestos!$E$7*Supuestos!$E$8)/Supuestos!$E$6</f>
        <v>1476.95266010415</v>
      </c>
      <c r="AE15" s="32" t="n">
        <f aca="false">AE7*((Supuestos!$E$29*Supuestos!$E$25+Supuestos!$E$30*Supuestos!$E$26+Supuestos!$E$31*Supuestos!$E$27+Supuestos!$E$32*Supuestos!$E$28)*Supuestos!$E$37)*(1-Supuestos!$E$38)/(1+Supuestos!$E$7*Supuestos!$E$8)/Supuestos!$E$6</f>
        <v>1482.24204849536</v>
      </c>
      <c r="AF15" s="32" t="n">
        <f aca="false">AF7*((Supuestos!$E$29*Supuestos!$E$25+Supuestos!$E$30*Supuestos!$E$26+Supuestos!$E$31*Supuestos!$E$27+Supuestos!$E$32*Supuestos!$E$28)*Supuestos!$E$37)*(1-Supuestos!$E$38)/(1+Supuestos!$E$7*Supuestos!$E$8)/Supuestos!$E$6</f>
        <v>1487.21407358309</v>
      </c>
      <c r="AG15" s="32" t="n">
        <f aca="false">AG7*((Supuestos!$E$29*Supuestos!$E$25+Supuestos!$E$30*Supuestos!$E$26+Supuestos!$E$31*Supuestos!$E$27+Supuestos!$E$32*Supuestos!$E$28)*Supuestos!$E$37)*(1-Supuestos!$E$38)/(1+Supuestos!$E$7*Supuestos!$E$8)/Supuestos!$E$6</f>
        <v>1491.88777716556</v>
      </c>
      <c r="AH15" s="32" t="n">
        <f aca="false">AH7*((Supuestos!$E$29*Supuestos!$E$25+Supuestos!$E$30*Supuestos!$E$26+Supuestos!$E$31*Supuestos!$E$27+Supuestos!$E$32*Supuestos!$E$28)*Supuestos!$E$37)*(1-Supuestos!$E$38)/(1+Supuestos!$E$7*Supuestos!$E$8)/Supuestos!$E$6</f>
        <v>1496.28105853309</v>
      </c>
      <c r="AI15" s="32" t="n">
        <f aca="false">AI7*((Supuestos!$E$29*Supuestos!$E$25+Supuestos!$E$30*Supuestos!$E$26+Supuestos!$E$31*Supuestos!$E$27+Supuestos!$E$32*Supuestos!$E$28)*Supuestos!$E$37)*(1-Supuestos!$E$38)/(1+Supuestos!$E$7*Supuestos!$E$8)/Supuestos!$E$6</f>
        <v>1500.41074301856</v>
      </c>
      <c r="AJ15" s="32" t="n">
        <f aca="false">AJ7*((Supuestos!$E$29*Supuestos!$E$25+Supuestos!$E$30*Supuestos!$E$26+Supuestos!$E$31*Supuestos!$E$27+Supuestos!$E$32*Supuestos!$E$28)*Supuestos!$E$37)*(1-Supuestos!$E$38)/(1+Supuestos!$E$7*Supuestos!$E$8)/Supuestos!$E$6</f>
        <v>1504.2926464349</v>
      </c>
      <c r="AK15" s="32" t="n">
        <f aca="false">AK7*((Supuestos!$E$29*Supuestos!$E$25+Supuestos!$E$30*Supuestos!$E$26+Supuestos!$E$31*Supuestos!$E$27+Supuestos!$E$32*Supuestos!$E$28)*Supuestos!$E$37)*(1-Supuestos!$E$38)/(1+Supuestos!$E$7*Supuestos!$E$8)/Supuestos!$E$6</f>
        <v>1507.94163564627</v>
      </c>
      <c r="AL15" s="32" t="n">
        <f aca="false">AL7*((Supuestos!$E$29*Supuestos!$E$25+Supuestos!$E$30*Supuestos!$E$26+Supuestos!$E$31*Supuestos!$E$27+Supuestos!$E$32*Supuestos!$E$28)*Supuestos!$E$37)*(1-Supuestos!$E$38)/(1+Supuestos!$E$7*Supuestos!$E$8)/Supuestos!$E$6</f>
        <v>1511.37168550495</v>
      </c>
      <c r="AM15" s="32" t="n">
        <f aca="false">AM7*((Supuestos!$E$29*Supuestos!$E$25+Supuestos!$E$30*Supuestos!$E$26+Supuestos!$E$31*Supuestos!$E$27+Supuestos!$E$32*Supuestos!$E$28)*Supuestos!$E$37)*(1-Supuestos!$E$38)/(1+Supuestos!$E$7*Supuestos!$E$8)/Supuestos!$E$6</f>
        <v>1514.59593237211</v>
      </c>
    </row>
    <row r="16" customFormat="false" ht="15" hidden="false" customHeight="false" outlineLevel="0" collapsed="false">
      <c r="B16" s="4" t="s">
        <v>487</v>
      </c>
      <c r="D16" s="32" t="n">
        <f aca="false">D9*Supuestos!$E$33*Supuestos!$E$37*(1-Supuestos!$E$38)/(1+Supuestos!$E$7*Supuestos!$E$8)/Supuestos!$E$6</f>
        <v>58.1373172282263</v>
      </c>
      <c r="E16" s="32" t="n">
        <f aca="false">E9*Supuestos!$E$33*Supuestos!$E$37*(1-Supuestos!$E$38)/(1+Supuestos!$E$7*Supuestos!$E$8)/Supuestos!$E$6</f>
        <v>113.949141767324</v>
      </c>
      <c r="F16" s="32" t="n">
        <f aca="false">F9*Supuestos!$E$33*Supuestos!$E$37*(1-Supuestos!$E$38)/(1+Supuestos!$E$7*Supuestos!$E$8)/Supuestos!$E$6</f>
        <v>167.528493324857</v>
      </c>
      <c r="G16" s="32" t="n">
        <f aca="false">G9*Supuestos!$E$33*Supuestos!$E$37*(1-Supuestos!$E$38)/(1+Supuestos!$E$7*Supuestos!$E$8)/Supuestos!$E$6</f>
        <v>218.964670820089</v>
      </c>
      <c r="H16" s="32" t="n">
        <f aca="false">H9*Supuestos!$E$33*Supuestos!$E$37*(1-Supuestos!$E$38)/(1+Supuestos!$E$7*Supuestos!$E$8)/Supuestos!$E$6</f>
        <v>268.343401215512</v>
      </c>
      <c r="I16" s="32" t="n">
        <f aca="false">I9*Supuestos!$E$33*Supuestos!$E$37*(1-Supuestos!$E$38)/(1+Supuestos!$E$7*Supuestos!$E$8)/Supuestos!$E$6</f>
        <v>315.746982395118</v>
      </c>
      <c r="J16" s="32" t="n">
        <f aca="false">J9*Supuestos!$E$33*Supuestos!$E$37*(1-Supuestos!$E$38)/(1+Supuestos!$E$7*Supuestos!$E$8)/Supuestos!$E$6</f>
        <v>348.823903369358</v>
      </c>
      <c r="K16" s="32" t="n">
        <f aca="false">K9*Supuestos!$E$33*Supuestos!$E$37*(1-Supuestos!$E$38)/(1+Supuestos!$E$7*Supuestos!$E$8)/Supuestos!$E$6</f>
        <v>348.823903369358</v>
      </c>
      <c r="L16" s="32" t="n">
        <f aca="false">L9*Supuestos!$E$33*Supuestos!$E$37*(1-Supuestos!$E$38)/(1+Supuestos!$E$7*Supuestos!$E$8)/Supuestos!$E$6</f>
        <v>348.823903369358</v>
      </c>
      <c r="M16" s="32" t="n">
        <f aca="false">M9*Supuestos!$E$33*Supuestos!$E$37*(1-Supuestos!$E$38)/(1+Supuestos!$E$7*Supuestos!$E$8)/Supuestos!$E$6</f>
        <v>348.823903369358</v>
      </c>
      <c r="N16" s="32" t="n">
        <f aca="false">N9*Supuestos!$E$33*Supuestos!$E$37*(1-Supuestos!$E$38)/(1+Supuestos!$E$7*Supuestos!$E$8)/Supuestos!$E$6</f>
        <v>348.823903369358</v>
      </c>
      <c r="O16" s="32" t="n">
        <f aca="false">O9*Supuestos!$E$33*Supuestos!$E$37*(1-Supuestos!$E$38)/(1+Supuestos!$E$7*Supuestos!$E$8)/Supuestos!$E$6</f>
        <v>348.823903369358</v>
      </c>
      <c r="P16" s="32" t="n">
        <f aca="false">P9*Supuestos!$E$33*Supuestos!$E$37*(1-Supuestos!$E$38)/(1+Supuestos!$E$7*Supuestos!$E$8)/Supuestos!$E$6</f>
        <v>348.823903369358</v>
      </c>
      <c r="Q16" s="32" t="n">
        <f aca="false">Q9*Supuestos!$E$33*Supuestos!$E$37*(1-Supuestos!$E$38)/(1+Supuestos!$E$7*Supuestos!$E$8)/Supuestos!$E$6</f>
        <v>348.823903369358</v>
      </c>
      <c r="R16" s="32" t="n">
        <f aca="false">R9*Supuestos!$E$33*Supuestos!$E$37*(1-Supuestos!$E$38)/(1+Supuestos!$E$7*Supuestos!$E$8)/Supuestos!$E$6</f>
        <v>348.823903369358</v>
      </c>
      <c r="S16" s="32" t="n">
        <f aca="false">S9*Supuestos!$E$33*Supuestos!$E$37*(1-Supuestos!$E$38)/(1+Supuestos!$E$7*Supuestos!$E$8)/Supuestos!$E$6</f>
        <v>348.823903369358</v>
      </c>
      <c r="T16" s="32" t="n">
        <f aca="false">T9*Supuestos!$E$33*Supuestos!$E$37*(1-Supuestos!$E$38)/(1+Supuestos!$E$7*Supuestos!$E$8)/Supuestos!$E$6</f>
        <v>348.823903369358</v>
      </c>
      <c r="U16" s="32" t="n">
        <f aca="false">U9*Supuestos!$E$33*Supuestos!$E$37*(1-Supuestos!$E$38)/(1+Supuestos!$E$7*Supuestos!$E$8)/Supuestos!$E$6</f>
        <v>348.823903369358</v>
      </c>
      <c r="V16" s="32" t="n">
        <f aca="false">V9*Supuestos!$E$33*Supuestos!$E$37*(1-Supuestos!$E$38)/(1+Supuestos!$E$7*Supuestos!$E$8)/Supuestos!$E$6</f>
        <v>348.823903369358</v>
      </c>
      <c r="W16" s="32" t="n">
        <f aca="false">W9*Supuestos!$E$33*Supuestos!$E$37*(1-Supuestos!$E$38)/(1+Supuestos!$E$7*Supuestos!$E$8)/Supuestos!$E$6</f>
        <v>348.823903369358</v>
      </c>
      <c r="X16" s="32" t="n">
        <f aca="false">X9*Supuestos!$E$33*Supuestos!$E$37*(1-Supuestos!$E$38)/(1+Supuestos!$E$7*Supuestos!$E$8)/Supuestos!$E$6</f>
        <v>348.823903369358</v>
      </c>
      <c r="Y16" s="32" t="n">
        <f aca="false">Y9*Supuestos!$E$33*Supuestos!$E$37*(1-Supuestos!$E$38)/(1+Supuestos!$E$7*Supuestos!$E$8)/Supuestos!$E$6</f>
        <v>348.823903369358</v>
      </c>
      <c r="Z16" s="32" t="n">
        <f aca="false">Z9*Supuestos!$E$33*Supuestos!$E$37*(1-Supuestos!$E$38)/(1+Supuestos!$E$7*Supuestos!$E$8)/Supuestos!$E$6</f>
        <v>348.823903369358</v>
      </c>
      <c r="AA16" s="32" t="n">
        <f aca="false">AA9*Supuestos!$E$33*Supuestos!$E$37*(1-Supuestos!$E$38)/(1+Supuestos!$E$7*Supuestos!$E$8)/Supuestos!$E$6</f>
        <v>348.823903369358</v>
      </c>
      <c r="AB16" s="32" t="n">
        <f aca="false">AB9*Supuestos!$E$33*Supuestos!$E$37*(1-Supuestos!$E$38)/(1+Supuestos!$E$7*Supuestos!$E$8)/Supuestos!$E$6</f>
        <v>348.823903369358</v>
      </c>
      <c r="AC16" s="32" t="n">
        <f aca="false">AC9*Supuestos!$E$33*Supuestos!$E$37*(1-Supuestos!$E$38)/(1+Supuestos!$E$7*Supuestos!$E$8)/Supuestos!$E$6</f>
        <v>348.823903369358</v>
      </c>
      <c r="AD16" s="32" t="n">
        <f aca="false">AD9*Supuestos!$E$33*Supuestos!$E$37*(1-Supuestos!$E$38)/(1+Supuestos!$E$7*Supuestos!$E$8)/Supuestos!$E$6</f>
        <v>348.823903369358</v>
      </c>
      <c r="AE16" s="32" t="n">
        <f aca="false">AE9*Supuestos!$E$33*Supuestos!$E$37*(1-Supuestos!$E$38)/(1+Supuestos!$E$7*Supuestos!$E$8)/Supuestos!$E$6</f>
        <v>348.823903369358</v>
      </c>
      <c r="AF16" s="32" t="n">
        <f aca="false">AF9*Supuestos!$E$33*Supuestos!$E$37*(1-Supuestos!$E$38)/(1+Supuestos!$E$7*Supuestos!$E$8)/Supuestos!$E$6</f>
        <v>348.823903369358</v>
      </c>
      <c r="AG16" s="32" t="n">
        <f aca="false">AG9*Supuestos!$E$33*Supuestos!$E$37*(1-Supuestos!$E$38)/(1+Supuestos!$E$7*Supuestos!$E$8)/Supuestos!$E$6</f>
        <v>348.823903369358</v>
      </c>
      <c r="AH16" s="32" t="n">
        <f aca="false">AH9*Supuestos!$E$33*Supuestos!$E$37*(1-Supuestos!$E$38)/(1+Supuestos!$E$7*Supuestos!$E$8)/Supuestos!$E$6</f>
        <v>348.823903369358</v>
      </c>
      <c r="AI16" s="32" t="n">
        <f aca="false">AI9*Supuestos!$E$33*Supuestos!$E$37*(1-Supuestos!$E$38)/(1+Supuestos!$E$7*Supuestos!$E$8)/Supuestos!$E$6</f>
        <v>348.823903369358</v>
      </c>
      <c r="AJ16" s="32" t="n">
        <f aca="false">AJ9*Supuestos!$E$33*Supuestos!$E$37*(1-Supuestos!$E$38)/(1+Supuestos!$E$7*Supuestos!$E$8)/Supuestos!$E$6</f>
        <v>348.823903369358</v>
      </c>
      <c r="AK16" s="32" t="n">
        <f aca="false">AK9*Supuestos!$E$33*Supuestos!$E$37*(1-Supuestos!$E$38)/(1+Supuestos!$E$7*Supuestos!$E$8)/Supuestos!$E$6</f>
        <v>348.823903369358</v>
      </c>
      <c r="AL16" s="32" t="n">
        <f aca="false">AL9*Supuestos!$E$33*Supuestos!$E$37*(1-Supuestos!$E$38)/(1+Supuestos!$E$7*Supuestos!$E$8)/Supuestos!$E$6</f>
        <v>348.823903369358</v>
      </c>
      <c r="AM16" s="32" t="n">
        <f aca="false">AM9*Supuestos!$E$33*Supuestos!$E$37*(1-Supuestos!$E$38)/(1+Supuestos!$E$7*Supuestos!$E$8)/Supuestos!$E$6</f>
        <v>348.823903369358</v>
      </c>
    </row>
    <row r="17" customFormat="false" ht="15" hidden="false" customHeight="false" outlineLevel="0" collapsed="false">
      <c r="B17" s="4" t="s">
        <v>488</v>
      </c>
      <c r="D17" s="32" t="n">
        <f aca="false">D10*Supuestos!$E$34*Supuestos!$E$37*(1-Supuestos!$E$38)/(1+Supuestos!$E$7*Supuestos!$E$8)/Supuestos!$E$6</f>
        <v>78.8302606484425</v>
      </c>
      <c r="E17" s="32" t="n">
        <f aca="false">E10*Supuestos!$E$34*Supuestos!$E$37*(1-Supuestos!$E$38)/(1+Supuestos!$E$7*Supuestos!$E$8)/Supuestos!$E$6</f>
        <v>157.660521296885</v>
      </c>
      <c r="F17" s="32" t="n">
        <f aca="false">F10*Supuestos!$E$34*Supuestos!$E$37*(1-Supuestos!$E$38)/(1+Supuestos!$E$7*Supuestos!$E$8)/Supuestos!$E$6</f>
        <v>236.490781945327</v>
      </c>
      <c r="G17" s="32" t="n">
        <f aca="false">G10*Supuestos!$E$34*Supuestos!$E$37*(1-Supuestos!$E$38)/(1+Supuestos!$E$7*Supuestos!$E$8)/Supuestos!$E$6</f>
        <v>315.32104259377</v>
      </c>
      <c r="H17" s="32" t="n">
        <f aca="false">H10*Supuestos!$E$34*Supuestos!$E$37*(1-Supuestos!$E$38)/(1+Supuestos!$E$7*Supuestos!$E$8)/Supuestos!$E$6</f>
        <v>394.151303242212</v>
      </c>
      <c r="I17" s="32" t="n">
        <f aca="false">I10*Supuestos!$E$34*Supuestos!$E$37*(1-Supuestos!$E$38)/(1+Supuestos!$E$7*Supuestos!$E$8)/Supuestos!$E$6</f>
        <v>472.981563890655</v>
      </c>
      <c r="J17" s="32" t="n">
        <f aca="false">J10*Supuestos!$E$34*Supuestos!$E$37*(1-Supuestos!$E$38)/(1+Supuestos!$E$7*Supuestos!$E$8)/Supuestos!$E$6</f>
        <v>472.981563890655</v>
      </c>
      <c r="K17" s="32" t="n">
        <f aca="false">K10*Supuestos!$E$34*Supuestos!$E$37*(1-Supuestos!$E$38)/(1+Supuestos!$E$7*Supuestos!$E$8)/Supuestos!$E$6</f>
        <v>472.981563890655</v>
      </c>
      <c r="L17" s="32" t="n">
        <f aca="false">L10*Supuestos!$E$34*Supuestos!$E$37*(1-Supuestos!$E$38)/(1+Supuestos!$E$7*Supuestos!$E$8)/Supuestos!$E$6</f>
        <v>472.981563890655</v>
      </c>
      <c r="M17" s="32" t="n">
        <f aca="false">M10*Supuestos!$E$34*Supuestos!$E$37*(1-Supuestos!$E$38)/(1+Supuestos!$E$7*Supuestos!$E$8)/Supuestos!$E$6</f>
        <v>472.981563890655</v>
      </c>
      <c r="N17" s="32" t="n">
        <f aca="false">N10*Supuestos!$E$34*Supuestos!$E$37*(1-Supuestos!$E$38)/(1+Supuestos!$E$7*Supuestos!$E$8)/Supuestos!$E$6</f>
        <v>472.981563890655</v>
      </c>
      <c r="O17" s="32" t="n">
        <f aca="false">O10*Supuestos!$E$34*Supuestos!$E$37*(1-Supuestos!$E$38)/(1+Supuestos!$E$7*Supuestos!$E$8)/Supuestos!$E$6</f>
        <v>472.981563890655</v>
      </c>
      <c r="P17" s="32" t="n">
        <f aca="false">P10*Supuestos!$E$34*Supuestos!$E$37*(1-Supuestos!$E$38)/(1+Supuestos!$E$7*Supuestos!$E$8)/Supuestos!$E$6</f>
        <v>472.981563890655</v>
      </c>
      <c r="Q17" s="32" t="n">
        <f aca="false">Q10*Supuestos!$E$34*Supuestos!$E$37*(1-Supuestos!$E$38)/(1+Supuestos!$E$7*Supuestos!$E$8)/Supuestos!$E$6</f>
        <v>472.981563890655</v>
      </c>
      <c r="R17" s="32" t="n">
        <f aca="false">R10*Supuestos!$E$34*Supuestos!$E$37*(1-Supuestos!$E$38)/(1+Supuestos!$E$7*Supuestos!$E$8)/Supuestos!$E$6</f>
        <v>472.981563890655</v>
      </c>
      <c r="S17" s="32" t="n">
        <f aca="false">S10*Supuestos!$E$34*Supuestos!$E$37*(1-Supuestos!$E$38)/(1+Supuestos!$E$7*Supuestos!$E$8)/Supuestos!$E$6</f>
        <v>472.981563890655</v>
      </c>
      <c r="T17" s="32" t="n">
        <f aca="false">T10*Supuestos!$E$34*Supuestos!$E$37*(1-Supuestos!$E$38)/(1+Supuestos!$E$7*Supuestos!$E$8)/Supuestos!$E$6</f>
        <v>472.981563890655</v>
      </c>
      <c r="U17" s="32" t="n">
        <f aca="false">U10*Supuestos!$E$34*Supuestos!$E$37*(1-Supuestos!$E$38)/(1+Supuestos!$E$7*Supuestos!$E$8)/Supuestos!$E$6</f>
        <v>472.981563890655</v>
      </c>
      <c r="V17" s="32" t="n">
        <f aca="false">V10*Supuestos!$E$34*Supuestos!$E$37*(1-Supuestos!$E$38)/(1+Supuestos!$E$7*Supuestos!$E$8)/Supuestos!$E$6</f>
        <v>472.981563890655</v>
      </c>
      <c r="W17" s="32" t="n">
        <f aca="false">W10*Supuestos!$E$34*Supuestos!$E$37*(1-Supuestos!$E$38)/(1+Supuestos!$E$7*Supuestos!$E$8)/Supuestos!$E$6</f>
        <v>472.981563890655</v>
      </c>
      <c r="X17" s="32" t="n">
        <f aca="false">X10*Supuestos!$E$34*Supuestos!$E$37*(1-Supuestos!$E$38)/(1+Supuestos!$E$7*Supuestos!$E$8)/Supuestos!$E$6</f>
        <v>472.981563890655</v>
      </c>
      <c r="Y17" s="32" t="n">
        <f aca="false">Y10*Supuestos!$E$34*Supuestos!$E$37*(1-Supuestos!$E$38)/(1+Supuestos!$E$7*Supuestos!$E$8)/Supuestos!$E$6</f>
        <v>472.981563890655</v>
      </c>
      <c r="Z17" s="32" t="n">
        <f aca="false">Z10*Supuestos!$E$34*Supuestos!$E$37*(1-Supuestos!$E$38)/(1+Supuestos!$E$7*Supuestos!$E$8)/Supuestos!$E$6</f>
        <v>472.981563890655</v>
      </c>
      <c r="AA17" s="32" t="n">
        <f aca="false">AA10*Supuestos!$E$34*Supuestos!$E$37*(1-Supuestos!$E$38)/(1+Supuestos!$E$7*Supuestos!$E$8)/Supuestos!$E$6</f>
        <v>472.981563890655</v>
      </c>
      <c r="AB17" s="32" t="n">
        <f aca="false">AB10*Supuestos!$E$34*Supuestos!$E$37*(1-Supuestos!$E$38)/(1+Supuestos!$E$7*Supuestos!$E$8)/Supuestos!$E$6</f>
        <v>472.981563890655</v>
      </c>
      <c r="AC17" s="32" t="n">
        <f aca="false">AC10*Supuestos!$E$34*Supuestos!$E$37*(1-Supuestos!$E$38)/(1+Supuestos!$E$7*Supuestos!$E$8)/Supuestos!$E$6</f>
        <v>472.981563890655</v>
      </c>
      <c r="AD17" s="32" t="n">
        <f aca="false">AD10*Supuestos!$E$34*Supuestos!$E$37*(1-Supuestos!$E$38)/(1+Supuestos!$E$7*Supuestos!$E$8)/Supuestos!$E$6</f>
        <v>472.981563890655</v>
      </c>
      <c r="AE17" s="32" t="n">
        <f aca="false">AE10*Supuestos!$E$34*Supuestos!$E$37*(1-Supuestos!$E$38)/(1+Supuestos!$E$7*Supuestos!$E$8)/Supuestos!$E$6</f>
        <v>472.981563890655</v>
      </c>
      <c r="AF17" s="32" t="n">
        <f aca="false">AF10*Supuestos!$E$34*Supuestos!$E$37*(1-Supuestos!$E$38)/(1+Supuestos!$E$7*Supuestos!$E$8)/Supuestos!$E$6</f>
        <v>472.981563890655</v>
      </c>
      <c r="AG17" s="32" t="n">
        <f aca="false">AG10*Supuestos!$E$34*Supuestos!$E$37*(1-Supuestos!$E$38)/(1+Supuestos!$E$7*Supuestos!$E$8)/Supuestos!$E$6</f>
        <v>472.981563890655</v>
      </c>
      <c r="AH17" s="32" t="n">
        <f aca="false">AH10*Supuestos!$E$34*Supuestos!$E$37*(1-Supuestos!$E$38)/(1+Supuestos!$E$7*Supuestos!$E$8)/Supuestos!$E$6</f>
        <v>472.981563890655</v>
      </c>
      <c r="AI17" s="32" t="n">
        <f aca="false">AI10*Supuestos!$E$34*Supuestos!$E$37*(1-Supuestos!$E$38)/(1+Supuestos!$E$7*Supuestos!$E$8)/Supuestos!$E$6</f>
        <v>472.981563890655</v>
      </c>
      <c r="AJ17" s="32" t="n">
        <f aca="false">AJ10*Supuestos!$E$34*Supuestos!$E$37*(1-Supuestos!$E$38)/(1+Supuestos!$E$7*Supuestos!$E$8)/Supuestos!$E$6</f>
        <v>472.981563890655</v>
      </c>
      <c r="AK17" s="32" t="n">
        <f aca="false">AK10*Supuestos!$E$34*Supuestos!$E$37*(1-Supuestos!$E$38)/(1+Supuestos!$E$7*Supuestos!$E$8)/Supuestos!$E$6</f>
        <v>472.981563890655</v>
      </c>
      <c r="AL17" s="32" t="n">
        <f aca="false">AL10*Supuestos!$E$34*Supuestos!$E$37*(1-Supuestos!$E$38)/(1+Supuestos!$E$7*Supuestos!$E$8)/Supuestos!$E$6</f>
        <v>472.981563890655</v>
      </c>
      <c r="AM17" s="32" t="n">
        <f aca="false">AM10*Supuestos!$E$34*Supuestos!$E$37*(1-Supuestos!$E$38)/(1+Supuestos!$E$7*Supuestos!$E$8)/Supuestos!$E$6</f>
        <v>472.981563890655</v>
      </c>
    </row>
    <row r="18" customFormat="false" ht="15" hidden="false" customHeight="false" outlineLevel="0" collapsed="false">
      <c r="B18" s="4" t="s">
        <v>489</v>
      </c>
      <c r="D18" s="32" t="n">
        <f aca="false">Supuestos!$E$39*MIN(1,D$3/Supuestos!$E$42)*Supuestos!$E$35*Supuestos!$E$37/(1+Supuestos!$E$7*Supuestos!$E$8)/Supuestos!$E$6</f>
        <v>21.220362129453</v>
      </c>
      <c r="E18" s="32" t="n">
        <f aca="false">Supuestos!$E$39*MIN(1,E$3/Supuestos!$E$42)*Supuestos!$E$35*Supuestos!$E$37/(1+Supuestos!$E$7*Supuestos!$E$8)/Supuestos!$E$6</f>
        <v>42.4407242589061</v>
      </c>
      <c r="F18" s="32" t="n">
        <f aca="false">Supuestos!$E$39*MIN(1,F$3/Supuestos!$E$42)*Supuestos!$E$35*Supuestos!$E$37/(1+Supuestos!$E$7*Supuestos!$E$8)/Supuestos!$E$6</f>
        <v>63.6610863883591</v>
      </c>
      <c r="G18" s="32" t="n">
        <f aca="false">Supuestos!$E$39*MIN(1,G$3/Supuestos!$E$42)*Supuestos!$E$35*Supuestos!$E$37/(1+Supuestos!$E$7*Supuestos!$E$8)/Supuestos!$E$6</f>
        <v>84.8814485178122</v>
      </c>
      <c r="H18" s="32" t="n">
        <f aca="false">Supuestos!$E$39*MIN(1,H$3/Supuestos!$E$42)*Supuestos!$E$35*Supuestos!$E$37/(1+Supuestos!$E$7*Supuestos!$E$8)/Supuestos!$E$6</f>
        <v>106.101810647265</v>
      </c>
      <c r="I18" s="32" t="n">
        <f aca="false">Supuestos!$E$39*MIN(1,I$3/Supuestos!$E$42)*Supuestos!$E$35*Supuestos!$E$37/(1+Supuestos!$E$7*Supuestos!$E$8)/Supuestos!$E$6</f>
        <v>127.322172776718</v>
      </c>
      <c r="J18" s="32" t="n">
        <f aca="false">Supuestos!$E$39*MIN(1,J$3/Supuestos!$E$42)*Supuestos!$E$35*Supuestos!$E$37/(1+Supuestos!$E$7*Supuestos!$E$8)/Supuestos!$E$6</f>
        <v>148.542534906171</v>
      </c>
      <c r="K18" s="32" t="n">
        <f aca="false">Supuestos!$E$39*MIN(1,K$3/Supuestos!$E$42)*Supuestos!$E$35*Supuestos!$E$37/(1+Supuestos!$E$7*Supuestos!$E$8)/Supuestos!$E$6</f>
        <v>169.762897035624</v>
      </c>
      <c r="L18" s="32" t="n">
        <f aca="false">Supuestos!$E$39*MIN(1,L$3/Supuestos!$E$42)*Supuestos!$E$35*Supuestos!$E$37/(1+Supuestos!$E$7*Supuestos!$E$8)/Supuestos!$E$6</f>
        <v>190.983259165077</v>
      </c>
      <c r="M18" s="32" t="n">
        <f aca="false">Supuestos!$E$39*MIN(1,M$3/Supuestos!$E$42)*Supuestos!$E$35*Supuestos!$E$37/(1+Supuestos!$E$7*Supuestos!$E$8)/Supuestos!$E$6</f>
        <v>190.983259165077</v>
      </c>
      <c r="N18" s="32" t="n">
        <f aca="false">Supuestos!$E$39*MIN(1,N$3/Supuestos!$E$42)*Supuestos!$E$35*Supuestos!$E$37/(1+Supuestos!$E$7*Supuestos!$E$8)/Supuestos!$E$6</f>
        <v>190.983259165077</v>
      </c>
      <c r="O18" s="32" t="n">
        <f aca="false">Supuestos!$E$39*MIN(1,O$3/Supuestos!$E$42)*Supuestos!$E$35*Supuestos!$E$37/(1+Supuestos!$E$7*Supuestos!$E$8)/Supuestos!$E$6</f>
        <v>190.983259165077</v>
      </c>
      <c r="P18" s="32" t="n">
        <f aca="false">Supuestos!$E$39*MIN(1,P$3/Supuestos!$E$42)*Supuestos!$E$35*Supuestos!$E$37/(1+Supuestos!$E$7*Supuestos!$E$8)/Supuestos!$E$6</f>
        <v>190.983259165077</v>
      </c>
      <c r="Q18" s="32" t="n">
        <f aca="false">Supuestos!$E$39*MIN(1,Q$3/Supuestos!$E$42)*Supuestos!$E$35*Supuestos!$E$37/(1+Supuestos!$E$7*Supuestos!$E$8)/Supuestos!$E$6</f>
        <v>190.983259165077</v>
      </c>
      <c r="R18" s="32" t="n">
        <f aca="false">Supuestos!$E$39*MIN(1,R$3/Supuestos!$E$42)*Supuestos!$E$35*Supuestos!$E$37/(1+Supuestos!$E$7*Supuestos!$E$8)/Supuestos!$E$6</f>
        <v>190.983259165077</v>
      </c>
      <c r="S18" s="32" t="n">
        <f aca="false">Supuestos!$E$39*MIN(1,S$3/Supuestos!$E$42)*Supuestos!$E$35*Supuestos!$E$37/(1+Supuestos!$E$7*Supuestos!$E$8)/Supuestos!$E$6</f>
        <v>190.983259165077</v>
      </c>
      <c r="T18" s="32" t="n">
        <f aca="false">Supuestos!$E$39*MIN(1,T$3/Supuestos!$E$42)*Supuestos!$E$35*Supuestos!$E$37/(1+Supuestos!$E$7*Supuestos!$E$8)/Supuestos!$E$6</f>
        <v>190.983259165077</v>
      </c>
      <c r="U18" s="32" t="n">
        <f aca="false">Supuestos!$E$39*MIN(1,U$3/Supuestos!$E$42)*Supuestos!$E$35*Supuestos!$E$37/(1+Supuestos!$E$7*Supuestos!$E$8)/Supuestos!$E$6</f>
        <v>190.983259165077</v>
      </c>
      <c r="V18" s="32" t="n">
        <f aca="false">Supuestos!$E$39*MIN(1,V$3/Supuestos!$E$42)*Supuestos!$E$35*Supuestos!$E$37/(1+Supuestos!$E$7*Supuestos!$E$8)/Supuestos!$E$6</f>
        <v>190.983259165077</v>
      </c>
      <c r="W18" s="32" t="n">
        <f aca="false">Supuestos!$E$39*MIN(1,W$3/Supuestos!$E$42)*Supuestos!$E$35*Supuestos!$E$37/(1+Supuestos!$E$7*Supuestos!$E$8)/Supuestos!$E$6</f>
        <v>190.983259165077</v>
      </c>
      <c r="X18" s="32" t="n">
        <f aca="false">Supuestos!$E$39*MIN(1,X$3/Supuestos!$E$42)*Supuestos!$E$35*Supuestos!$E$37/(1+Supuestos!$E$7*Supuestos!$E$8)/Supuestos!$E$6</f>
        <v>190.983259165077</v>
      </c>
      <c r="Y18" s="32" t="n">
        <f aca="false">Supuestos!$E$39*MIN(1,Y$3/Supuestos!$E$42)*Supuestos!$E$35*Supuestos!$E$37/(1+Supuestos!$E$7*Supuestos!$E$8)/Supuestos!$E$6</f>
        <v>190.983259165077</v>
      </c>
      <c r="Z18" s="32" t="n">
        <f aca="false">Supuestos!$E$39*MIN(1,Z$3/Supuestos!$E$42)*Supuestos!$E$35*Supuestos!$E$37/(1+Supuestos!$E$7*Supuestos!$E$8)/Supuestos!$E$6</f>
        <v>190.983259165077</v>
      </c>
      <c r="AA18" s="32" t="n">
        <f aca="false">Supuestos!$E$39*MIN(1,AA$3/Supuestos!$E$42)*Supuestos!$E$35*Supuestos!$E$37/(1+Supuestos!$E$7*Supuestos!$E$8)/Supuestos!$E$6</f>
        <v>190.983259165077</v>
      </c>
      <c r="AB18" s="32" t="n">
        <f aca="false">Supuestos!$E$39*MIN(1,AB$3/Supuestos!$E$42)*Supuestos!$E$35*Supuestos!$E$37/(1+Supuestos!$E$7*Supuestos!$E$8)/Supuestos!$E$6</f>
        <v>190.983259165077</v>
      </c>
      <c r="AC18" s="32" t="n">
        <f aca="false">Supuestos!$E$39*MIN(1,AC$3/Supuestos!$E$42)*Supuestos!$E$35*Supuestos!$E$37/(1+Supuestos!$E$7*Supuestos!$E$8)/Supuestos!$E$6</f>
        <v>190.983259165077</v>
      </c>
      <c r="AD18" s="32" t="n">
        <f aca="false">Supuestos!$E$39*MIN(1,AD$3/Supuestos!$E$42)*Supuestos!$E$35*Supuestos!$E$37/(1+Supuestos!$E$7*Supuestos!$E$8)/Supuestos!$E$6</f>
        <v>190.983259165077</v>
      </c>
      <c r="AE18" s="32" t="n">
        <f aca="false">Supuestos!$E$39*MIN(1,AE$3/Supuestos!$E$42)*Supuestos!$E$35*Supuestos!$E$37/(1+Supuestos!$E$7*Supuestos!$E$8)/Supuestos!$E$6</f>
        <v>190.983259165077</v>
      </c>
      <c r="AF18" s="32" t="n">
        <f aca="false">Supuestos!$E$39*MIN(1,AF$3/Supuestos!$E$42)*Supuestos!$E$35*Supuestos!$E$37/(1+Supuestos!$E$7*Supuestos!$E$8)/Supuestos!$E$6</f>
        <v>190.983259165077</v>
      </c>
      <c r="AG18" s="32" t="n">
        <f aca="false">Supuestos!$E$39*MIN(1,AG$3/Supuestos!$E$42)*Supuestos!$E$35*Supuestos!$E$37/(1+Supuestos!$E$7*Supuestos!$E$8)/Supuestos!$E$6</f>
        <v>190.983259165077</v>
      </c>
      <c r="AH18" s="32" t="n">
        <f aca="false">Supuestos!$E$39*MIN(1,AH$3/Supuestos!$E$42)*Supuestos!$E$35*Supuestos!$E$37/(1+Supuestos!$E$7*Supuestos!$E$8)/Supuestos!$E$6</f>
        <v>190.983259165077</v>
      </c>
      <c r="AI18" s="32" t="n">
        <f aca="false">Supuestos!$E$39*MIN(1,AI$3/Supuestos!$E$42)*Supuestos!$E$35*Supuestos!$E$37/(1+Supuestos!$E$7*Supuestos!$E$8)/Supuestos!$E$6</f>
        <v>190.983259165077</v>
      </c>
      <c r="AJ18" s="32" t="n">
        <f aca="false">Supuestos!$E$39*MIN(1,AJ$3/Supuestos!$E$42)*Supuestos!$E$35*Supuestos!$E$37/(1+Supuestos!$E$7*Supuestos!$E$8)/Supuestos!$E$6</f>
        <v>190.983259165077</v>
      </c>
      <c r="AK18" s="32" t="n">
        <f aca="false">Supuestos!$E$39*MIN(1,AK$3/Supuestos!$E$42)*Supuestos!$E$35*Supuestos!$E$37/(1+Supuestos!$E$7*Supuestos!$E$8)/Supuestos!$E$6</f>
        <v>190.983259165077</v>
      </c>
      <c r="AL18" s="32" t="n">
        <f aca="false">Supuestos!$E$39*MIN(1,AL$3/Supuestos!$E$42)*Supuestos!$E$35*Supuestos!$E$37/(1+Supuestos!$E$7*Supuestos!$E$8)/Supuestos!$E$6</f>
        <v>190.983259165077</v>
      </c>
      <c r="AM18" s="32" t="n">
        <f aca="false">Supuestos!$E$39*MIN(1,AM$3/Supuestos!$E$42)*Supuestos!$E$35*Supuestos!$E$37/(1+Supuestos!$E$7*Supuestos!$E$8)/Supuestos!$E$6</f>
        <v>190.983259165077</v>
      </c>
    </row>
    <row r="19" customFormat="false" ht="15" hidden="false" customHeight="false" outlineLevel="0" collapsed="false">
      <c r="B19" s="4" t="s">
        <v>490</v>
      </c>
      <c r="D19" s="32" t="n">
        <f aca="false">Supuestos!$E$40*MIN(1,D$3/Supuestos!$E$42)*Supuestos!$E$36*Supuestos!$E$37/(1+Supuestos!$E$7*Supuestos!$E$8)/Supuestos!$E$6</f>
        <v>15.3045607591062</v>
      </c>
      <c r="E19" s="32" t="n">
        <f aca="false">Supuestos!$E$40*MIN(1,E$3/Supuestos!$E$42)*Supuestos!$E$36*Supuestos!$E$37/(1+Supuestos!$E$7*Supuestos!$E$8)/Supuestos!$E$6</f>
        <v>30.6091215182124</v>
      </c>
      <c r="F19" s="32" t="n">
        <f aca="false">Supuestos!$E$40*MIN(1,F$3/Supuestos!$E$42)*Supuestos!$E$36*Supuestos!$E$37/(1+Supuestos!$E$7*Supuestos!$E$8)/Supuestos!$E$6</f>
        <v>45.9136822773186</v>
      </c>
      <c r="G19" s="32" t="n">
        <f aca="false">Supuestos!$E$40*MIN(1,G$3/Supuestos!$E$42)*Supuestos!$E$36*Supuestos!$E$37/(1+Supuestos!$E$7*Supuestos!$E$8)/Supuestos!$E$6</f>
        <v>61.2182430364249</v>
      </c>
      <c r="H19" s="32" t="n">
        <f aca="false">Supuestos!$E$40*MIN(1,H$3/Supuestos!$E$42)*Supuestos!$E$36*Supuestos!$E$37/(1+Supuestos!$E$7*Supuestos!$E$8)/Supuestos!$E$6</f>
        <v>76.5228037955311</v>
      </c>
      <c r="I19" s="32" t="n">
        <f aca="false">Supuestos!$E$40*MIN(1,I$3/Supuestos!$E$42)*Supuestos!$E$36*Supuestos!$E$37/(1+Supuestos!$E$7*Supuestos!$E$8)/Supuestos!$E$6</f>
        <v>91.8273645546373</v>
      </c>
      <c r="J19" s="32" t="n">
        <f aca="false">Supuestos!$E$40*MIN(1,J$3/Supuestos!$E$42)*Supuestos!$E$36*Supuestos!$E$37/(1+Supuestos!$E$7*Supuestos!$E$8)/Supuestos!$E$6</f>
        <v>107.131925313744</v>
      </c>
      <c r="K19" s="32" t="n">
        <f aca="false">Supuestos!$E$40*MIN(1,K$3/Supuestos!$E$42)*Supuestos!$E$36*Supuestos!$E$37/(1+Supuestos!$E$7*Supuestos!$E$8)/Supuestos!$E$6</f>
        <v>122.43648607285</v>
      </c>
      <c r="L19" s="32" t="n">
        <f aca="false">Supuestos!$E$40*MIN(1,L$3/Supuestos!$E$42)*Supuestos!$E$36*Supuestos!$E$37/(1+Supuestos!$E$7*Supuestos!$E$8)/Supuestos!$E$6</f>
        <v>137.741046831956</v>
      </c>
      <c r="M19" s="32" t="n">
        <f aca="false">Supuestos!$E$40*MIN(1,M$3/Supuestos!$E$42)*Supuestos!$E$36*Supuestos!$E$37/(1+Supuestos!$E$7*Supuestos!$E$8)/Supuestos!$E$6</f>
        <v>137.741046831956</v>
      </c>
      <c r="N19" s="32" t="n">
        <f aca="false">Supuestos!$E$40*MIN(1,N$3/Supuestos!$E$42)*Supuestos!$E$36*Supuestos!$E$37/(1+Supuestos!$E$7*Supuestos!$E$8)/Supuestos!$E$6</f>
        <v>137.741046831956</v>
      </c>
      <c r="O19" s="32" t="n">
        <f aca="false">Supuestos!$E$40*MIN(1,O$3/Supuestos!$E$42)*Supuestos!$E$36*Supuestos!$E$37/(1+Supuestos!$E$7*Supuestos!$E$8)/Supuestos!$E$6</f>
        <v>137.741046831956</v>
      </c>
      <c r="P19" s="32" t="n">
        <f aca="false">Supuestos!$E$40*MIN(1,P$3/Supuestos!$E$42)*Supuestos!$E$36*Supuestos!$E$37/(1+Supuestos!$E$7*Supuestos!$E$8)/Supuestos!$E$6</f>
        <v>137.741046831956</v>
      </c>
      <c r="Q19" s="32" t="n">
        <f aca="false">Supuestos!$E$40*MIN(1,Q$3/Supuestos!$E$42)*Supuestos!$E$36*Supuestos!$E$37/(1+Supuestos!$E$7*Supuestos!$E$8)/Supuestos!$E$6</f>
        <v>137.741046831956</v>
      </c>
      <c r="R19" s="32" t="n">
        <f aca="false">Supuestos!$E$40*MIN(1,R$3/Supuestos!$E$42)*Supuestos!$E$36*Supuestos!$E$37/(1+Supuestos!$E$7*Supuestos!$E$8)/Supuestos!$E$6</f>
        <v>137.741046831956</v>
      </c>
      <c r="S19" s="32" t="n">
        <f aca="false">Supuestos!$E$40*MIN(1,S$3/Supuestos!$E$42)*Supuestos!$E$36*Supuestos!$E$37/(1+Supuestos!$E$7*Supuestos!$E$8)/Supuestos!$E$6</f>
        <v>137.741046831956</v>
      </c>
      <c r="T19" s="32" t="n">
        <f aca="false">Supuestos!$E$40*MIN(1,T$3/Supuestos!$E$42)*Supuestos!$E$36*Supuestos!$E$37/(1+Supuestos!$E$7*Supuestos!$E$8)/Supuestos!$E$6</f>
        <v>137.741046831956</v>
      </c>
      <c r="U19" s="32" t="n">
        <f aca="false">Supuestos!$E$40*MIN(1,U$3/Supuestos!$E$42)*Supuestos!$E$36*Supuestos!$E$37/(1+Supuestos!$E$7*Supuestos!$E$8)/Supuestos!$E$6</f>
        <v>137.741046831956</v>
      </c>
      <c r="V19" s="32" t="n">
        <f aca="false">Supuestos!$E$40*MIN(1,V$3/Supuestos!$E$42)*Supuestos!$E$36*Supuestos!$E$37/(1+Supuestos!$E$7*Supuestos!$E$8)/Supuestos!$E$6</f>
        <v>137.741046831956</v>
      </c>
      <c r="W19" s="32" t="n">
        <f aca="false">Supuestos!$E$40*MIN(1,W$3/Supuestos!$E$42)*Supuestos!$E$36*Supuestos!$E$37/(1+Supuestos!$E$7*Supuestos!$E$8)/Supuestos!$E$6</f>
        <v>137.741046831956</v>
      </c>
      <c r="X19" s="32" t="n">
        <f aca="false">Supuestos!$E$40*MIN(1,X$3/Supuestos!$E$42)*Supuestos!$E$36*Supuestos!$E$37/(1+Supuestos!$E$7*Supuestos!$E$8)/Supuestos!$E$6</f>
        <v>137.741046831956</v>
      </c>
      <c r="Y19" s="32" t="n">
        <f aca="false">Supuestos!$E$40*MIN(1,Y$3/Supuestos!$E$42)*Supuestos!$E$36*Supuestos!$E$37/(1+Supuestos!$E$7*Supuestos!$E$8)/Supuestos!$E$6</f>
        <v>137.741046831956</v>
      </c>
      <c r="Z19" s="32" t="n">
        <f aca="false">Supuestos!$E$40*MIN(1,Z$3/Supuestos!$E$42)*Supuestos!$E$36*Supuestos!$E$37/(1+Supuestos!$E$7*Supuestos!$E$8)/Supuestos!$E$6</f>
        <v>137.741046831956</v>
      </c>
      <c r="AA19" s="32" t="n">
        <f aca="false">Supuestos!$E$40*MIN(1,AA$3/Supuestos!$E$42)*Supuestos!$E$36*Supuestos!$E$37/(1+Supuestos!$E$7*Supuestos!$E$8)/Supuestos!$E$6</f>
        <v>137.741046831956</v>
      </c>
      <c r="AB19" s="32" t="n">
        <f aca="false">Supuestos!$E$40*MIN(1,AB$3/Supuestos!$E$42)*Supuestos!$E$36*Supuestos!$E$37/(1+Supuestos!$E$7*Supuestos!$E$8)/Supuestos!$E$6</f>
        <v>137.741046831956</v>
      </c>
      <c r="AC19" s="32" t="n">
        <f aca="false">Supuestos!$E$40*MIN(1,AC$3/Supuestos!$E$42)*Supuestos!$E$36*Supuestos!$E$37/(1+Supuestos!$E$7*Supuestos!$E$8)/Supuestos!$E$6</f>
        <v>137.741046831956</v>
      </c>
      <c r="AD19" s="32" t="n">
        <f aca="false">Supuestos!$E$40*MIN(1,AD$3/Supuestos!$E$42)*Supuestos!$E$36*Supuestos!$E$37/(1+Supuestos!$E$7*Supuestos!$E$8)/Supuestos!$E$6</f>
        <v>137.741046831956</v>
      </c>
      <c r="AE19" s="32" t="n">
        <f aca="false">Supuestos!$E$40*MIN(1,AE$3/Supuestos!$E$42)*Supuestos!$E$36*Supuestos!$E$37/(1+Supuestos!$E$7*Supuestos!$E$8)/Supuestos!$E$6</f>
        <v>137.741046831956</v>
      </c>
      <c r="AF19" s="32" t="n">
        <f aca="false">Supuestos!$E$40*MIN(1,AF$3/Supuestos!$E$42)*Supuestos!$E$36*Supuestos!$E$37/(1+Supuestos!$E$7*Supuestos!$E$8)/Supuestos!$E$6</f>
        <v>137.741046831956</v>
      </c>
      <c r="AG19" s="32" t="n">
        <f aca="false">Supuestos!$E$40*MIN(1,AG$3/Supuestos!$E$42)*Supuestos!$E$36*Supuestos!$E$37/(1+Supuestos!$E$7*Supuestos!$E$8)/Supuestos!$E$6</f>
        <v>137.741046831956</v>
      </c>
      <c r="AH19" s="32" t="n">
        <f aca="false">Supuestos!$E$40*MIN(1,AH$3/Supuestos!$E$42)*Supuestos!$E$36*Supuestos!$E$37/(1+Supuestos!$E$7*Supuestos!$E$8)/Supuestos!$E$6</f>
        <v>137.741046831956</v>
      </c>
      <c r="AI19" s="32" t="n">
        <f aca="false">Supuestos!$E$40*MIN(1,AI$3/Supuestos!$E$42)*Supuestos!$E$36*Supuestos!$E$37/(1+Supuestos!$E$7*Supuestos!$E$8)/Supuestos!$E$6</f>
        <v>137.741046831956</v>
      </c>
      <c r="AJ19" s="32" t="n">
        <f aca="false">Supuestos!$E$40*MIN(1,AJ$3/Supuestos!$E$42)*Supuestos!$E$36*Supuestos!$E$37/(1+Supuestos!$E$7*Supuestos!$E$8)/Supuestos!$E$6</f>
        <v>137.741046831956</v>
      </c>
      <c r="AK19" s="32" t="n">
        <f aca="false">Supuestos!$E$40*MIN(1,AK$3/Supuestos!$E$42)*Supuestos!$E$36*Supuestos!$E$37/(1+Supuestos!$E$7*Supuestos!$E$8)/Supuestos!$E$6</f>
        <v>137.741046831956</v>
      </c>
      <c r="AL19" s="32" t="n">
        <f aca="false">Supuestos!$E$40*MIN(1,AL$3/Supuestos!$E$42)*Supuestos!$E$36*Supuestos!$E$37/(1+Supuestos!$E$7*Supuestos!$E$8)/Supuestos!$E$6</f>
        <v>137.741046831956</v>
      </c>
      <c r="AM19" s="32" t="n">
        <f aca="false">Supuestos!$E$40*MIN(1,AM$3/Supuestos!$E$42)*Supuestos!$E$36*Supuestos!$E$37/(1+Supuestos!$E$7*Supuestos!$E$8)/Supuestos!$E$6</f>
        <v>137.741046831956</v>
      </c>
    </row>
    <row r="20" customFormat="false" ht="15" hidden="false" customHeight="false" outlineLevel="0" collapsed="false">
      <c r="B20" s="4" t="s">
        <v>491</v>
      </c>
      <c r="D20" s="32" t="n">
        <f aca="false">Supuestos!$E$41*MIN(1,D$3/Supuestos!$E$42)</f>
        <v>11.1111111111111</v>
      </c>
      <c r="E20" s="32" t="n">
        <f aca="false">Supuestos!$E$41*MIN(1,E$3/Supuestos!$E$42)</f>
        <v>22.2222222222222</v>
      </c>
      <c r="F20" s="32" t="n">
        <f aca="false">Supuestos!$E$41*MIN(1,F$3/Supuestos!$E$42)</f>
        <v>33.3333333333333</v>
      </c>
      <c r="G20" s="32" t="n">
        <f aca="false">Supuestos!$E$41*MIN(1,G$3/Supuestos!$E$42)</f>
        <v>44.4444444444444</v>
      </c>
      <c r="H20" s="32" t="n">
        <f aca="false">Supuestos!$E$41*MIN(1,H$3/Supuestos!$E$42)</f>
        <v>55.5555555555556</v>
      </c>
      <c r="I20" s="32" t="n">
        <f aca="false">Supuestos!$E$41*MIN(1,I$3/Supuestos!$E$42)</f>
        <v>66.6666666666667</v>
      </c>
      <c r="J20" s="32" t="n">
        <f aca="false">Supuestos!$E$41*MIN(1,J$3/Supuestos!$E$42)</f>
        <v>77.7777777777778</v>
      </c>
      <c r="K20" s="32" t="n">
        <f aca="false">Supuestos!$E$41*MIN(1,K$3/Supuestos!$E$42)</f>
        <v>88.8888888888889</v>
      </c>
      <c r="L20" s="32" t="n">
        <f aca="false">Supuestos!$E$41*MIN(1,L$3/Supuestos!$E$42)</f>
        <v>100</v>
      </c>
      <c r="M20" s="32" t="n">
        <f aca="false">Supuestos!$E$41*MIN(1,M$3/Supuestos!$E$42)</f>
        <v>100</v>
      </c>
      <c r="N20" s="32" t="n">
        <f aca="false">Supuestos!$E$41*MIN(1,N$3/Supuestos!$E$42)</f>
        <v>100</v>
      </c>
      <c r="O20" s="32" t="n">
        <f aca="false">Supuestos!$E$41*MIN(1,O$3/Supuestos!$E$42)</f>
        <v>100</v>
      </c>
      <c r="P20" s="32" t="n">
        <f aca="false">Supuestos!$E$41*MIN(1,P$3/Supuestos!$E$42)</f>
        <v>100</v>
      </c>
      <c r="Q20" s="32" t="n">
        <f aca="false">Supuestos!$E$41*MIN(1,Q$3/Supuestos!$E$42)</f>
        <v>100</v>
      </c>
      <c r="R20" s="32" t="n">
        <f aca="false">Supuestos!$E$41*MIN(1,R$3/Supuestos!$E$42)</f>
        <v>100</v>
      </c>
      <c r="S20" s="32" t="n">
        <f aca="false">Supuestos!$E$41*MIN(1,S$3/Supuestos!$E$42)</f>
        <v>100</v>
      </c>
      <c r="T20" s="32" t="n">
        <f aca="false">Supuestos!$E$41*MIN(1,T$3/Supuestos!$E$42)</f>
        <v>100</v>
      </c>
      <c r="U20" s="32" t="n">
        <f aca="false">Supuestos!$E$41*MIN(1,U$3/Supuestos!$E$42)</f>
        <v>100</v>
      </c>
      <c r="V20" s="32" t="n">
        <f aca="false">Supuestos!$E$41*MIN(1,V$3/Supuestos!$E$42)</f>
        <v>100</v>
      </c>
      <c r="W20" s="32" t="n">
        <f aca="false">Supuestos!$E$41*MIN(1,W$3/Supuestos!$E$42)</f>
        <v>100</v>
      </c>
      <c r="X20" s="32" t="n">
        <f aca="false">Supuestos!$E$41*MIN(1,X$3/Supuestos!$E$42)</f>
        <v>100</v>
      </c>
      <c r="Y20" s="32" t="n">
        <f aca="false">Supuestos!$E$41*MIN(1,Y$3/Supuestos!$E$42)</f>
        <v>100</v>
      </c>
      <c r="Z20" s="32" t="n">
        <f aca="false">Supuestos!$E$41*MIN(1,Z$3/Supuestos!$E$42)</f>
        <v>100</v>
      </c>
      <c r="AA20" s="32" t="n">
        <f aca="false">Supuestos!$E$41*MIN(1,AA$3/Supuestos!$E$42)</f>
        <v>100</v>
      </c>
      <c r="AB20" s="32" t="n">
        <f aca="false">Supuestos!$E$41*MIN(1,AB$3/Supuestos!$E$42)</f>
        <v>100</v>
      </c>
      <c r="AC20" s="32" t="n">
        <f aca="false">Supuestos!$E$41*MIN(1,AC$3/Supuestos!$E$42)</f>
        <v>100</v>
      </c>
      <c r="AD20" s="32" t="n">
        <f aca="false">Supuestos!$E$41*MIN(1,AD$3/Supuestos!$E$42)</f>
        <v>100</v>
      </c>
      <c r="AE20" s="32" t="n">
        <f aca="false">Supuestos!$E$41*MIN(1,AE$3/Supuestos!$E$42)</f>
        <v>100</v>
      </c>
      <c r="AF20" s="32" t="n">
        <f aca="false">Supuestos!$E$41*MIN(1,AF$3/Supuestos!$E$42)</f>
        <v>100</v>
      </c>
      <c r="AG20" s="32" t="n">
        <f aca="false">Supuestos!$E$41*MIN(1,AG$3/Supuestos!$E$42)</f>
        <v>100</v>
      </c>
      <c r="AH20" s="32" t="n">
        <f aca="false">Supuestos!$E$41*MIN(1,AH$3/Supuestos!$E$42)</f>
        <v>100</v>
      </c>
      <c r="AI20" s="32" t="n">
        <f aca="false">Supuestos!$E$41*MIN(1,AI$3/Supuestos!$E$42)</f>
        <v>100</v>
      </c>
      <c r="AJ20" s="32" t="n">
        <f aca="false">Supuestos!$E$41*MIN(1,AJ$3/Supuestos!$E$42)</f>
        <v>100</v>
      </c>
      <c r="AK20" s="32" t="n">
        <f aca="false">Supuestos!$E$41*MIN(1,AK$3/Supuestos!$E$42)</f>
        <v>100</v>
      </c>
      <c r="AL20" s="32" t="n">
        <f aca="false">Supuestos!$E$41*MIN(1,AL$3/Supuestos!$E$42)</f>
        <v>100</v>
      </c>
      <c r="AM20" s="32" t="n">
        <f aca="false">Supuestos!$E$41*MIN(1,AM$3/Supuestos!$E$42)</f>
        <v>100</v>
      </c>
    </row>
    <row r="21" customFormat="false" ht="15" hidden="false" customHeight="false" outlineLevel="0" collapsed="false">
      <c r="B21" s="13" t="s">
        <v>492</v>
      </c>
      <c r="D21" s="32" t="n">
        <f aca="false">SUM(D15:D20)</f>
        <v>546.143821666549</v>
      </c>
      <c r="E21" s="32" t="n">
        <f aca="false">SUM(E15:E20)</f>
        <v>847.589350262532</v>
      </c>
      <c r="F21" s="32" t="n">
        <f aca="false">SUM(F15:F20)</f>
        <v>1139.65236131242</v>
      </c>
      <c r="G21" s="32" t="n">
        <f aca="false">SUM(G15:G20)</f>
        <v>1422.85115640936</v>
      </c>
      <c r="H21" s="32" t="n">
        <f aca="false">SUM(H15:H20)</f>
        <v>1697.67472502927</v>
      </c>
      <c r="I21" s="32" t="n">
        <f aca="false">SUM(I15:I20)</f>
        <v>1964.58443181879</v>
      </c>
      <c r="J21" s="32" t="n">
        <f aca="false">SUM(J15:J20)</f>
        <v>2132.75482789678</v>
      </c>
      <c r="K21" s="32" t="n">
        <f aca="false">SUM(K15:K20)</f>
        <v>2262.60085653429</v>
      </c>
      <c r="L21" s="32" t="n">
        <f aca="false">SUM(L15:L20)</f>
        <v>2387.51428549354</v>
      </c>
      <c r="M21" s="32" t="n">
        <f aca="false">SUM(M15:M20)</f>
        <v>2460.15503675553</v>
      </c>
      <c r="N21" s="32" t="n">
        <f aca="false">SUM(N15:N20)</f>
        <v>2528.43734294181</v>
      </c>
      <c r="O21" s="32" t="n">
        <f aca="false">SUM(O15:O20)</f>
        <v>2592.62271075691</v>
      </c>
      <c r="P21" s="32" t="n">
        <f aca="false">SUM(P15:P20)</f>
        <v>2606.00368250437</v>
      </c>
      <c r="Q21" s="32" t="n">
        <f aca="false">SUM(Q15:Q20)</f>
        <v>2618.58179594699</v>
      </c>
      <c r="R21" s="32" t="n">
        <f aca="false">SUM(R15:R20)</f>
        <v>2630.40522258305</v>
      </c>
      <c r="S21" s="32" t="n">
        <f aca="false">SUM(S15:S20)</f>
        <v>2641.51924362095</v>
      </c>
      <c r="T21" s="32" t="n">
        <f aca="false">SUM(T15:T20)</f>
        <v>2651.96642339657</v>
      </c>
      <c r="U21" s="32" t="n">
        <f aca="false">SUM(U15:U20)</f>
        <v>2661.78677238566</v>
      </c>
      <c r="V21" s="32" t="n">
        <f aca="false">SUM(V15:V20)</f>
        <v>2671.0179004354</v>
      </c>
      <c r="W21" s="32" t="n">
        <f aca="false">SUM(W15:W20)</f>
        <v>2679.69516080215</v>
      </c>
      <c r="X21" s="32" t="n">
        <f aca="false">SUM(X15:X20)</f>
        <v>2687.8517855469</v>
      </c>
      <c r="Y21" s="32" t="n">
        <f aca="false">SUM(Y15:Y20)</f>
        <v>2695.51901280697</v>
      </c>
      <c r="Z21" s="32" t="n">
        <f aca="false">SUM(Z15:Z20)</f>
        <v>2702.72620643143</v>
      </c>
      <c r="AA21" s="32" t="n">
        <f aca="false">SUM(AA15:AA20)</f>
        <v>2709.50096843842</v>
      </c>
      <c r="AB21" s="32" t="n">
        <f aca="false">SUM(AB15:AB20)</f>
        <v>2715.869244725</v>
      </c>
      <c r="AC21" s="32" t="n">
        <f aca="false">SUM(AC15:AC20)</f>
        <v>2721.85542443438</v>
      </c>
      <c r="AD21" s="32" t="n">
        <f aca="false">SUM(AD15:AD20)</f>
        <v>2727.4824333612</v>
      </c>
      <c r="AE21" s="32" t="n">
        <f aca="false">SUM(AE15:AE20)</f>
        <v>2732.7718217524</v>
      </c>
      <c r="AF21" s="32" t="n">
        <f aca="false">SUM(AF15:AF20)</f>
        <v>2737.74384684014</v>
      </c>
      <c r="AG21" s="32" t="n">
        <f aca="false">SUM(AG15:AG20)</f>
        <v>2742.41755042261</v>
      </c>
      <c r="AH21" s="32" t="n">
        <f aca="false">SUM(AH15:AH20)</f>
        <v>2746.81083179013</v>
      </c>
      <c r="AI21" s="32" t="n">
        <f aca="false">SUM(AI15:AI20)</f>
        <v>2750.94051627561</v>
      </c>
      <c r="AJ21" s="32" t="n">
        <f aca="false">SUM(AJ15:AJ20)</f>
        <v>2754.82241969195</v>
      </c>
      <c r="AK21" s="32" t="n">
        <f aca="false">SUM(AK15:AK20)</f>
        <v>2758.47140890331</v>
      </c>
      <c r="AL21" s="32" t="n">
        <f aca="false">SUM(AL15:AL20)</f>
        <v>2761.90145876199</v>
      </c>
      <c r="AM21" s="32" t="n">
        <f aca="false">SUM(AM15:AM20)</f>
        <v>2765.12570562915</v>
      </c>
    </row>
    <row r="22" customFormat="false" ht="15" hidden="false" customHeight="false" outlineLevel="0" collapsed="false">
      <c r="B22" s="21" t="s">
        <v>295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customFormat="false" ht="15" hidden="false" customHeight="false" outlineLevel="0" collapsed="false">
      <c r="B23" s="4" t="s">
        <v>493</v>
      </c>
      <c r="D23" s="32" t="n">
        <f aca="false">(D11+D9*Supuestos!$E$9*Supuestos!$E$19+(D10*Supuestos!$E$15*Supuestos!$E$9*Supuestos!$E$19)+Supuestos!$E$39*MIN(1,D$3/Supuestos!$E$42))*Supuestos!$E$53</f>
        <v>79.26408</v>
      </c>
      <c r="E23" s="32" t="n">
        <f aca="false">(E11+E9*Supuestos!$E$9*Supuestos!$E$19+(E10*Supuestos!$E$15*Supuestos!$E$9*Supuestos!$E$19)+Supuestos!$E$39*MIN(1,E$3/Supuestos!$E$42))*Supuestos!$E$53</f>
        <v>125.2030752</v>
      </c>
      <c r="F23" s="32" t="n">
        <f aca="false">(F11+F9*Supuestos!$E$9*Supuestos!$E$19+(F10*Supuestos!$E$15*Supuestos!$E$9*Supuestos!$E$19)+Supuestos!$E$39*MIN(1,F$3/Supuestos!$E$42))*Supuestos!$E$53</f>
        <v>169.652484288</v>
      </c>
      <c r="G23" s="32" t="n">
        <f aca="false">(G11+G9*Supuestos!$E$9*Supuestos!$E$19+(G10*Supuestos!$E$15*Supuestos!$E$9*Supuestos!$E$19)+Supuestos!$E$39*MIN(1,G$3/Supuestos!$E$42))*Supuestos!$E$53</f>
        <v>212.69123148672</v>
      </c>
      <c r="H23" s="32" t="n">
        <f aca="false">(H11+H9*Supuestos!$E$9*Supuestos!$E$19+(H10*Supuestos!$E$15*Supuestos!$E$9*Supuestos!$E$19)+Supuestos!$E$39*MIN(1,H$3/Supuestos!$E$42))*Supuestos!$E$53</f>
        <v>254.393923603277</v>
      </c>
      <c r="I23" s="32" t="n">
        <f aca="false">(I11+I9*Supuestos!$E$9*Supuestos!$E$19+(I10*Supuestos!$E$15*Supuestos!$E$9*Supuestos!$E$19)+Supuestos!$E$39*MIN(1,I$3/Supuestos!$E$42))*Supuestos!$E$53</f>
        <v>294.83109235261</v>
      </c>
      <c r="J23" s="32" t="n">
        <f aca="false">(J11+J9*Supuestos!$E$9*Supuestos!$E$19+(J10*Supuestos!$E$15*Supuestos!$E$9*Supuestos!$E$19)+Supuestos!$E$39*MIN(1,J$3/Supuestos!$E$42))*Supuestos!$E$53</f>
        <v>317.551854862758</v>
      </c>
      <c r="K23" s="32" t="n">
        <f aca="false">(K11+K9*Supuestos!$E$9*Supuestos!$E$19+(K10*Supuestos!$E$15*Supuestos!$E$9*Supuestos!$E$19)+Supuestos!$E$39*MIN(1,K$3/Supuestos!$E$42))*Supuestos!$E$53</f>
        <v>331.820703570992</v>
      </c>
      <c r="L23" s="32" t="n">
        <f aca="false">(L11+L9*Supuestos!$E$9*Supuestos!$E$19+(L10*Supuestos!$E$15*Supuestos!$E$9*Supuestos!$E$19)+Supuestos!$E$39*MIN(1,L$3/Supuestos!$E$42))*Supuestos!$E$53</f>
        <v>345.422421356733</v>
      </c>
      <c r="M23" s="32" t="n">
        <f aca="false">(M11+M9*Supuestos!$E$9*Supuestos!$E$19+(M10*Supuestos!$E$15*Supuestos!$E$9*Supuestos!$E$19)+Supuestos!$E$39*MIN(1,M$3/Supuestos!$E$42))*Supuestos!$E$53</f>
        <v>355.247036075329</v>
      </c>
      <c r="N23" s="32" t="n">
        <f aca="false">(N11+N9*Supuestos!$E$9*Supuestos!$E$19+(N10*Supuestos!$E$15*Supuestos!$E$9*Supuestos!$E$19)+Supuestos!$E$39*MIN(1,N$3/Supuestos!$E$42))*Supuestos!$E$53</f>
        <v>364.482173910809</v>
      </c>
      <c r="O23" s="32" t="n">
        <f aca="false">(O11+O9*Supuestos!$E$9*Supuestos!$E$19+(O10*Supuestos!$E$15*Supuestos!$E$9*Supuestos!$E$19)+Supuestos!$E$39*MIN(1,O$3/Supuestos!$E$42))*Supuestos!$E$53</f>
        <v>373.16320347616</v>
      </c>
      <c r="P23" s="32" t="n">
        <f aca="false">(P11+P9*Supuestos!$E$9*Supuestos!$E$19+(P10*Supuestos!$E$15*Supuestos!$E$9*Supuestos!$E$19)+Supuestos!$E$39*MIN(1,P$3/Supuestos!$E$42))*Supuestos!$E$53</f>
        <v>374.972971267591</v>
      </c>
      <c r="Q23" s="32" t="n">
        <f aca="false">(Q11+Q9*Supuestos!$E$9*Supuestos!$E$19+(Q10*Supuestos!$E$15*Supuestos!$E$9*Supuestos!$E$19)+Supuestos!$E$39*MIN(1,Q$3/Supuestos!$E$42))*Supuestos!$E$53</f>
        <v>376.674152991535</v>
      </c>
      <c r="R23" s="32" t="n">
        <f aca="false">(R11+R9*Supuestos!$E$9*Supuestos!$E$19+(R10*Supuestos!$E$15*Supuestos!$E$9*Supuestos!$E$19)+Supuestos!$E$39*MIN(1,R$3/Supuestos!$E$42))*Supuestos!$E$53</f>
        <v>378.273263812043</v>
      </c>
      <c r="S23" s="32" t="n">
        <f aca="false">(S11+S9*Supuestos!$E$9*Supuestos!$E$19+(S10*Supuestos!$E$15*Supuestos!$E$9*Supuestos!$E$19)+Supuestos!$E$39*MIN(1,S$3/Supuestos!$E$42))*Supuestos!$E$53</f>
        <v>379.776427983321</v>
      </c>
      <c r="T23" s="32" t="n">
        <f aca="false">(T11+T9*Supuestos!$E$9*Supuestos!$E$19+(T10*Supuestos!$E$15*Supuestos!$E$9*Supuestos!$E$19)+Supuestos!$E$39*MIN(1,T$3/Supuestos!$E$42))*Supuestos!$E$53</f>
        <v>381.189402304321</v>
      </c>
      <c r="U23" s="32" t="n">
        <f aca="false">(U11+U9*Supuestos!$E$9*Supuestos!$E$19+(U10*Supuestos!$E$15*Supuestos!$E$9*Supuestos!$E$19)+Supuestos!$E$39*MIN(1,U$3/Supuestos!$E$42))*Supuestos!$E$53</f>
        <v>382.517598166062</v>
      </c>
      <c r="V23" s="32" t="n">
        <f aca="false">(V11+V9*Supuestos!$E$9*Supuestos!$E$19+(V10*Supuestos!$E$15*Supuestos!$E$9*Supuestos!$E$19)+Supuestos!$E$39*MIN(1,V$3/Supuestos!$E$42))*Supuestos!$E$53</f>
        <v>383.766102276098</v>
      </c>
      <c r="W23" s="32" t="n">
        <f aca="false">(W11+W9*Supuestos!$E$9*Supuestos!$E$19+(W10*Supuestos!$E$15*Supuestos!$E$9*Supuestos!$E$19)+Supuestos!$E$39*MIN(1,W$3/Supuestos!$E$42))*Supuestos!$E$53</f>
        <v>384.939696139533</v>
      </c>
      <c r="X23" s="32" t="n">
        <f aca="false">(X11+X9*Supuestos!$E$9*Supuestos!$E$19+(X10*Supuestos!$E$15*Supuestos!$E$9*Supuestos!$E$19)+Supuestos!$E$39*MIN(1,X$3/Supuestos!$E$42))*Supuestos!$E$53</f>
        <v>386.042874371161</v>
      </c>
      <c r="Y23" s="32" t="n">
        <f aca="false">(Y11+Y9*Supuestos!$E$9*Supuestos!$E$19+(Y10*Supuestos!$E$15*Supuestos!$E$9*Supuestos!$E$19)+Supuestos!$E$39*MIN(1,Y$3/Supuestos!$E$42))*Supuestos!$E$53</f>
        <v>387.079861908891</v>
      </c>
      <c r="Z23" s="32" t="n">
        <f aca="false">(Z11+Z9*Supuestos!$E$9*Supuestos!$E$19+(Z10*Supuestos!$E$15*Supuestos!$E$9*Supuestos!$E$19)+Supuestos!$E$39*MIN(1,Z$3/Supuestos!$E$42))*Supuestos!$E$53</f>
        <v>388.054630194357</v>
      </c>
      <c r="AA23" s="32" t="n">
        <f aca="false">(AA11+AA9*Supuestos!$E$9*Supuestos!$E$19+(AA10*Supuestos!$E$15*Supuestos!$E$9*Supuestos!$E$19)+Supuestos!$E$39*MIN(1,AA$3/Supuestos!$E$42))*Supuestos!$E$53</f>
        <v>388.970912382696</v>
      </c>
      <c r="AB23" s="32" t="n">
        <f aca="false">(AB11+AB9*Supuestos!$E$9*Supuestos!$E$19+(AB10*Supuestos!$E$15*Supuestos!$E$9*Supuestos!$E$19)+Supuestos!$E$39*MIN(1,AB$3/Supuestos!$E$42))*Supuestos!$E$53</f>
        <v>389.832217639734</v>
      </c>
      <c r="AC23" s="32" t="n">
        <f aca="false">(AC11+AC9*Supuestos!$E$9*Supuestos!$E$19+(AC10*Supuestos!$E$15*Supuestos!$E$9*Supuestos!$E$19)+Supuestos!$E$39*MIN(1,AC$3/Supuestos!$E$42))*Supuestos!$E$53</f>
        <v>390.64184458135</v>
      </c>
      <c r="AD23" s="32" t="n">
        <f aca="false">(AD11+AD9*Supuestos!$E$9*Supuestos!$E$19+(AD10*Supuestos!$E$15*Supuestos!$E$9*Supuestos!$E$19)+Supuestos!$E$39*MIN(1,AD$3/Supuestos!$E$42))*Supuestos!$E$53</f>
        <v>391.402893906469</v>
      </c>
      <c r="AE23" s="32" t="n">
        <f aca="false">(AE11+AE9*Supuestos!$E$9*Supuestos!$E$19+(AE10*Supuestos!$E$15*Supuestos!$E$9*Supuestos!$E$19)+Supuestos!$E$39*MIN(1,AE$3/Supuestos!$E$42))*Supuestos!$E$53</f>
        <v>392.118280272081</v>
      </c>
      <c r="AF23" s="32" t="n">
        <f aca="false">(AF11+AF9*Supuestos!$E$9*Supuestos!$E$19+(AF10*Supuestos!$E$15*Supuestos!$E$9*Supuestos!$E$19)+Supuestos!$E$39*MIN(1,AF$3/Supuestos!$E$42))*Supuestos!$E$53</f>
        <v>392.790743455756</v>
      </c>
      <c r="AG23" s="32" t="n">
        <f aca="false">(AG11+AG9*Supuestos!$E$9*Supuestos!$E$19+(AG10*Supuestos!$E$15*Supuestos!$E$9*Supuestos!$E$19)+Supuestos!$E$39*MIN(1,AG$3/Supuestos!$E$42))*Supuestos!$E$53</f>
        <v>393.422858848411</v>
      </c>
      <c r="AH23" s="32" t="n">
        <f aca="false">(AH11+AH9*Supuestos!$E$9*Supuestos!$E$19+(AH10*Supuestos!$E$15*Supuestos!$E$9*Supuestos!$E$19)+Supuestos!$E$39*MIN(1,AH$3/Supuestos!$E$42))*Supuestos!$E$53</f>
        <v>394.017047317506</v>
      </c>
      <c r="AI23" s="32" t="n">
        <f aca="false">(AI11+AI9*Supuestos!$E$9*Supuestos!$E$19+(AI10*Supuestos!$E$15*Supuestos!$E$9*Supuestos!$E$19)+Supuestos!$E$39*MIN(1,AI$3/Supuestos!$E$42))*Supuestos!$E$53</f>
        <v>394.575584478456</v>
      </c>
      <c r="AJ23" s="32" t="n">
        <f aca="false">(AJ11+AJ9*Supuestos!$E$9*Supuestos!$E$19+(AJ10*Supuestos!$E$15*Supuestos!$E$9*Supuestos!$E$19)+Supuestos!$E$39*MIN(1,AJ$3/Supuestos!$E$42))*Supuestos!$E$53</f>
        <v>395.100609409748</v>
      </c>
      <c r="AK23" s="32" t="n">
        <f aca="false">(AK11+AK9*Supuestos!$E$9*Supuestos!$E$19+(AK10*Supuestos!$E$15*Supuestos!$E$9*Supuestos!$E$19)+Supuestos!$E$39*MIN(1,AK$3/Supuestos!$E$42))*Supuestos!$E$53</f>
        <v>395.594132845164</v>
      </c>
      <c r="AL23" s="32" t="n">
        <f aca="false">(AL11+AL9*Supuestos!$E$9*Supuestos!$E$19+(AL10*Supuestos!$E$15*Supuestos!$E$9*Supuestos!$E$19)+Supuestos!$E$39*MIN(1,AL$3/Supuestos!$E$42))*Supuestos!$E$53</f>
        <v>396.058044874454</v>
      </c>
      <c r="AM23" s="32" t="n">
        <f aca="false">(AM11+AM9*Supuestos!$E$9*Supuestos!$E$19+(AM10*Supuestos!$E$15*Supuestos!$E$9*Supuestos!$E$19)+Supuestos!$E$39*MIN(1,AM$3/Supuestos!$E$42))*Supuestos!$E$53</f>
        <v>396.494122181987</v>
      </c>
    </row>
    <row r="24" customFormat="false" ht="15" hidden="false" customHeight="false" outlineLevel="0" collapsed="false">
      <c r="B24" s="4" t="s">
        <v>494</v>
      </c>
      <c r="D24" s="32" t="n">
        <f aca="false">D21*(1+Supuestos!$E$7*Supuestos!$E$8)*Supuestos!$E$54</f>
        <v>22.7987738354701</v>
      </c>
      <c r="E24" s="32" t="n">
        <f aca="false">E21*(1+Supuestos!$E$7*Supuestos!$E$8)*Supuestos!$E$54</f>
        <v>35.3826174267094</v>
      </c>
      <c r="F24" s="32" t="n">
        <f aca="false">F21*(1+Supuestos!$E$7*Supuestos!$E$8)*Supuestos!$E$54</f>
        <v>47.5747878229872</v>
      </c>
      <c r="G24" s="32" t="n">
        <f aca="false">G21*(1+Supuestos!$E$7*Supuestos!$E$8)*Supuestos!$E$54</f>
        <v>59.3969215243088</v>
      </c>
      <c r="H24" s="32" t="n">
        <f aca="false">H21*(1+Supuestos!$E$7*Supuestos!$E$8)*Supuestos!$E$54</f>
        <v>70.869431396347</v>
      </c>
      <c r="I24" s="32" t="n">
        <f aca="false">I21*(1+Supuestos!$E$7*Supuestos!$E$8)*Supuestos!$E$54</f>
        <v>82.0115771062752</v>
      </c>
      <c r="J24" s="32" t="n">
        <f aca="false">J21*(1+Supuestos!$E$7*Supuestos!$E$8)*Supuestos!$E$54</f>
        <v>89.0318502905512</v>
      </c>
      <c r="K24" s="32" t="n">
        <f aca="false">K21*(1+Supuestos!$E$7*Supuestos!$E$8)*Supuestos!$E$54</f>
        <v>94.4522727560241</v>
      </c>
      <c r="L24" s="32" t="n">
        <f aca="false">L21*(1+Supuestos!$E$7*Supuestos!$E$8)*Supuestos!$E$54</f>
        <v>99.6667838479276</v>
      </c>
      <c r="M24" s="32" t="n">
        <f aca="false">M21*(1+Supuestos!$E$7*Supuestos!$E$8)*Supuestos!$E$54</f>
        <v>102.69917200936</v>
      </c>
      <c r="N24" s="32" t="n">
        <f aca="false">N21*(1+Supuestos!$E$7*Supuestos!$E$8)*Supuestos!$E$54</f>
        <v>105.549616881106</v>
      </c>
      <c r="O24" s="32" t="n">
        <f aca="false">O21*(1+Supuestos!$E$7*Supuestos!$E$8)*Supuestos!$E$54</f>
        <v>108.229035060547</v>
      </c>
      <c r="P24" s="32" t="n">
        <f aca="false">P21*(1+Supuestos!$E$7*Supuestos!$E$8)*Supuestos!$E$54</f>
        <v>108.787623726145</v>
      </c>
      <c r="Q24" s="32" t="n">
        <f aca="false">Q21*(1+Supuestos!$E$7*Supuestos!$E$8)*Supuestos!$E$54</f>
        <v>109.312697071807</v>
      </c>
      <c r="R24" s="32" t="n">
        <f aca="false">R21*(1+Supuestos!$E$7*Supuestos!$E$8)*Supuestos!$E$54</f>
        <v>109.806266016729</v>
      </c>
      <c r="S24" s="32" t="n">
        <f aca="false">S21*(1+Supuestos!$E$7*Supuestos!$E$8)*Supuestos!$E$54</f>
        <v>110.270220824956</v>
      </c>
      <c r="T24" s="32" t="n">
        <f aca="false">T21*(1+Supuestos!$E$7*Supuestos!$E$8)*Supuestos!$E$54</f>
        <v>110.70633834469</v>
      </c>
      <c r="U24" s="32" t="n">
        <f aca="false">U21*(1+Supuestos!$E$7*Supuestos!$E$8)*Supuestos!$E$54</f>
        <v>111.116288813239</v>
      </c>
      <c r="V24" s="32" t="n">
        <f aca="false">V21*(1+Supuestos!$E$7*Supuestos!$E$8)*Supuestos!$E$54</f>
        <v>111.501642253676</v>
      </c>
      <c r="W24" s="32" t="n">
        <f aca="false">W21*(1+Supuestos!$E$7*Supuestos!$E$8)*Supuestos!$E$54</f>
        <v>111.863874487686</v>
      </c>
      <c r="X24" s="32" t="n">
        <f aca="false">X21*(1+Supuestos!$E$7*Supuestos!$E$8)*Supuestos!$E$54</f>
        <v>112.204372787655</v>
      </c>
      <c r="Y24" s="32" t="n">
        <f aca="false">Y21*(1+Supuestos!$E$7*Supuestos!$E$8)*Supuestos!$E$54</f>
        <v>112.524441189627</v>
      </c>
      <c r="Z24" s="32" t="n">
        <f aca="false">Z21*(1+Supuestos!$E$7*Supuestos!$E$8)*Supuestos!$E$54</f>
        <v>112.82530548748</v>
      </c>
      <c r="AA24" s="32" t="n">
        <f aca="false">AA21*(1+Supuestos!$E$7*Supuestos!$E$8)*Supuestos!$E$54</f>
        <v>113.108117927462</v>
      </c>
      <c r="AB24" s="32" t="n">
        <f aca="false">AB21*(1+Supuestos!$E$7*Supuestos!$E$8)*Supuestos!$E$54</f>
        <v>113.373961621045</v>
      </c>
      <c r="AC24" s="32" t="n">
        <f aca="false">AC21*(1+Supuestos!$E$7*Supuestos!$E$8)*Supuestos!$E$54</f>
        <v>113.623854693013</v>
      </c>
      <c r="AD24" s="32" t="n">
        <f aca="false">AD21*(1+Supuestos!$E$7*Supuestos!$E$8)*Supuestos!$E$54</f>
        <v>113.858754180663</v>
      </c>
      <c r="AE24" s="32" t="n">
        <f aca="false">AE21*(1+Supuestos!$E$7*Supuestos!$E$8)*Supuestos!$E$54</f>
        <v>114.079559699054</v>
      </c>
      <c r="AF24" s="32" t="n">
        <f aca="false">AF21*(1+Supuestos!$E$7*Supuestos!$E$8)*Supuestos!$E$54</f>
        <v>114.287116886342</v>
      </c>
      <c r="AG24" s="32" t="n">
        <f aca="false">AG21*(1+Supuestos!$E$7*Supuestos!$E$8)*Supuestos!$E$54</f>
        <v>114.482220642392</v>
      </c>
      <c r="AH24" s="32" t="n">
        <f aca="false">AH21*(1+Supuestos!$E$7*Supuestos!$E$8)*Supuestos!$E$54</f>
        <v>114.665618173079</v>
      </c>
      <c r="AI24" s="32" t="n">
        <f aca="false">AI21*(1+Supuestos!$E$7*Supuestos!$E$8)*Supuestos!$E$54</f>
        <v>114.838011851925</v>
      </c>
      <c r="AJ24" s="32" t="n">
        <f aca="false">AJ21*(1+Supuestos!$E$7*Supuestos!$E$8)*Supuestos!$E$54</f>
        <v>115.00006191004</v>
      </c>
      <c r="AK24" s="32" t="n">
        <f aca="false">AK21*(1+Supuestos!$E$7*Supuestos!$E$8)*Supuestos!$E$54</f>
        <v>115.152388964669</v>
      </c>
      <c r="AL24" s="32" t="n">
        <f aca="false">AL21*(1+Supuestos!$E$7*Supuestos!$E$8)*Supuestos!$E$54</f>
        <v>115.295576396019</v>
      </c>
      <c r="AM24" s="32" t="n">
        <f aca="false">AM21*(1+Supuestos!$E$7*Supuestos!$E$8)*Supuestos!$E$54</f>
        <v>115.430172581489</v>
      </c>
    </row>
    <row r="25" customFormat="false" ht="15" hidden="false" customHeight="false" outlineLevel="0" collapsed="false">
      <c r="B25" s="4" t="s">
        <v>495</v>
      </c>
      <c r="D25" s="32" t="n">
        <f aca="false">D21*Supuestos!$E$55</f>
        <v>16.3843146499965</v>
      </c>
      <c r="E25" s="32" t="n">
        <f aca="false">E21*Supuestos!$E$55</f>
        <v>25.427680507876</v>
      </c>
      <c r="F25" s="32" t="n">
        <f aca="false">F21*Supuestos!$E$55</f>
        <v>34.1895708393727</v>
      </c>
      <c r="G25" s="32" t="n">
        <f aca="false">G21*Supuestos!$E$55</f>
        <v>42.6855346922809</v>
      </c>
      <c r="H25" s="32" t="n">
        <f aca="false">H21*Supuestos!$E$55</f>
        <v>50.9302417508782</v>
      </c>
      <c r="I25" s="32" t="n">
        <f aca="false">I21*Supuestos!$E$55</f>
        <v>58.9375329545636</v>
      </c>
      <c r="J25" s="32" t="n">
        <f aca="false">J21*Supuestos!$E$55</f>
        <v>63.9826448369035</v>
      </c>
      <c r="K25" s="32" t="n">
        <f aca="false">K21*Supuestos!$E$55</f>
        <v>67.8780256960288</v>
      </c>
      <c r="L25" s="32" t="n">
        <f aca="false">L21*Supuestos!$E$55</f>
        <v>71.6254285648061</v>
      </c>
      <c r="M25" s="32" t="n">
        <f aca="false">M21*Supuestos!$E$55</f>
        <v>73.8046511026659</v>
      </c>
      <c r="N25" s="32" t="n">
        <f aca="false">N21*Supuestos!$E$55</f>
        <v>75.8531202882542</v>
      </c>
      <c r="O25" s="32" t="n">
        <f aca="false">O21*Supuestos!$E$55</f>
        <v>77.7786813227072</v>
      </c>
      <c r="P25" s="32" t="n">
        <f aca="false">P21*Supuestos!$E$55</f>
        <v>78.1801104751312</v>
      </c>
      <c r="Q25" s="32" t="n">
        <f aca="false">Q21*Supuestos!$E$55</f>
        <v>78.5574538784097</v>
      </c>
      <c r="R25" s="32" t="n">
        <f aca="false">R21*Supuestos!$E$55</f>
        <v>78.9121566774915</v>
      </c>
      <c r="S25" s="32" t="n">
        <f aca="false">S21*Supuestos!$E$55</f>
        <v>79.2455773086284</v>
      </c>
      <c r="T25" s="32" t="n">
        <f aca="false">T21*Supuestos!$E$55</f>
        <v>79.5589927018971</v>
      </c>
      <c r="U25" s="32" t="n">
        <f aca="false">U21*Supuestos!$E$55</f>
        <v>79.8536031715697</v>
      </c>
      <c r="V25" s="32" t="n">
        <f aca="false">V21*Supuestos!$E$55</f>
        <v>80.1305370130619</v>
      </c>
      <c r="W25" s="32" t="n">
        <f aca="false">W21*Supuestos!$E$55</f>
        <v>80.3908548240646</v>
      </c>
      <c r="X25" s="32" t="n">
        <f aca="false">X21*Supuestos!$E$55</f>
        <v>80.6355535664071</v>
      </c>
      <c r="Y25" s="32" t="n">
        <f aca="false">Y21*Supuestos!$E$55</f>
        <v>80.8655703842091</v>
      </c>
      <c r="Z25" s="32" t="n">
        <f aca="false">Z21*Supuestos!$E$55</f>
        <v>81.0817861929429</v>
      </c>
      <c r="AA25" s="32" t="n">
        <f aca="false">AA21*Supuestos!$E$55</f>
        <v>81.2850290531527</v>
      </c>
      <c r="AB25" s="32" t="n">
        <f aca="false">AB21*Supuestos!$E$55</f>
        <v>81.47607734175</v>
      </c>
      <c r="AC25" s="32" t="n">
        <f aca="false">AC21*Supuestos!$E$55</f>
        <v>81.6556627330314</v>
      </c>
      <c r="AD25" s="32" t="n">
        <f aca="false">AD21*Supuestos!$E$55</f>
        <v>81.8244730008359</v>
      </c>
      <c r="AE25" s="32" t="n">
        <f aca="false">AE21*Supuestos!$E$55</f>
        <v>81.9831546525721</v>
      </c>
      <c r="AF25" s="32" t="n">
        <f aca="false">AF21*Supuestos!$E$55</f>
        <v>82.1323154052042</v>
      </c>
      <c r="AG25" s="32" t="n">
        <f aca="false">AG21*Supuestos!$E$55</f>
        <v>82.2725265126783</v>
      </c>
      <c r="AH25" s="32" t="n">
        <f aca="false">AH21*Supuestos!$E$55</f>
        <v>82.404324953704</v>
      </c>
      <c r="AI25" s="32" t="n">
        <f aca="false">AI21*Supuestos!$E$55</f>
        <v>82.5282154882682</v>
      </c>
      <c r="AJ25" s="32" t="n">
        <f aca="false">AJ21*Supuestos!$E$55</f>
        <v>82.6446725907585</v>
      </c>
      <c r="AK25" s="32" t="n">
        <f aca="false">AK21*Supuestos!$E$55</f>
        <v>82.7541422670994</v>
      </c>
      <c r="AL25" s="32" t="n">
        <f aca="false">AL21*Supuestos!$E$55</f>
        <v>82.8570437628598</v>
      </c>
      <c r="AM25" s="32" t="n">
        <f aca="false">AM21*Supuestos!$E$55</f>
        <v>82.9537711688746</v>
      </c>
    </row>
    <row r="26" customFormat="false" ht="15" hidden="false" customHeight="false" outlineLevel="0" collapsed="false">
      <c r="B26" s="4" t="s">
        <v>496</v>
      </c>
      <c r="D26" s="32" t="n">
        <f aca="false">D21*(1+Supuestos!$E$7*Supuestos!$E$8)*Supuestos!$E$56</f>
        <v>7.93000829059829</v>
      </c>
      <c r="E26" s="32" t="n">
        <f aca="false">E21*(1+Supuestos!$E$7*Supuestos!$E$8)*Supuestos!$E$56</f>
        <v>12.306997365812</v>
      </c>
      <c r="F26" s="32" t="n">
        <f aca="false">F21*(1+Supuestos!$E$7*Supuestos!$E$8)*Supuestos!$E$56</f>
        <v>16.5477522862564</v>
      </c>
      <c r="G26" s="32" t="n">
        <f aca="false">G21*(1+Supuestos!$E$7*Supuestos!$E$8)*Supuestos!$E$56</f>
        <v>20.6597987910639</v>
      </c>
      <c r="H26" s="32" t="n">
        <f aca="false">H21*(1+Supuestos!$E$7*Supuestos!$E$8)*Supuestos!$E$56</f>
        <v>24.6502370074251</v>
      </c>
      <c r="I26" s="32" t="n">
        <f aca="false">I21*(1+Supuestos!$E$7*Supuestos!$E$8)*Supuestos!$E$56</f>
        <v>28.5257659500088</v>
      </c>
      <c r="J26" s="32" t="n">
        <f aca="false">J21*(1+Supuestos!$E$7*Supuestos!$E$8)*Supuestos!$E$56</f>
        <v>30.9676001010613</v>
      </c>
      <c r="K26" s="32" t="n">
        <f aca="false">K21*(1+Supuestos!$E$7*Supuestos!$E$8)*Supuestos!$E$56</f>
        <v>32.852964436878</v>
      </c>
      <c r="L26" s="32" t="n">
        <f aca="false">L21*(1+Supuestos!$E$7*Supuestos!$E$8)*Supuestos!$E$56</f>
        <v>34.6667074253661</v>
      </c>
      <c r="M26" s="32" t="n">
        <f aca="false">M21*(1+Supuestos!$E$7*Supuestos!$E$8)*Supuestos!$E$56</f>
        <v>35.7214511336903</v>
      </c>
      <c r="N26" s="32" t="n">
        <f aca="false">N21*(1+Supuestos!$E$7*Supuestos!$E$8)*Supuestos!$E$56</f>
        <v>36.7129102195151</v>
      </c>
      <c r="O26" s="32" t="n">
        <f aca="false">O21*(1+Supuestos!$E$7*Supuestos!$E$8)*Supuestos!$E$56</f>
        <v>37.6448817601903</v>
      </c>
      <c r="P26" s="32" t="n">
        <f aca="false">P21*(1+Supuestos!$E$7*Supuestos!$E$8)*Supuestos!$E$56</f>
        <v>37.8391734699635</v>
      </c>
      <c r="Q26" s="32" t="n">
        <f aca="false">Q21*(1+Supuestos!$E$7*Supuestos!$E$8)*Supuestos!$E$56</f>
        <v>38.0218076771503</v>
      </c>
      <c r="R26" s="32" t="n">
        <f aca="false">R21*(1+Supuestos!$E$7*Supuestos!$E$8)*Supuestos!$E$56</f>
        <v>38.1934838319059</v>
      </c>
      <c r="S26" s="32" t="n">
        <f aca="false">S21*(1+Supuestos!$E$7*Supuestos!$E$8)*Supuestos!$E$56</f>
        <v>38.3548594173762</v>
      </c>
      <c r="T26" s="32" t="n">
        <f aca="false">T21*(1+Supuestos!$E$7*Supuestos!$E$8)*Supuestos!$E$56</f>
        <v>38.5065524677182</v>
      </c>
      <c r="U26" s="32" t="n">
        <f aca="false">U21*(1+Supuestos!$E$7*Supuestos!$E$8)*Supuestos!$E$56</f>
        <v>38.6491439350397</v>
      </c>
      <c r="V26" s="32" t="n">
        <f aca="false">V21*(1+Supuestos!$E$7*Supuestos!$E$8)*Supuestos!$E$56</f>
        <v>38.783179914322</v>
      </c>
      <c r="W26" s="32" t="n">
        <f aca="false">W21*(1+Supuestos!$E$7*Supuestos!$E$8)*Supuestos!$E$56</f>
        <v>38.9091737348473</v>
      </c>
      <c r="X26" s="32" t="n">
        <f aca="false">X21*(1+Supuestos!$E$7*Supuestos!$E$8)*Supuestos!$E$56</f>
        <v>39.027607926141</v>
      </c>
      <c r="Y26" s="32" t="n">
        <f aca="false">Y21*(1+Supuestos!$E$7*Supuestos!$E$8)*Supuestos!$E$56</f>
        <v>39.1389360659572</v>
      </c>
      <c r="Z26" s="32" t="n">
        <f aca="false">Z21*(1+Supuestos!$E$7*Supuestos!$E$8)*Supuestos!$E$56</f>
        <v>39.2435845173844</v>
      </c>
      <c r="AA26" s="32" t="n">
        <f aca="false">AA21*(1+Supuestos!$E$7*Supuestos!$E$8)*Supuestos!$E$56</f>
        <v>39.3419540617259</v>
      </c>
      <c r="AB26" s="32" t="n">
        <f aca="false">AB21*(1+Supuestos!$E$7*Supuestos!$E$8)*Supuestos!$E$56</f>
        <v>39.434421433407</v>
      </c>
      <c r="AC26" s="32" t="n">
        <f aca="false">AC21*(1+Supuestos!$E$7*Supuestos!$E$8)*Supuestos!$E$56</f>
        <v>39.5213407627872</v>
      </c>
      <c r="AD26" s="32" t="n">
        <f aca="false">AD21*(1+Supuestos!$E$7*Supuestos!$E$8)*Supuestos!$E$56</f>
        <v>39.6030449324046</v>
      </c>
      <c r="AE26" s="32" t="n">
        <f aca="false">AE21*(1+Supuestos!$E$7*Supuestos!$E$8)*Supuestos!$E$56</f>
        <v>39.6798468518449</v>
      </c>
      <c r="AF26" s="32" t="n">
        <f aca="false">AF21*(1+Supuestos!$E$7*Supuestos!$E$8)*Supuestos!$E$56</f>
        <v>39.7520406561188</v>
      </c>
      <c r="AG26" s="32" t="n">
        <f aca="false">AG21*(1+Supuestos!$E$7*Supuestos!$E$8)*Supuestos!$E$56</f>
        <v>39.8199028321363</v>
      </c>
      <c r="AH26" s="32" t="n">
        <f aca="false">AH21*(1+Supuestos!$E$7*Supuestos!$E$8)*Supuestos!$E$56</f>
        <v>39.8836932775927</v>
      </c>
      <c r="AI26" s="32" t="n">
        <f aca="false">AI21*(1+Supuestos!$E$7*Supuestos!$E$8)*Supuestos!$E$56</f>
        <v>39.9436562963218</v>
      </c>
      <c r="AJ26" s="32" t="n">
        <f aca="false">AJ21*(1+Supuestos!$E$7*Supuestos!$E$8)*Supuestos!$E$56</f>
        <v>40.0000215339271</v>
      </c>
      <c r="AK26" s="32" t="n">
        <f aca="false">AK21*(1+Supuestos!$E$7*Supuestos!$E$8)*Supuestos!$E$56</f>
        <v>40.0530048572761</v>
      </c>
      <c r="AL26" s="32" t="n">
        <f aca="false">AL21*(1+Supuestos!$E$7*Supuestos!$E$8)*Supuestos!$E$56</f>
        <v>40.1028091812241</v>
      </c>
      <c r="AM26" s="32" t="n">
        <f aca="false">AM21*(1+Supuestos!$E$7*Supuestos!$E$8)*Supuestos!$E$56</f>
        <v>40.1496252457353</v>
      </c>
    </row>
    <row r="27" customFormat="false" ht="15" hidden="false" customHeight="false" outlineLevel="0" collapsed="false">
      <c r="B27" s="4" t="s">
        <v>497</v>
      </c>
      <c r="D27" s="32" t="n">
        <f aca="false">SUM(D23:D26)</f>
        <v>126.377176776065</v>
      </c>
      <c r="E27" s="32" t="n">
        <f aca="false">SUM(E23:E26)</f>
        <v>198.320370500397</v>
      </c>
      <c r="F27" s="32" t="n">
        <f aca="false">SUM(F23:F26)</f>
        <v>267.964595236616</v>
      </c>
      <c r="G27" s="32" t="n">
        <f aca="false">SUM(G23:G26)</f>
        <v>335.433486494374</v>
      </c>
      <c r="H27" s="32" t="n">
        <f aca="false">SUM(H23:H26)</f>
        <v>400.843833757927</v>
      </c>
      <c r="I27" s="32" t="n">
        <f aca="false">SUM(I23:I26)</f>
        <v>464.305968363457</v>
      </c>
      <c r="J27" s="32" t="n">
        <f aca="false">SUM(J23:J26)</f>
        <v>501.533950091274</v>
      </c>
      <c r="K27" s="32" t="n">
        <f aca="false">SUM(K23:K26)</f>
        <v>527.003966459923</v>
      </c>
      <c r="L27" s="32" t="n">
        <f aca="false">SUM(L23:L26)</f>
        <v>551.381341194833</v>
      </c>
      <c r="M27" s="32" t="n">
        <f aca="false">SUM(M23:M26)</f>
        <v>567.472310321045</v>
      </c>
      <c r="N27" s="32" t="n">
        <f aca="false">SUM(N23:N26)</f>
        <v>582.597821299684</v>
      </c>
      <c r="O27" s="32" t="n">
        <f aca="false">SUM(O23:O26)</f>
        <v>596.815801619605</v>
      </c>
      <c r="P27" s="32" t="n">
        <f aca="false">SUM(P23:P26)</f>
        <v>599.779878938831</v>
      </c>
      <c r="Q27" s="32" t="n">
        <f aca="false">SUM(Q23:Q26)</f>
        <v>602.566111618903</v>
      </c>
      <c r="R27" s="32" t="n">
        <f aca="false">SUM(R23:R26)</f>
        <v>605.18517033817</v>
      </c>
      <c r="S27" s="32" t="n">
        <f aca="false">SUM(S23:S26)</f>
        <v>607.647085534282</v>
      </c>
      <c r="T27" s="32" t="n">
        <f aca="false">SUM(T23:T26)</f>
        <v>609.961285818627</v>
      </c>
      <c r="U27" s="32" t="n">
        <f aca="false">SUM(U23:U26)</f>
        <v>612.136634085911</v>
      </c>
      <c r="V27" s="32" t="n">
        <f aca="false">SUM(V23:V26)</f>
        <v>614.181461457158</v>
      </c>
      <c r="W27" s="32" t="n">
        <f aca="false">SUM(W23:W26)</f>
        <v>616.10359918613</v>
      </c>
      <c r="X27" s="32" t="n">
        <f aca="false">SUM(X23:X26)</f>
        <v>617.910408651364</v>
      </c>
      <c r="Y27" s="32" t="n">
        <f aca="false">SUM(Y23:Y26)</f>
        <v>619.608809548684</v>
      </c>
      <c r="Z27" s="32" t="n">
        <f aca="false">SUM(Z23:Z26)</f>
        <v>621.205306392165</v>
      </c>
      <c r="AA27" s="32" t="n">
        <f aca="false">SUM(AA23:AA26)</f>
        <v>622.706013425037</v>
      </c>
      <c r="AB27" s="32" t="n">
        <f aca="false">SUM(AB23:AB26)</f>
        <v>624.116678035936</v>
      </c>
      <c r="AC27" s="32" t="n">
        <f aca="false">SUM(AC23:AC26)</f>
        <v>625.442702770182</v>
      </c>
      <c r="AD27" s="32" t="n">
        <f aca="false">SUM(AD23:AD26)</f>
        <v>626.689166020373</v>
      </c>
      <c r="AE27" s="32" t="n">
        <f aca="false">SUM(AE23:AE26)</f>
        <v>627.860841475552</v>
      </c>
      <c r="AF27" s="32" t="n">
        <f aca="false">SUM(AF23:AF26)</f>
        <v>628.962216403421</v>
      </c>
      <c r="AG27" s="32" t="n">
        <f aca="false">SUM(AG23:AG26)</f>
        <v>629.997508835617</v>
      </c>
      <c r="AH27" s="32" t="n">
        <f aca="false">SUM(AH23:AH26)</f>
        <v>630.970683721882</v>
      </c>
      <c r="AI27" s="32" t="n">
        <f aca="false">SUM(AI23:AI26)</f>
        <v>631.885468114971</v>
      </c>
      <c r="AJ27" s="32" t="n">
        <f aca="false">SUM(AJ23:AJ26)</f>
        <v>632.745365444474</v>
      </c>
      <c r="AK27" s="32" t="n">
        <f aca="false">SUM(AK23:AK26)</f>
        <v>633.553668934208</v>
      </c>
      <c r="AL27" s="32" t="n">
        <f aca="false">SUM(AL23:AL26)</f>
        <v>634.313474214557</v>
      </c>
      <c r="AM27" s="32" t="n">
        <f aca="false">SUM(AM23:AM26)</f>
        <v>635.027691178085</v>
      </c>
    </row>
    <row r="28" customFormat="false" ht="15" hidden="false" customHeight="false" outlineLevel="0" collapsed="false">
      <c r="B28" s="13" t="s">
        <v>498</v>
      </c>
      <c r="D28" s="32" t="n">
        <f aca="false">D21-D27</f>
        <v>419.766644890484</v>
      </c>
      <c r="E28" s="32" t="n">
        <f aca="false">E21-E27</f>
        <v>649.268979762135</v>
      </c>
      <c r="F28" s="32" t="n">
        <f aca="false">F21-F27</f>
        <v>871.687766075808</v>
      </c>
      <c r="G28" s="32" t="n">
        <f aca="false">G21-G27</f>
        <v>1087.41766991499</v>
      </c>
      <c r="H28" s="32" t="n">
        <f aca="false">H21-H27</f>
        <v>1296.83089127135</v>
      </c>
      <c r="I28" s="32" t="n">
        <f aca="false">I21-I27</f>
        <v>1500.27846345533</v>
      </c>
      <c r="J28" s="32" t="n">
        <f aca="false">J21-J27</f>
        <v>1631.22087780551</v>
      </c>
      <c r="K28" s="32" t="n">
        <f aca="false">K21-K27</f>
        <v>1735.59689007437</v>
      </c>
      <c r="L28" s="32" t="n">
        <f aca="false">L21-L27</f>
        <v>1836.1329442987</v>
      </c>
      <c r="M28" s="32" t="n">
        <f aca="false">M21-M27</f>
        <v>1892.68272643449</v>
      </c>
      <c r="N28" s="32" t="n">
        <f aca="false">N21-N27</f>
        <v>1945.83952164212</v>
      </c>
      <c r="O28" s="32" t="n">
        <f aca="false">O21-O27</f>
        <v>1995.8069091373</v>
      </c>
      <c r="P28" s="32" t="n">
        <f aca="false">P21-P27</f>
        <v>2006.22380356554</v>
      </c>
      <c r="Q28" s="32" t="n">
        <f aca="false">Q21-Q27</f>
        <v>2016.01568432809</v>
      </c>
      <c r="R28" s="32" t="n">
        <f aca="false">R21-R27</f>
        <v>2025.22005224488</v>
      </c>
      <c r="S28" s="32" t="n">
        <f aca="false">S21-S27</f>
        <v>2033.87215808667</v>
      </c>
      <c r="T28" s="32" t="n">
        <f aca="false">T21-T27</f>
        <v>2042.00513757794</v>
      </c>
      <c r="U28" s="32" t="n">
        <f aca="false">U21-U27</f>
        <v>2049.65013829975</v>
      </c>
      <c r="V28" s="32" t="n">
        <f aca="false">V21-V27</f>
        <v>2056.83643897824</v>
      </c>
      <c r="W28" s="32" t="n">
        <f aca="false">W21-W27</f>
        <v>2063.59156161602</v>
      </c>
      <c r="X28" s="32" t="n">
        <f aca="false">X21-X27</f>
        <v>2069.94137689554</v>
      </c>
      <c r="Y28" s="32" t="n">
        <f aca="false">Y21-Y27</f>
        <v>2075.91020325828</v>
      </c>
      <c r="Z28" s="32" t="n">
        <f aca="false">Z21-Z27</f>
        <v>2081.52090003927</v>
      </c>
      <c r="AA28" s="32" t="n">
        <f aca="false">AA21-AA27</f>
        <v>2086.79495501339</v>
      </c>
      <c r="AB28" s="32" t="n">
        <f aca="false">AB21-AB27</f>
        <v>2091.75256668906</v>
      </c>
      <c r="AC28" s="32" t="n">
        <f aca="false">AC21-AC27</f>
        <v>2096.4127216642</v>
      </c>
      <c r="AD28" s="32" t="n">
        <f aca="false">AD21-AD27</f>
        <v>2100.79326734082</v>
      </c>
      <c r="AE28" s="32" t="n">
        <f aca="false">AE21-AE27</f>
        <v>2104.91098027685</v>
      </c>
      <c r="AF28" s="32" t="n">
        <f aca="false">AF21-AF27</f>
        <v>2108.78163043672</v>
      </c>
      <c r="AG28" s="32" t="n">
        <f aca="false">AG21-AG27</f>
        <v>2112.42004158699</v>
      </c>
      <c r="AH28" s="32" t="n">
        <f aca="false">AH21-AH27</f>
        <v>2115.84014806825</v>
      </c>
      <c r="AI28" s="32" t="n">
        <f aca="false">AI21-AI27</f>
        <v>2119.05504816063</v>
      </c>
      <c r="AJ28" s="32" t="n">
        <f aca="false">AJ21-AJ27</f>
        <v>2122.07705424747</v>
      </c>
      <c r="AK28" s="32" t="n">
        <f aca="false">AK21-AK27</f>
        <v>2124.9177399691</v>
      </c>
      <c r="AL28" s="32" t="n">
        <f aca="false">AL21-AL27</f>
        <v>2127.58798454744</v>
      </c>
      <c r="AM28" s="32" t="n">
        <f aca="false">AM21-AM27</f>
        <v>2130.09801445107</v>
      </c>
    </row>
    <row r="29" customFormat="false" ht="15" hidden="false" customHeight="false" outlineLevel="0" collapsed="false">
      <c r="B29" s="21" t="s">
        <v>499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</row>
    <row r="30" customFormat="false" ht="15" hidden="false" customHeight="false" outlineLevel="0" collapsed="false">
      <c r="B30" s="4" t="s">
        <v>500</v>
      </c>
      <c r="D30" s="32" t="n">
        <f aca="false">Supuestos!$E$58*Supuestos!$E$59</f>
        <v>1104.8</v>
      </c>
      <c r="E30" s="32" t="n">
        <f aca="false">Supuestos!$E$58*Supuestos!$E$59</f>
        <v>1104.8</v>
      </c>
      <c r="F30" s="32" t="n">
        <f aca="false">Supuestos!$E$58*Supuestos!$E$59</f>
        <v>1104.8</v>
      </c>
      <c r="G30" s="32" t="n">
        <f aca="false">Supuestos!$E$58*Supuestos!$E$59</f>
        <v>1104.8</v>
      </c>
      <c r="H30" s="32" t="n">
        <f aca="false">Supuestos!$E$58*Supuestos!$E$59</f>
        <v>1104.8</v>
      </c>
      <c r="I30" s="32" t="n">
        <f aca="false">Supuestos!$E$58*Supuestos!$E$59</f>
        <v>1104.8</v>
      </c>
      <c r="J30" s="32" t="n">
        <f aca="false">Supuestos!$E$58*Supuestos!$E$59</f>
        <v>1104.8</v>
      </c>
      <c r="K30" s="32" t="n">
        <f aca="false">Supuestos!$E$58*Supuestos!$E$59</f>
        <v>1104.8</v>
      </c>
      <c r="L30" s="32" t="n">
        <f aca="false">Supuestos!$E$58*Supuestos!$E$59</f>
        <v>1104.8</v>
      </c>
      <c r="M30" s="32" t="n">
        <f aca="false">Supuestos!$E$58*Supuestos!$E$59</f>
        <v>1104.8</v>
      </c>
      <c r="N30" s="32" t="n">
        <f aca="false">Supuestos!$E$58*Supuestos!$E$59</f>
        <v>1104.8</v>
      </c>
      <c r="O30" s="32" t="n">
        <f aca="false">Supuestos!$E$58*Supuestos!$E$59</f>
        <v>1104.8</v>
      </c>
      <c r="P30" s="32" t="n">
        <f aca="false">Supuestos!$E$58*Supuestos!$E$59</f>
        <v>1104.8</v>
      </c>
      <c r="Q30" s="32" t="n">
        <f aca="false">Supuestos!$E$58*Supuestos!$E$59</f>
        <v>1104.8</v>
      </c>
      <c r="R30" s="32" t="n">
        <f aca="false">Supuestos!$E$58*Supuestos!$E$59</f>
        <v>1104.8</v>
      </c>
      <c r="S30" s="32" t="n">
        <f aca="false">Supuestos!$E$58*Supuestos!$E$59</f>
        <v>1104.8</v>
      </c>
      <c r="T30" s="32" t="n">
        <f aca="false">Supuestos!$E$58*Supuestos!$E$59</f>
        <v>1104.8</v>
      </c>
      <c r="U30" s="32" t="n">
        <f aca="false">Supuestos!$E$58*Supuestos!$E$59</f>
        <v>1104.8</v>
      </c>
      <c r="V30" s="32" t="n">
        <f aca="false">Supuestos!$E$58*Supuestos!$E$59</f>
        <v>1104.8</v>
      </c>
      <c r="W30" s="32" t="n">
        <f aca="false">Supuestos!$E$58*Supuestos!$E$59</f>
        <v>1104.8</v>
      </c>
      <c r="X30" s="32" t="n">
        <f aca="false">Supuestos!$E$58*Supuestos!$E$59</f>
        <v>1104.8</v>
      </c>
      <c r="Y30" s="32" t="n">
        <f aca="false">Supuestos!$E$58*Supuestos!$E$59</f>
        <v>1104.8</v>
      </c>
      <c r="Z30" s="32" t="n">
        <f aca="false">Supuestos!$E$58*Supuestos!$E$59</f>
        <v>1104.8</v>
      </c>
      <c r="AA30" s="32" t="n">
        <f aca="false">Supuestos!$E$58*Supuestos!$E$59</f>
        <v>1104.8</v>
      </c>
      <c r="AB30" s="32" t="n">
        <f aca="false">Supuestos!$E$58*Supuestos!$E$59</f>
        <v>1104.8</v>
      </c>
      <c r="AC30" s="32" t="n">
        <f aca="false">Supuestos!$E$58*Supuestos!$E$59</f>
        <v>1104.8</v>
      </c>
      <c r="AD30" s="32" t="n">
        <f aca="false">Supuestos!$E$58*Supuestos!$E$59</f>
        <v>1104.8</v>
      </c>
      <c r="AE30" s="32" t="n">
        <f aca="false">Supuestos!$E$58*Supuestos!$E$59</f>
        <v>1104.8</v>
      </c>
      <c r="AF30" s="32" t="n">
        <f aca="false">Supuestos!$E$58*Supuestos!$E$59</f>
        <v>1104.8</v>
      </c>
      <c r="AG30" s="32" t="n">
        <f aca="false">Supuestos!$E$58*Supuestos!$E$59</f>
        <v>1104.8</v>
      </c>
      <c r="AH30" s="32" t="n">
        <f aca="false">Supuestos!$E$58*Supuestos!$E$59</f>
        <v>1104.8</v>
      </c>
      <c r="AI30" s="32" t="n">
        <f aca="false">Supuestos!$E$58*Supuestos!$E$59</f>
        <v>1104.8</v>
      </c>
      <c r="AJ30" s="32" t="n">
        <f aca="false">Supuestos!$E$58*Supuestos!$E$59</f>
        <v>1104.8</v>
      </c>
      <c r="AK30" s="32" t="n">
        <f aca="false">Supuestos!$E$58*Supuestos!$E$59</f>
        <v>1104.8</v>
      </c>
      <c r="AL30" s="32" t="n">
        <f aca="false">Supuestos!$E$58*Supuestos!$E$59</f>
        <v>1104.8</v>
      </c>
      <c r="AM30" s="32" t="n">
        <f aca="false">Supuestos!$E$58*Supuestos!$E$59</f>
        <v>1104.8</v>
      </c>
    </row>
    <row r="31" customFormat="false" ht="15" hidden="false" customHeight="false" outlineLevel="0" collapsed="false">
      <c r="B31" s="4" t="s">
        <v>321</v>
      </c>
      <c r="D31" s="32" t="n">
        <f aca="false">Supuestos!$E$60</f>
        <v>376.9</v>
      </c>
      <c r="E31" s="32" t="n">
        <f aca="false">Supuestos!$E$60</f>
        <v>376.9</v>
      </c>
      <c r="F31" s="32" t="n">
        <f aca="false">Supuestos!$E$60</f>
        <v>376.9</v>
      </c>
      <c r="G31" s="32" t="n">
        <f aca="false">Supuestos!$E$60</f>
        <v>376.9</v>
      </c>
      <c r="H31" s="32" t="n">
        <f aca="false">Supuestos!$E$60</f>
        <v>376.9</v>
      </c>
      <c r="I31" s="32" t="n">
        <f aca="false">Supuestos!$E$60</f>
        <v>376.9</v>
      </c>
      <c r="J31" s="32" t="n">
        <f aca="false">Supuestos!$E$60</f>
        <v>376.9</v>
      </c>
      <c r="K31" s="32" t="n">
        <f aca="false">Supuestos!$E$60</f>
        <v>376.9</v>
      </c>
      <c r="L31" s="32" t="n">
        <f aca="false">Supuestos!$E$60</f>
        <v>376.9</v>
      </c>
      <c r="M31" s="32" t="n">
        <f aca="false">Supuestos!$E$60</f>
        <v>376.9</v>
      </c>
      <c r="N31" s="32" t="n">
        <f aca="false">Supuestos!$E$60</f>
        <v>376.9</v>
      </c>
      <c r="O31" s="32" t="n">
        <f aca="false">Supuestos!$E$60</f>
        <v>376.9</v>
      </c>
      <c r="P31" s="32" t="n">
        <f aca="false">Supuestos!$E$60</f>
        <v>376.9</v>
      </c>
      <c r="Q31" s="32" t="n">
        <f aca="false">Supuestos!$E$60</f>
        <v>376.9</v>
      </c>
      <c r="R31" s="32" t="n">
        <f aca="false">Supuestos!$E$60</f>
        <v>376.9</v>
      </c>
      <c r="S31" s="32" t="n">
        <f aca="false">Supuestos!$E$60</f>
        <v>376.9</v>
      </c>
      <c r="T31" s="32" t="n">
        <f aca="false">Supuestos!$E$60</f>
        <v>376.9</v>
      </c>
      <c r="U31" s="32" t="n">
        <f aca="false">Supuestos!$E$60</f>
        <v>376.9</v>
      </c>
      <c r="V31" s="32" t="n">
        <f aca="false">Supuestos!$E$60</f>
        <v>376.9</v>
      </c>
      <c r="W31" s="32" t="n">
        <f aca="false">Supuestos!$E$60</f>
        <v>376.9</v>
      </c>
      <c r="X31" s="32" t="n">
        <f aca="false">Supuestos!$E$60</f>
        <v>376.9</v>
      </c>
      <c r="Y31" s="32" t="n">
        <f aca="false">Supuestos!$E$60</f>
        <v>376.9</v>
      </c>
      <c r="Z31" s="32" t="n">
        <f aca="false">Supuestos!$E$60</f>
        <v>376.9</v>
      </c>
      <c r="AA31" s="32" t="n">
        <f aca="false">Supuestos!$E$60</f>
        <v>376.9</v>
      </c>
      <c r="AB31" s="32" t="n">
        <f aca="false">Supuestos!$E$60</f>
        <v>376.9</v>
      </c>
      <c r="AC31" s="32" t="n">
        <f aca="false">Supuestos!$E$60</f>
        <v>376.9</v>
      </c>
      <c r="AD31" s="32" t="n">
        <f aca="false">Supuestos!$E$60</f>
        <v>376.9</v>
      </c>
      <c r="AE31" s="32" t="n">
        <f aca="false">Supuestos!$E$60</f>
        <v>376.9</v>
      </c>
      <c r="AF31" s="32" t="n">
        <f aca="false">Supuestos!$E$60</f>
        <v>376.9</v>
      </c>
      <c r="AG31" s="32" t="n">
        <f aca="false">Supuestos!$E$60</f>
        <v>376.9</v>
      </c>
      <c r="AH31" s="32" t="n">
        <f aca="false">Supuestos!$E$60</f>
        <v>376.9</v>
      </c>
      <c r="AI31" s="32" t="n">
        <f aca="false">Supuestos!$E$60</f>
        <v>376.9</v>
      </c>
      <c r="AJ31" s="32" t="n">
        <f aca="false">Supuestos!$E$60</f>
        <v>376.9</v>
      </c>
      <c r="AK31" s="32" t="n">
        <f aca="false">Supuestos!$E$60</f>
        <v>376.9</v>
      </c>
      <c r="AL31" s="32" t="n">
        <f aca="false">Supuestos!$E$60</f>
        <v>376.9</v>
      </c>
      <c r="AM31" s="32" t="n">
        <f aca="false">Supuestos!$E$60</f>
        <v>376.9</v>
      </c>
    </row>
    <row r="32" customFormat="false" ht="15" hidden="false" customHeight="false" outlineLevel="0" collapsed="false">
      <c r="B32" s="4" t="s">
        <v>324</v>
      </c>
      <c r="D32" s="32" t="n">
        <f aca="false">Supuestos!$E$61</f>
        <v>55.8</v>
      </c>
      <c r="E32" s="32" t="n">
        <f aca="false">Supuestos!$E$61</f>
        <v>55.8</v>
      </c>
      <c r="F32" s="32" t="n">
        <f aca="false">Supuestos!$E$61</f>
        <v>55.8</v>
      </c>
      <c r="G32" s="32" t="n">
        <f aca="false">Supuestos!$E$61</f>
        <v>55.8</v>
      </c>
      <c r="H32" s="32" t="n">
        <f aca="false">Supuestos!$E$61</f>
        <v>55.8</v>
      </c>
      <c r="I32" s="32" t="n">
        <f aca="false">Supuestos!$E$61</f>
        <v>55.8</v>
      </c>
      <c r="J32" s="32" t="n">
        <f aca="false">Supuestos!$E$61</f>
        <v>55.8</v>
      </c>
      <c r="K32" s="32" t="n">
        <f aca="false">Supuestos!$E$61</f>
        <v>55.8</v>
      </c>
      <c r="L32" s="32" t="n">
        <f aca="false">Supuestos!$E$61</f>
        <v>55.8</v>
      </c>
      <c r="M32" s="32" t="n">
        <f aca="false">Supuestos!$E$61</f>
        <v>55.8</v>
      </c>
      <c r="N32" s="32" t="n">
        <f aca="false">Supuestos!$E$61</f>
        <v>55.8</v>
      </c>
      <c r="O32" s="32" t="n">
        <f aca="false">Supuestos!$E$61</f>
        <v>55.8</v>
      </c>
      <c r="P32" s="32" t="n">
        <f aca="false">Supuestos!$E$61</f>
        <v>55.8</v>
      </c>
      <c r="Q32" s="32" t="n">
        <f aca="false">Supuestos!$E$61</f>
        <v>55.8</v>
      </c>
      <c r="R32" s="32" t="n">
        <f aca="false">Supuestos!$E$61</f>
        <v>55.8</v>
      </c>
      <c r="S32" s="32" t="n">
        <f aca="false">Supuestos!$E$61</f>
        <v>55.8</v>
      </c>
      <c r="T32" s="32" t="n">
        <f aca="false">Supuestos!$E$61</f>
        <v>55.8</v>
      </c>
      <c r="U32" s="32" t="n">
        <f aca="false">Supuestos!$E$61</f>
        <v>55.8</v>
      </c>
      <c r="V32" s="32" t="n">
        <f aca="false">Supuestos!$E$61</f>
        <v>55.8</v>
      </c>
      <c r="W32" s="32" t="n">
        <f aca="false">Supuestos!$E$61</f>
        <v>55.8</v>
      </c>
      <c r="X32" s="32" t="n">
        <f aca="false">Supuestos!$E$61</f>
        <v>55.8</v>
      </c>
      <c r="Y32" s="32" t="n">
        <f aca="false">Supuestos!$E$61</f>
        <v>55.8</v>
      </c>
      <c r="Z32" s="32" t="n">
        <f aca="false">Supuestos!$E$61</f>
        <v>55.8</v>
      </c>
      <c r="AA32" s="32" t="n">
        <f aca="false">Supuestos!$E$61</f>
        <v>55.8</v>
      </c>
      <c r="AB32" s="32" t="n">
        <f aca="false">Supuestos!$E$61</f>
        <v>55.8</v>
      </c>
      <c r="AC32" s="32" t="n">
        <f aca="false">Supuestos!$E$61</f>
        <v>55.8</v>
      </c>
      <c r="AD32" s="32" t="n">
        <f aca="false">Supuestos!$E$61</f>
        <v>55.8</v>
      </c>
      <c r="AE32" s="32" t="n">
        <f aca="false">Supuestos!$E$61</f>
        <v>55.8</v>
      </c>
      <c r="AF32" s="32" t="n">
        <f aca="false">Supuestos!$E$61</f>
        <v>55.8</v>
      </c>
      <c r="AG32" s="32" t="n">
        <f aca="false">Supuestos!$E$61</f>
        <v>55.8</v>
      </c>
      <c r="AH32" s="32" t="n">
        <f aca="false">Supuestos!$E$61</f>
        <v>55.8</v>
      </c>
      <c r="AI32" s="32" t="n">
        <f aca="false">Supuestos!$E$61</f>
        <v>55.8</v>
      </c>
      <c r="AJ32" s="32" t="n">
        <f aca="false">Supuestos!$E$61</f>
        <v>55.8</v>
      </c>
      <c r="AK32" s="32" t="n">
        <f aca="false">Supuestos!$E$61</f>
        <v>55.8</v>
      </c>
      <c r="AL32" s="32" t="n">
        <f aca="false">Supuestos!$E$61</f>
        <v>55.8</v>
      </c>
      <c r="AM32" s="32" t="n">
        <f aca="false">Supuestos!$E$61</f>
        <v>55.8</v>
      </c>
    </row>
    <row r="33" customFormat="false" ht="15" hidden="false" customHeight="false" outlineLevel="0" collapsed="false">
      <c r="B33" s="4" t="s">
        <v>327</v>
      </c>
      <c r="D33" s="32" t="n">
        <f aca="false">Supuestos!$E$62</f>
        <v>27.1</v>
      </c>
      <c r="E33" s="32" t="n">
        <f aca="false">Supuestos!$E$62</f>
        <v>27.1</v>
      </c>
      <c r="F33" s="32" t="n">
        <f aca="false">Supuestos!$E$62</f>
        <v>27.1</v>
      </c>
      <c r="G33" s="32" t="n">
        <f aca="false">Supuestos!$E$62</f>
        <v>27.1</v>
      </c>
      <c r="H33" s="32" t="n">
        <f aca="false">Supuestos!$E$62</f>
        <v>27.1</v>
      </c>
      <c r="I33" s="32" t="n">
        <f aca="false">Supuestos!$E$62</f>
        <v>27.1</v>
      </c>
      <c r="J33" s="32" t="n">
        <f aca="false">Supuestos!$E$62</f>
        <v>27.1</v>
      </c>
      <c r="K33" s="32" t="n">
        <f aca="false">Supuestos!$E$62</f>
        <v>27.1</v>
      </c>
      <c r="L33" s="32" t="n">
        <f aca="false">Supuestos!$E$62</f>
        <v>27.1</v>
      </c>
      <c r="M33" s="32" t="n">
        <f aca="false">Supuestos!$E$62</f>
        <v>27.1</v>
      </c>
      <c r="N33" s="32" t="n">
        <f aca="false">Supuestos!$E$62</f>
        <v>27.1</v>
      </c>
      <c r="O33" s="32" t="n">
        <f aca="false">Supuestos!$E$62</f>
        <v>27.1</v>
      </c>
      <c r="P33" s="32" t="n">
        <f aca="false">Supuestos!$E$62</f>
        <v>27.1</v>
      </c>
      <c r="Q33" s="32" t="n">
        <f aca="false">Supuestos!$E$62</f>
        <v>27.1</v>
      </c>
      <c r="R33" s="32" t="n">
        <f aca="false">Supuestos!$E$62</f>
        <v>27.1</v>
      </c>
      <c r="S33" s="32" t="n">
        <f aca="false">Supuestos!$E$62</f>
        <v>27.1</v>
      </c>
      <c r="T33" s="32" t="n">
        <f aca="false">Supuestos!$E$62</f>
        <v>27.1</v>
      </c>
      <c r="U33" s="32" t="n">
        <f aca="false">Supuestos!$E$62</f>
        <v>27.1</v>
      </c>
      <c r="V33" s="32" t="n">
        <f aca="false">Supuestos!$E$62</f>
        <v>27.1</v>
      </c>
      <c r="W33" s="32" t="n">
        <f aca="false">Supuestos!$E$62</f>
        <v>27.1</v>
      </c>
      <c r="X33" s="32" t="n">
        <f aca="false">Supuestos!$E$62</f>
        <v>27.1</v>
      </c>
      <c r="Y33" s="32" t="n">
        <f aca="false">Supuestos!$E$62</f>
        <v>27.1</v>
      </c>
      <c r="Z33" s="32" t="n">
        <f aca="false">Supuestos!$E$62</f>
        <v>27.1</v>
      </c>
      <c r="AA33" s="32" t="n">
        <f aca="false">Supuestos!$E$62</f>
        <v>27.1</v>
      </c>
      <c r="AB33" s="32" t="n">
        <f aca="false">Supuestos!$E$62</f>
        <v>27.1</v>
      </c>
      <c r="AC33" s="32" t="n">
        <f aca="false">Supuestos!$E$62</f>
        <v>27.1</v>
      </c>
      <c r="AD33" s="32" t="n">
        <f aca="false">Supuestos!$E$62</f>
        <v>27.1</v>
      </c>
      <c r="AE33" s="32" t="n">
        <f aca="false">Supuestos!$E$62</f>
        <v>27.1</v>
      </c>
      <c r="AF33" s="32" t="n">
        <f aca="false">Supuestos!$E$62</f>
        <v>27.1</v>
      </c>
      <c r="AG33" s="32" t="n">
        <f aca="false">Supuestos!$E$62</f>
        <v>27.1</v>
      </c>
      <c r="AH33" s="32" t="n">
        <f aca="false">Supuestos!$E$62</f>
        <v>27.1</v>
      </c>
      <c r="AI33" s="32" t="n">
        <f aca="false">Supuestos!$E$62</f>
        <v>27.1</v>
      </c>
      <c r="AJ33" s="32" t="n">
        <f aca="false">Supuestos!$E$62</f>
        <v>27.1</v>
      </c>
      <c r="AK33" s="32" t="n">
        <f aca="false">Supuestos!$E$62</f>
        <v>27.1</v>
      </c>
      <c r="AL33" s="32" t="n">
        <f aca="false">Supuestos!$E$62</f>
        <v>27.1</v>
      </c>
      <c r="AM33" s="32" t="n">
        <f aca="false">Supuestos!$E$62</f>
        <v>27.1</v>
      </c>
    </row>
    <row r="34" customFormat="false" ht="15" hidden="false" customHeight="false" outlineLevel="0" collapsed="false">
      <c r="B34" s="4" t="s">
        <v>501</v>
      </c>
      <c r="D34" s="32" t="n">
        <f aca="false">Supuestos!$E$63</f>
        <v>112.2</v>
      </c>
      <c r="E34" s="32" t="n">
        <f aca="false">Supuestos!$E$63</f>
        <v>112.2</v>
      </c>
      <c r="F34" s="32" t="n">
        <f aca="false">Supuestos!$E$63</f>
        <v>112.2</v>
      </c>
      <c r="G34" s="32" t="n">
        <f aca="false">Supuestos!$E$63</f>
        <v>112.2</v>
      </c>
      <c r="H34" s="32" t="n">
        <f aca="false">Supuestos!$E$63</f>
        <v>112.2</v>
      </c>
      <c r="I34" s="32" t="n">
        <f aca="false">Supuestos!$E$63</f>
        <v>112.2</v>
      </c>
      <c r="J34" s="32" t="n">
        <f aca="false">Supuestos!$E$63</f>
        <v>112.2</v>
      </c>
      <c r="K34" s="32" t="n">
        <f aca="false">Supuestos!$E$63</f>
        <v>112.2</v>
      </c>
      <c r="L34" s="32" t="n">
        <f aca="false">Supuestos!$E$63</f>
        <v>112.2</v>
      </c>
      <c r="M34" s="32" t="n">
        <f aca="false">Supuestos!$E$63</f>
        <v>112.2</v>
      </c>
      <c r="N34" s="32" t="n">
        <f aca="false">Supuestos!$E$63</f>
        <v>112.2</v>
      </c>
      <c r="O34" s="32" t="n">
        <f aca="false">Supuestos!$E$63</f>
        <v>112.2</v>
      </c>
      <c r="P34" s="32" t="n">
        <f aca="false">Supuestos!$E$63</f>
        <v>112.2</v>
      </c>
      <c r="Q34" s="32" t="n">
        <f aca="false">Supuestos!$E$63</f>
        <v>112.2</v>
      </c>
      <c r="R34" s="32" t="n">
        <f aca="false">Supuestos!$E$63</f>
        <v>112.2</v>
      </c>
      <c r="S34" s="32" t="n">
        <f aca="false">Supuestos!$E$63</f>
        <v>112.2</v>
      </c>
      <c r="T34" s="32" t="n">
        <f aca="false">Supuestos!$E$63</f>
        <v>112.2</v>
      </c>
      <c r="U34" s="32" t="n">
        <f aca="false">Supuestos!$E$63</f>
        <v>112.2</v>
      </c>
      <c r="V34" s="32" t="n">
        <f aca="false">Supuestos!$E$63</f>
        <v>112.2</v>
      </c>
      <c r="W34" s="32" t="n">
        <f aca="false">Supuestos!$E$63</f>
        <v>112.2</v>
      </c>
      <c r="X34" s="32" t="n">
        <f aca="false">Supuestos!$E$63</f>
        <v>112.2</v>
      </c>
      <c r="Y34" s="32" t="n">
        <f aca="false">Supuestos!$E$63</f>
        <v>112.2</v>
      </c>
      <c r="Z34" s="32" t="n">
        <f aca="false">Supuestos!$E$63</f>
        <v>112.2</v>
      </c>
      <c r="AA34" s="32" t="n">
        <f aca="false">Supuestos!$E$63</f>
        <v>112.2</v>
      </c>
      <c r="AB34" s="32" t="n">
        <f aca="false">Supuestos!$E$63</f>
        <v>112.2</v>
      </c>
      <c r="AC34" s="32" t="n">
        <f aca="false">Supuestos!$E$63</f>
        <v>112.2</v>
      </c>
      <c r="AD34" s="32" t="n">
        <f aca="false">Supuestos!$E$63</f>
        <v>112.2</v>
      </c>
      <c r="AE34" s="32" t="n">
        <f aca="false">Supuestos!$E$63</f>
        <v>112.2</v>
      </c>
      <c r="AF34" s="32" t="n">
        <f aca="false">Supuestos!$E$63</f>
        <v>112.2</v>
      </c>
      <c r="AG34" s="32" t="n">
        <f aca="false">Supuestos!$E$63</f>
        <v>112.2</v>
      </c>
      <c r="AH34" s="32" t="n">
        <f aca="false">Supuestos!$E$63</f>
        <v>112.2</v>
      </c>
      <c r="AI34" s="32" t="n">
        <f aca="false">Supuestos!$E$63</f>
        <v>112.2</v>
      </c>
      <c r="AJ34" s="32" t="n">
        <f aca="false">Supuestos!$E$63</f>
        <v>112.2</v>
      </c>
      <c r="AK34" s="32" t="n">
        <f aca="false">Supuestos!$E$63</f>
        <v>112.2</v>
      </c>
      <c r="AL34" s="32" t="n">
        <f aca="false">Supuestos!$E$63</f>
        <v>112.2</v>
      </c>
      <c r="AM34" s="32" t="n">
        <f aca="false">Supuestos!$E$63</f>
        <v>112.2</v>
      </c>
    </row>
    <row r="35" customFormat="false" ht="15" hidden="false" customHeight="false" outlineLevel="0" collapsed="false">
      <c r="B35" s="4" t="s">
        <v>334</v>
      </c>
      <c r="D35" s="32" t="n">
        <f aca="false">Supuestos!$E$64</f>
        <v>129</v>
      </c>
      <c r="E35" s="32" t="n">
        <f aca="false">Supuestos!$E$64</f>
        <v>129</v>
      </c>
      <c r="F35" s="32" t="n">
        <f aca="false">Supuestos!$E$64</f>
        <v>129</v>
      </c>
      <c r="G35" s="32" t="n">
        <f aca="false">Supuestos!$E$64</f>
        <v>129</v>
      </c>
      <c r="H35" s="32" t="n">
        <f aca="false">Supuestos!$E$64</f>
        <v>129</v>
      </c>
      <c r="I35" s="32" t="n">
        <f aca="false">Supuestos!$E$64</f>
        <v>129</v>
      </c>
      <c r="J35" s="32" t="n">
        <f aca="false">Supuestos!$E$64</f>
        <v>129</v>
      </c>
      <c r="K35" s="32" t="n">
        <f aca="false">Supuestos!$E$64</f>
        <v>129</v>
      </c>
      <c r="L35" s="32" t="n">
        <f aca="false">Supuestos!$E$64</f>
        <v>129</v>
      </c>
      <c r="M35" s="32" t="n">
        <f aca="false">Supuestos!$E$64</f>
        <v>129</v>
      </c>
      <c r="N35" s="32" t="n">
        <f aca="false">Supuestos!$E$64</f>
        <v>129</v>
      </c>
      <c r="O35" s="32" t="n">
        <f aca="false">Supuestos!$E$64</f>
        <v>129</v>
      </c>
      <c r="P35" s="32" t="n">
        <f aca="false">Supuestos!$E$64</f>
        <v>129</v>
      </c>
      <c r="Q35" s="32" t="n">
        <f aca="false">Supuestos!$E$64</f>
        <v>129</v>
      </c>
      <c r="R35" s="32" t="n">
        <f aca="false">Supuestos!$E$64</f>
        <v>129</v>
      </c>
      <c r="S35" s="32" t="n">
        <f aca="false">Supuestos!$E$64</f>
        <v>129</v>
      </c>
      <c r="T35" s="32" t="n">
        <f aca="false">Supuestos!$E$64</f>
        <v>129</v>
      </c>
      <c r="U35" s="32" t="n">
        <f aca="false">Supuestos!$E$64</f>
        <v>129</v>
      </c>
      <c r="V35" s="32" t="n">
        <f aca="false">Supuestos!$E$64</f>
        <v>129</v>
      </c>
      <c r="W35" s="32" t="n">
        <f aca="false">Supuestos!$E$64</f>
        <v>129</v>
      </c>
      <c r="X35" s="32" t="n">
        <f aca="false">Supuestos!$E$64</f>
        <v>129</v>
      </c>
      <c r="Y35" s="32" t="n">
        <f aca="false">Supuestos!$E$64</f>
        <v>129</v>
      </c>
      <c r="Z35" s="32" t="n">
        <f aca="false">Supuestos!$E$64</f>
        <v>129</v>
      </c>
      <c r="AA35" s="32" t="n">
        <f aca="false">Supuestos!$E$64</f>
        <v>129</v>
      </c>
      <c r="AB35" s="32" t="n">
        <f aca="false">Supuestos!$E$64</f>
        <v>129</v>
      </c>
      <c r="AC35" s="32" t="n">
        <f aca="false">Supuestos!$E$64</f>
        <v>129</v>
      </c>
      <c r="AD35" s="32" t="n">
        <f aca="false">Supuestos!$E$64</f>
        <v>129</v>
      </c>
      <c r="AE35" s="32" t="n">
        <f aca="false">Supuestos!$E$64</f>
        <v>129</v>
      </c>
      <c r="AF35" s="32" t="n">
        <f aca="false">Supuestos!$E$64</f>
        <v>129</v>
      </c>
      <c r="AG35" s="32" t="n">
        <f aca="false">Supuestos!$E$64</f>
        <v>129</v>
      </c>
      <c r="AH35" s="32" t="n">
        <f aca="false">Supuestos!$E$64</f>
        <v>129</v>
      </c>
      <c r="AI35" s="32" t="n">
        <f aca="false">Supuestos!$E$64</f>
        <v>129</v>
      </c>
      <c r="AJ35" s="32" t="n">
        <f aca="false">Supuestos!$E$64</f>
        <v>129</v>
      </c>
      <c r="AK35" s="32" t="n">
        <f aca="false">Supuestos!$E$64</f>
        <v>129</v>
      </c>
      <c r="AL35" s="32" t="n">
        <f aca="false">Supuestos!$E$64</f>
        <v>129</v>
      </c>
      <c r="AM35" s="32" t="n">
        <f aca="false">Supuestos!$E$64</f>
        <v>129</v>
      </c>
    </row>
    <row r="36" customFormat="false" ht="15" hidden="false" customHeight="false" outlineLevel="0" collapsed="false">
      <c r="B36" s="4" t="s">
        <v>337</v>
      </c>
      <c r="D36" s="32" t="n">
        <f aca="false">Supuestos!$E$65</f>
        <v>0</v>
      </c>
      <c r="E36" s="32" t="n">
        <f aca="false">Supuestos!$E$65</f>
        <v>0</v>
      </c>
      <c r="F36" s="32" t="n">
        <f aca="false">Supuestos!$E$65</f>
        <v>0</v>
      </c>
      <c r="G36" s="32" t="n">
        <f aca="false">Supuestos!$E$65</f>
        <v>0</v>
      </c>
      <c r="H36" s="32" t="n">
        <f aca="false">Supuestos!$E$65</f>
        <v>0</v>
      </c>
      <c r="I36" s="32" t="n">
        <f aca="false">Supuestos!$E$65</f>
        <v>0</v>
      </c>
      <c r="J36" s="32" t="n">
        <f aca="false">Supuestos!$E$65</f>
        <v>0</v>
      </c>
      <c r="K36" s="32" t="n">
        <f aca="false">Supuestos!$E$65</f>
        <v>0</v>
      </c>
      <c r="L36" s="32" t="n">
        <f aca="false">Supuestos!$E$65</f>
        <v>0</v>
      </c>
      <c r="M36" s="32" t="n">
        <f aca="false">Supuestos!$E$65</f>
        <v>0</v>
      </c>
      <c r="N36" s="32" t="n">
        <f aca="false">Supuestos!$E$65</f>
        <v>0</v>
      </c>
      <c r="O36" s="32" t="n">
        <f aca="false">Supuestos!$E$65</f>
        <v>0</v>
      </c>
      <c r="P36" s="32" t="n">
        <f aca="false">Supuestos!$E$65</f>
        <v>0</v>
      </c>
      <c r="Q36" s="32" t="n">
        <f aca="false">Supuestos!$E$65</f>
        <v>0</v>
      </c>
      <c r="R36" s="32" t="n">
        <f aca="false">Supuestos!$E$65</f>
        <v>0</v>
      </c>
      <c r="S36" s="32" t="n">
        <f aca="false">Supuestos!$E$65</f>
        <v>0</v>
      </c>
      <c r="T36" s="32" t="n">
        <f aca="false">Supuestos!$E$65</f>
        <v>0</v>
      </c>
      <c r="U36" s="32" t="n">
        <f aca="false">Supuestos!$E$65</f>
        <v>0</v>
      </c>
      <c r="V36" s="32" t="n">
        <f aca="false">Supuestos!$E$65</f>
        <v>0</v>
      </c>
      <c r="W36" s="32" t="n">
        <f aca="false">Supuestos!$E$65</f>
        <v>0</v>
      </c>
      <c r="X36" s="32" t="n">
        <f aca="false">Supuestos!$E$65</f>
        <v>0</v>
      </c>
      <c r="Y36" s="32" t="n">
        <f aca="false">Supuestos!$E$65</f>
        <v>0</v>
      </c>
      <c r="Z36" s="32" t="n">
        <f aca="false">Supuestos!$E$65</f>
        <v>0</v>
      </c>
      <c r="AA36" s="32" t="n">
        <f aca="false">Supuestos!$E$65</f>
        <v>0</v>
      </c>
      <c r="AB36" s="32" t="n">
        <f aca="false">Supuestos!$E$65</f>
        <v>0</v>
      </c>
      <c r="AC36" s="32" t="n">
        <f aca="false">Supuestos!$E$65</f>
        <v>0</v>
      </c>
      <c r="AD36" s="32" t="n">
        <f aca="false">Supuestos!$E$65</f>
        <v>0</v>
      </c>
      <c r="AE36" s="32" t="n">
        <f aca="false">Supuestos!$E$65</f>
        <v>0</v>
      </c>
      <c r="AF36" s="32" t="n">
        <f aca="false">Supuestos!$E$65</f>
        <v>0</v>
      </c>
      <c r="AG36" s="32" t="n">
        <f aca="false">Supuestos!$E$65</f>
        <v>0</v>
      </c>
      <c r="AH36" s="32" t="n">
        <f aca="false">Supuestos!$E$65</f>
        <v>0</v>
      </c>
      <c r="AI36" s="32" t="n">
        <f aca="false">Supuestos!$E$65</f>
        <v>0</v>
      </c>
      <c r="AJ36" s="32" t="n">
        <f aca="false">Supuestos!$E$65</f>
        <v>0</v>
      </c>
      <c r="AK36" s="32" t="n">
        <f aca="false">Supuestos!$E$65</f>
        <v>0</v>
      </c>
      <c r="AL36" s="32" t="n">
        <f aca="false">Supuestos!$E$65</f>
        <v>0</v>
      </c>
      <c r="AM36" s="32" t="n">
        <f aca="false">Supuestos!$E$65</f>
        <v>0</v>
      </c>
    </row>
    <row r="37" customFormat="false" ht="15" hidden="false" customHeight="false" outlineLevel="0" collapsed="false">
      <c r="B37" s="4" t="s">
        <v>502</v>
      </c>
      <c r="D37" s="32" t="n">
        <f aca="false">Inversion!E21*Supuestos!$E$66/12</f>
        <v>251.158133333333</v>
      </c>
      <c r="E37" s="32" t="n">
        <f aca="false">Inversion!E21*Supuestos!$E$66/12</f>
        <v>251.158133333333</v>
      </c>
      <c r="F37" s="32" t="n">
        <f aca="false">Inversion!E21*Supuestos!$E$66/12</f>
        <v>251.158133333333</v>
      </c>
      <c r="G37" s="32" t="n">
        <f aca="false">Inversion!E21*Supuestos!$E$66/12</f>
        <v>251.158133333333</v>
      </c>
      <c r="H37" s="32" t="n">
        <f aca="false">Inversion!E21*Supuestos!$E$66/12</f>
        <v>251.158133333333</v>
      </c>
      <c r="I37" s="32" t="n">
        <f aca="false">Inversion!E21*Supuestos!$E$66/12</f>
        <v>251.158133333333</v>
      </c>
      <c r="J37" s="32" t="n">
        <f aca="false">Inversion!E21*Supuestos!$E$66/12</f>
        <v>251.158133333333</v>
      </c>
      <c r="K37" s="32" t="n">
        <f aca="false">Inversion!E21*Supuestos!$E$66/12</f>
        <v>251.158133333333</v>
      </c>
      <c r="L37" s="32" t="n">
        <f aca="false">Inversion!E21*Supuestos!$E$66/12</f>
        <v>251.158133333333</v>
      </c>
      <c r="M37" s="32" t="n">
        <f aca="false">Inversion!E21*Supuestos!$E$66/12</f>
        <v>251.158133333333</v>
      </c>
      <c r="N37" s="32" t="n">
        <f aca="false">Inversion!E21*Supuestos!$E$66/12</f>
        <v>251.158133333333</v>
      </c>
      <c r="O37" s="32" t="n">
        <f aca="false">Inversion!E21*Supuestos!$E$66/12</f>
        <v>251.158133333333</v>
      </c>
      <c r="P37" s="32" t="n">
        <f aca="false">Inversion!E21*Supuestos!$E$66/12</f>
        <v>251.158133333333</v>
      </c>
      <c r="Q37" s="32" t="n">
        <f aca="false">Inversion!E21*Supuestos!$E$66/12</f>
        <v>251.158133333333</v>
      </c>
      <c r="R37" s="32" t="n">
        <f aca="false">Inversion!E21*Supuestos!$E$66/12</f>
        <v>251.158133333333</v>
      </c>
      <c r="S37" s="32" t="n">
        <f aca="false">Inversion!E21*Supuestos!$E$66/12</f>
        <v>251.158133333333</v>
      </c>
      <c r="T37" s="32" t="n">
        <f aca="false">Inversion!E21*Supuestos!$E$66/12</f>
        <v>251.158133333333</v>
      </c>
      <c r="U37" s="32" t="n">
        <f aca="false">Inversion!E21*Supuestos!$E$66/12</f>
        <v>251.158133333333</v>
      </c>
      <c r="V37" s="32" t="n">
        <f aca="false">Inversion!E21*Supuestos!$E$66/12</f>
        <v>251.158133333333</v>
      </c>
      <c r="W37" s="32" t="n">
        <f aca="false">Inversion!E21*Supuestos!$E$66/12</f>
        <v>251.158133333333</v>
      </c>
      <c r="X37" s="32" t="n">
        <f aca="false">Inversion!E21*Supuestos!$E$66/12</f>
        <v>251.158133333333</v>
      </c>
      <c r="Y37" s="32" t="n">
        <f aca="false">Inversion!E21*Supuestos!$E$66/12</f>
        <v>251.158133333333</v>
      </c>
      <c r="Z37" s="32" t="n">
        <f aca="false">Inversion!E21*Supuestos!$E$66/12</f>
        <v>251.158133333333</v>
      </c>
      <c r="AA37" s="32" t="n">
        <f aca="false">Inversion!E21*Supuestos!$E$66/12</f>
        <v>251.158133333333</v>
      </c>
      <c r="AB37" s="32" t="n">
        <f aca="false">Inversion!E21*Supuestos!$E$66/12</f>
        <v>251.158133333333</v>
      </c>
      <c r="AC37" s="32" t="n">
        <f aca="false">Inversion!E21*Supuestos!$E$66/12</f>
        <v>251.158133333333</v>
      </c>
      <c r="AD37" s="32" t="n">
        <f aca="false">Inversion!E21*Supuestos!$E$66/12</f>
        <v>251.158133333333</v>
      </c>
      <c r="AE37" s="32" t="n">
        <f aca="false">Inversion!E21*Supuestos!$E$66/12</f>
        <v>251.158133333333</v>
      </c>
      <c r="AF37" s="32" t="n">
        <f aca="false">Inversion!E21*Supuestos!$E$66/12</f>
        <v>251.158133333333</v>
      </c>
      <c r="AG37" s="32" t="n">
        <f aca="false">Inversion!E21*Supuestos!$E$66/12</f>
        <v>251.158133333333</v>
      </c>
      <c r="AH37" s="32" t="n">
        <f aca="false">Inversion!E21*Supuestos!$E$66/12</f>
        <v>251.158133333333</v>
      </c>
      <c r="AI37" s="32" t="n">
        <f aca="false">Inversion!E21*Supuestos!$E$66/12</f>
        <v>251.158133333333</v>
      </c>
      <c r="AJ37" s="32" t="n">
        <f aca="false">Inversion!E21*Supuestos!$E$66/12</f>
        <v>251.158133333333</v>
      </c>
      <c r="AK37" s="32" t="n">
        <f aca="false">Inversion!E21*Supuestos!$E$66/12</f>
        <v>251.158133333333</v>
      </c>
      <c r="AL37" s="32" t="n">
        <f aca="false">Inversion!E21*Supuestos!$E$66/12</f>
        <v>251.158133333333</v>
      </c>
      <c r="AM37" s="32" t="n">
        <f aca="false">Inversion!E21*Supuestos!$E$66/12</f>
        <v>251.158133333333</v>
      </c>
    </row>
    <row r="38" customFormat="false" ht="15" hidden="false" customHeight="false" outlineLevel="0" collapsed="false">
      <c r="B38" s="4" t="s">
        <v>503</v>
      </c>
      <c r="D38" s="32" t="n">
        <f aca="false">Supuestos!$E$67+Supuestos!$E$68</f>
        <v>550</v>
      </c>
      <c r="E38" s="32" t="n">
        <f aca="false">Supuestos!$E$67+Supuestos!$E$68</f>
        <v>550</v>
      </c>
      <c r="F38" s="32" t="n">
        <f aca="false">Supuestos!$E$67+Supuestos!$E$68</f>
        <v>550</v>
      </c>
      <c r="G38" s="32" t="n">
        <f aca="false">Supuestos!$E$67+Supuestos!$E$68</f>
        <v>550</v>
      </c>
      <c r="H38" s="32" t="n">
        <f aca="false">Supuestos!$E$67+Supuestos!$E$68</f>
        <v>550</v>
      </c>
      <c r="I38" s="32" t="n">
        <f aca="false">Supuestos!$E$67+Supuestos!$E$68</f>
        <v>550</v>
      </c>
      <c r="J38" s="32" t="n">
        <f aca="false">Supuestos!$E$67+Supuestos!$E$68</f>
        <v>550</v>
      </c>
      <c r="K38" s="32" t="n">
        <f aca="false">Supuestos!$E$67+Supuestos!$E$68</f>
        <v>550</v>
      </c>
      <c r="L38" s="32" t="n">
        <f aca="false">Supuestos!$E$67+Supuestos!$E$68</f>
        <v>550</v>
      </c>
      <c r="M38" s="32" t="n">
        <f aca="false">Supuestos!$E$67+Supuestos!$E$68</f>
        <v>550</v>
      </c>
      <c r="N38" s="32" t="n">
        <f aca="false">Supuestos!$E$67+Supuestos!$E$68</f>
        <v>550</v>
      </c>
      <c r="O38" s="32" t="n">
        <f aca="false">Supuestos!$E$67+Supuestos!$E$68</f>
        <v>550</v>
      </c>
      <c r="P38" s="32" t="n">
        <f aca="false">Supuestos!$E$67+Supuestos!$E$68</f>
        <v>550</v>
      </c>
      <c r="Q38" s="32" t="n">
        <f aca="false">Supuestos!$E$67+Supuestos!$E$68</f>
        <v>550</v>
      </c>
      <c r="R38" s="32" t="n">
        <f aca="false">Supuestos!$E$67+Supuestos!$E$68</f>
        <v>550</v>
      </c>
      <c r="S38" s="32" t="n">
        <f aca="false">Supuestos!$E$67+Supuestos!$E$68</f>
        <v>550</v>
      </c>
      <c r="T38" s="32" t="n">
        <f aca="false">Supuestos!$E$67+Supuestos!$E$68</f>
        <v>550</v>
      </c>
      <c r="U38" s="32" t="n">
        <f aca="false">Supuestos!$E$67+Supuestos!$E$68</f>
        <v>550</v>
      </c>
      <c r="V38" s="32" t="n">
        <f aca="false">Supuestos!$E$67+Supuestos!$E$68</f>
        <v>550</v>
      </c>
      <c r="W38" s="32" t="n">
        <f aca="false">Supuestos!$E$67+Supuestos!$E$68</f>
        <v>550</v>
      </c>
      <c r="X38" s="32" t="n">
        <f aca="false">Supuestos!$E$67+Supuestos!$E$68</f>
        <v>550</v>
      </c>
      <c r="Y38" s="32" t="n">
        <f aca="false">Supuestos!$E$67+Supuestos!$E$68</f>
        <v>550</v>
      </c>
      <c r="Z38" s="32" t="n">
        <f aca="false">Supuestos!$E$67+Supuestos!$E$68</f>
        <v>550</v>
      </c>
      <c r="AA38" s="32" t="n">
        <f aca="false">Supuestos!$E$67+Supuestos!$E$68</f>
        <v>550</v>
      </c>
      <c r="AB38" s="32" t="n">
        <f aca="false">Supuestos!$E$67+Supuestos!$E$68</f>
        <v>550</v>
      </c>
      <c r="AC38" s="32" t="n">
        <f aca="false">Supuestos!$E$67+Supuestos!$E$68</f>
        <v>550</v>
      </c>
      <c r="AD38" s="32" t="n">
        <f aca="false">Supuestos!$E$67+Supuestos!$E$68</f>
        <v>550</v>
      </c>
      <c r="AE38" s="32" t="n">
        <f aca="false">Supuestos!$E$67+Supuestos!$E$68</f>
        <v>550</v>
      </c>
      <c r="AF38" s="32" t="n">
        <f aca="false">Supuestos!$E$67+Supuestos!$E$68</f>
        <v>550</v>
      </c>
      <c r="AG38" s="32" t="n">
        <f aca="false">Supuestos!$E$67+Supuestos!$E$68</f>
        <v>550</v>
      </c>
      <c r="AH38" s="32" t="n">
        <f aca="false">Supuestos!$E$67+Supuestos!$E$68</f>
        <v>550</v>
      </c>
      <c r="AI38" s="32" t="n">
        <f aca="false">Supuestos!$E$67+Supuestos!$E$68</f>
        <v>550</v>
      </c>
      <c r="AJ38" s="32" t="n">
        <f aca="false">Supuestos!$E$67+Supuestos!$E$68</f>
        <v>550</v>
      </c>
      <c r="AK38" s="32" t="n">
        <f aca="false">Supuestos!$E$67+Supuestos!$E$68</f>
        <v>550</v>
      </c>
      <c r="AL38" s="32" t="n">
        <f aca="false">Supuestos!$E$67+Supuestos!$E$68</f>
        <v>550</v>
      </c>
      <c r="AM38" s="32" t="n">
        <f aca="false">Supuestos!$E$67+Supuestos!$E$68</f>
        <v>550</v>
      </c>
    </row>
    <row r="39" customFormat="false" ht="15" hidden="false" customHeight="false" outlineLevel="0" collapsed="false">
      <c r="B39" s="4" t="s">
        <v>504</v>
      </c>
      <c r="D39" s="32" t="n">
        <f aca="false">SUM(D30:D38)*Supuestos!$E$69</f>
        <v>130.347906666667</v>
      </c>
      <c r="E39" s="32" t="n">
        <f aca="false">SUM(E30:E38)*Supuestos!$E$69</f>
        <v>130.347906666667</v>
      </c>
      <c r="F39" s="32" t="n">
        <f aca="false">SUM(F30:F38)*Supuestos!$E$69</f>
        <v>130.347906666667</v>
      </c>
      <c r="G39" s="32" t="n">
        <f aca="false">SUM(G30:G38)*Supuestos!$E$69</f>
        <v>130.347906666667</v>
      </c>
      <c r="H39" s="32" t="n">
        <f aca="false">SUM(H30:H38)*Supuestos!$E$69</f>
        <v>130.347906666667</v>
      </c>
      <c r="I39" s="32" t="n">
        <f aca="false">SUM(I30:I38)*Supuestos!$E$69</f>
        <v>130.347906666667</v>
      </c>
      <c r="J39" s="32" t="n">
        <f aca="false">SUM(J30:J38)*Supuestos!$E$69</f>
        <v>130.347906666667</v>
      </c>
      <c r="K39" s="32" t="n">
        <f aca="false">SUM(K30:K38)*Supuestos!$E$69</f>
        <v>130.347906666667</v>
      </c>
      <c r="L39" s="32" t="n">
        <f aca="false">SUM(L30:L38)*Supuestos!$E$69</f>
        <v>130.347906666667</v>
      </c>
      <c r="M39" s="32" t="n">
        <f aca="false">SUM(M30:M38)*Supuestos!$E$69</f>
        <v>130.347906666667</v>
      </c>
      <c r="N39" s="32" t="n">
        <f aca="false">SUM(N30:N38)*Supuestos!$E$69</f>
        <v>130.347906666667</v>
      </c>
      <c r="O39" s="32" t="n">
        <f aca="false">SUM(O30:O38)*Supuestos!$E$69</f>
        <v>130.347906666667</v>
      </c>
      <c r="P39" s="32" t="n">
        <f aca="false">SUM(P30:P38)*Supuestos!$E$69</f>
        <v>130.347906666667</v>
      </c>
      <c r="Q39" s="32" t="n">
        <f aca="false">SUM(Q30:Q38)*Supuestos!$E$69</f>
        <v>130.347906666667</v>
      </c>
      <c r="R39" s="32" t="n">
        <f aca="false">SUM(R30:R38)*Supuestos!$E$69</f>
        <v>130.347906666667</v>
      </c>
      <c r="S39" s="32" t="n">
        <f aca="false">SUM(S30:S38)*Supuestos!$E$69</f>
        <v>130.347906666667</v>
      </c>
      <c r="T39" s="32" t="n">
        <f aca="false">SUM(T30:T38)*Supuestos!$E$69</f>
        <v>130.347906666667</v>
      </c>
      <c r="U39" s="32" t="n">
        <f aca="false">SUM(U30:U38)*Supuestos!$E$69</f>
        <v>130.347906666667</v>
      </c>
      <c r="V39" s="32" t="n">
        <f aca="false">SUM(V30:V38)*Supuestos!$E$69</f>
        <v>130.347906666667</v>
      </c>
      <c r="W39" s="32" t="n">
        <f aca="false">SUM(W30:W38)*Supuestos!$E$69</f>
        <v>130.347906666667</v>
      </c>
      <c r="X39" s="32" t="n">
        <f aca="false">SUM(X30:X38)*Supuestos!$E$69</f>
        <v>130.347906666667</v>
      </c>
      <c r="Y39" s="32" t="n">
        <f aca="false">SUM(Y30:Y38)*Supuestos!$E$69</f>
        <v>130.347906666667</v>
      </c>
      <c r="Z39" s="32" t="n">
        <f aca="false">SUM(Z30:Z38)*Supuestos!$E$69</f>
        <v>130.347906666667</v>
      </c>
      <c r="AA39" s="32" t="n">
        <f aca="false">SUM(AA30:AA38)*Supuestos!$E$69</f>
        <v>130.347906666667</v>
      </c>
      <c r="AB39" s="32" t="n">
        <f aca="false">SUM(AB30:AB38)*Supuestos!$E$69</f>
        <v>130.347906666667</v>
      </c>
      <c r="AC39" s="32" t="n">
        <f aca="false">SUM(AC30:AC38)*Supuestos!$E$69</f>
        <v>130.347906666667</v>
      </c>
      <c r="AD39" s="32" t="n">
        <f aca="false">SUM(AD30:AD38)*Supuestos!$E$69</f>
        <v>130.347906666667</v>
      </c>
      <c r="AE39" s="32" t="n">
        <f aca="false">SUM(AE30:AE38)*Supuestos!$E$69</f>
        <v>130.347906666667</v>
      </c>
      <c r="AF39" s="32" t="n">
        <f aca="false">SUM(AF30:AF38)*Supuestos!$E$69</f>
        <v>130.347906666667</v>
      </c>
      <c r="AG39" s="32" t="n">
        <f aca="false">SUM(AG30:AG38)*Supuestos!$E$69</f>
        <v>130.347906666667</v>
      </c>
      <c r="AH39" s="32" t="n">
        <f aca="false">SUM(AH30:AH38)*Supuestos!$E$69</f>
        <v>130.347906666667</v>
      </c>
      <c r="AI39" s="32" t="n">
        <f aca="false">SUM(AI30:AI38)*Supuestos!$E$69</f>
        <v>130.347906666667</v>
      </c>
      <c r="AJ39" s="32" t="n">
        <f aca="false">SUM(AJ30:AJ38)*Supuestos!$E$69</f>
        <v>130.347906666667</v>
      </c>
      <c r="AK39" s="32" t="n">
        <f aca="false">SUM(AK30:AK38)*Supuestos!$E$69</f>
        <v>130.347906666667</v>
      </c>
      <c r="AL39" s="32" t="n">
        <f aca="false">SUM(AL30:AL38)*Supuestos!$E$69</f>
        <v>130.347906666667</v>
      </c>
      <c r="AM39" s="32" t="n">
        <f aca="false">SUM(AM30:AM38)*Supuestos!$E$69</f>
        <v>130.347906666667</v>
      </c>
    </row>
    <row r="40" customFormat="false" ht="15" hidden="false" customHeight="false" outlineLevel="0" collapsed="false">
      <c r="B40" s="13" t="s">
        <v>505</v>
      </c>
      <c r="D40" s="32" t="n">
        <f aca="false">SUM(D30:D39)</f>
        <v>2737.30604</v>
      </c>
      <c r="E40" s="32" t="n">
        <f aca="false">SUM(E30:E39)</f>
        <v>2737.30604</v>
      </c>
      <c r="F40" s="32" t="n">
        <f aca="false">SUM(F30:F39)</f>
        <v>2737.30604</v>
      </c>
      <c r="G40" s="32" t="n">
        <f aca="false">SUM(G30:G39)</f>
        <v>2737.30604</v>
      </c>
      <c r="H40" s="32" t="n">
        <f aca="false">SUM(H30:H39)</f>
        <v>2737.30604</v>
      </c>
      <c r="I40" s="32" t="n">
        <f aca="false">SUM(I30:I39)</f>
        <v>2737.30604</v>
      </c>
      <c r="J40" s="32" t="n">
        <f aca="false">SUM(J30:J39)</f>
        <v>2737.30604</v>
      </c>
      <c r="K40" s="32" t="n">
        <f aca="false">SUM(K30:K39)</f>
        <v>2737.30604</v>
      </c>
      <c r="L40" s="32" t="n">
        <f aca="false">SUM(L30:L39)</f>
        <v>2737.30604</v>
      </c>
      <c r="M40" s="32" t="n">
        <f aca="false">SUM(M30:M39)</f>
        <v>2737.30604</v>
      </c>
      <c r="N40" s="32" t="n">
        <f aca="false">SUM(N30:N39)</f>
        <v>2737.30604</v>
      </c>
      <c r="O40" s="32" t="n">
        <f aca="false">SUM(O30:O39)</f>
        <v>2737.30604</v>
      </c>
      <c r="P40" s="32" t="n">
        <f aca="false">SUM(P30:P39)</f>
        <v>2737.30604</v>
      </c>
      <c r="Q40" s="32" t="n">
        <f aca="false">SUM(Q30:Q39)</f>
        <v>2737.30604</v>
      </c>
      <c r="R40" s="32" t="n">
        <f aca="false">SUM(R30:R39)</f>
        <v>2737.30604</v>
      </c>
      <c r="S40" s="32" t="n">
        <f aca="false">SUM(S30:S39)</f>
        <v>2737.30604</v>
      </c>
      <c r="T40" s="32" t="n">
        <f aca="false">SUM(T30:T39)</f>
        <v>2737.30604</v>
      </c>
      <c r="U40" s="32" t="n">
        <f aca="false">SUM(U30:U39)</f>
        <v>2737.30604</v>
      </c>
      <c r="V40" s="32" t="n">
        <f aca="false">SUM(V30:V39)</f>
        <v>2737.30604</v>
      </c>
      <c r="W40" s="32" t="n">
        <f aca="false">SUM(W30:W39)</f>
        <v>2737.30604</v>
      </c>
      <c r="X40" s="32" t="n">
        <f aca="false">SUM(X30:X39)</f>
        <v>2737.30604</v>
      </c>
      <c r="Y40" s="32" t="n">
        <f aca="false">SUM(Y30:Y39)</f>
        <v>2737.30604</v>
      </c>
      <c r="Z40" s="32" t="n">
        <f aca="false">SUM(Z30:Z39)</f>
        <v>2737.30604</v>
      </c>
      <c r="AA40" s="32" t="n">
        <f aca="false">SUM(AA30:AA39)</f>
        <v>2737.30604</v>
      </c>
      <c r="AB40" s="32" t="n">
        <f aca="false">SUM(AB30:AB39)</f>
        <v>2737.30604</v>
      </c>
      <c r="AC40" s="32" t="n">
        <f aca="false">SUM(AC30:AC39)</f>
        <v>2737.30604</v>
      </c>
      <c r="AD40" s="32" t="n">
        <f aca="false">SUM(AD30:AD39)</f>
        <v>2737.30604</v>
      </c>
      <c r="AE40" s="32" t="n">
        <f aca="false">SUM(AE30:AE39)</f>
        <v>2737.30604</v>
      </c>
      <c r="AF40" s="32" t="n">
        <f aca="false">SUM(AF30:AF39)</f>
        <v>2737.30604</v>
      </c>
      <c r="AG40" s="32" t="n">
        <f aca="false">SUM(AG30:AG39)</f>
        <v>2737.30604</v>
      </c>
      <c r="AH40" s="32" t="n">
        <f aca="false">SUM(AH30:AH39)</f>
        <v>2737.30604</v>
      </c>
      <c r="AI40" s="32" t="n">
        <f aca="false">SUM(AI30:AI39)</f>
        <v>2737.30604</v>
      </c>
      <c r="AJ40" s="32" t="n">
        <f aca="false">SUM(AJ30:AJ39)</f>
        <v>2737.30604</v>
      </c>
      <c r="AK40" s="32" t="n">
        <f aca="false">SUM(AK30:AK39)</f>
        <v>2737.30604</v>
      </c>
      <c r="AL40" s="32" t="n">
        <f aca="false">SUM(AL30:AL39)</f>
        <v>2737.30604</v>
      </c>
      <c r="AM40" s="32" t="n">
        <f aca="false">SUM(AM30:AM39)</f>
        <v>2737.30604</v>
      </c>
    </row>
    <row r="41" customFormat="false" ht="15" hidden="false" customHeight="false" outlineLevel="0" collapsed="false">
      <c r="B41" s="21" t="s">
        <v>506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</row>
    <row r="42" customFormat="false" ht="15" hidden="false" customHeight="false" outlineLevel="0" collapsed="false">
      <c r="B42" s="13" t="s">
        <v>507</v>
      </c>
      <c r="D42" s="8" t="n">
        <f aca="false">D28-D40</f>
        <v>-2317.53939510952</v>
      </c>
      <c r="E42" s="8" t="n">
        <f aca="false">E28-E40</f>
        <v>-2088.03706023787</v>
      </c>
      <c r="F42" s="8" t="n">
        <f aca="false">F28-F40</f>
        <v>-1865.61827392419</v>
      </c>
      <c r="G42" s="8" t="n">
        <f aca="false">G28-G40</f>
        <v>-1649.88837008501</v>
      </c>
      <c r="H42" s="8" t="n">
        <f aca="false">H28-H40</f>
        <v>-1440.47514872865</v>
      </c>
      <c r="I42" s="8" t="n">
        <f aca="false">I28-I40</f>
        <v>-1237.02757654467</v>
      </c>
      <c r="J42" s="8" t="n">
        <f aca="false">J28-J40</f>
        <v>-1106.08516219449</v>
      </c>
      <c r="K42" s="8" t="n">
        <f aca="false">K28-K40</f>
        <v>-1001.70914992563</v>
      </c>
      <c r="L42" s="8" t="n">
        <f aca="false">L28-L40</f>
        <v>-901.173095701297</v>
      </c>
      <c r="M42" s="8" t="n">
        <f aca="false">M28-M40</f>
        <v>-844.623313565513</v>
      </c>
      <c r="N42" s="8" t="n">
        <f aca="false">N28-N40</f>
        <v>-791.466518357876</v>
      </c>
      <c r="O42" s="8" t="n">
        <f aca="false">O28-O40</f>
        <v>-741.499130862698</v>
      </c>
      <c r="P42" s="8" t="n">
        <f aca="false">P28-P40</f>
        <v>-731.082236434458</v>
      </c>
      <c r="Q42" s="8" t="n">
        <f aca="false">Q28-Q40</f>
        <v>-721.290355671912</v>
      </c>
      <c r="R42" s="8" t="n">
        <f aca="false">R28-R40</f>
        <v>-712.085987755119</v>
      </c>
      <c r="S42" s="8" t="n">
        <f aca="false">S28-S40</f>
        <v>-703.433881913334</v>
      </c>
      <c r="T42" s="8" t="n">
        <f aca="false">T28-T40</f>
        <v>-695.300902422056</v>
      </c>
      <c r="U42" s="8" t="n">
        <f aca="false">U28-U40</f>
        <v>-687.655901700255</v>
      </c>
      <c r="V42" s="8" t="n">
        <f aca="false">V28-V40</f>
        <v>-680.469601021762</v>
      </c>
      <c r="W42" s="8" t="n">
        <f aca="false">W28-W40</f>
        <v>-673.714478383978</v>
      </c>
      <c r="X42" s="8" t="n">
        <f aca="false">X28-X40</f>
        <v>-667.364663104461</v>
      </c>
      <c r="Y42" s="8" t="n">
        <f aca="false">Y28-Y40</f>
        <v>-661.395836741715</v>
      </c>
      <c r="Z42" s="8" t="n">
        <f aca="false">Z28-Z40</f>
        <v>-655.785139960735</v>
      </c>
      <c r="AA42" s="8" t="n">
        <f aca="false">AA28-AA40</f>
        <v>-650.511084986612</v>
      </c>
      <c r="AB42" s="8" t="n">
        <f aca="false">AB28-AB40</f>
        <v>-645.553473310938</v>
      </c>
      <c r="AC42" s="8" t="n">
        <f aca="false">AC28-AC40</f>
        <v>-640.893318335804</v>
      </c>
      <c r="AD42" s="8" t="n">
        <f aca="false">AD28-AD40</f>
        <v>-636.512772659177</v>
      </c>
      <c r="AE42" s="8" t="n">
        <f aca="false">AE28-AE40</f>
        <v>-632.395059723149</v>
      </c>
      <c r="AF42" s="8" t="n">
        <f aca="false">AF28-AF40</f>
        <v>-628.524409563282</v>
      </c>
      <c r="AG42" s="8" t="n">
        <f aca="false">AG28-AG40</f>
        <v>-624.885998413007</v>
      </c>
      <c r="AH42" s="8" t="n">
        <f aca="false">AH28-AH40</f>
        <v>-621.465891931749</v>
      </c>
      <c r="AI42" s="8" t="n">
        <f aca="false">AI28-AI40</f>
        <v>-618.250991839365</v>
      </c>
      <c r="AJ42" s="8" t="n">
        <f aca="false">AJ28-AJ40</f>
        <v>-615.228985752525</v>
      </c>
      <c r="AK42" s="8" t="n">
        <f aca="false">AK28-AK40</f>
        <v>-612.388300030896</v>
      </c>
      <c r="AL42" s="8" t="n">
        <f aca="false">AL28-AL40</f>
        <v>-609.718055452564</v>
      </c>
      <c r="AM42" s="8" t="n">
        <f aca="false">AM28-AM40</f>
        <v>-607.208025548932</v>
      </c>
    </row>
    <row r="43" customFormat="false" ht="15" hidden="false" customHeight="false" outlineLevel="0" collapsed="false">
      <c r="B43" s="4" t="s">
        <v>508</v>
      </c>
      <c r="C43" s="32" t="n">
        <f aca="false">-Inversion!E21</f>
        <v>-75347.44</v>
      </c>
      <c r="D43" s="32" t="n">
        <v>0</v>
      </c>
      <c r="E43" s="32" t="n">
        <v>0</v>
      </c>
      <c r="F43" s="32" t="n">
        <v>0</v>
      </c>
      <c r="G43" s="32" t="n">
        <v>0</v>
      </c>
      <c r="H43" s="32" t="n">
        <v>0</v>
      </c>
      <c r="I43" s="32" t="n">
        <v>0</v>
      </c>
      <c r="J43" s="32" t="n">
        <v>0</v>
      </c>
      <c r="K43" s="32" t="n">
        <v>0</v>
      </c>
      <c r="L43" s="32" t="n">
        <v>0</v>
      </c>
      <c r="M43" s="32" t="n">
        <v>0</v>
      </c>
      <c r="N43" s="32" t="n">
        <v>0</v>
      </c>
      <c r="O43" s="32" t="n">
        <v>0</v>
      </c>
      <c r="P43" s="32" t="n">
        <v>0</v>
      </c>
      <c r="Q43" s="32" t="n">
        <v>0</v>
      </c>
      <c r="R43" s="32" t="n">
        <v>0</v>
      </c>
      <c r="S43" s="32" t="n">
        <v>0</v>
      </c>
      <c r="T43" s="32" t="n">
        <v>0</v>
      </c>
      <c r="U43" s="32" t="n">
        <v>0</v>
      </c>
      <c r="V43" s="32" t="n">
        <v>0</v>
      </c>
      <c r="W43" s="32" t="n">
        <v>0</v>
      </c>
      <c r="X43" s="32" t="n">
        <v>0</v>
      </c>
      <c r="Y43" s="32" t="n">
        <v>0</v>
      </c>
      <c r="Z43" s="32" t="n">
        <v>0</v>
      </c>
      <c r="AA43" s="32" t="n">
        <v>0</v>
      </c>
      <c r="AB43" s="32" t="n">
        <v>0</v>
      </c>
      <c r="AC43" s="32" t="n">
        <v>0</v>
      </c>
      <c r="AD43" s="32" t="n">
        <v>0</v>
      </c>
      <c r="AE43" s="32" t="n">
        <v>0</v>
      </c>
      <c r="AF43" s="32" t="n">
        <v>0</v>
      </c>
      <c r="AG43" s="32" t="n">
        <v>0</v>
      </c>
      <c r="AH43" s="32" t="n">
        <v>0</v>
      </c>
      <c r="AI43" s="32" t="n">
        <v>0</v>
      </c>
      <c r="AJ43" s="32" t="n">
        <v>0</v>
      </c>
      <c r="AK43" s="32" t="n">
        <v>0</v>
      </c>
      <c r="AL43" s="32" t="n">
        <v>0</v>
      </c>
      <c r="AM43" s="32" t="n">
        <v>0</v>
      </c>
    </row>
    <row r="44" customFormat="false" ht="15" hidden="false" customHeight="false" outlineLevel="0" collapsed="false">
      <c r="B44" s="13" t="s">
        <v>509</v>
      </c>
      <c r="C44" s="32" t="n">
        <f aca="false">C43</f>
        <v>-75347.44</v>
      </c>
      <c r="D44" s="8" t="n">
        <f aca="false">D42+D43</f>
        <v>-2317.53939510952</v>
      </c>
      <c r="E44" s="8" t="n">
        <f aca="false">E42+E43</f>
        <v>-2088.03706023787</v>
      </c>
      <c r="F44" s="8" t="n">
        <f aca="false">F42+F43</f>
        <v>-1865.61827392419</v>
      </c>
      <c r="G44" s="8" t="n">
        <f aca="false">G42+G43</f>
        <v>-1649.88837008501</v>
      </c>
      <c r="H44" s="8" t="n">
        <f aca="false">H42+H43</f>
        <v>-1440.47514872865</v>
      </c>
      <c r="I44" s="8" t="n">
        <f aca="false">I42+I43</f>
        <v>-1237.02757654467</v>
      </c>
      <c r="J44" s="8" t="n">
        <f aca="false">J42+J43</f>
        <v>-1106.08516219449</v>
      </c>
      <c r="K44" s="8" t="n">
        <f aca="false">K42+K43</f>
        <v>-1001.70914992563</v>
      </c>
      <c r="L44" s="8" t="n">
        <f aca="false">L42+L43</f>
        <v>-901.173095701297</v>
      </c>
      <c r="M44" s="8" t="n">
        <f aca="false">M42+M43</f>
        <v>-844.623313565513</v>
      </c>
      <c r="N44" s="8" t="n">
        <f aca="false">N42+N43</f>
        <v>-791.466518357876</v>
      </c>
      <c r="O44" s="8" t="n">
        <f aca="false">O42+O43</f>
        <v>-741.499130862698</v>
      </c>
      <c r="P44" s="8" t="n">
        <f aca="false">P42+P43</f>
        <v>-731.082236434458</v>
      </c>
      <c r="Q44" s="8" t="n">
        <f aca="false">Q42+Q43</f>
        <v>-721.290355671912</v>
      </c>
      <c r="R44" s="8" t="n">
        <f aca="false">R42+R43</f>
        <v>-712.085987755119</v>
      </c>
      <c r="S44" s="8" t="n">
        <f aca="false">S42+S43</f>
        <v>-703.433881913334</v>
      </c>
      <c r="T44" s="8" t="n">
        <f aca="false">T42+T43</f>
        <v>-695.300902422056</v>
      </c>
      <c r="U44" s="8" t="n">
        <f aca="false">U42+U43</f>
        <v>-687.655901700255</v>
      </c>
      <c r="V44" s="8" t="n">
        <f aca="false">V42+V43</f>
        <v>-680.469601021762</v>
      </c>
      <c r="W44" s="8" t="n">
        <f aca="false">W42+W43</f>
        <v>-673.714478383978</v>
      </c>
      <c r="X44" s="8" t="n">
        <f aca="false">X42+X43</f>
        <v>-667.364663104461</v>
      </c>
      <c r="Y44" s="8" t="n">
        <f aca="false">Y42+Y43</f>
        <v>-661.395836741715</v>
      </c>
      <c r="Z44" s="8" t="n">
        <f aca="false">Z42+Z43</f>
        <v>-655.785139960735</v>
      </c>
      <c r="AA44" s="8" t="n">
        <f aca="false">AA42+AA43</f>
        <v>-650.511084986612</v>
      </c>
      <c r="AB44" s="8" t="n">
        <f aca="false">AB42+AB43</f>
        <v>-645.553473310938</v>
      </c>
      <c r="AC44" s="8" t="n">
        <f aca="false">AC42+AC43</f>
        <v>-640.893318335804</v>
      </c>
      <c r="AD44" s="8" t="n">
        <f aca="false">AD42+AD43</f>
        <v>-636.512772659177</v>
      </c>
      <c r="AE44" s="8" t="n">
        <f aca="false">AE42+AE43</f>
        <v>-632.395059723149</v>
      </c>
      <c r="AF44" s="8" t="n">
        <f aca="false">AF42+AF43</f>
        <v>-628.524409563282</v>
      </c>
      <c r="AG44" s="8" t="n">
        <f aca="false">AG42+AG43</f>
        <v>-624.885998413007</v>
      </c>
      <c r="AH44" s="8" t="n">
        <f aca="false">AH42+AH43</f>
        <v>-621.465891931749</v>
      </c>
      <c r="AI44" s="8" t="n">
        <f aca="false">AI42+AI43</f>
        <v>-618.250991839365</v>
      </c>
      <c r="AJ44" s="8" t="n">
        <f aca="false">AJ42+AJ43</f>
        <v>-615.228985752525</v>
      </c>
      <c r="AK44" s="8" t="n">
        <f aca="false">AK42+AK43</f>
        <v>-612.388300030896</v>
      </c>
      <c r="AL44" s="8" t="n">
        <f aca="false">AL42+AL43</f>
        <v>-609.718055452564</v>
      </c>
      <c r="AM44" s="8" t="n">
        <f aca="false">AM42+AM43</f>
        <v>-607.208025548932</v>
      </c>
    </row>
    <row r="45" customFormat="false" ht="15" hidden="false" customHeight="false" outlineLevel="0" collapsed="false">
      <c r="B45" s="4" t="s">
        <v>510</v>
      </c>
      <c r="C45" s="32" t="n">
        <f aca="false">C44</f>
        <v>-75347.44</v>
      </c>
      <c r="D45" s="32" t="n">
        <f aca="false">C45+D44</f>
        <v>-77664.9793951095</v>
      </c>
      <c r="E45" s="32" t="n">
        <f aca="false">D45+E44</f>
        <v>-79753.0164553474</v>
      </c>
      <c r="F45" s="32" t="n">
        <f aca="false">E45+F44</f>
        <v>-81618.6347292716</v>
      </c>
      <c r="G45" s="32" t="n">
        <f aca="false">F45+G44</f>
        <v>-83268.5230993566</v>
      </c>
      <c r="H45" s="32" t="n">
        <f aca="false">G45+H44</f>
        <v>-84708.9982480853</v>
      </c>
      <c r="I45" s="32" t="n">
        <f aca="false">H45+I44</f>
        <v>-85946.0258246299</v>
      </c>
      <c r="J45" s="32" t="n">
        <f aca="false">I45+J44</f>
        <v>-87052.1109868244</v>
      </c>
      <c r="K45" s="32" t="n">
        <f aca="false">J45+K44</f>
        <v>-88053.82013675</v>
      </c>
      <c r="L45" s="32" t="n">
        <f aca="false">K45+L44</f>
        <v>-88954.9932324513</v>
      </c>
      <c r="M45" s="32" t="n">
        <f aca="false">L45+M44</f>
        <v>-89799.6165460169</v>
      </c>
      <c r="N45" s="32" t="n">
        <f aca="false">M45+N44</f>
        <v>-90591.0830643747</v>
      </c>
      <c r="O45" s="32" t="n">
        <f aca="false">N45+O44</f>
        <v>-91332.5821952374</v>
      </c>
      <c r="P45" s="32" t="n">
        <f aca="false">O45+P44</f>
        <v>-92063.6644316719</v>
      </c>
      <c r="Q45" s="32" t="n">
        <f aca="false">P45+Q44</f>
        <v>-92784.9547873438</v>
      </c>
      <c r="R45" s="32" t="n">
        <f aca="false">Q45+R44</f>
        <v>-93497.0407750989</v>
      </c>
      <c r="S45" s="32" t="n">
        <f aca="false">R45+S44</f>
        <v>-94200.4746570123</v>
      </c>
      <c r="T45" s="32" t="n">
        <f aca="false">S45+T44</f>
        <v>-94895.7755594343</v>
      </c>
      <c r="U45" s="32" t="n">
        <f aca="false">T45+U44</f>
        <v>-95583.4314611346</v>
      </c>
      <c r="V45" s="32" t="n">
        <f aca="false">U45+V44</f>
        <v>-96263.9010621563</v>
      </c>
      <c r="W45" s="32" t="n">
        <f aca="false">V45+W44</f>
        <v>-96937.6155405403</v>
      </c>
      <c r="X45" s="32" t="n">
        <f aca="false">W45+X44</f>
        <v>-97604.9802036448</v>
      </c>
      <c r="Y45" s="32" t="n">
        <f aca="false">X45+Y44</f>
        <v>-98266.3760403865</v>
      </c>
      <c r="Z45" s="32" t="n">
        <f aca="false">Y45+Z44</f>
        <v>-98922.1611803472</v>
      </c>
      <c r="AA45" s="32" t="n">
        <f aca="false">Z45+AA44</f>
        <v>-99572.6722653338</v>
      </c>
      <c r="AB45" s="32" t="n">
        <f aca="false">AA45+AB44</f>
        <v>-100218.225738645</v>
      </c>
      <c r="AC45" s="32" t="n">
        <f aca="false">AB45+AC44</f>
        <v>-100859.119056981</v>
      </c>
      <c r="AD45" s="32" t="n">
        <f aca="false">AC45+AD44</f>
        <v>-101495.63182964</v>
      </c>
      <c r="AE45" s="32" t="n">
        <f aca="false">AD45+AE44</f>
        <v>-102128.026889363</v>
      </c>
      <c r="AF45" s="32" t="n">
        <f aca="false">AE45+AF44</f>
        <v>-102756.551298926</v>
      </c>
      <c r="AG45" s="32" t="n">
        <f aca="false">AF45+AG44</f>
        <v>-103381.437297339</v>
      </c>
      <c r="AH45" s="32" t="n">
        <f aca="false">AG45+AH44</f>
        <v>-104002.903189271</v>
      </c>
      <c r="AI45" s="32" t="n">
        <f aca="false">AH45+AI44</f>
        <v>-104621.15418111</v>
      </c>
      <c r="AJ45" s="32" t="n">
        <f aca="false">AI45+AJ44</f>
        <v>-105236.383166863</v>
      </c>
      <c r="AK45" s="32" t="n">
        <f aca="false">AJ45+AK44</f>
        <v>-105848.771466894</v>
      </c>
      <c r="AL45" s="32" t="n">
        <f aca="false">AK45+AL44</f>
        <v>-106458.489522346</v>
      </c>
      <c r="AM45" s="32" t="n">
        <f aca="false">AL45+AM44</f>
        <v>-107065.697547895</v>
      </c>
    </row>
    <row r="46" customFormat="false" ht="15" hidden="false" customHeight="false" outlineLevel="0" collapsed="false">
      <c r="B46" s="4" t="s">
        <v>511</v>
      </c>
      <c r="C46" s="32" t="n">
        <f aca="false">-Supuestos!$E$91*Supuestos!$E$10</f>
        <v>-0</v>
      </c>
      <c r="D46" s="32" t="n">
        <f aca="false">-Supuestos!$E$91</f>
        <v>-0</v>
      </c>
      <c r="E46" s="32" t="n">
        <f aca="false">-Supuestos!$E$91</f>
        <v>-0</v>
      </c>
      <c r="F46" s="32" t="n">
        <f aca="false">-Supuestos!$E$91</f>
        <v>-0</v>
      </c>
      <c r="G46" s="32" t="n">
        <f aca="false">-Supuestos!$E$91</f>
        <v>-0</v>
      </c>
      <c r="H46" s="32" t="n">
        <f aca="false">-Supuestos!$E$91</f>
        <v>-0</v>
      </c>
      <c r="I46" s="32" t="n">
        <f aca="false">-Supuestos!$E$91</f>
        <v>-0</v>
      </c>
      <c r="J46" s="32" t="n">
        <f aca="false">-Supuestos!$E$91</f>
        <v>-0</v>
      </c>
      <c r="K46" s="32" t="n">
        <f aca="false">-Supuestos!$E$91</f>
        <v>-0</v>
      </c>
      <c r="L46" s="32" t="n">
        <f aca="false">-Supuestos!$E$91</f>
        <v>-0</v>
      </c>
      <c r="M46" s="32" t="n">
        <f aca="false">-Supuestos!$E$91</f>
        <v>-0</v>
      </c>
      <c r="N46" s="32" t="n">
        <f aca="false">-Supuestos!$E$91</f>
        <v>-0</v>
      </c>
      <c r="O46" s="32" t="n">
        <f aca="false">-Supuestos!$E$91</f>
        <v>-0</v>
      </c>
      <c r="P46" s="32" t="n">
        <f aca="false">-Supuestos!$E$91</f>
        <v>-0</v>
      </c>
      <c r="Q46" s="32" t="n">
        <f aca="false">-Supuestos!$E$91</f>
        <v>-0</v>
      </c>
      <c r="R46" s="32" t="n">
        <f aca="false">-Supuestos!$E$91</f>
        <v>-0</v>
      </c>
      <c r="S46" s="32" t="n">
        <f aca="false">-Supuestos!$E$91</f>
        <v>-0</v>
      </c>
      <c r="T46" s="32" t="n">
        <f aca="false">-Supuestos!$E$91</f>
        <v>-0</v>
      </c>
      <c r="U46" s="32" t="n">
        <f aca="false">-Supuestos!$E$91</f>
        <v>-0</v>
      </c>
      <c r="V46" s="32" t="n">
        <f aca="false">-Supuestos!$E$91</f>
        <v>-0</v>
      </c>
      <c r="W46" s="32" t="n">
        <f aca="false">-Supuestos!$E$91</f>
        <v>-0</v>
      </c>
      <c r="X46" s="32" t="n">
        <f aca="false">-Supuestos!$E$91</f>
        <v>-0</v>
      </c>
      <c r="Y46" s="32" t="n">
        <f aca="false">-Supuestos!$E$91</f>
        <v>-0</v>
      </c>
      <c r="Z46" s="32" t="n">
        <f aca="false">-Supuestos!$E$91</f>
        <v>-0</v>
      </c>
      <c r="AA46" s="32" t="n">
        <f aca="false">-Supuestos!$E$91</f>
        <v>-0</v>
      </c>
      <c r="AB46" s="32" t="n">
        <f aca="false">-Supuestos!$E$91</f>
        <v>-0</v>
      </c>
      <c r="AC46" s="32" t="n">
        <f aca="false">-Supuestos!$E$91</f>
        <v>-0</v>
      </c>
      <c r="AD46" s="32" t="n">
        <f aca="false">-Supuestos!$E$91</f>
        <v>-0</v>
      </c>
      <c r="AE46" s="32" t="n">
        <f aca="false">-Supuestos!$E$91</f>
        <v>-0</v>
      </c>
      <c r="AF46" s="32" t="n">
        <f aca="false">-Supuestos!$E$91</f>
        <v>-0</v>
      </c>
      <c r="AG46" s="32" t="n">
        <f aca="false">-Supuestos!$E$91</f>
        <v>-0</v>
      </c>
      <c r="AH46" s="32" t="n">
        <f aca="false">-Supuestos!$E$91</f>
        <v>-0</v>
      </c>
      <c r="AI46" s="32" t="n">
        <f aca="false">-Supuestos!$E$91</f>
        <v>-0</v>
      </c>
      <c r="AJ46" s="32" t="n">
        <f aca="false">-Supuestos!$E$91</f>
        <v>-0</v>
      </c>
      <c r="AK46" s="32" t="n">
        <f aca="false">-Supuestos!$E$91</f>
        <v>-0</v>
      </c>
      <c r="AL46" s="32" t="n">
        <f aca="false">-Supuestos!$E$91</f>
        <v>-0</v>
      </c>
      <c r="AM46" s="32" t="n">
        <f aca="false">-Supuestos!$E$91</f>
        <v>-0</v>
      </c>
    </row>
    <row r="47" customFormat="false" ht="15" hidden="false" customHeight="false" outlineLevel="0" collapsed="false">
      <c r="B47" s="13" t="s">
        <v>512</v>
      </c>
      <c r="C47" s="32" t="n">
        <f aca="false">C44+C46</f>
        <v>-75347.44</v>
      </c>
      <c r="D47" s="8" t="n">
        <f aca="false">D44+D46</f>
        <v>-2317.53939510952</v>
      </c>
      <c r="E47" s="8" t="n">
        <f aca="false">E44+E46</f>
        <v>-2088.03706023787</v>
      </c>
      <c r="F47" s="8" t="n">
        <f aca="false">F44+F46</f>
        <v>-1865.61827392419</v>
      </c>
      <c r="G47" s="8" t="n">
        <f aca="false">G44+G46</f>
        <v>-1649.88837008501</v>
      </c>
      <c r="H47" s="8" t="n">
        <f aca="false">H44+H46</f>
        <v>-1440.47514872865</v>
      </c>
      <c r="I47" s="8" t="n">
        <f aca="false">I44+I46</f>
        <v>-1237.02757654467</v>
      </c>
      <c r="J47" s="8" t="n">
        <f aca="false">J44+J46</f>
        <v>-1106.08516219449</v>
      </c>
      <c r="K47" s="8" t="n">
        <f aca="false">K44+K46</f>
        <v>-1001.70914992563</v>
      </c>
      <c r="L47" s="8" t="n">
        <f aca="false">L44+L46</f>
        <v>-901.173095701297</v>
      </c>
      <c r="M47" s="8" t="n">
        <f aca="false">M44+M46</f>
        <v>-844.623313565513</v>
      </c>
      <c r="N47" s="8" t="n">
        <f aca="false">N44+N46</f>
        <v>-791.466518357876</v>
      </c>
      <c r="O47" s="8" t="n">
        <f aca="false">O44+O46</f>
        <v>-741.499130862698</v>
      </c>
      <c r="P47" s="8" t="n">
        <f aca="false">P44+P46</f>
        <v>-731.082236434458</v>
      </c>
      <c r="Q47" s="8" t="n">
        <f aca="false">Q44+Q46</f>
        <v>-721.290355671912</v>
      </c>
      <c r="R47" s="8" t="n">
        <f aca="false">R44+R46</f>
        <v>-712.085987755119</v>
      </c>
      <c r="S47" s="8" t="n">
        <f aca="false">S44+S46</f>
        <v>-703.433881913334</v>
      </c>
      <c r="T47" s="8" t="n">
        <f aca="false">T44+T46</f>
        <v>-695.300902422056</v>
      </c>
      <c r="U47" s="8" t="n">
        <f aca="false">U44+U46</f>
        <v>-687.655901700255</v>
      </c>
      <c r="V47" s="8" t="n">
        <f aca="false">V44+V46</f>
        <v>-680.469601021762</v>
      </c>
      <c r="W47" s="8" t="n">
        <f aca="false">W44+W46</f>
        <v>-673.714478383978</v>
      </c>
      <c r="X47" s="8" t="n">
        <f aca="false">X44+X46</f>
        <v>-667.364663104461</v>
      </c>
      <c r="Y47" s="8" t="n">
        <f aca="false">Y44+Y46</f>
        <v>-661.395836741715</v>
      </c>
      <c r="Z47" s="8" t="n">
        <f aca="false">Z44+Z46</f>
        <v>-655.785139960735</v>
      </c>
      <c r="AA47" s="8" t="n">
        <f aca="false">AA44+AA46</f>
        <v>-650.511084986612</v>
      </c>
      <c r="AB47" s="8" t="n">
        <f aca="false">AB44+AB46</f>
        <v>-645.553473310938</v>
      </c>
      <c r="AC47" s="8" t="n">
        <f aca="false">AC44+AC46</f>
        <v>-640.893318335804</v>
      </c>
      <c r="AD47" s="8" t="n">
        <f aca="false">AD44+AD46</f>
        <v>-636.512772659177</v>
      </c>
      <c r="AE47" s="8" t="n">
        <f aca="false">AE44+AE46</f>
        <v>-632.395059723149</v>
      </c>
      <c r="AF47" s="8" t="n">
        <f aca="false">AF44+AF46</f>
        <v>-628.524409563282</v>
      </c>
      <c r="AG47" s="8" t="n">
        <f aca="false">AG44+AG46</f>
        <v>-624.885998413007</v>
      </c>
      <c r="AH47" s="8" t="n">
        <f aca="false">AH44+AH46</f>
        <v>-621.465891931749</v>
      </c>
      <c r="AI47" s="8" t="n">
        <f aca="false">AI44+AI46</f>
        <v>-618.250991839365</v>
      </c>
      <c r="AJ47" s="8" t="n">
        <f aca="false">AJ44+AJ46</f>
        <v>-615.228985752525</v>
      </c>
      <c r="AK47" s="8" t="n">
        <f aca="false">AK44+AK46</f>
        <v>-612.388300030896</v>
      </c>
      <c r="AL47" s="8" t="n">
        <f aca="false">AL44+AL46</f>
        <v>-609.718055452564</v>
      </c>
      <c r="AM47" s="8" t="n">
        <f aca="false">AM44+AM46</f>
        <v>-607.208025548932</v>
      </c>
    </row>
    <row r="48" customFormat="false" ht="15" hidden="false" customHeight="false" outlineLevel="0" collapsed="false">
      <c r="B48" s="4" t="s">
        <v>513</v>
      </c>
      <c r="C48" s="32" t="n">
        <f aca="false">C47</f>
        <v>-75347.44</v>
      </c>
      <c r="D48" s="32" t="n">
        <f aca="false">C48+D47</f>
        <v>-77664.9793951095</v>
      </c>
      <c r="E48" s="32" t="n">
        <f aca="false">D48+E47</f>
        <v>-79753.0164553474</v>
      </c>
      <c r="F48" s="32" t="n">
        <f aca="false">E48+F47</f>
        <v>-81618.6347292716</v>
      </c>
      <c r="G48" s="32" t="n">
        <f aca="false">F48+G47</f>
        <v>-83268.5230993566</v>
      </c>
      <c r="H48" s="32" t="n">
        <f aca="false">G48+H47</f>
        <v>-84708.9982480853</v>
      </c>
      <c r="I48" s="32" t="n">
        <f aca="false">H48+I47</f>
        <v>-85946.0258246299</v>
      </c>
      <c r="J48" s="32" t="n">
        <f aca="false">I48+J47</f>
        <v>-87052.1109868244</v>
      </c>
      <c r="K48" s="32" t="n">
        <f aca="false">J48+K47</f>
        <v>-88053.82013675</v>
      </c>
      <c r="L48" s="32" t="n">
        <f aca="false">K48+L47</f>
        <v>-88954.9932324513</v>
      </c>
      <c r="M48" s="32" t="n">
        <f aca="false">L48+M47</f>
        <v>-89799.6165460169</v>
      </c>
      <c r="N48" s="32" t="n">
        <f aca="false">M48+N47</f>
        <v>-90591.0830643747</v>
      </c>
      <c r="O48" s="32" t="n">
        <f aca="false">N48+O47</f>
        <v>-91332.5821952374</v>
      </c>
      <c r="P48" s="32" t="n">
        <f aca="false">O48+P47</f>
        <v>-92063.6644316719</v>
      </c>
      <c r="Q48" s="32" t="n">
        <f aca="false">P48+Q47</f>
        <v>-92784.9547873438</v>
      </c>
      <c r="R48" s="32" t="n">
        <f aca="false">Q48+R47</f>
        <v>-93497.0407750989</v>
      </c>
      <c r="S48" s="32" t="n">
        <f aca="false">R48+S47</f>
        <v>-94200.4746570123</v>
      </c>
      <c r="T48" s="32" t="n">
        <f aca="false">S48+T47</f>
        <v>-94895.7755594343</v>
      </c>
      <c r="U48" s="32" t="n">
        <f aca="false">T48+U47</f>
        <v>-95583.4314611346</v>
      </c>
      <c r="V48" s="32" t="n">
        <f aca="false">U48+V47</f>
        <v>-96263.9010621563</v>
      </c>
      <c r="W48" s="32" t="n">
        <f aca="false">V48+W47</f>
        <v>-96937.6155405403</v>
      </c>
      <c r="X48" s="32" t="n">
        <f aca="false">W48+X47</f>
        <v>-97604.9802036448</v>
      </c>
      <c r="Y48" s="32" t="n">
        <f aca="false">X48+Y47</f>
        <v>-98266.3760403865</v>
      </c>
      <c r="Z48" s="32" t="n">
        <f aca="false">Y48+Z47</f>
        <v>-98922.1611803472</v>
      </c>
      <c r="AA48" s="32" t="n">
        <f aca="false">Z48+AA47</f>
        <v>-99572.6722653338</v>
      </c>
      <c r="AB48" s="32" t="n">
        <f aca="false">AA48+AB47</f>
        <v>-100218.225738645</v>
      </c>
      <c r="AC48" s="32" t="n">
        <f aca="false">AB48+AC47</f>
        <v>-100859.119056981</v>
      </c>
      <c r="AD48" s="32" t="n">
        <f aca="false">AC48+AD47</f>
        <v>-101495.63182964</v>
      </c>
      <c r="AE48" s="32" t="n">
        <f aca="false">AD48+AE47</f>
        <v>-102128.026889363</v>
      </c>
      <c r="AF48" s="32" t="n">
        <f aca="false">AE48+AF47</f>
        <v>-102756.551298926</v>
      </c>
      <c r="AG48" s="32" t="n">
        <f aca="false">AF48+AG47</f>
        <v>-103381.437297339</v>
      </c>
      <c r="AH48" s="32" t="n">
        <f aca="false">AG48+AH47</f>
        <v>-104002.903189271</v>
      </c>
      <c r="AI48" s="32" t="n">
        <f aca="false">AH48+AI47</f>
        <v>-104621.15418111</v>
      </c>
      <c r="AJ48" s="32" t="n">
        <f aca="false">AI48+AJ47</f>
        <v>-105236.383166863</v>
      </c>
      <c r="AK48" s="32" t="n">
        <f aca="false">AJ48+AK47</f>
        <v>-105848.771466894</v>
      </c>
      <c r="AL48" s="32" t="n">
        <f aca="false">AK48+AL47</f>
        <v>-106458.489522346</v>
      </c>
      <c r="AM48" s="32" t="n">
        <f aca="false">AL48+AM47</f>
        <v>-107065.697547895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9" min="3" style="0" width="11"/>
  </cols>
  <sheetData>
    <row r="1" customFormat="false" ht="17.35" hidden="false" customHeight="false" outlineLevel="0" collapsed="false">
      <c r="A1" s="1" t="s">
        <v>515</v>
      </c>
    </row>
    <row r="2" customFormat="false" ht="15" hidden="false" customHeight="false" outlineLevel="0" collapsed="false">
      <c r="A2" s="2" t="s">
        <v>473</v>
      </c>
    </row>
    <row r="3" customFormat="false" ht="15" hidden="false" customHeight="false" outlineLevel="0" collapsed="false">
      <c r="B3" s="40" t="s">
        <v>474</v>
      </c>
      <c r="C3" s="41" t="n">
        <v>0</v>
      </c>
      <c r="D3" s="41" t="n">
        <v>1</v>
      </c>
      <c r="E3" s="41" t="n">
        <v>2</v>
      </c>
      <c r="F3" s="41" t="n">
        <v>3</v>
      </c>
      <c r="G3" s="41" t="n">
        <v>4</v>
      </c>
      <c r="H3" s="41" t="n">
        <v>5</v>
      </c>
      <c r="I3" s="41" t="n">
        <v>6</v>
      </c>
      <c r="J3" s="41" t="n">
        <v>7</v>
      </c>
      <c r="K3" s="41" t="n">
        <v>8</v>
      </c>
      <c r="L3" s="41" t="n">
        <v>9</v>
      </c>
      <c r="M3" s="41" t="n">
        <v>10</v>
      </c>
      <c r="N3" s="41" t="n">
        <v>11</v>
      </c>
      <c r="O3" s="41" t="n">
        <v>12</v>
      </c>
      <c r="P3" s="41" t="n">
        <v>13</v>
      </c>
      <c r="Q3" s="41" t="n">
        <v>14</v>
      </c>
      <c r="R3" s="41" t="n">
        <v>15</v>
      </c>
      <c r="S3" s="41" t="n">
        <v>16</v>
      </c>
      <c r="T3" s="41" t="n">
        <v>17</v>
      </c>
      <c r="U3" s="41" t="n">
        <v>18</v>
      </c>
      <c r="V3" s="41" t="n">
        <v>19</v>
      </c>
      <c r="W3" s="41" t="n">
        <v>20</v>
      </c>
      <c r="X3" s="41" t="n">
        <v>21</v>
      </c>
      <c r="Y3" s="41" t="n">
        <v>22</v>
      </c>
      <c r="Z3" s="41" t="n">
        <v>23</v>
      </c>
      <c r="AA3" s="41" t="n">
        <v>24</v>
      </c>
      <c r="AB3" s="41" t="n">
        <v>25</v>
      </c>
      <c r="AC3" s="41" t="n">
        <v>26</v>
      </c>
      <c r="AD3" s="41" t="n">
        <v>27</v>
      </c>
      <c r="AE3" s="41" t="n">
        <v>28</v>
      </c>
      <c r="AF3" s="41" t="n">
        <v>29</v>
      </c>
      <c r="AG3" s="41" t="n">
        <v>30</v>
      </c>
      <c r="AH3" s="41" t="n">
        <v>31</v>
      </c>
      <c r="AI3" s="41" t="n">
        <v>32</v>
      </c>
      <c r="AJ3" s="41" t="n">
        <v>33</v>
      </c>
      <c r="AK3" s="41" t="n">
        <v>34</v>
      </c>
      <c r="AL3" s="41" t="n">
        <v>35</v>
      </c>
      <c r="AM3" s="41" t="n">
        <v>36</v>
      </c>
    </row>
    <row r="4" customFormat="false" ht="15" hidden="false" customHeight="false" outlineLevel="0" collapsed="false">
      <c r="B4" s="21" t="s">
        <v>475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</row>
    <row r="5" customFormat="false" ht="15" hidden="false" customHeight="false" outlineLevel="0" collapsed="false">
      <c r="B5" s="4" t="s">
        <v>476</v>
      </c>
      <c r="D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E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F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G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H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I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J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K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L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M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N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O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P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Q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R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S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T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U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V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W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X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Y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Z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A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B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C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D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E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F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G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H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I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J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K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L5" s="35" t="n">
        <f aca="false">(Supuestos!$F$12*Supuestos!$F$9/((Supuestos!$F$29*Supuestos!$F$21+Supuestos!$F$30*Supuestos!$F$22+Supuestos!$F$31*Supuestos!$F$23+Supuestos!$F$32*Supuestos!$F$24)*Supuestos!$F$17*Supuestos!$F$18))</f>
        <v>96</v>
      </c>
      <c r="AM5" s="35" t="n">
        <f aca="false">(Supuestos!$F$12*Supuestos!$F$9/((Supuestos!$F$29*Supuestos!$F$21+Supuestos!$F$30*Supuestos!$F$22+Supuestos!$F$31*Supuestos!$F$23+Supuestos!$F$32*Supuestos!$F$24)*Supuestos!$F$17*Supuestos!$F$18))</f>
        <v>96</v>
      </c>
    </row>
    <row r="6" customFormat="false" ht="15" hidden="false" customHeight="false" outlineLevel="0" collapsed="false">
      <c r="B6" s="4" t="s">
        <v>477</v>
      </c>
      <c r="D6" s="35" t="n">
        <f aca="false">IF(D$3&lt;=6,Supuestos!$F$46,IF(D$3&lt;=12,Supuestos!$F$47,Supuestos!$F$48))</f>
        <v>5</v>
      </c>
      <c r="E6" s="35" t="n">
        <f aca="false">IF(E$3&lt;=6,Supuestos!$F$46,IF(E$3&lt;=12,Supuestos!$F$47,Supuestos!$F$48))</f>
        <v>5</v>
      </c>
      <c r="F6" s="35" t="n">
        <f aca="false">IF(F$3&lt;=6,Supuestos!$F$46,IF(F$3&lt;=12,Supuestos!$F$47,Supuestos!$F$48))</f>
        <v>5</v>
      </c>
      <c r="G6" s="35" t="n">
        <f aca="false">IF(G$3&lt;=6,Supuestos!$F$46,IF(G$3&lt;=12,Supuestos!$F$47,Supuestos!$F$48))</f>
        <v>5</v>
      </c>
      <c r="H6" s="35" t="n">
        <f aca="false">IF(H$3&lt;=6,Supuestos!$F$46,IF(H$3&lt;=12,Supuestos!$F$47,Supuestos!$F$48))</f>
        <v>5</v>
      </c>
      <c r="I6" s="35" t="n">
        <f aca="false">IF(I$3&lt;=6,Supuestos!$F$46,IF(I$3&lt;=12,Supuestos!$F$47,Supuestos!$F$48))</f>
        <v>5</v>
      </c>
      <c r="J6" s="35" t="n">
        <f aca="false">IF(J$3&lt;=6,Supuestos!$F$46,IF(J$3&lt;=12,Supuestos!$F$47,Supuestos!$F$48))</f>
        <v>4</v>
      </c>
      <c r="K6" s="35" t="n">
        <f aca="false">IF(K$3&lt;=6,Supuestos!$F$46,IF(K$3&lt;=12,Supuestos!$F$47,Supuestos!$F$48))</f>
        <v>4</v>
      </c>
      <c r="L6" s="35" t="n">
        <f aca="false">IF(L$3&lt;=6,Supuestos!$F$46,IF(L$3&lt;=12,Supuestos!$F$47,Supuestos!$F$48))</f>
        <v>4</v>
      </c>
      <c r="M6" s="35" t="n">
        <f aca="false">IF(M$3&lt;=6,Supuestos!$F$46,IF(M$3&lt;=12,Supuestos!$F$47,Supuestos!$F$48))</f>
        <v>4</v>
      </c>
      <c r="N6" s="35" t="n">
        <f aca="false">IF(N$3&lt;=6,Supuestos!$F$46,IF(N$3&lt;=12,Supuestos!$F$47,Supuestos!$F$48))</f>
        <v>4</v>
      </c>
      <c r="O6" s="35" t="n">
        <f aca="false">IF(O$3&lt;=6,Supuestos!$F$46,IF(O$3&lt;=12,Supuestos!$F$47,Supuestos!$F$48))</f>
        <v>4</v>
      </c>
      <c r="P6" s="35" t="n">
        <f aca="false">IF(P$3&lt;=6,Supuestos!$F$46,IF(P$3&lt;=12,Supuestos!$F$47,Supuestos!$F$48))</f>
        <v>3</v>
      </c>
      <c r="Q6" s="35" t="n">
        <f aca="false">IF(Q$3&lt;=6,Supuestos!$F$46,IF(Q$3&lt;=12,Supuestos!$F$47,Supuestos!$F$48))</f>
        <v>3</v>
      </c>
      <c r="R6" s="35" t="n">
        <f aca="false">IF(R$3&lt;=6,Supuestos!$F$46,IF(R$3&lt;=12,Supuestos!$F$47,Supuestos!$F$48))</f>
        <v>3</v>
      </c>
      <c r="S6" s="35" t="n">
        <f aca="false">IF(S$3&lt;=6,Supuestos!$F$46,IF(S$3&lt;=12,Supuestos!$F$47,Supuestos!$F$48))</f>
        <v>3</v>
      </c>
      <c r="T6" s="35" t="n">
        <f aca="false">IF(T$3&lt;=6,Supuestos!$F$46,IF(T$3&lt;=12,Supuestos!$F$47,Supuestos!$F$48))</f>
        <v>3</v>
      </c>
      <c r="U6" s="35" t="n">
        <f aca="false">IF(U$3&lt;=6,Supuestos!$F$46,IF(U$3&lt;=12,Supuestos!$F$47,Supuestos!$F$48))</f>
        <v>3</v>
      </c>
      <c r="V6" s="35" t="n">
        <f aca="false">IF(V$3&lt;=6,Supuestos!$F$46,IF(V$3&lt;=12,Supuestos!$F$47,Supuestos!$F$48))</f>
        <v>3</v>
      </c>
      <c r="W6" s="35" t="n">
        <f aca="false">IF(W$3&lt;=6,Supuestos!$F$46,IF(W$3&lt;=12,Supuestos!$F$47,Supuestos!$F$48))</f>
        <v>3</v>
      </c>
      <c r="X6" s="35" t="n">
        <f aca="false">IF(X$3&lt;=6,Supuestos!$F$46,IF(X$3&lt;=12,Supuestos!$F$47,Supuestos!$F$48))</f>
        <v>3</v>
      </c>
      <c r="Y6" s="35" t="n">
        <f aca="false">IF(Y$3&lt;=6,Supuestos!$F$46,IF(Y$3&lt;=12,Supuestos!$F$47,Supuestos!$F$48))</f>
        <v>3</v>
      </c>
      <c r="Z6" s="35" t="n">
        <f aca="false">IF(Z$3&lt;=6,Supuestos!$F$46,IF(Z$3&lt;=12,Supuestos!$F$47,Supuestos!$F$48))</f>
        <v>3</v>
      </c>
      <c r="AA6" s="35" t="n">
        <f aca="false">IF(AA$3&lt;=6,Supuestos!$F$46,IF(AA$3&lt;=12,Supuestos!$F$47,Supuestos!$F$48))</f>
        <v>3</v>
      </c>
      <c r="AB6" s="35" t="n">
        <f aca="false">IF(AB$3&lt;=6,Supuestos!$F$46,IF(AB$3&lt;=12,Supuestos!$F$47,Supuestos!$F$48))</f>
        <v>3</v>
      </c>
      <c r="AC6" s="35" t="n">
        <f aca="false">IF(AC$3&lt;=6,Supuestos!$F$46,IF(AC$3&lt;=12,Supuestos!$F$47,Supuestos!$F$48))</f>
        <v>3</v>
      </c>
      <c r="AD6" s="35" t="n">
        <f aca="false">IF(AD$3&lt;=6,Supuestos!$F$46,IF(AD$3&lt;=12,Supuestos!$F$47,Supuestos!$F$48))</f>
        <v>3</v>
      </c>
      <c r="AE6" s="35" t="n">
        <f aca="false">IF(AE$3&lt;=6,Supuestos!$F$46,IF(AE$3&lt;=12,Supuestos!$F$47,Supuestos!$F$48))</f>
        <v>3</v>
      </c>
      <c r="AF6" s="35" t="n">
        <f aca="false">IF(AF$3&lt;=6,Supuestos!$F$46,IF(AF$3&lt;=12,Supuestos!$F$47,Supuestos!$F$48))</f>
        <v>3</v>
      </c>
      <c r="AG6" s="35" t="n">
        <f aca="false">IF(AG$3&lt;=6,Supuestos!$F$46,IF(AG$3&lt;=12,Supuestos!$F$47,Supuestos!$F$48))</f>
        <v>3</v>
      </c>
      <c r="AH6" s="35" t="n">
        <f aca="false">IF(AH$3&lt;=6,Supuestos!$F$46,IF(AH$3&lt;=12,Supuestos!$F$47,Supuestos!$F$48))</f>
        <v>3</v>
      </c>
      <c r="AI6" s="35" t="n">
        <f aca="false">IF(AI$3&lt;=6,Supuestos!$F$46,IF(AI$3&lt;=12,Supuestos!$F$47,Supuestos!$F$48))</f>
        <v>3</v>
      </c>
      <c r="AJ6" s="35" t="n">
        <f aca="false">IF(AJ$3&lt;=6,Supuestos!$F$46,IF(AJ$3&lt;=12,Supuestos!$F$47,Supuestos!$F$48))</f>
        <v>3</v>
      </c>
      <c r="AK6" s="35" t="n">
        <f aca="false">IF(AK$3&lt;=6,Supuestos!$F$46,IF(AK$3&lt;=12,Supuestos!$F$47,Supuestos!$F$48))</f>
        <v>3</v>
      </c>
      <c r="AL6" s="35" t="n">
        <f aca="false">IF(AL$3&lt;=6,Supuestos!$F$46,IF(AL$3&lt;=12,Supuestos!$F$47,Supuestos!$F$48))</f>
        <v>3</v>
      </c>
      <c r="AM6" s="35" t="n">
        <f aca="false">IF(AM$3&lt;=6,Supuestos!$F$46,IF(AM$3&lt;=12,Supuestos!$F$47,Supuestos!$F$48))</f>
        <v>3</v>
      </c>
    </row>
    <row r="7" customFormat="false" ht="15" hidden="false" customHeight="false" outlineLevel="0" collapsed="false">
      <c r="B7" s="4" t="s">
        <v>478</v>
      </c>
      <c r="D7" s="35" t="n">
        <f aca="false">MIN(D5,Supuestos!$F$45*(1-Supuestos!$F$49)+D6)</f>
        <v>14.5</v>
      </c>
      <c r="E7" s="35" t="n">
        <f aca="false">MIN(E5,D7*(1-Supuestos!$F$49)+E6)</f>
        <v>18.775</v>
      </c>
      <c r="F7" s="35" t="n">
        <f aca="false">MIN(F5,E7*(1-Supuestos!$F$49)+F6)</f>
        <v>22.83625</v>
      </c>
      <c r="G7" s="35" t="n">
        <f aca="false">MIN(G5,F7*(1-Supuestos!$F$49)+G6)</f>
        <v>26.6944375</v>
      </c>
      <c r="H7" s="35" t="n">
        <f aca="false">MIN(H5,G7*(1-Supuestos!$F$49)+H6)</f>
        <v>30.359715625</v>
      </c>
      <c r="I7" s="35" t="n">
        <f aca="false">MIN(I5,H7*(1-Supuestos!$F$49)+I6)</f>
        <v>33.84172984375</v>
      </c>
      <c r="J7" s="35" t="n">
        <f aca="false">MIN(J5,I7*(1-Supuestos!$F$49)+J6)</f>
        <v>36.1496433515625</v>
      </c>
      <c r="K7" s="35" t="n">
        <f aca="false">MIN(K5,J7*(1-Supuestos!$F$49)+K6)</f>
        <v>38.3421611839844</v>
      </c>
      <c r="L7" s="35" t="n">
        <f aca="false">MIN(L5,K7*(1-Supuestos!$F$49)+L6)</f>
        <v>40.4250531247851</v>
      </c>
      <c r="M7" s="35" t="n">
        <f aca="false">MIN(M5,L7*(1-Supuestos!$F$49)+M6)</f>
        <v>42.4038004685459</v>
      </c>
      <c r="N7" s="35" t="n">
        <f aca="false">MIN(N5,M7*(1-Supuestos!$F$49)+N6)</f>
        <v>44.2836104451186</v>
      </c>
      <c r="O7" s="35" t="n">
        <f aca="false">MIN(O5,N7*(1-Supuestos!$F$49)+O6)</f>
        <v>46.0694299228627</v>
      </c>
      <c r="P7" s="35" t="n">
        <f aca="false">MIN(P5,O7*(1-Supuestos!$F$49)+P6)</f>
        <v>46.7659584267195</v>
      </c>
      <c r="Q7" s="35" t="n">
        <f aca="false">MIN(Q5,P7*(1-Supuestos!$F$49)+Q6)</f>
        <v>47.4276605053835</v>
      </c>
      <c r="R7" s="35" t="n">
        <f aca="false">MIN(R5,Q7*(1-Supuestos!$F$49)+R6)</f>
        <v>48.0562774801144</v>
      </c>
      <c r="S7" s="35" t="n">
        <f aca="false">MIN(S5,R7*(1-Supuestos!$F$49)+S6)</f>
        <v>48.6534636061086</v>
      </c>
      <c r="T7" s="35" t="n">
        <f aca="false">MIN(T5,S7*(1-Supuestos!$F$49)+T6)</f>
        <v>49.2207904258032</v>
      </c>
      <c r="U7" s="35" t="n">
        <f aca="false">MIN(U5,T7*(1-Supuestos!$F$49)+U6)</f>
        <v>49.759750904513</v>
      </c>
      <c r="V7" s="35" t="n">
        <f aca="false">MIN(V5,U7*(1-Supuestos!$F$49)+V6)</f>
        <v>50.2717633592874</v>
      </c>
      <c r="W7" s="35" t="n">
        <f aca="false">MIN(W5,V7*(1-Supuestos!$F$49)+W6)</f>
        <v>50.758175191323</v>
      </c>
      <c r="X7" s="35" t="n">
        <f aca="false">MIN(X5,W7*(1-Supuestos!$F$49)+X6)</f>
        <v>51.2202664317569</v>
      </c>
      <c r="Y7" s="35" t="n">
        <f aca="false">MIN(Y5,X7*(1-Supuestos!$F$49)+Y6)</f>
        <v>51.659253110169</v>
      </c>
      <c r="Z7" s="35" t="n">
        <f aca="false">MIN(Z5,Y7*(1-Supuestos!$F$49)+Z6)</f>
        <v>52.0762904546606</v>
      </c>
      <c r="AA7" s="35" t="n">
        <f aca="false">MIN(AA5,Z7*(1-Supuestos!$F$49)+AA6)</f>
        <v>52.4724759319275</v>
      </c>
      <c r="AB7" s="35" t="n">
        <f aca="false">MIN(AB5,AA7*(1-Supuestos!$F$49)+AB6)</f>
        <v>52.8488521353312</v>
      </c>
      <c r="AC7" s="35" t="n">
        <f aca="false">MIN(AC5,AB7*(1-Supuestos!$F$49)+AC6)</f>
        <v>53.2064095285646</v>
      </c>
      <c r="AD7" s="35" t="n">
        <f aca="false">MIN(AD5,AC7*(1-Supuestos!$F$49)+AD6)</f>
        <v>53.5460890521364</v>
      </c>
      <c r="AE7" s="35" t="n">
        <f aca="false">MIN(AE5,AD7*(1-Supuestos!$F$49)+AE6)</f>
        <v>53.8687845995296</v>
      </c>
      <c r="AF7" s="35" t="n">
        <f aca="false">MIN(AF5,AE7*(1-Supuestos!$F$49)+AF6)</f>
        <v>54.1753453695531</v>
      </c>
      <c r="AG7" s="35" t="n">
        <f aca="false">MIN(AG5,AF7*(1-Supuestos!$F$49)+AG6)</f>
        <v>54.4665781010754</v>
      </c>
      <c r="AH7" s="35" t="n">
        <f aca="false">MIN(AH5,AG7*(1-Supuestos!$F$49)+AH6)</f>
        <v>54.7432491960216</v>
      </c>
      <c r="AI7" s="35" t="n">
        <f aca="false">MIN(AI5,AH7*(1-Supuestos!$F$49)+AI6)</f>
        <v>55.0060867362206</v>
      </c>
      <c r="AJ7" s="35" t="n">
        <f aca="false">MIN(AJ5,AI7*(1-Supuestos!$F$49)+AJ6)</f>
        <v>55.2557823994095</v>
      </c>
      <c r="AK7" s="35" t="n">
        <f aca="false">MIN(AK5,AJ7*(1-Supuestos!$F$49)+AK6)</f>
        <v>55.4929932794391</v>
      </c>
      <c r="AL7" s="35" t="n">
        <f aca="false">MIN(AL5,AK7*(1-Supuestos!$F$49)+AL6)</f>
        <v>55.7183436154671</v>
      </c>
      <c r="AM7" s="35" t="n">
        <f aca="false">MIN(AM5,AL7*(1-Supuestos!$F$49)+AM6)</f>
        <v>55.9324264346937</v>
      </c>
    </row>
    <row r="8" customFormat="false" ht="15" hidden="false" customHeight="false" outlineLevel="0" collapsed="false">
      <c r="B8" s="4" t="s">
        <v>479</v>
      </c>
      <c r="D8" s="35" t="n">
        <f aca="false">Supuestos!$F$45*Supuestos!$F$49</f>
        <v>0.5</v>
      </c>
      <c r="E8" s="35" t="n">
        <f aca="false">D7*Supuestos!$F$49</f>
        <v>0.725</v>
      </c>
      <c r="F8" s="35" t="n">
        <f aca="false">E7*Supuestos!$F$49</f>
        <v>0.93875</v>
      </c>
      <c r="G8" s="35" t="n">
        <f aca="false">F7*Supuestos!$F$49</f>
        <v>1.1418125</v>
      </c>
      <c r="H8" s="35" t="n">
        <f aca="false">G7*Supuestos!$F$49</f>
        <v>1.334721875</v>
      </c>
      <c r="I8" s="35" t="n">
        <f aca="false">H7*Supuestos!$F$49</f>
        <v>1.51798578125</v>
      </c>
      <c r="J8" s="35" t="n">
        <f aca="false">I7*Supuestos!$F$49</f>
        <v>1.6920864921875</v>
      </c>
      <c r="K8" s="35" t="n">
        <f aca="false">J7*Supuestos!$F$49</f>
        <v>1.80748216757813</v>
      </c>
      <c r="L8" s="35" t="n">
        <f aca="false">K7*Supuestos!$F$49</f>
        <v>1.91710805919922</v>
      </c>
      <c r="M8" s="35" t="n">
        <f aca="false">L7*Supuestos!$F$49</f>
        <v>2.02125265623926</v>
      </c>
      <c r="N8" s="35" t="n">
        <f aca="false">M7*Supuestos!$F$49</f>
        <v>2.12019002342729</v>
      </c>
      <c r="O8" s="35" t="n">
        <f aca="false">N7*Supuestos!$F$49</f>
        <v>2.21418052225593</v>
      </c>
      <c r="P8" s="35" t="n">
        <f aca="false">O7*Supuestos!$F$49</f>
        <v>2.30347149614313</v>
      </c>
      <c r="Q8" s="35" t="n">
        <f aca="false">P7*Supuestos!$F$49</f>
        <v>2.33829792133598</v>
      </c>
      <c r="R8" s="35" t="n">
        <f aca="false">Q7*Supuestos!$F$49</f>
        <v>2.37138302526918</v>
      </c>
      <c r="S8" s="35" t="n">
        <f aca="false">R7*Supuestos!$F$49</f>
        <v>2.40281387400572</v>
      </c>
      <c r="T8" s="35" t="n">
        <f aca="false">S7*Supuestos!$F$49</f>
        <v>2.43267318030543</v>
      </c>
      <c r="U8" s="35" t="n">
        <f aca="false">T7*Supuestos!$F$49</f>
        <v>2.46103952129016</v>
      </c>
      <c r="V8" s="35" t="n">
        <f aca="false">U7*Supuestos!$F$49</f>
        <v>2.48798754522565</v>
      </c>
      <c r="W8" s="35" t="n">
        <f aca="false">V7*Supuestos!$F$49</f>
        <v>2.51358816796437</v>
      </c>
      <c r="X8" s="35" t="n">
        <f aca="false">W7*Supuestos!$F$49</f>
        <v>2.53790875956615</v>
      </c>
      <c r="Y8" s="35" t="n">
        <f aca="false">X7*Supuestos!$F$49</f>
        <v>2.56101332158784</v>
      </c>
      <c r="Z8" s="35" t="n">
        <f aca="false">Y7*Supuestos!$F$49</f>
        <v>2.58296265550845</v>
      </c>
      <c r="AA8" s="35" t="n">
        <f aca="false">Z7*Supuestos!$F$49</f>
        <v>2.60381452273303</v>
      </c>
      <c r="AB8" s="35" t="n">
        <f aca="false">AA7*Supuestos!$F$49</f>
        <v>2.62362379659638</v>
      </c>
      <c r="AC8" s="35" t="n">
        <f aca="false">AB7*Supuestos!$F$49</f>
        <v>2.64244260676656</v>
      </c>
      <c r="AD8" s="35" t="n">
        <f aca="false">AC7*Supuestos!$F$49</f>
        <v>2.66032047642823</v>
      </c>
      <c r="AE8" s="35" t="n">
        <f aca="false">AD7*Supuestos!$F$49</f>
        <v>2.67730445260682</v>
      </c>
      <c r="AF8" s="35" t="n">
        <f aca="false">AE7*Supuestos!$F$49</f>
        <v>2.69343922997648</v>
      </c>
      <c r="AG8" s="35" t="n">
        <f aca="false">AF7*Supuestos!$F$49</f>
        <v>2.70876726847765</v>
      </c>
      <c r="AH8" s="35" t="n">
        <f aca="false">AG7*Supuestos!$F$49</f>
        <v>2.72332890505377</v>
      </c>
      <c r="AI8" s="35" t="n">
        <f aca="false">AH7*Supuestos!$F$49</f>
        <v>2.73716245980108</v>
      </c>
      <c r="AJ8" s="35" t="n">
        <f aca="false">AI7*Supuestos!$F$49</f>
        <v>2.75030433681103</v>
      </c>
      <c r="AK8" s="35" t="n">
        <f aca="false">AJ7*Supuestos!$F$49</f>
        <v>2.76278911997048</v>
      </c>
      <c r="AL8" s="35" t="n">
        <f aca="false">AK7*Supuestos!$F$49</f>
        <v>2.77464966397195</v>
      </c>
      <c r="AM8" s="35" t="n">
        <f aca="false">AL7*Supuestos!$F$49</f>
        <v>2.78591718077336</v>
      </c>
    </row>
    <row r="9" customFormat="false" ht="15" hidden="false" customHeight="false" outlineLevel="0" collapsed="false">
      <c r="B9" s="4" t="s">
        <v>480</v>
      </c>
      <c r="D9" s="35" t="n">
        <f aca="false">MIN(Supuestos!$F$13,Supuestos!$F$50)</f>
        <v>1.5</v>
      </c>
      <c r="E9" s="35" t="n">
        <f aca="false">MIN(Supuestos!$F$13,D9*(1-Supuestos!$F$51)+Supuestos!$F$50)</f>
        <v>2.955</v>
      </c>
      <c r="F9" s="35" t="n">
        <f aca="false">MIN(Supuestos!$F$13,E9*(1-Supuestos!$F$51)+Supuestos!$F$50)</f>
        <v>4.36635</v>
      </c>
      <c r="G9" s="35" t="n">
        <f aca="false">MIN(Supuestos!$F$13,F9*(1-Supuestos!$F$51)+Supuestos!$F$50)</f>
        <v>5.7353595</v>
      </c>
      <c r="H9" s="35" t="n">
        <f aca="false">MIN(Supuestos!$F$13,G9*(1-Supuestos!$F$51)+Supuestos!$F$50)</f>
        <v>7.063298715</v>
      </c>
      <c r="I9" s="35" t="n">
        <f aca="false">MIN(Supuestos!$F$13,H9*(1-Supuestos!$F$51)+Supuestos!$F$50)</f>
        <v>8</v>
      </c>
      <c r="J9" s="35" t="n">
        <f aca="false">MIN(Supuestos!$F$13,I9*(1-Supuestos!$F$51)+Supuestos!$F$50)</f>
        <v>8</v>
      </c>
      <c r="K9" s="35" t="n">
        <f aca="false">MIN(Supuestos!$F$13,J9*(1-Supuestos!$F$51)+Supuestos!$F$50)</f>
        <v>8</v>
      </c>
      <c r="L9" s="35" t="n">
        <f aca="false">MIN(Supuestos!$F$13,K9*(1-Supuestos!$F$51)+Supuestos!$F$50)</f>
        <v>8</v>
      </c>
      <c r="M9" s="35" t="n">
        <f aca="false">MIN(Supuestos!$F$13,L9*(1-Supuestos!$F$51)+Supuestos!$F$50)</f>
        <v>8</v>
      </c>
      <c r="N9" s="35" t="n">
        <f aca="false">MIN(Supuestos!$F$13,M9*(1-Supuestos!$F$51)+Supuestos!$F$50)</f>
        <v>8</v>
      </c>
      <c r="O9" s="35" t="n">
        <f aca="false">MIN(Supuestos!$F$13,N9*(1-Supuestos!$F$51)+Supuestos!$F$50)</f>
        <v>8</v>
      </c>
      <c r="P9" s="35" t="n">
        <f aca="false">MIN(Supuestos!$F$13,O9*(1-Supuestos!$F$51)+Supuestos!$F$50)</f>
        <v>8</v>
      </c>
      <c r="Q9" s="35" t="n">
        <f aca="false">MIN(Supuestos!$F$13,P9*(1-Supuestos!$F$51)+Supuestos!$F$50)</f>
        <v>8</v>
      </c>
      <c r="R9" s="35" t="n">
        <f aca="false">MIN(Supuestos!$F$13,Q9*(1-Supuestos!$F$51)+Supuestos!$F$50)</f>
        <v>8</v>
      </c>
      <c r="S9" s="35" t="n">
        <f aca="false">MIN(Supuestos!$F$13,R9*(1-Supuestos!$F$51)+Supuestos!$F$50)</f>
        <v>8</v>
      </c>
      <c r="T9" s="35" t="n">
        <f aca="false">MIN(Supuestos!$F$13,S9*(1-Supuestos!$F$51)+Supuestos!$F$50)</f>
        <v>8</v>
      </c>
      <c r="U9" s="35" t="n">
        <f aca="false">MIN(Supuestos!$F$13,T9*(1-Supuestos!$F$51)+Supuestos!$F$50)</f>
        <v>8</v>
      </c>
      <c r="V9" s="35" t="n">
        <f aca="false">MIN(Supuestos!$F$13,U9*(1-Supuestos!$F$51)+Supuestos!$F$50)</f>
        <v>8</v>
      </c>
      <c r="W9" s="35" t="n">
        <f aca="false">MIN(Supuestos!$F$13,V9*(1-Supuestos!$F$51)+Supuestos!$F$50)</f>
        <v>8</v>
      </c>
      <c r="X9" s="35" t="n">
        <f aca="false">MIN(Supuestos!$F$13,W9*(1-Supuestos!$F$51)+Supuestos!$F$50)</f>
        <v>8</v>
      </c>
      <c r="Y9" s="35" t="n">
        <f aca="false">MIN(Supuestos!$F$13,X9*(1-Supuestos!$F$51)+Supuestos!$F$50)</f>
        <v>8</v>
      </c>
      <c r="Z9" s="35" t="n">
        <f aca="false">MIN(Supuestos!$F$13,Y9*(1-Supuestos!$F$51)+Supuestos!$F$50)</f>
        <v>8</v>
      </c>
      <c r="AA9" s="35" t="n">
        <f aca="false">MIN(Supuestos!$F$13,Z9*(1-Supuestos!$F$51)+Supuestos!$F$50)</f>
        <v>8</v>
      </c>
      <c r="AB9" s="35" t="n">
        <f aca="false">MIN(Supuestos!$F$13,AA9*(1-Supuestos!$F$51)+Supuestos!$F$50)</f>
        <v>8</v>
      </c>
      <c r="AC9" s="35" t="n">
        <f aca="false">MIN(Supuestos!$F$13,AB9*(1-Supuestos!$F$51)+Supuestos!$F$50)</f>
        <v>8</v>
      </c>
      <c r="AD9" s="35" t="n">
        <f aca="false">MIN(Supuestos!$F$13,AC9*(1-Supuestos!$F$51)+Supuestos!$F$50)</f>
        <v>8</v>
      </c>
      <c r="AE9" s="35" t="n">
        <f aca="false">MIN(Supuestos!$F$13,AD9*(1-Supuestos!$F$51)+Supuestos!$F$50)</f>
        <v>8</v>
      </c>
      <c r="AF9" s="35" t="n">
        <f aca="false">MIN(Supuestos!$F$13,AE9*(1-Supuestos!$F$51)+Supuestos!$F$50)</f>
        <v>8</v>
      </c>
      <c r="AG9" s="35" t="n">
        <f aca="false">MIN(Supuestos!$F$13,AF9*(1-Supuestos!$F$51)+Supuestos!$F$50)</f>
        <v>8</v>
      </c>
      <c r="AH9" s="35" t="n">
        <f aca="false">MIN(Supuestos!$F$13,AG9*(1-Supuestos!$F$51)+Supuestos!$F$50)</f>
        <v>8</v>
      </c>
      <c r="AI9" s="35" t="n">
        <f aca="false">MIN(Supuestos!$F$13,AH9*(1-Supuestos!$F$51)+Supuestos!$F$50)</f>
        <v>8</v>
      </c>
      <c r="AJ9" s="35" t="n">
        <f aca="false">MIN(Supuestos!$F$13,AI9*(1-Supuestos!$F$51)+Supuestos!$F$50)</f>
        <v>8</v>
      </c>
      <c r="AK9" s="35" t="n">
        <f aca="false">MIN(Supuestos!$F$13,AJ9*(1-Supuestos!$F$51)+Supuestos!$F$50)</f>
        <v>8</v>
      </c>
      <c r="AL9" s="35" t="n">
        <f aca="false">MIN(Supuestos!$F$13,AK9*(1-Supuestos!$F$51)+Supuestos!$F$50)</f>
        <v>8</v>
      </c>
      <c r="AM9" s="35" t="n">
        <f aca="false">MIN(Supuestos!$F$13,AL9*(1-Supuestos!$F$51)+Supuestos!$F$50)</f>
        <v>8</v>
      </c>
    </row>
    <row r="10" customFormat="false" ht="15" hidden="false" customHeight="false" outlineLevel="0" collapsed="false">
      <c r="B10" s="4" t="s">
        <v>481</v>
      </c>
      <c r="D10" s="35" t="n">
        <f aca="false">Supuestos!$F$14*MIN(1,D$3/Supuestos!$F$43)</f>
        <v>0.75</v>
      </c>
      <c r="E10" s="35" t="n">
        <f aca="false">Supuestos!$F$14*MIN(1,E$3/Supuestos!$F$43)</f>
        <v>1.5</v>
      </c>
      <c r="F10" s="35" t="n">
        <f aca="false">Supuestos!$F$14*MIN(1,F$3/Supuestos!$F$43)</f>
        <v>2.25</v>
      </c>
      <c r="G10" s="35" t="n">
        <f aca="false">Supuestos!$F$14*MIN(1,G$3/Supuestos!$F$43)</f>
        <v>3</v>
      </c>
      <c r="H10" s="35" t="n">
        <f aca="false">Supuestos!$F$14*MIN(1,H$3/Supuestos!$F$43)</f>
        <v>3</v>
      </c>
      <c r="I10" s="35" t="n">
        <f aca="false">Supuestos!$F$14*MIN(1,I$3/Supuestos!$F$43)</f>
        <v>3</v>
      </c>
      <c r="J10" s="35" t="n">
        <f aca="false">Supuestos!$F$14*MIN(1,J$3/Supuestos!$F$43)</f>
        <v>3</v>
      </c>
      <c r="K10" s="35" t="n">
        <f aca="false">Supuestos!$F$14*MIN(1,K$3/Supuestos!$F$43)</f>
        <v>3</v>
      </c>
      <c r="L10" s="35" t="n">
        <f aca="false">Supuestos!$F$14*MIN(1,L$3/Supuestos!$F$43)</f>
        <v>3</v>
      </c>
      <c r="M10" s="35" t="n">
        <f aca="false">Supuestos!$F$14*MIN(1,M$3/Supuestos!$F$43)</f>
        <v>3</v>
      </c>
      <c r="N10" s="35" t="n">
        <f aca="false">Supuestos!$F$14*MIN(1,N$3/Supuestos!$F$43)</f>
        <v>3</v>
      </c>
      <c r="O10" s="35" t="n">
        <f aca="false">Supuestos!$F$14*MIN(1,O$3/Supuestos!$F$43)</f>
        <v>3</v>
      </c>
      <c r="P10" s="35" t="n">
        <f aca="false">Supuestos!$F$14*MIN(1,P$3/Supuestos!$F$43)</f>
        <v>3</v>
      </c>
      <c r="Q10" s="35" t="n">
        <f aca="false">Supuestos!$F$14*MIN(1,Q$3/Supuestos!$F$43)</f>
        <v>3</v>
      </c>
      <c r="R10" s="35" t="n">
        <f aca="false">Supuestos!$F$14*MIN(1,R$3/Supuestos!$F$43)</f>
        <v>3</v>
      </c>
      <c r="S10" s="35" t="n">
        <f aca="false">Supuestos!$F$14*MIN(1,S$3/Supuestos!$F$43)</f>
        <v>3</v>
      </c>
      <c r="T10" s="35" t="n">
        <f aca="false">Supuestos!$F$14*MIN(1,T$3/Supuestos!$F$43)</f>
        <v>3</v>
      </c>
      <c r="U10" s="35" t="n">
        <f aca="false">Supuestos!$F$14*MIN(1,U$3/Supuestos!$F$43)</f>
        <v>3</v>
      </c>
      <c r="V10" s="35" t="n">
        <f aca="false">Supuestos!$F$14*MIN(1,V$3/Supuestos!$F$43)</f>
        <v>3</v>
      </c>
      <c r="W10" s="35" t="n">
        <f aca="false">Supuestos!$F$14*MIN(1,W$3/Supuestos!$F$43)</f>
        <v>3</v>
      </c>
      <c r="X10" s="35" t="n">
        <f aca="false">Supuestos!$F$14*MIN(1,X$3/Supuestos!$F$43)</f>
        <v>3</v>
      </c>
      <c r="Y10" s="35" t="n">
        <f aca="false">Supuestos!$F$14*MIN(1,Y$3/Supuestos!$F$43)</f>
        <v>3</v>
      </c>
      <c r="Z10" s="35" t="n">
        <f aca="false">Supuestos!$F$14*MIN(1,Z$3/Supuestos!$F$43)</f>
        <v>3</v>
      </c>
      <c r="AA10" s="35" t="n">
        <f aca="false">Supuestos!$F$14*MIN(1,AA$3/Supuestos!$F$43)</f>
        <v>3</v>
      </c>
      <c r="AB10" s="35" t="n">
        <f aca="false">Supuestos!$F$14*MIN(1,AB$3/Supuestos!$F$43)</f>
        <v>3</v>
      </c>
      <c r="AC10" s="35" t="n">
        <f aca="false">Supuestos!$F$14*MIN(1,AC$3/Supuestos!$F$43)</f>
        <v>3</v>
      </c>
      <c r="AD10" s="35" t="n">
        <f aca="false">Supuestos!$F$14*MIN(1,AD$3/Supuestos!$F$43)</f>
        <v>3</v>
      </c>
      <c r="AE10" s="35" t="n">
        <f aca="false">Supuestos!$F$14*MIN(1,AE$3/Supuestos!$F$43)</f>
        <v>3</v>
      </c>
      <c r="AF10" s="35" t="n">
        <f aca="false">Supuestos!$F$14*MIN(1,AF$3/Supuestos!$F$43)</f>
        <v>3</v>
      </c>
      <c r="AG10" s="35" t="n">
        <f aca="false">Supuestos!$F$14*MIN(1,AG$3/Supuestos!$F$43)</f>
        <v>3</v>
      </c>
      <c r="AH10" s="35" t="n">
        <f aca="false">Supuestos!$F$14*MIN(1,AH$3/Supuestos!$F$43)</f>
        <v>3</v>
      </c>
      <c r="AI10" s="35" t="n">
        <f aca="false">Supuestos!$F$14*MIN(1,AI$3/Supuestos!$F$43)</f>
        <v>3</v>
      </c>
      <c r="AJ10" s="35" t="n">
        <f aca="false">Supuestos!$F$14*MIN(1,AJ$3/Supuestos!$F$43)</f>
        <v>3</v>
      </c>
      <c r="AK10" s="35" t="n">
        <f aca="false">Supuestos!$F$14*MIN(1,AK$3/Supuestos!$F$43)</f>
        <v>3</v>
      </c>
      <c r="AL10" s="35" t="n">
        <f aca="false">Supuestos!$F$14*MIN(1,AL$3/Supuestos!$F$43)</f>
        <v>3</v>
      </c>
      <c r="AM10" s="35" t="n">
        <f aca="false">Supuestos!$F$14*MIN(1,AM$3/Supuestos!$F$43)</f>
        <v>3</v>
      </c>
    </row>
    <row r="11" customFormat="false" ht="15" hidden="false" customHeight="false" outlineLevel="0" collapsed="false">
      <c r="B11" s="4" t="s">
        <v>482</v>
      </c>
      <c r="D11" s="42" t="n">
        <f aca="false">D7*(Supuestos!$F$29*Supuestos!$F$21+Supuestos!$F$30*Supuestos!$F$22+Supuestos!$F$31*Supuestos!$F$23+Supuestos!$F$32*Supuestos!$F$24)*Supuestos!$F$17</f>
        <v>106.575</v>
      </c>
      <c r="E11" s="42" t="n">
        <f aca="false">E7*(Supuestos!$F$29*Supuestos!$F$21+Supuestos!$F$30*Supuestos!$F$22+Supuestos!$F$31*Supuestos!$F$23+Supuestos!$F$32*Supuestos!$F$24)*Supuestos!$F$17</f>
        <v>137.99625</v>
      </c>
      <c r="F11" s="42" t="n">
        <f aca="false">F7*(Supuestos!$F$29*Supuestos!$F$21+Supuestos!$F$30*Supuestos!$F$22+Supuestos!$F$31*Supuestos!$F$23+Supuestos!$F$32*Supuestos!$F$24)*Supuestos!$F$17</f>
        <v>167.8464375</v>
      </c>
      <c r="G11" s="42" t="n">
        <f aca="false">G7*(Supuestos!$F$29*Supuestos!$F$21+Supuestos!$F$30*Supuestos!$F$22+Supuestos!$F$31*Supuestos!$F$23+Supuestos!$F$32*Supuestos!$F$24)*Supuestos!$F$17</f>
        <v>196.204115625</v>
      </c>
      <c r="H11" s="42" t="n">
        <f aca="false">H7*(Supuestos!$F$29*Supuestos!$F$21+Supuestos!$F$30*Supuestos!$F$22+Supuestos!$F$31*Supuestos!$F$23+Supuestos!$F$32*Supuestos!$F$24)*Supuestos!$F$17</f>
        <v>223.14390984375</v>
      </c>
      <c r="I11" s="42" t="n">
        <f aca="false">I7*(Supuestos!$F$29*Supuestos!$F$21+Supuestos!$F$30*Supuestos!$F$22+Supuestos!$F$31*Supuestos!$F$23+Supuestos!$F$32*Supuestos!$F$24)*Supuestos!$F$17</f>
        <v>248.736714351563</v>
      </c>
      <c r="J11" s="42" t="n">
        <f aca="false">J7*(Supuestos!$F$29*Supuestos!$F$21+Supuestos!$F$30*Supuestos!$F$22+Supuestos!$F$31*Supuestos!$F$23+Supuestos!$F$32*Supuestos!$F$24)*Supuestos!$F$17</f>
        <v>265.699878633984</v>
      </c>
      <c r="K11" s="42" t="n">
        <f aca="false">K7*(Supuestos!$F$29*Supuestos!$F$21+Supuestos!$F$30*Supuestos!$F$22+Supuestos!$F$31*Supuestos!$F$23+Supuestos!$F$32*Supuestos!$F$24)*Supuestos!$F$17</f>
        <v>281.814884702285</v>
      </c>
      <c r="L11" s="42" t="n">
        <f aca="false">L7*(Supuestos!$F$29*Supuestos!$F$21+Supuestos!$F$30*Supuestos!$F$22+Supuestos!$F$31*Supuestos!$F$23+Supuestos!$F$32*Supuestos!$F$24)*Supuestos!$F$17</f>
        <v>297.124140467171</v>
      </c>
      <c r="M11" s="42" t="n">
        <f aca="false">M7*(Supuestos!$F$29*Supuestos!$F$21+Supuestos!$F$30*Supuestos!$F$22+Supuestos!$F$31*Supuestos!$F$23+Supuestos!$F$32*Supuestos!$F$24)*Supuestos!$F$17</f>
        <v>311.667933443812</v>
      </c>
      <c r="N11" s="42" t="n">
        <f aca="false">N7*(Supuestos!$F$29*Supuestos!$F$21+Supuestos!$F$30*Supuestos!$F$22+Supuestos!$F$31*Supuestos!$F$23+Supuestos!$F$32*Supuestos!$F$24)*Supuestos!$F$17</f>
        <v>325.484536771622</v>
      </c>
      <c r="O11" s="42" t="n">
        <f aca="false">O7*(Supuestos!$F$29*Supuestos!$F$21+Supuestos!$F$30*Supuestos!$F$22+Supuestos!$F$31*Supuestos!$F$23+Supuestos!$F$32*Supuestos!$F$24)*Supuestos!$F$17</f>
        <v>338.610309933041</v>
      </c>
      <c r="P11" s="42" t="n">
        <f aca="false">P7*(Supuestos!$F$29*Supuestos!$F$21+Supuestos!$F$30*Supuestos!$F$22+Supuestos!$F$31*Supuestos!$F$23+Supuestos!$F$32*Supuestos!$F$24)*Supuestos!$F$17</f>
        <v>343.729794436389</v>
      </c>
      <c r="Q11" s="42" t="n">
        <f aca="false">Q7*(Supuestos!$F$29*Supuestos!$F$21+Supuestos!$F$30*Supuestos!$F$22+Supuestos!$F$31*Supuestos!$F$23+Supuestos!$F$32*Supuestos!$F$24)*Supuestos!$F$17</f>
        <v>348.593304714569</v>
      </c>
      <c r="R11" s="42" t="n">
        <f aca="false">R7*(Supuestos!$F$29*Supuestos!$F$21+Supuestos!$F$30*Supuestos!$F$22+Supuestos!$F$31*Supuestos!$F$23+Supuestos!$F$32*Supuestos!$F$24)*Supuestos!$F$17</f>
        <v>353.213639478841</v>
      </c>
      <c r="S11" s="42" t="n">
        <f aca="false">S7*(Supuestos!$F$29*Supuestos!$F$21+Supuestos!$F$30*Supuestos!$F$22+Supuestos!$F$31*Supuestos!$F$23+Supuestos!$F$32*Supuestos!$F$24)*Supuestos!$F$17</f>
        <v>357.602957504899</v>
      </c>
      <c r="T11" s="42" t="n">
        <f aca="false">T7*(Supuestos!$F$29*Supuestos!$F$21+Supuestos!$F$30*Supuestos!$F$22+Supuestos!$F$31*Supuestos!$F$23+Supuestos!$F$32*Supuestos!$F$24)*Supuestos!$F$17</f>
        <v>361.772809629654</v>
      </c>
      <c r="U11" s="42" t="n">
        <f aca="false">U7*(Supuestos!$F$29*Supuestos!$F$21+Supuestos!$F$30*Supuestos!$F$22+Supuestos!$F$31*Supuestos!$F$23+Supuestos!$F$32*Supuestos!$F$24)*Supuestos!$F$17</f>
        <v>365.734169148171</v>
      </c>
      <c r="V11" s="42" t="n">
        <f aca="false">V7*(Supuestos!$F$29*Supuestos!$F$21+Supuestos!$F$30*Supuestos!$F$22+Supuestos!$F$31*Supuestos!$F$23+Supuestos!$F$32*Supuestos!$F$24)*Supuestos!$F$17</f>
        <v>369.497460690762</v>
      </c>
      <c r="W11" s="42" t="n">
        <f aca="false">W7*(Supuestos!$F$29*Supuestos!$F$21+Supuestos!$F$30*Supuestos!$F$22+Supuestos!$F$31*Supuestos!$F$23+Supuestos!$F$32*Supuestos!$F$24)*Supuestos!$F$17</f>
        <v>373.072587656224</v>
      </c>
      <c r="X11" s="42" t="n">
        <f aca="false">X7*(Supuestos!$F$29*Supuestos!$F$21+Supuestos!$F$30*Supuestos!$F$22+Supuestos!$F$31*Supuestos!$F$23+Supuestos!$F$32*Supuestos!$F$24)*Supuestos!$F$17</f>
        <v>376.468958273413</v>
      </c>
      <c r="Y11" s="42" t="n">
        <f aca="false">Y7*(Supuestos!$F$29*Supuestos!$F$21+Supuestos!$F$30*Supuestos!$F$22+Supuestos!$F$31*Supuestos!$F$23+Supuestos!$F$32*Supuestos!$F$24)*Supuestos!$F$17</f>
        <v>379.695510359742</v>
      </c>
      <c r="Z11" s="42" t="n">
        <f aca="false">Z7*(Supuestos!$F$29*Supuestos!$F$21+Supuestos!$F$30*Supuestos!$F$22+Supuestos!$F$31*Supuestos!$F$23+Supuestos!$F$32*Supuestos!$F$24)*Supuestos!$F$17</f>
        <v>382.760734841755</v>
      </c>
      <c r="AA11" s="42" t="n">
        <f aca="false">AA7*(Supuestos!$F$29*Supuestos!$F$21+Supuestos!$F$30*Supuestos!$F$22+Supuestos!$F$31*Supuestos!$F$23+Supuestos!$F$32*Supuestos!$F$24)*Supuestos!$F$17</f>
        <v>385.672698099667</v>
      </c>
      <c r="AB11" s="42" t="n">
        <f aca="false">AB7*(Supuestos!$F$29*Supuestos!$F$21+Supuestos!$F$30*Supuestos!$F$22+Supuestos!$F$31*Supuestos!$F$23+Supuestos!$F$32*Supuestos!$F$24)*Supuestos!$F$17</f>
        <v>388.439063194684</v>
      </c>
      <c r="AC11" s="42" t="n">
        <f aca="false">AC7*(Supuestos!$F$29*Supuestos!$F$21+Supuestos!$F$30*Supuestos!$F$22+Supuestos!$F$31*Supuestos!$F$23+Supuestos!$F$32*Supuestos!$F$24)*Supuestos!$F$17</f>
        <v>391.06711003495</v>
      </c>
      <c r="AD11" s="42" t="n">
        <f aca="false">AD7*(Supuestos!$F$29*Supuestos!$F$21+Supuestos!$F$30*Supuestos!$F$22+Supuestos!$F$31*Supuestos!$F$23+Supuestos!$F$32*Supuestos!$F$24)*Supuestos!$F$17</f>
        <v>393.563754533202</v>
      </c>
      <c r="AE11" s="42" t="n">
        <f aca="false">AE7*(Supuestos!$F$29*Supuestos!$F$21+Supuestos!$F$30*Supuestos!$F$22+Supuestos!$F$31*Supuestos!$F$23+Supuestos!$F$32*Supuestos!$F$24)*Supuestos!$F$17</f>
        <v>395.935566806542</v>
      </c>
      <c r="AF11" s="42" t="n">
        <f aca="false">AF7*(Supuestos!$F$29*Supuestos!$F$21+Supuestos!$F$30*Supuestos!$F$22+Supuestos!$F$31*Supuestos!$F$23+Supuestos!$F$32*Supuestos!$F$24)*Supuestos!$F$17</f>
        <v>398.188788466215</v>
      </c>
      <c r="AG11" s="42" t="n">
        <f aca="false">AG7*(Supuestos!$F$29*Supuestos!$F$21+Supuestos!$F$30*Supuestos!$F$22+Supuestos!$F$31*Supuestos!$F$23+Supuestos!$F$32*Supuestos!$F$24)*Supuestos!$F$17</f>
        <v>400.329349042904</v>
      </c>
      <c r="AH11" s="42" t="n">
        <f aca="false">AH7*(Supuestos!$F$29*Supuestos!$F$21+Supuestos!$F$30*Supuestos!$F$22+Supuestos!$F$31*Supuestos!$F$23+Supuestos!$F$32*Supuestos!$F$24)*Supuestos!$F$17</f>
        <v>402.362881590759</v>
      </c>
      <c r="AI11" s="42" t="n">
        <f aca="false">AI7*(Supuestos!$F$29*Supuestos!$F$21+Supuestos!$F$30*Supuestos!$F$22+Supuestos!$F$31*Supuestos!$F$23+Supuestos!$F$32*Supuestos!$F$24)*Supuestos!$F$17</f>
        <v>404.294737511221</v>
      </c>
      <c r="AJ11" s="42" t="n">
        <f aca="false">AJ7*(Supuestos!$F$29*Supuestos!$F$21+Supuestos!$F$30*Supuestos!$F$22+Supuestos!$F$31*Supuestos!$F$23+Supuestos!$F$32*Supuestos!$F$24)*Supuestos!$F$17</f>
        <v>406.13000063566</v>
      </c>
      <c r="AK11" s="42" t="n">
        <f aca="false">AK7*(Supuestos!$F$29*Supuestos!$F$21+Supuestos!$F$30*Supuestos!$F$22+Supuestos!$F$31*Supuestos!$F$23+Supuestos!$F$32*Supuestos!$F$24)*Supuestos!$F$17</f>
        <v>407.873500603877</v>
      </c>
      <c r="AL11" s="42" t="n">
        <f aca="false">AL7*(Supuestos!$F$29*Supuestos!$F$21+Supuestos!$F$30*Supuestos!$F$22+Supuestos!$F$31*Supuestos!$F$23+Supuestos!$F$32*Supuestos!$F$24)*Supuestos!$F$17</f>
        <v>409.529825573683</v>
      </c>
      <c r="AM11" s="42" t="n">
        <f aca="false">AM7*(Supuestos!$F$29*Supuestos!$F$21+Supuestos!$F$30*Supuestos!$F$22+Supuestos!$F$31*Supuestos!$F$23+Supuestos!$F$32*Supuestos!$F$24)*Supuestos!$F$17</f>
        <v>411.103334294999</v>
      </c>
    </row>
    <row r="12" customFormat="false" ht="15" hidden="false" customHeight="false" outlineLevel="0" collapsed="false">
      <c r="B12" s="4" t="s">
        <v>483</v>
      </c>
      <c r="D12" s="37" t="n">
        <f aca="false">D11/(Supuestos!$F$12*Supuestos!$F$9)</f>
        <v>0.120833333333333</v>
      </c>
      <c r="E12" s="37" t="n">
        <f aca="false">E11/(Supuestos!$F$12*Supuestos!$F$9)</f>
        <v>0.156458333333333</v>
      </c>
      <c r="F12" s="37" t="n">
        <f aca="false">F11/(Supuestos!$F$12*Supuestos!$F$9)</f>
        <v>0.190302083333333</v>
      </c>
      <c r="G12" s="37" t="n">
        <f aca="false">G11/(Supuestos!$F$12*Supuestos!$F$9)</f>
        <v>0.222453645833333</v>
      </c>
      <c r="H12" s="37" t="n">
        <f aca="false">H11/(Supuestos!$F$12*Supuestos!$F$9)</f>
        <v>0.252997630208333</v>
      </c>
      <c r="I12" s="37" t="n">
        <f aca="false">I11/(Supuestos!$F$12*Supuestos!$F$9)</f>
        <v>0.282014415364583</v>
      </c>
      <c r="J12" s="37" t="n">
        <f aca="false">J11/(Supuestos!$F$12*Supuestos!$F$9)</f>
        <v>0.301247027929688</v>
      </c>
      <c r="K12" s="37" t="n">
        <f aca="false">K11/(Supuestos!$F$12*Supuestos!$F$9)</f>
        <v>0.319518009866536</v>
      </c>
      <c r="L12" s="37" t="n">
        <f aca="false">L11/(Supuestos!$F$12*Supuestos!$F$9)</f>
        <v>0.336875442706543</v>
      </c>
      <c r="M12" s="37" t="n">
        <f aca="false">M11/(Supuestos!$F$12*Supuestos!$F$9)</f>
        <v>0.353365003904549</v>
      </c>
      <c r="N12" s="37" t="n">
        <f aca="false">N11/(Supuestos!$F$12*Supuestos!$F$9)</f>
        <v>0.369030087042655</v>
      </c>
      <c r="O12" s="37" t="n">
        <f aca="false">O11/(Supuestos!$F$12*Supuestos!$F$9)</f>
        <v>0.383911916023856</v>
      </c>
      <c r="P12" s="37" t="n">
        <f aca="false">P11/(Supuestos!$F$12*Supuestos!$F$9)</f>
        <v>0.389716320222663</v>
      </c>
      <c r="Q12" s="37" t="n">
        <f aca="false">Q11/(Supuestos!$F$12*Supuestos!$F$9)</f>
        <v>0.39523050421153</v>
      </c>
      <c r="R12" s="37" t="n">
        <f aca="false">R11/(Supuestos!$F$12*Supuestos!$F$9)</f>
        <v>0.400468979000953</v>
      </c>
      <c r="S12" s="37" t="n">
        <f aca="false">S11/(Supuestos!$F$12*Supuestos!$F$9)</f>
        <v>0.405445530050905</v>
      </c>
      <c r="T12" s="37" t="n">
        <f aca="false">T11/(Supuestos!$F$12*Supuestos!$F$9)</f>
        <v>0.41017325354836</v>
      </c>
      <c r="U12" s="37" t="n">
        <f aca="false">U11/(Supuestos!$F$12*Supuestos!$F$9)</f>
        <v>0.414664590870942</v>
      </c>
      <c r="V12" s="37" t="n">
        <f aca="false">V11/(Supuestos!$F$12*Supuestos!$F$9)</f>
        <v>0.418931361327395</v>
      </c>
      <c r="W12" s="37" t="n">
        <f aca="false">W11/(Supuestos!$F$12*Supuestos!$F$9)</f>
        <v>0.422984793261025</v>
      </c>
      <c r="X12" s="37" t="n">
        <f aca="false">X11/(Supuestos!$F$12*Supuestos!$F$9)</f>
        <v>0.426835553597974</v>
      </c>
      <c r="Y12" s="37" t="n">
        <f aca="false">Y11/(Supuestos!$F$12*Supuestos!$F$9)</f>
        <v>0.430493775918075</v>
      </c>
      <c r="Z12" s="37" t="n">
        <f aca="false">Z11/(Supuestos!$F$12*Supuestos!$F$9)</f>
        <v>0.433969087122171</v>
      </c>
      <c r="AA12" s="37" t="n">
        <f aca="false">AA11/(Supuestos!$F$12*Supuestos!$F$9)</f>
        <v>0.437270632766063</v>
      </c>
      <c r="AB12" s="37" t="n">
        <f aca="false">AB11/(Supuestos!$F$12*Supuestos!$F$9)</f>
        <v>0.44040710112776</v>
      </c>
      <c r="AC12" s="37" t="n">
        <f aca="false">AC11/(Supuestos!$F$12*Supuestos!$F$9)</f>
        <v>0.443386746071372</v>
      </c>
      <c r="AD12" s="37" t="n">
        <f aca="false">AD11/(Supuestos!$F$12*Supuestos!$F$9)</f>
        <v>0.446217408767803</v>
      </c>
      <c r="AE12" s="37" t="n">
        <f aca="false">AE11/(Supuestos!$F$12*Supuestos!$F$9)</f>
        <v>0.448906538329413</v>
      </c>
      <c r="AF12" s="37" t="n">
        <f aca="false">AF11/(Supuestos!$F$12*Supuestos!$F$9)</f>
        <v>0.451461211412942</v>
      </c>
      <c r="AG12" s="37" t="n">
        <f aca="false">AG11/(Supuestos!$F$12*Supuestos!$F$9)</f>
        <v>0.453888150842295</v>
      </c>
      <c r="AH12" s="37" t="n">
        <f aca="false">AH11/(Supuestos!$F$12*Supuestos!$F$9)</f>
        <v>0.45619374330018</v>
      </c>
      <c r="AI12" s="37" t="n">
        <f aca="false">AI11/(Supuestos!$F$12*Supuestos!$F$9)</f>
        <v>0.458384056135171</v>
      </c>
      <c r="AJ12" s="37" t="n">
        <f aca="false">AJ11/(Supuestos!$F$12*Supuestos!$F$9)</f>
        <v>0.460464853328413</v>
      </c>
      <c r="AK12" s="37" t="n">
        <f aca="false">AK11/(Supuestos!$F$12*Supuestos!$F$9)</f>
        <v>0.462441610661992</v>
      </c>
      <c r="AL12" s="37" t="n">
        <f aca="false">AL11/(Supuestos!$F$12*Supuestos!$F$9)</f>
        <v>0.464319530128892</v>
      </c>
      <c r="AM12" s="37" t="n">
        <f aca="false">AM11/(Supuestos!$F$12*Supuestos!$F$9)</f>
        <v>0.466103553622448</v>
      </c>
    </row>
    <row r="13" customFormat="false" ht="15" hidden="false" customHeight="false" outlineLevel="0" collapsed="false">
      <c r="B13" s="4" t="s">
        <v>484</v>
      </c>
      <c r="D13" s="35" t="n">
        <f aca="false">D11/Supuestos!$F$9*Supuestos!$F$18</f>
        <v>6.34375</v>
      </c>
      <c r="E13" s="35" t="n">
        <f aca="false">E11/Supuestos!$F$9*Supuestos!$F$18</f>
        <v>8.2140625</v>
      </c>
      <c r="F13" s="35" t="n">
        <f aca="false">F11/Supuestos!$F$9*Supuestos!$F$18</f>
        <v>9.990859375</v>
      </c>
      <c r="G13" s="35" t="n">
        <f aca="false">G11/Supuestos!$F$9*Supuestos!$F$18</f>
        <v>11.67881640625</v>
      </c>
      <c r="H13" s="35" t="n">
        <f aca="false">H11/Supuestos!$F$9*Supuestos!$F$18</f>
        <v>13.2823755859375</v>
      </c>
      <c r="I13" s="35" t="n">
        <f aca="false">I11/Supuestos!$F$9*Supuestos!$F$18</f>
        <v>14.8057568066406</v>
      </c>
      <c r="J13" s="35" t="n">
        <f aca="false">J11/Supuestos!$F$9*Supuestos!$F$18</f>
        <v>15.8154689663086</v>
      </c>
      <c r="K13" s="35" t="n">
        <f aca="false">K11/Supuestos!$F$9*Supuestos!$F$18</f>
        <v>16.7746955179932</v>
      </c>
      <c r="L13" s="35" t="n">
        <f aca="false">L11/Supuestos!$F$9*Supuestos!$F$18</f>
        <v>17.6859607420935</v>
      </c>
      <c r="M13" s="35" t="n">
        <f aca="false">M11/Supuestos!$F$9*Supuestos!$F$18</f>
        <v>18.5516627049888</v>
      </c>
      <c r="N13" s="35" t="n">
        <f aca="false">N11/Supuestos!$F$9*Supuestos!$F$18</f>
        <v>19.3740795697394</v>
      </c>
      <c r="O13" s="35" t="n">
        <f aca="false">O11/Supuestos!$F$9*Supuestos!$F$18</f>
        <v>20.1553755912524</v>
      </c>
      <c r="P13" s="35" t="n">
        <f aca="false">P11/Supuestos!$F$9*Supuestos!$F$18</f>
        <v>20.4601068116898</v>
      </c>
      <c r="Q13" s="35" t="n">
        <f aca="false">Q11/Supuestos!$F$9*Supuestos!$F$18</f>
        <v>20.7496014711053</v>
      </c>
      <c r="R13" s="35" t="n">
        <f aca="false">R11/Supuestos!$F$9*Supuestos!$F$18</f>
        <v>21.02462139755</v>
      </c>
      <c r="S13" s="35" t="n">
        <f aca="false">S11/Supuestos!$F$9*Supuestos!$F$18</f>
        <v>21.2858903276725</v>
      </c>
      <c r="T13" s="35" t="n">
        <f aca="false">T11/Supuestos!$F$9*Supuestos!$F$18</f>
        <v>21.5340958112889</v>
      </c>
      <c r="U13" s="35" t="n">
        <f aca="false">U11/Supuestos!$F$9*Supuestos!$F$18</f>
        <v>21.7698910207245</v>
      </c>
      <c r="V13" s="35" t="n">
        <f aca="false">V11/Supuestos!$F$9*Supuestos!$F$18</f>
        <v>21.9938964696882</v>
      </c>
      <c r="W13" s="35" t="n">
        <f aca="false">W11/Supuestos!$F$9*Supuestos!$F$18</f>
        <v>22.2067016462038</v>
      </c>
      <c r="X13" s="35" t="n">
        <f aca="false">X11/Supuestos!$F$9*Supuestos!$F$18</f>
        <v>22.4088665638936</v>
      </c>
      <c r="Y13" s="35" t="n">
        <f aca="false">Y11/Supuestos!$F$9*Supuestos!$F$18</f>
        <v>22.6009232356989</v>
      </c>
      <c r="Z13" s="35" t="n">
        <f aca="false">Z11/Supuestos!$F$9*Supuestos!$F$18</f>
        <v>22.783377073914</v>
      </c>
      <c r="AA13" s="35" t="n">
        <f aca="false">AA11/Supuestos!$F$9*Supuestos!$F$18</f>
        <v>22.9567082202183</v>
      </c>
      <c r="AB13" s="35" t="n">
        <f aca="false">AB11/Supuestos!$F$9*Supuestos!$F$18</f>
        <v>23.1213728092074</v>
      </c>
      <c r="AC13" s="35" t="n">
        <f aca="false">AC11/Supuestos!$F$9*Supuestos!$F$18</f>
        <v>23.277804168747</v>
      </c>
      <c r="AD13" s="35" t="n">
        <f aca="false">AD11/Supuestos!$F$9*Supuestos!$F$18</f>
        <v>23.4264139603097</v>
      </c>
      <c r="AE13" s="35" t="n">
        <f aca="false">AE11/Supuestos!$F$9*Supuestos!$F$18</f>
        <v>23.5675932622942</v>
      </c>
      <c r="AF13" s="35" t="n">
        <f aca="false">AF11/Supuestos!$F$9*Supuestos!$F$18</f>
        <v>23.7017135991795</v>
      </c>
      <c r="AG13" s="35" t="n">
        <f aca="false">AG11/Supuestos!$F$9*Supuestos!$F$18</f>
        <v>23.8291279192205</v>
      </c>
      <c r="AH13" s="35" t="n">
        <f aca="false">AH11/Supuestos!$F$9*Supuestos!$F$18</f>
        <v>23.9501715232595</v>
      </c>
      <c r="AI13" s="35" t="n">
        <f aca="false">AI11/Supuestos!$F$9*Supuestos!$F$18</f>
        <v>24.0651629470965</v>
      </c>
      <c r="AJ13" s="35" t="n">
        <f aca="false">AJ11/Supuestos!$F$9*Supuestos!$F$18</f>
        <v>24.1744047997417</v>
      </c>
      <c r="AK13" s="35" t="n">
        <f aca="false">AK11/Supuestos!$F$9*Supuestos!$F$18</f>
        <v>24.2781845597546</v>
      </c>
      <c r="AL13" s="35" t="n">
        <f aca="false">AL11/Supuestos!$F$9*Supuestos!$F$18</f>
        <v>24.3767753317669</v>
      </c>
      <c r="AM13" s="35" t="n">
        <f aca="false">AM11/Supuestos!$F$9*Supuestos!$F$18</f>
        <v>24.4704365651785</v>
      </c>
    </row>
    <row r="14" customFormat="false" ht="15" hidden="false" customHeight="false" outlineLevel="0" collapsed="false">
      <c r="B14" s="21" t="s">
        <v>485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</row>
    <row r="15" customFormat="false" ht="15" hidden="false" customHeight="false" outlineLevel="0" collapsed="false">
      <c r="B15" s="4" t="s">
        <v>486</v>
      </c>
      <c r="D15" s="32" t="n">
        <f aca="false">D7*((Supuestos!$F$29*Supuestos!$F$25+Supuestos!$F$30*Supuestos!$F$26+Supuestos!$F$31*Supuestos!$F$27+Supuestos!$F$32*Supuestos!$F$28)*Supuestos!$F$37)*(1-Supuestos!$F$38)/(1+Supuestos!$F$7*Supuestos!$F$8)/Supuestos!$F$6</f>
        <v>730.237007310871</v>
      </c>
      <c r="E15" s="32" t="n">
        <f aca="false">E7*((Supuestos!$F$29*Supuestos!$F$25+Supuestos!$F$30*Supuestos!$F$26+Supuestos!$F$31*Supuestos!$F$27+Supuestos!$F$32*Supuestos!$F$28)*Supuestos!$F$37)*(1-Supuestos!$F$38)/(1+Supuestos!$F$7*Supuestos!$F$8)/Supuestos!$F$6</f>
        <v>945.531021535283</v>
      </c>
      <c r="F15" s="32" t="n">
        <f aca="false">F7*((Supuestos!$F$29*Supuestos!$F$25+Supuestos!$F$30*Supuestos!$F$26+Supuestos!$F$31*Supuestos!$F$27+Supuestos!$F$32*Supuestos!$F$28)*Supuestos!$F$37)*(1-Supuestos!$F$38)/(1+Supuestos!$F$7*Supuestos!$F$8)/Supuestos!$F$6</f>
        <v>1150.06033504847</v>
      </c>
      <c r="G15" s="32" t="n">
        <f aca="false">G7*((Supuestos!$F$29*Supuestos!$F$25+Supuestos!$F$30*Supuestos!$F$26+Supuestos!$F$31*Supuestos!$F$27+Supuestos!$F$32*Supuestos!$F$28)*Supuestos!$F$37)*(1-Supuestos!$F$38)/(1+Supuestos!$F$7*Supuestos!$F$8)/Supuestos!$F$6</f>
        <v>1344.36318288601</v>
      </c>
      <c r="H15" s="32" t="n">
        <f aca="false">H7*((Supuestos!$F$29*Supuestos!$F$25+Supuestos!$F$30*Supuestos!$F$26+Supuestos!$F$31*Supuestos!$F$27+Supuestos!$F$32*Supuestos!$F$28)*Supuestos!$F$37)*(1-Supuestos!$F$38)/(1+Supuestos!$F$7*Supuestos!$F$8)/Supuestos!$F$6</f>
        <v>1528.95088833166</v>
      </c>
      <c r="I15" s="32" t="n">
        <f aca="false">I7*((Supuestos!$F$29*Supuestos!$F$25+Supuestos!$F$30*Supuestos!$F$26+Supuestos!$F$31*Supuestos!$F$27+Supuestos!$F$32*Supuestos!$F$28)*Supuestos!$F$37)*(1-Supuestos!$F$38)/(1+Supuestos!$F$7*Supuestos!$F$8)/Supuestos!$F$6</f>
        <v>1704.30920850503</v>
      </c>
      <c r="J15" s="32" t="n">
        <f aca="false">J7*((Supuestos!$F$29*Supuestos!$F$25+Supuestos!$F$30*Supuestos!$F$26+Supuestos!$F$31*Supuestos!$F$27+Supuestos!$F$32*Supuestos!$F$28)*Supuestos!$F$37)*(1-Supuestos!$F$38)/(1+Supuestos!$F$7*Supuestos!$F$8)/Supuestos!$F$6</f>
        <v>1820.53843975175</v>
      </c>
      <c r="K15" s="32" t="n">
        <f aca="false">K7*((Supuestos!$F$29*Supuestos!$F$25+Supuestos!$F$30*Supuestos!$F$26+Supuestos!$F$31*Supuestos!$F$27+Supuestos!$F$32*Supuestos!$F$28)*Supuestos!$F$37)*(1-Supuestos!$F$38)/(1+Supuestos!$F$7*Supuestos!$F$8)/Supuestos!$F$6</f>
        <v>1930.95620943612</v>
      </c>
      <c r="L15" s="32" t="n">
        <f aca="false">L7*((Supuestos!$F$29*Supuestos!$F$25+Supuestos!$F$30*Supuestos!$F$26+Supuestos!$F$31*Supuestos!$F$27+Supuestos!$F$32*Supuestos!$F$28)*Supuestos!$F$37)*(1-Supuestos!$F$38)/(1+Supuestos!$F$7*Supuestos!$F$8)/Supuestos!$F$6</f>
        <v>2035.85309063628</v>
      </c>
      <c r="M15" s="32" t="n">
        <f aca="false">M7*((Supuestos!$F$29*Supuestos!$F$25+Supuestos!$F$30*Supuestos!$F$26+Supuestos!$F$31*Supuestos!$F$27+Supuestos!$F$32*Supuestos!$F$28)*Supuestos!$F$37)*(1-Supuestos!$F$38)/(1+Supuestos!$F$7*Supuestos!$F$8)/Supuestos!$F$6</f>
        <v>2135.50512777643</v>
      </c>
      <c r="N15" s="32" t="n">
        <f aca="false">N7*((Supuestos!$F$29*Supuestos!$F$25+Supuestos!$F$30*Supuestos!$F$26+Supuestos!$F$31*Supuestos!$F$27+Supuestos!$F$32*Supuestos!$F$28)*Supuestos!$F$37)*(1-Supuestos!$F$38)/(1+Supuestos!$F$7*Supuestos!$F$8)/Supuestos!$F$6</f>
        <v>2230.17456305957</v>
      </c>
      <c r="O15" s="32" t="n">
        <f aca="false">O7*((Supuestos!$F$29*Supuestos!$F$25+Supuestos!$F$30*Supuestos!$F$26+Supuestos!$F$31*Supuestos!$F$27+Supuestos!$F$32*Supuestos!$F$28)*Supuestos!$F$37)*(1-Supuestos!$F$38)/(1+Supuestos!$F$7*Supuestos!$F$8)/Supuestos!$F$6</f>
        <v>2320.11052657856</v>
      </c>
      <c r="P15" s="32" t="n">
        <f aca="false">P7*((Supuestos!$F$29*Supuestos!$F$25+Supuestos!$F$30*Supuestos!$F$26+Supuestos!$F$31*Supuestos!$F$27+Supuestos!$F$32*Supuestos!$F$28)*Supuestos!$F$37)*(1-Supuestos!$F$38)/(1+Supuestos!$F$7*Supuestos!$F$8)/Supuestos!$F$6</f>
        <v>2355.18851900361</v>
      </c>
      <c r="Q15" s="32" t="n">
        <f aca="false">Q7*((Supuestos!$F$29*Supuestos!$F$25+Supuestos!$F$30*Supuestos!$F$26+Supuestos!$F$31*Supuestos!$F$27+Supuestos!$F$32*Supuestos!$F$28)*Supuestos!$F$37)*(1-Supuestos!$F$38)/(1+Supuestos!$F$7*Supuestos!$F$8)/Supuestos!$F$6</f>
        <v>2388.5126118074</v>
      </c>
      <c r="R15" s="32" t="n">
        <f aca="false">R7*((Supuestos!$F$29*Supuestos!$F$25+Supuestos!$F$30*Supuestos!$F$26+Supuestos!$F$31*Supuestos!$F$27+Supuestos!$F$32*Supuestos!$F$28)*Supuestos!$F$37)*(1-Supuestos!$F$38)/(1+Supuestos!$F$7*Supuestos!$F$8)/Supuestos!$F$6</f>
        <v>2420.170499971</v>
      </c>
      <c r="S15" s="32" t="n">
        <f aca="false">S7*((Supuestos!$F$29*Supuestos!$F$25+Supuestos!$F$30*Supuestos!$F$26+Supuestos!$F$31*Supuestos!$F$27+Supuestos!$F$32*Supuestos!$F$28)*Supuestos!$F$37)*(1-Supuestos!$F$38)/(1+Supuestos!$F$7*Supuestos!$F$8)/Supuestos!$F$6</f>
        <v>2450.24549372642</v>
      </c>
      <c r="T15" s="32" t="n">
        <f aca="false">T7*((Supuestos!$F$29*Supuestos!$F$25+Supuestos!$F$30*Supuestos!$F$26+Supuestos!$F$31*Supuestos!$F$27+Supuestos!$F$32*Supuestos!$F$28)*Supuestos!$F$37)*(1-Supuestos!$F$38)/(1+Supuestos!$F$7*Supuestos!$F$8)/Supuestos!$F$6</f>
        <v>2478.81673779408</v>
      </c>
      <c r="U15" s="32" t="n">
        <f aca="false">U7*((Supuestos!$F$29*Supuestos!$F$25+Supuestos!$F$30*Supuestos!$F$26+Supuestos!$F$31*Supuestos!$F$27+Supuestos!$F$32*Supuestos!$F$28)*Supuestos!$F$37)*(1-Supuestos!$F$38)/(1+Supuestos!$F$7*Supuestos!$F$8)/Supuestos!$F$6</f>
        <v>2505.95941965835</v>
      </c>
      <c r="V15" s="32" t="n">
        <f aca="false">V7*((Supuestos!$F$29*Supuestos!$F$25+Supuestos!$F$30*Supuestos!$F$26+Supuestos!$F$31*Supuestos!$F$27+Supuestos!$F$32*Supuestos!$F$28)*Supuestos!$F$37)*(1-Supuestos!$F$38)/(1+Supuestos!$F$7*Supuestos!$F$8)/Supuestos!$F$6</f>
        <v>2531.7449674294</v>
      </c>
      <c r="W15" s="32" t="n">
        <f aca="false">W7*((Supuestos!$F$29*Supuestos!$F$25+Supuestos!$F$30*Supuestos!$F$26+Supuestos!$F$31*Supuestos!$F$27+Supuestos!$F$32*Supuestos!$F$28)*Supuestos!$F$37)*(1-Supuestos!$F$38)/(1+Supuestos!$F$7*Supuestos!$F$8)/Supuestos!$F$6</f>
        <v>2556.2412378119</v>
      </c>
      <c r="X15" s="32" t="n">
        <f aca="false">X7*((Supuestos!$F$29*Supuestos!$F$25+Supuestos!$F$30*Supuestos!$F$26+Supuestos!$F$31*Supuestos!$F$27+Supuestos!$F$32*Supuestos!$F$28)*Supuestos!$F$37)*(1-Supuestos!$F$38)/(1+Supuestos!$F$7*Supuestos!$F$8)/Supuestos!$F$6</f>
        <v>2579.51269467528</v>
      </c>
      <c r="Y15" s="32" t="n">
        <f aca="false">Y7*((Supuestos!$F$29*Supuestos!$F$25+Supuestos!$F$30*Supuestos!$F$26+Supuestos!$F$31*Supuestos!$F$27+Supuestos!$F$32*Supuestos!$F$28)*Supuestos!$F$37)*(1-Supuestos!$F$38)/(1+Supuestos!$F$7*Supuestos!$F$8)/Supuestos!$F$6</f>
        <v>2601.62057869549</v>
      </c>
      <c r="Z15" s="32" t="n">
        <f aca="false">Z7*((Supuestos!$F$29*Supuestos!$F$25+Supuestos!$F$30*Supuestos!$F$26+Supuestos!$F$31*Supuestos!$F$27+Supuestos!$F$32*Supuestos!$F$28)*Supuestos!$F$37)*(1-Supuestos!$F$38)/(1+Supuestos!$F$7*Supuestos!$F$8)/Supuestos!$F$6</f>
        <v>2622.62306851469</v>
      </c>
      <c r="AA15" s="32" t="n">
        <f aca="false">AA7*((Supuestos!$F$29*Supuestos!$F$25+Supuestos!$F$30*Supuestos!$F$26+Supuestos!$F$31*Supuestos!$F$27+Supuestos!$F$32*Supuestos!$F$28)*Supuestos!$F$37)*(1-Supuestos!$F$38)/(1+Supuestos!$F$7*Supuestos!$F$8)/Supuestos!$F$6</f>
        <v>2642.57543384293</v>
      </c>
      <c r="AB15" s="32" t="n">
        <f aca="false">AB7*((Supuestos!$F$29*Supuestos!$F$25+Supuestos!$F$30*Supuestos!$F$26+Supuestos!$F$31*Supuestos!$F$27+Supuestos!$F$32*Supuestos!$F$28)*Supuestos!$F$37)*(1-Supuestos!$F$38)/(1+Supuestos!$F$7*Supuestos!$F$8)/Supuestos!$F$6</f>
        <v>2661.53018090476</v>
      </c>
      <c r="AC15" s="32" t="n">
        <f aca="false">AC7*((Supuestos!$F$29*Supuestos!$F$25+Supuestos!$F$30*Supuestos!$F$26+Supuestos!$F$31*Supuestos!$F$27+Supuestos!$F$32*Supuestos!$F$28)*Supuestos!$F$37)*(1-Supuestos!$F$38)/(1+Supuestos!$F$7*Supuestos!$F$8)/Supuestos!$F$6</f>
        <v>2679.53719061349</v>
      </c>
      <c r="AD15" s="32" t="n">
        <f aca="false">AD7*((Supuestos!$F$29*Supuestos!$F$25+Supuestos!$F$30*Supuestos!$F$26+Supuestos!$F$31*Supuestos!$F$27+Supuestos!$F$32*Supuestos!$F$28)*Supuestos!$F$37)*(1-Supuestos!$F$38)/(1+Supuestos!$F$7*Supuestos!$F$8)/Supuestos!$F$6</f>
        <v>2696.64384983679</v>
      </c>
      <c r="AE15" s="32" t="n">
        <f aca="false">AE7*((Supuestos!$F$29*Supuestos!$F$25+Supuestos!$F$30*Supuestos!$F$26+Supuestos!$F$31*Supuestos!$F$27+Supuestos!$F$32*Supuestos!$F$28)*Supuestos!$F$37)*(1-Supuestos!$F$38)/(1+Supuestos!$F$7*Supuestos!$F$8)/Supuestos!$F$6</f>
        <v>2712.89517609892</v>
      </c>
      <c r="AF15" s="32" t="n">
        <f aca="false">AF7*((Supuestos!$F$29*Supuestos!$F$25+Supuestos!$F$30*Supuestos!$F$26+Supuestos!$F$31*Supuestos!$F$27+Supuestos!$F$32*Supuestos!$F$28)*Supuestos!$F$37)*(1-Supuestos!$F$38)/(1+Supuestos!$F$7*Supuestos!$F$8)/Supuestos!$F$6</f>
        <v>2728.33393604795</v>
      </c>
      <c r="AG15" s="32" t="n">
        <f aca="false">AG7*((Supuestos!$F$29*Supuestos!$F$25+Supuestos!$F$30*Supuestos!$F$26+Supuestos!$F$31*Supuestos!$F$27+Supuestos!$F$32*Supuestos!$F$28)*Supuestos!$F$37)*(1-Supuestos!$F$38)/(1+Supuestos!$F$7*Supuestos!$F$8)/Supuestos!$F$6</f>
        <v>2743.00075799953</v>
      </c>
      <c r="AH15" s="32" t="n">
        <f aca="false">AH7*((Supuestos!$F$29*Supuestos!$F$25+Supuestos!$F$30*Supuestos!$F$26+Supuestos!$F$31*Supuestos!$F$27+Supuestos!$F$32*Supuestos!$F$28)*Supuestos!$F$37)*(1-Supuestos!$F$38)/(1+Supuestos!$F$7*Supuestos!$F$8)/Supuestos!$F$6</f>
        <v>2756.93423885352</v>
      </c>
      <c r="AI15" s="32" t="n">
        <f aca="false">AI7*((Supuestos!$F$29*Supuestos!$F$25+Supuestos!$F$30*Supuestos!$F$26+Supuestos!$F$31*Supuestos!$F$27+Supuestos!$F$32*Supuestos!$F$28)*Supuestos!$F$37)*(1-Supuestos!$F$38)/(1+Supuestos!$F$7*Supuestos!$F$8)/Supuestos!$F$6</f>
        <v>2770.17104566482</v>
      </c>
      <c r="AJ15" s="32" t="n">
        <f aca="false">AJ7*((Supuestos!$F$29*Supuestos!$F$25+Supuestos!$F$30*Supuestos!$F$26+Supuestos!$F$31*Supuestos!$F$27+Supuestos!$F$32*Supuestos!$F$28)*Supuestos!$F$37)*(1-Supuestos!$F$38)/(1+Supuestos!$F$7*Supuestos!$F$8)/Supuestos!$F$6</f>
        <v>2782.74601213555</v>
      </c>
      <c r="AK15" s="32" t="n">
        <f aca="false">AK7*((Supuestos!$F$29*Supuestos!$F$25+Supuestos!$F$30*Supuestos!$F$26+Supuestos!$F$31*Supuestos!$F$27+Supuestos!$F$32*Supuestos!$F$28)*Supuestos!$F$37)*(1-Supuestos!$F$38)/(1+Supuestos!$F$7*Supuestos!$F$8)/Supuestos!$F$6</f>
        <v>2794.69223028275</v>
      </c>
      <c r="AL15" s="32" t="n">
        <f aca="false">AL7*((Supuestos!$F$29*Supuestos!$F$25+Supuestos!$F$30*Supuestos!$F$26+Supuestos!$F$31*Supuestos!$F$27+Supuestos!$F$32*Supuestos!$F$28)*Supuestos!$F$37)*(1-Supuestos!$F$38)/(1+Supuestos!$F$7*Supuestos!$F$8)/Supuestos!$F$6</f>
        <v>2806.04113752258</v>
      </c>
      <c r="AM15" s="32" t="n">
        <f aca="false">AM7*((Supuestos!$F$29*Supuestos!$F$25+Supuestos!$F$30*Supuestos!$F$26+Supuestos!$F$31*Supuestos!$F$27+Supuestos!$F$32*Supuestos!$F$28)*Supuestos!$F$37)*(1-Supuestos!$F$38)/(1+Supuestos!$F$7*Supuestos!$F$8)/Supuestos!$F$6</f>
        <v>2816.82259940043</v>
      </c>
    </row>
    <row r="16" customFormat="false" ht="15" hidden="false" customHeight="false" outlineLevel="0" collapsed="false">
      <c r="B16" s="4" t="s">
        <v>487</v>
      </c>
      <c r="D16" s="32" t="n">
        <f aca="false">D9*Supuestos!$F$33*Supuestos!$F$37*(1-Supuestos!$F$38)/(1+Supuestos!$F$7*Supuestos!$F$8)/Supuestos!$F$6</f>
        <v>93.5354418308964</v>
      </c>
      <c r="E16" s="32" t="n">
        <f aca="false">E9*Supuestos!$F$33*Supuestos!$F$37*(1-Supuestos!$F$38)/(1+Supuestos!$F$7*Supuestos!$F$8)/Supuestos!$F$6</f>
        <v>184.264820406866</v>
      </c>
      <c r="F16" s="32" t="n">
        <f aca="false">F9*Supuestos!$F$33*Supuestos!$F$37*(1-Supuestos!$F$38)/(1+Supuestos!$F$7*Supuestos!$F$8)/Supuestos!$F$6</f>
        <v>272.272317625556</v>
      </c>
      <c r="G16" s="32" t="n">
        <f aca="false">G9*Supuestos!$F$33*Supuestos!$F$37*(1-Supuestos!$F$38)/(1+Supuestos!$F$7*Supuestos!$F$8)/Supuestos!$F$6</f>
        <v>357.639589927686</v>
      </c>
      <c r="H16" s="32" t="n">
        <f aca="false">H9*Supuestos!$F$33*Supuestos!$F$37*(1-Supuestos!$F$38)/(1+Supuestos!$F$7*Supuestos!$F$8)/Supuestos!$F$6</f>
        <v>440.445844060752</v>
      </c>
      <c r="I16" s="32" t="n">
        <f aca="false">I9*Supuestos!$F$33*Supuestos!$F$37*(1-Supuestos!$F$38)/(1+Supuestos!$F$7*Supuestos!$F$8)/Supuestos!$F$6</f>
        <v>498.855689764781</v>
      </c>
      <c r="J16" s="32" t="n">
        <f aca="false">J9*Supuestos!$F$33*Supuestos!$F$37*(1-Supuestos!$F$38)/(1+Supuestos!$F$7*Supuestos!$F$8)/Supuestos!$F$6</f>
        <v>498.855689764781</v>
      </c>
      <c r="K16" s="32" t="n">
        <f aca="false">K9*Supuestos!$F$33*Supuestos!$F$37*(1-Supuestos!$F$38)/(1+Supuestos!$F$7*Supuestos!$F$8)/Supuestos!$F$6</f>
        <v>498.855689764781</v>
      </c>
      <c r="L16" s="32" t="n">
        <f aca="false">L9*Supuestos!$F$33*Supuestos!$F$37*(1-Supuestos!$F$38)/(1+Supuestos!$F$7*Supuestos!$F$8)/Supuestos!$F$6</f>
        <v>498.855689764781</v>
      </c>
      <c r="M16" s="32" t="n">
        <f aca="false">M9*Supuestos!$F$33*Supuestos!$F$37*(1-Supuestos!$F$38)/(1+Supuestos!$F$7*Supuestos!$F$8)/Supuestos!$F$6</f>
        <v>498.855689764781</v>
      </c>
      <c r="N16" s="32" t="n">
        <f aca="false">N9*Supuestos!$F$33*Supuestos!$F$37*(1-Supuestos!$F$38)/(1+Supuestos!$F$7*Supuestos!$F$8)/Supuestos!$F$6</f>
        <v>498.855689764781</v>
      </c>
      <c r="O16" s="32" t="n">
        <f aca="false">O9*Supuestos!$F$33*Supuestos!$F$37*(1-Supuestos!$F$38)/(1+Supuestos!$F$7*Supuestos!$F$8)/Supuestos!$F$6</f>
        <v>498.855689764781</v>
      </c>
      <c r="P16" s="32" t="n">
        <f aca="false">P9*Supuestos!$F$33*Supuestos!$F$37*(1-Supuestos!$F$38)/(1+Supuestos!$F$7*Supuestos!$F$8)/Supuestos!$F$6</f>
        <v>498.855689764781</v>
      </c>
      <c r="Q16" s="32" t="n">
        <f aca="false">Q9*Supuestos!$F$33*Supuestos!$F$37*(1-Supuestos!$F$38)/(1+Supuestos!$F$7*Supuestos!$F$8)/Supuestos!$F$6</f>
        <v>498.855689764781</v>
      </c>
      <c r="R16" s="32" t="n">
        <f aca="false">R9*Supuestos!$F$33*Supuestos!$F$37*(1-Supuestos!$F$38)/(1+Supuestos!$F$7*Supuestos!$F$8)/Supuestos!$F$6</f>
        <v>498.855689764781</v>
      </c>
      <c r="S16" s="32" t="n">
        <f aca="false">S9*Supuestos!$F$33*Supuestos!$F$37*(1-Supuestos!$F$38)/(1+Supuestos!$F$7*Supuestos!$F$8)/Supuestos!$F$6</f>
        <v>498.855689764781</v>
      </c>
      <c r="T16" s="32" t="n">
        <f aca="false">T9*Supuestos!$F$33*Supuestos!$F$37*(1-Supuestos!$F$38)/(1+Supuestos!$F$7*Supuestos!$F$8)/Supuestos!$F$6</f>
        <v>498.855689764781</v>
      </c>
      <c r="U16" s="32" t="n">
        <f aca="false">U9*Supuestos!$F$33*Supuestos!$F$37*(1-Supuestos!$F$38)/(1+Supuestos!$F$7*Supuestos!$F$8)/Supuestos!$F$6</f>
        <v>498.855689764781</v>
      </c>
      <c r="V16" s="32" t="n">
        <f aca="false">V9*Supuestos!$F$33*Supuestos!$F$37*(1-Supuestos!$F$38)/(1+Supuestos!$F$7*Supuestos!$F$8)/Supuestos!$F$6</f>
        <v>498.855689764781</v>
      </c>
      <c r="W16" s="32" t="n">
        <f aca="false">W9*Supuestos!$F$33*Supuestos!$F$37*(1-Supuestos!$F$38)/(1+Supuestos!$F$7*Supuestos!$F$8)/Supuestos!$F$6</f>
        <v>498.855689764781</v>
      </c>
      <c r="X16" s="32" t="n">
        <f aca="false">X9*Supuestos!$F$33*Supuestos!$F$37*(1-Supuestos!$F$38)/(1+Supuestos!$F$7*Supuestos!$F$8)/Supuestos!$F$6</f>
        <v>498.855689764781</v>
      </c>
      <c r="Y16" s="32" t="n">
        <f aca="false">Y9*Supuestos!$F$33*Supuestos!$F$37*(1-Supuestos!$F$38)/(1+Supuestos!$F$7*Supuestos!$F$8)/Supuestos!$F$6</f>
        <v>498.855689764781</v>
      </c>
      <c r="Z16" s="32" t="n">
        <f aca="false">Z9*Supuestos!$F$33*Supuestos!$F$37*(1-Supuestos!$F$38)/(1+Supuestos!$F$7*Supuestos!$F$8)/Supuestos!$F$6</f>
        <v>498.855689764781</v>
      </c>
      <c r="AA16" s="32" t="n">
        <f aca="false">AA9*Supuestos!$F$33*Supuestos!$F$37*(1-Supuestos!$F$38)/(1+Supuestos!$F$7*Supuestos!$F$8)/Supuestos!$F$6</f>
        <v>498.855689764781</v>
      </c>
      <c r="AB16" s="32" t="n">
        <f aca="false">AB9*Supuestos!$F$33*Supuestos!$F$37*(1-Supuestos!$F$38)/(1+Supuestos!$F$7*Supuestos!$F$8)/Supuestos!$F$6</f>
        <v>498.855689764781</v>
      </c>
      <c r="AC16" s="32" t="n">
        <f aca="false">AC9*Supuestos!$F$33*Supuestos!$F$37*(1-Supuestos!$F$38)/(1+Supuestos!$F$7*Supuestos!$F$8)/Supuestos!$F$6</f>
        <v>498.855689764781</v>
      </c>
      <c r="AD16" s="32" t="n">
        <f aca="false">AD9*Supuestos!$F$33*Supuestos!$F$37*(1-Supuestos!$F$38)/(1+Supuestos!$F$7*Supuestos!$F$8)/Supuestos!$F$6</f>
        <v>498.855689764781</v>
      </c>
      <c r="AE16" s="32" t="n">
        <f aca="false">AE9*Supuestos!$F$33*Supuestos!$F$37*(1-Supuestos!$F$38)/(1+Supuestos!$F$7*Supuestos!$F$8)/Supuestos!$F$6</f>
        <v>498.855689764781</v>
      </c>
      <c r="AF16" s="32" t="n">
        <f aca="false">AF9*Supuestos!$F$33*Supuestos!$F$37*(1-Supuestos!$F$38)/(1+Supuestos!$F$7*Supuestos!$F$8)/Supuestos!$F$6</f>
        <v>498.855689764781</v>
      </c>
      <c r="AG16" s="32" t="n">
        <f aca="false">AG9*Supuestos!$F$33*Supuestos!$F$37*(1-Supuestos!$F$38)/(1+Supuestos!$F$7*Supuestos!$F$8)/Supuestos!$F$6</f>
        <v>498.855689764781</v>
      </c>
      <c r="AH16" s="32" t="n">
        <f aca="false">AH9*Supuestos!$F$33*Supuestos!$F$37*(1-Supuestos!$F$38)/(1+Supuestos!$F$7*Supuestos!$F$8)/Supuestos!$F$6</f>
        <v>498.855689764781</v>
      </c>
      <c r="AI16" s="32" t="n">
        <f aca="false">AI9*Supuestos!$F$33*Supuestos!$F$37*(1-Supuestos!$F$38)/(1+Supuestos!$F$7*Supuestos!$F$8)/Supuestos!$F$6</f>
        <v>498.855689764781</v>
      </c>
      <c r="AJ16" s="32" t="n">
        <f aca="false">AJ9*Supuestos!$F$33*Supuestos!$F$37*(1-Supuestos!$F$38)/(1+Supuestos!$F$7*Supuestos!$F$8)/Supuestos!$F$6</f>
        <v>498.855689764781</v>
      </c>
      <c r="AK16" s="32" t="n">
        <f aca="false">AK9*Supuestos!$F$33*Supuestos!$F$37*(1-Supuestos!$F$38)/(1+Supuestos!$F$7*Supuestos!$F$8)/Supuestos!$F$6</f>
        <v>498.855689764781</v>
      </c>
      <c r="AL16" s="32" t="n">
        <f aca="false">AL9*Supuestos!$F$33*Supuestos!$F$37*(1-Supuestos!$F$38)/(1+Supuestos!$F$7*Supuestos!$F$8)/Supuestos!$F$6</f>
        <v>498.855689764781</v>
      </c>
      <c r="AM16" s="32" t="n">
        <f aca="false">AM9*Supuestos!$F$33*Supuestos!$F$37*(1-Supuestos!$F$38)/(1+Supuestos!$F$7*Supuestos!$F$8)/Supuestos!$F$6</f>
        <v>498.855689764781</v>
      </c>
    </row>
    <row r="17" customFormat="false" ht="15" hidden="false" customHeight="false" outlineLevel="0" collapsed="false">
      <c r="B17" s="4" t="s">
        <v>488</v>
      </c>
      <c r="D17" s="32" t="n">
        <f aca="false">D10*Supuestos!$F$34*Supuestos!$F$37*(1-Supuestos!$F$38)/(1+Supuestos!$F$7*Supuestos!$F$8)/Supuestos!$F$6</f>
        <v>190.241576605213</v>
      </c>
      <c r="E17" s="32" t="n">
        <f aca="false">E10*Supuestos!$F$34*Supuestos!$F$37*(1-Supuestos!$F$38)/(1+Supuestos!$F$7*Supuestos!$F$8)/Supuestos!$F$6</f>
        <v>380.483153210426</v>
      </c>
      <c r="F17" s="32" t="n">
        <f aca="false">F10*Supuestos!$F$34*Supuestos!$F$37*(1-Supuestos!$F$38)/(1+Supuestos!$F$7*Supuestos!$F$8)/Supuestos!$F$6</f>
        <v>570.724729815639</v>
      </c>
      <c r="G17" s="32" t="n">
        <f aca="false">G10*Supuestos!$F$34*Supuestos!$F$37*(1-Supuestos!$F$38)/(1+Supuestos!$F$7*Supuestos!$F$8)/Supuestos!$F$6</f>
        <v>760.966306420852</v>
      </c>
      <c r="H17" s="32" t="n">
        <f aca="false">H10*Supuestos!$F$34*Supuestos!$F$37*(1-Supuestos!$F$38)/(1+Supuestos!$F$7*Supuestos!$F$8)/Supuestos!$F$6</f>
        <v>760.966306420852</v>
      </c>
      <c r="I17" s="32" t="n">
        <f aca="false">I10*Supuestos!$F$34*Supuestos!$F$37*(1-Supuestos!$F$38)/(1+Supuestos!$F$7*Supuestos!$F$8)/Supuestos!$F$6</f>
        <v>760.966306420852</v>
      </c>
      <c r="J17" s="32" t="n">
        <f aca="false">J10*Supuestos!$F$34*Supuestos!$F$37*(1-Supuestos!$F$38)/(1+Supuestos!$F$7*Supuestos!$F$8)/Supuestos!$F$6</f>
        <v>760.966306420852</v>
      </c>
      <c r="K17" s="32" t="n">
        <f aca="false">K10*Supuestos!$F$34*Supuestos!$F$37*(1-Supuestos!$F$38)/(1+Supuestos!$F$7*Supuestos!$F$8)/Supuestos!$F$6</f>
        <v>760.966306420852</v>
      </c>
      <c r="L17" s="32" t="n">
        <f aca="false">L10*Supuestos!$F$34*Supuestos!$F$37*(1-Supuestos!$F$38)/(1+Supuestos!$F$7*Supuestos!$F$8)/Supuestos!$F$6</f>
        <v>760.966306420852</v>
      </c>
      <c r="M17" s="32" t="n">
        <f aca="false">M10*Supuestos!$F$34*Supuestos!$F$37*(1-Supuestos!$F$38)/(1+Supuestos!$F$7*Supuestos!$F$8)/Supuestos!$F$6</f>
        <v>760.966306420852</v>
      </c>
      <c r="N17" s="32" t="n">
        <f aca="false">N10*Supuestos!$F$34*Supuestos!$F$37*(1-Supuestos!$F$38)/(1+Supuestos!$F$7*Supuestos!$F$8)/Supuestos!$F$6</f>
        <v>760.966306420852</v>
      </c>
      <c r="O17" s="32" t="n">
        <f aca="false">O10*Supuestos!$F$34*Supuestos!$F$37*(1-Supuestos!$F$38)/(1+Supuestos!$F$7*Supuestos!$F$8)/Supuestos!$F$6</f>
        <v>760.966306420852</v>
      </c>
      <c r="P17" s="32" t="n">
        <f aca="false">P10*Supuestos!$F$34*Supuestos!$F$37*(1-Supuestos!$F$38)/(1+Supuestos!$F$7*Supuestos!$F$8)/Supuestos!$F$6</f>
        <v>760.966306420852</v>
      </c>
      <c r="Q17" s="32" t="n">
        <f aca="false">Q10*Supuestos!$F$34*Supuestos!$F$37*(1-Supuestos!$F$38)/(1+Supuestos!$F$7*Supuestos!$F$8)/Supuestos!$F$6</f>
        <v>760.966306420852</v>
      </c>
      <c r="R17" s="32" t="n">
        <f aca="false">R10*Supuestos!$F$34*Supuestos!$F$37*(1-Supuestos!$F$38)/(1+Supuestos!$F$7*Supuestos!$F$8)/Supuestos!$F$6</f>
        <v>760.966306420852</v>
      </c>
      <c r="S17" s="32" t="n">
        <f aca="false">S10*Supuestos!$F$34*Supuestos!$F$37*(1-Supuestos!$F$38)/(1+Supuestos!$F$7*Supuestos!$F$8)/Supuestos!$F$6</f>
        <v>760.966306420852</v>
      </c>
      <c r="T17" s="32" t="n">
        <f aca="false">T10*Supuestos!$F$34*Supuestos!$F$37*(1-Supuestos!$F$38)/(1+Supuestos!$F$7*Supuestos!$F$8)/Supuestos!$F$6</f>
        <v>760.966306420852</v>
      </c>
      <c r="U17" s="32" t="n">
        <f aca="false">U10*Supuestos!$F$34*Supuestos!$F$37*(1-Supuestos!$F$38)/(1+Supuestos!$F$7*Supuestos!$F$8)/Supuestos!$F$6</f>
        <v>760.966306420852</v>
      </c>
      <c r="V17" s="32" t="n">
        <f aca="false">V10*Supuestos!$F$34*Supuestos!$F$37*(1-Supuestos!$F$38)/(1+Supuestos!$F$7*Supuestos!$F$8)/Supuestos!$F$6</f>
        <v>760.966306420852</v>
      </c>
      <c r="W17" s="32" t="n">
        <f aca="false">W10*Supuestos!$F$34*Supuestos!$F$37*(1-Supuestos!$F$38)/(1+Supuestos!$F$7*Supuestos!$F$8)/Supuestos!$F$6</f>
        <v>760.966306420852</v>
      </c>
      <c r="X17" s="32" t="n">
        <f aca="false">X10*Supuestos!$F$34*Supuestos!$F$37*(1-Supuestos!$F$38)/(1+Supuestos!$F$7*Supuestos!$F$8)/Supuestos!$F$6</f>
        <v>760.966306420852</v>
      </c>
      <c r="Y17" s="32" t="n">
        <f aca="false">Y10*Supuestos!$F$34*Supuestos!$F$37*(1-Supuestos!$F$38)/(1+Supuestos!$F$7*Supuestos!$F$8)/Supuestos!$F$6</f>
        <v>760.966306420852</v>
      </c>
      <c r="Z17" s="32" t="n">
        <f aca="false">Z10*Supuestos!$F$34*Supuestos!$F$37*(1-Supuestos!$F$38)/(1+Supuestos!$F$7*Supuestos!$F$8)/Supuestos!$F$6</f>
        <v>760.966306420852</v>
      </c>
      <c r="AA17" s="32" t="n">
        <f aca="false">AA10*Supuestos!$F$34*Supuestos!$F$37*(1-Supuestos!$F$38)/(1+Supuestos!$F$7*Supuestos!$F$8)/Supuestos!$F$6</f>
        <v>760.966306420852</v>
      </c>
      <c r="AB17" s="32" t="n">
        <f aca="false">AB10*Supuestos!$F$34*Supuestos!$F$37*(1-Supuestos!$F$38)/(1+Supuestos!$F$7*Supuestos!$F$8)/Supuestos!$F$6</f>
        <v>760.966306420852</v>
      </c>
      <c r="AC17" s="32" t="n">
        <f aca="false">AC10*Supuestos!$F$34*Supuestos!$F$37*(1-Supuestos!$F$38)/(1+Supuestos!$F$7*Supuestos!$F$8)/Supuestos!$F$6</f>
        <v>760.966306420852</v>
      </c>
      <c r="AD17" s="32" t="n">
        <f aca="false">AD10*Supuestos!$F$34*Supuestos!$F$37*(1-Supuestos!$F$38)/(1+Supuestos!$F$7*Supuestos!$F$8)/Supuestos!$F$6</f>
        <v>760.966306420852</v>
      </c>
      <c r="AE17" s="32" t="n">
        <f aca="false">AE10*Supuestos!$F$34*Supuestos!$F$37*(1-Supuestos!$F$38)/(1+Supuestos!$F$7*Supuestos!$F$8)/Supuestos!$F$6</f>
        <v>760.966306420852</v>
      </c>
      <c r="AF17" s="32" t="n">
        <f aca="false">AF10*Supuestos!$F$34*Supuestos!$F$37*(1-Supuestos!$F$38)/(1+Supuestos!$F$7*Supuestos!$F$8)/Supuestos!$F$6</f>
        <v>760.966306420852</v>
      </c>
      <c r="AG17" s="32" t="n">
        <f aca="false">AG10*Supuestos!$F$34*Supuestos!$F$37*(1-Supuestos!$F$38)/(1+Supuestos!$F$7*Supuestos!$F$8)/Supuestos!$F$6</f>
        <v>760.966306420852</v>
      </c>
      <c r="AH17" s="32" t="n">
        <f aca="false">AH10*Supuestos!$F$34*Supuestos!$F$37*(1-Supuestos!$F$38)/(1+Supuestos!$F$7*Supuestos!$F$8)/Supuestos!$F$6</f>
        <v>760.966306420852</v>
      </c>
      <c r="AI17" s="32" t="n">
        <f aca="false">AI10*Supuestos!$F$34*Supuestos!$F$37*(1-Supuestos!$F$38)/(1+Supuestos!$F$7*Supuestos!$F$8)/Supuestos!$F$6</f>
        <v>760.966306420852</v>
      </c>
      <c r="AJ17" s="32" t="n">
        <f aca="false">AJ10*Supuestos!$F$34*Supuestos!$F$37*(1-Supuestos!$F$38)/(1+Supuestos!$F$7*Supuestos!$F$8)/Supuestos!$F$6</f>
        <v>760.966306420852</v>
      </c>
      <c r="AK17" s="32" t="n">
        <f aca="false">AK10*Supuestos!$F$34*Supuestos!$F$37*(1-Supuestos!$F$38)/(1+Supuestos!$F$7*Supuestos!$F$8)/Supuestos!$F$6</f>
        <v>760.966306420852</v>
      </c>
      <c r="AL17" s="32" t="n">
        <f aca="false">AL10*Supuestos!$F$34*Supuestos!$F$37*(1-Supuestos!$F$38)/(1+Supuestos!$F$7*Supuestos!$F$8)/Supuestos!$F$6</f>
        <v>760.966306420852</v>
      </c>
      <c r="AM17" s="32" t="n">
        <f aca="false">AM10*Supuestos!$F$34*Supuestos!$F$37*(1-Supuestos!$F$38)/(1+Supuestos!$F$7*Supuestos!$F$8)/Supuestos!$F$6</f>
        <v>760.966306420852</v>
      </c>
    </row>
    <row r="18" customFormat="false" ht="15" hidden="false" customHeight="false" outlineLevel="0" collapsed="false">
      <c r="B18" s="4" t="s">
        <v>489</v>
      </c>
      <c r="D18" s="32" t="n">
        <f aca="false">Supuestos!$F$39*MIN(1,D$3/Supuestos!$F$42)*Supuestos!$F$35*Supuestos!$F$37/(1+Supuestos!$F$7*Supuestos!$F$8)/Supuestos!$F$6</f>
        <v>47.7458147912693</v>
      </c>
      <c r="E18" s="32" t="n">
        <f aca="false">Supuestos!$F$39*MIN(1,E$3/Supuestos!$F$42)*Supuestos!$F$35*Supuestos!$F$37/(1+Supuestos!$F$7*Supuestos!$F$8)/Supuestos!$F$6</f>
        <v>95.4916295825387</v>
      </c>
      <c r="F18" s="32" t="n">
        <f aca="false">Supuestos!$F$39*MIN(1,F$3/Supuestos!$F$42)*Supuestos!$F$35*Supuestos!$F$37/(1+Supuestos!$F$7*Supuestos!$F$8)/Supuestos!$F$6</f>
        <v>143.237444373808</v>
      </c>
      <c r="G18" s="32" t="n">
        <f aca="false">Supuestos!$F$39*MIN(1,G$3/Supuestos!$F$42)*Supuestos!$F$35*Supuestos!$F$37/(1+Supuestos!$F$7*Supuestos!$F$8)/Supuestos!$F$6</f>
        <v>190.983259165077</v>
      </c>
      <c r="H18" s="32" t="n">
        <f aca="false">Supuestos!$F$39*MIN(1,H$3/Supuestos!$F$42)*Supuestos!$F$35*Supuestos!$F$37/(1+Supuestos!$F$7*Supuestos!$F$8)/Supuestos!$F$6</f>
        <v>238.729073956347</v>
      </c>
      <c r="I18" s="32" t="n">
        <f aca="false">Supuestos!$F$39*MIN(1,I$3/Supuestos!$F$42)*Supuestos!$F$35*Supuestos!$F$37/(1+Supuestos!$F$7*Supuestos!$F$8)/Supuestos!$F$6</f>
        <v>286.474888747616</v>
      </c>
      <c r="J18" s="32" t="n">
        <f aca="false">Supuestos!$F$39*MIN(1,J$3/Supuestos!$F$42)*Supuestos!$F$35*Supuestos!$F$37/(1+Supuestos!$F$7*Supuestos!$F$8)/Supuestos!$F$6</f>
        <v>286.474888747616</v>
      </c>
      <c r="K18" s="32" t="n">
        <f aca="false">Supuestos!$F$39*MIN(1,K$3/Supuestos!$F$42)*Supuestos!$F$35*Supuestos!$F$37/(1+Supuestos!$F$7*Supuestos!$F$8)/Supuestos!$F$6</f>
        <v>286.474888747616</v>
      </c>
      <c r="L18" s="32" t="n">
        <f aca="false">Supuestos!$F$39*MIN(1,L$3/Supuestos!$F$42)*Supuestos!$F$35*Supuestos!$F$37/(1+Supuestos!$F$7*Supuestos!$F$8)/Supuestos!$F$6</f>
        <v>286.474888747616</v>
      </c>
      <c r="M18" s="32" t="n">
        <f aca="false">Supuestos!$F$39*MIN(1,M$3/Supuestos!$F$42)*Supuestos!$F$35*Supuestos!$F$37/(1+Supuestos!$F$7*Supuestos!$F$8)/Supuestos!$F$6</f>
        <v>286.474888747616</v>
      </c>
      <c r="N18" s="32" t="n">
        <f aca="false">Supuestos!$F$39*MIN(1,N$3/Supuestos!$F$42)*Supuestos!$F$35*Supuestos!$F$37/(1+Supuestos!$F$7*Supuestos!$F$8)/Supuestos!$F$6</f>
        <v>286.474888747616</v>
      </c>
      <c r="O18" s="32" t="n">
        <f aca="false">Supuestos!$F$39*MIN(1,O$3/Supuestos!$F$42)*Supuestos!$F$35*Supuestos!$F$37/(1+Supuestos!$F$7*Supuestos!$F$8)/Supuestos!$F$6</f>
        <v>286.474888747616</v>
      </c>
      <c r="P18" s="32" t="n">
        <f aca="false">Supuestos!$F$39*MIN(1,P$3/Supuestos!$F$42)*Supuestos!$F$35*Supuestos!$F$37/(1+Supuestos!$F$7*Supuestos!$F$8)/Supuestos!$F$6</f>
        <v>286.474888747616</v>
      </c>
      <c r="Q18" s="32" t="n">
        <f aca="false">Supuestos!$F$39*MIN(1,Q$3/Supuestos!$F$42)*Supuestos!$F$35*Supuestos!$F$37/(1+Supuestos!$F$7*Supuestos!$F$8)/Supuestos!$F$6</f>
        <v>286.474888747616</v>
      </c>
      <c r="R18" s="32" t="n">
        <f aca="false">Supuestos!$F$39*MIN(1,R$3/Supuestos!$F$42)*Supuestos!$F$35*Supuestos!$F$37/(1+Supuestos!$F$7*Supuestos!$F$8)/Supuestos!$F$6</f>
        <v>286.474888747616</v>
      </c>
      <c r="S18" s="32" t="n">
        <f aca="false">Supuestos!$F$39*MIN(1,S$3/Supuestos!$F$42)*Supuestos!$F$35*Supuestos!$F$37/(1+Supuestos!$F$7*Supuestos!$F$8)/Supuestos!$F$6</f>
        <v>286.474888747616</v>
      </c>
      <c r="T18" s="32" t="n">
        <f aca="false">Supuestos!$F$39*MIN(1,T$3/Supuestos!$F$42)*Supuestos!$F$35*Supuestos!$F$37/(1+Supuestos!$F$7*Supuestos!$F$8)/Supuestos!$F$6</f>
        <v>286.474888747616</v>
      </c>
      <c r="U18" s="32" t="n">
        <f aca="false">Supuestos!$F$39*MIN(1,U$3/Supuestos!$F$42)*Supuestos!$F$35*Supuestos!$F$37/(1+Supuestos!$F$7*Supuestos!$F$8)/Supuestos!$F$6</f>
        <v>286.474888747616</v>
      </c>
      <c r="V18" s="32" t="n">
        <f aca="false">Supuestos!$F$39*MIN(1,V$3/Supuestos!$F$42)*Supuestos!$F$35*Supuestos!$F$37/(1+Supuestos!$F$7*Supuestos!$F$8)/Supuestos!$F$6</f>
        <v>286.474888747616</v>
      </c>
      <c r="W18" s="32" t="n">
        <f aca="false">Supuestos!$F$39*MIN(1,W$3/Supuestos!$F$42)*Supuestos!$F$35*Supuestos!$F$37/(1+Supuestos!$F$7*Supuestos!$F$8)/Supuestos!$F$6</f>
        <v>286.474888747616</v>
      </c>
      <c r="X18" s="32" t="n">
        <f aca="false">Supuestos!$F$39*MIN(1,X$3/Supuestos!$F$42)*Supuestos!$F$35*Supuestos!$F$37/(1+Supuestos!$F$7*Supuestos!$F$8)/Supuestos!$F$6</f>
        <v>286.474888747616</v>
      </c>
      <c r="Y18" s="32" t="n">
        <f aca="false">Supuestos!$F$39*MIN(1,Y$3/Supuestos!$F$42)*Supuestos!$F$35*Supuestos!$F$37/(1+Supuestos!$F$7*Supuestos!$F$8)/Supuestos!$F$6</f>
        <v>286.474888747616</v>
      </c>
      <c r="Z18" s="32" t="n">
        <f aca="false">Supuestos!$F$39*MIN(1,Z$3/Supuestos!$F$42)*Supuestos!$F$35*Supuestos!$F$37/(1+Supuestos!$F$7*Supuestos!$F$8)/Supuestos!$F$6</f>
        <v>286.474888747616</v>
      </c>
      <c r="AA18" s="32" t="n">
        <f aca="false">Supuestos!$F$39*MIN(1,AA$3/Supuestos!$F$42)*Supuestos!$F$35*Supuestos!$F$37/(1+Supuestos!$F$7*Supuestos!$F$8)/Supuestos!$F$6</f>
        <v>286.474888747616</v>
      </c>
      <c r="AB18" s="32" t="n">
        <f aca="false">Supuestos!$F$39*MIN(1,AB$3/Supuestos!$F$42)*Supuestos!$F$35*Supuestos!$F$37/(1+Supuestos!$F$7*Supuestos!$F$8)/Supuestos!$F$6</f>
        <v>286.474888747616</v>
      </c>
      <c r="AC18" s="32" t="n">
        <f aca="false">Supuestos!$F$39*MIN(1,AC$3/Supuestos!$F$42)*Supuestos!$F$35*Supuestos!$F$37/(1+Supuestos!$F$7*Supuestos!$F$8)/Supuestos!$F$6</f>
        <v>286.474888747616</v>
      </c>
      <c r="AD18" s="32" t="n">
        <f aca="false">Supuestos!$F$39*MIN(1,AD$3/Supuestos!$F$42)*Supuestos!$F$35*Supuestos!$F$37/(1+Supuestos!$F$7*Supuestos!$F$8)/Supuestos!$F$6</f>
        <v>286.474888747616</v>
      </c>
      <c r="AE18" s="32" t="n">
        <f aca="false">Supuestos!$F$39*MIN(1,AE$3/Supuestos!$F$42)*Supuestos!$F$35*Supuestos!$F$37/(1+Supuestos!$F$7*Supuestos!$F$8)/Supuestos!$F$6</f>
        <v>286.474888747616</v>
      </c>
      <c r="AF18" s="32" t="n">
        <f aca="false">Supuestos!$F$39*MIN(1,AF$3/Supuestos!$F$42)*Supuestos!$F$35*Supuestos!$F$37/(1+Supuestos!$F$7*Supuestos!$F$8)/Supuestos!$F$6</f>
        <v>286.474888747616</v>
      </c>
      <c r="AG18" s="32" t="n">
        <f aca="false">Supuestos!$F$39*MIN(1,AG$3/Supuestos!$F$42)*Supuestos!$F$35*Supuestos!$F$37/(1+Supuestos!$F$7*Supuestos!$F$8)/Supuestos!$F$6</f>
        <v>286.474888747616</v>
      </c>
      <c r="AH18" s="32" t="n">
        <f aca="false">Supuestos!$F$39*MIN(1,AH$3/Supuestos!$F$42)*Supuestos!$F$35*Supuestos!$F$37/(1+Supuestos!$F$7*Supuestos!$F$8)/Supuestos!$F$6</f>
        <v>286.474888747616</v>
      </c>
      <c r="AI18" s="32" t="n">
        <f aca="false">Supuestos!$F$39*MIN(1,AI$3/Supuestos!$F$42)*Supuestos!$F$35*Supuestos!$F$37/(1+Supuestos!$F$7*Supuestos!$F$8)/Supuestos!$F$6</f>
        <v>286.474888747616</v>
      </c>
      <c r="AJ18" s="32" t="n">
        <f aca="false">Supuestos!$F$39*MIN(1,AJ$3/Supuestos!$F$42)*Supuestos!$F$35*Supuestos!$F$37/(1+Supuestos!$F$7*Supuestos!$F$8)/Supuestos!$F$6</f>
        <v>286.474888747616</v>
      </c>
      <c r="AK18" s="32" t="n">
        <f aca="false">Supuestos!$F$39*MIN(1,AK$3/Supuestos!$F$42)*Supuestos!$F$35*Supuestos!$F$37/(1+Supuestos!$F$7*Supuestos!$F$8)/Supuestos!$F$6</f>
        <v>286.474888747616</v>
      </c>
      <c r="AL18" s="32" t="n">
        <f aca="false">Supuestos!$F$39*MIN(1,AL$3/Supuestos!$F$42)*Supuestos!$F$35*Supuestos!$F$37/(1+Supuestos!$F$7*Supuestos!$F$8)/Supuestos!$F$6</f>
        <v>286.474888747616</v>
      </c>
      <c r="AM18" s="32" t="n">
        <f aca="false">Supuestos!$F$39*MIN(1,AM$3/Supuestos!$F$42)*Supuestos!$F$35*Supuestos!$F$37/(1+Supuestos!$F$7*Supuestos!$F$8)/Supuestos!$F$6</f>
        <v>286.474888747616</v>
      </c>
    </row>
    <row r="19" customFormat="false" ht="15" hidden="false" customHeight="false" outlineLevel="0" collapsed="false">
      <c r="B19" s="4" t="s">
        <v>490</v>
      </c>
      <c r="D19" s="32" t="n">
        <f aca="false">Supuestos!$F$40*MIN(1,D$3/Supuestos!$F$42)*Supuestos!$F$36*Supuestos!$F$37/(1+Supuestos!$F$7*Supuestos!$F$8)/Supuestos!$F$6</f>
        <v>36.1570247933884</v>
      </c>
      <c r="E19" s="32" t="n">
        <f aca="false">Supuestos!$F$40*MIN(1,E$3/Supuestos!$F$42)*Supuestos!$F$36*Supuestos!$F$37/(1+Supuestos!$F$7*Supuestos!$F$8)/Supuestos!$F$6</f>
        <v>72.3140495867769</v>
      </c>
      <c r="F19" s="32" t="n">
        <f aca="false">Supuestos!$F$40*MIN(1,F$3/Supuestos!$F$42)*Supuestos!$F$36*Supuestos!$F$37/(1+Supuestos!$F$7*Supuestos!$F$8)/Supuestos!$F$6</f>
        <v>108.471074380165</v>
      </c>
      <c r="G19" s="32" t="n">
        <f aca="false">Supuestos!$F$40*MIN(1,G$3/Supuestos!$F$42)*Supuestos!$F$36*Supuestos!$F$37/(1+Supuestos!$F$7*Supuestos!$F$8)/Supuestos!$F$6</f>
        <v>144.628099173554</v>
      </c>
      <c r="H19" s="32" t="n">
        <f aca="false">Supuestos!$F$40*MIN(1,H$3/Supuestos!$F$42)*Supuestos!$F$36*Supuestos!$F$37/(1+Supuestos!$F$7*Supuestos!$F$8)/Supuestos!$F$6</f>
        <v>180.785123966942</v>
      </c>
      <c r="I19" s="32" t="n">
        <f aca="false">Supuestos!$F$40*MIN(1,I$3/Supuestos!$F$42)*Supuestos!$F$36*Supuestos!$F$37/(1+Supuestos!$F$7*Supuestos!$F$8)/Supuestos!$F$6</f>
        <v>216.942148760331</v>
      </c>
      <c r="J19" s="32" t="n">
        <f aca="false">Supuestos!$F$40*MIN(1,J$3/Supuestos!$F$42)*Supuestos!$F$36*Supuestos!$F$37/(1+Supuestos!$F$7*Supuestos!$F$8)/Supuestos!$F$6</f>
        <v>216.942148760331</v>
      </c>
      <c r="K19" s="32" t="n">
        <f aca="false">Supuestos!$F$40*MIN(1,K$3/Supuestos!$F$42)*Supuestos!$F$36*Supuestos!$F$37/(1+Supuestos!$F$7*Supuestos!$F$8)/Supuestos!$F$6</f>
        <v>216.942148760331</v>
      </c>
      <c r="L19" s="32" t="n">
        <f aca="false">Supuestos!$F$40*MIN(1,L$3/Supuestos!$F$42)*Supuestos!$F$36*Supuestos!$F$37/(1+Supuestos!$F$7*Supuestos!$F$8)/Supuestos!$F$6</f>
        <v>216.942148760331</v>
      </c>
      <c r="M19" s="32" t="n">
        <f aca="false">Supuestos!$F$40*MIN(1,M$3/Supuestos!$F$42)*Supuestos!$F$36*Supuestos!$F$37/(1+Supuestos!$F$7*Supuestos!$F$8)/Supuestos!$F$6</f>
        <v>216.942148760331</v>
      </c>
      <c r="N19" s="32" t="n">
        <f aca="false">Supuestos!$F$40*MIN(1,N$3/Supuestos!$F$42)*Supuestos!$F$36*Supuestos!$F$37/(1+Supuestos!$F$7*Supuestos!$F$8)/Supuestos!$F$6</f>
        <v>216.942148760331</v>
      </c>
      <c r="O19" s="32" t="n">
        <f aca="false">Supuestos!$F$40*MIN(1,O$3/Supuestos!$F$42)*Supuestos!$F$36*Supuestos!$F$37/(1+Supuestos!$F$7*Supuestos!$F$8)/Supuestos!$F$6</f>
        <v>216.942148760331</v>
      </c>
      <c r="P19" s="32" t="n">
        <f aca="false">Supuestos!$F$40*MIN(1,P$3/Supuestos!$F$42)*Supuestos!$F$36*Supuestos!$F$37/(1+Supuestos!$F$7*Supuestos!$F$8)/Supuestos!$F$6</f>
        <v>216.942148760331</v>
      </c>
      <c r="Q19" s="32" t="n">
        <f aca="false">Supuestos!$F$40*MIN(1,Q$3/Supuestos!$F$42)*Supuestos!$F$36*Supuestos!$F$37/(1+Supuestos!$F$7*Supuestos!$F$8)/Supuestos!$F$6</f>
        <v>216.942148760331</v>
      </c>
      <c r="R19" s="32" t="n">
        <f aca="false">Supuestos!$F$40*MIN(1,R$3/Supuestos!$F$42)*Supuestos!$F$36*Supuestos!$F$37/(1+Supuestos!$F$7*Supuestos!$F$8)/Supuestos!$F$6</f>
        <v>216.942148760331</v>
      </c>
      <c r="S19" s="32" t="n">
        <f aca="false">Supuestos!$F$40*MIN(1,S$3/Supuestos!$F$42)*Supuestos!$F$36*Supuestos!$F$37/(1+Supuestos!$F$7*Supuestos!$F$8)/Supuestos!$F$6</f>
        <v>216.942148760331</v>
      </c>
      <c r="T19" s="32" t="n">
        <f aca="false">Supuestos!$F$40*MIN(1,T$3/Supuestos!$F$42)*Supuestos!$F$36*Supuestos!$F$37/(1+Supuestos!$F$7*Supuestos!$F$8)/Supuestos!$F$6</f>
        <v>216.942148760331</v>
      </c>
      <c r="U19" s="32" t="n">
        <f aca="false">Supuestos!$F$40*MIN(1,U$3/Supuestos!$F$42)*Supuestos!$F$36*Supuestos!$F$37/(1+Supuestos!$F$7*Supuestos!$F$8)/Supuestos!$F$6</f>
        <v>216.942148760331</v>
      </c>
      <c r="V19" s="32" t="n">
        <f aca="false">Supuestos!$F$40*MIN(1,V$3/Supuestos!$F$42)*Supuestos!$F$36*Supuestos!$F$37/(1+Supuestos!$F$7*Supuestos!$F$8)/Supuestos!$F$6</f>
        <v>216.942148760331</v>
      </c>
      <c r="W19" s="32" t="n">
        <f aca="false">Supuestos!$F$40*MIN(1,W$3/Supuestos!$F$42)*Supuestos!$F$36*Supuestos!$F$37/(1+Supuestos!$F$7*Supuestos!$F$8)/Supuestos!$F$6</f>
        <v>216.942148760331</v>
      </c>
      <c r="X19" s="32" t="n">
        <f aca="false">Supuestos!$F$40*MIN(1,X$3/Supuestos!$F$42)*Supuestos!$F$36*Supuestos!$F$37/(1+Supuestos!$F$7*Supuestos!$F$8)/Supuestos!$F$6</f>
        <v>216.942148760331</v>
      </c>
      <c r="Y19" s="32" t="n">
        <f aca="false">Supuestos!$F$40*MIN(1,Y$3/Supuestos!$F$42)*Supuestos!$F$36*Supuestos!$F$37/(1+Supuestos!$F$7*Supuestos!$F$8)/Supuestos!$F$6</f>
        <v>216.942148760331</v>
      </c>
      <c r="Z19" s="32" t="n">
        <f aca="false">Supuestos!$F$40*MIN(1,Z$3/Supuestos!$F$42)*Supuestos!$F$36*Supuestos!$F$37/(1+Supuestos!$F$7*Supuestos!$F$8)/Supuestos!$F$6</f>
        <v>216.942148760331</v>
      </c>
      <c r="AA19" s="32" t="n">
        <f aca="false">Supuestos!$F$40*MIN(1,AA$3/Supuestos!$F$42)*Supuestos!$F$36*Supuestos!$F$37/(1+Supuestos!$F$7*Supuestos!$F$8)/Supuestos!$F$6</f>
        <v>216.942148760331</v>
      </c>
      <c r="AB19" s="32" t="n">
        <f aca="false">Supuestos!$F$40*MIN(1,AB$3/Supuestos!$F$42)*Supuestos!$F$36*Supuestos!$F$37/(1+Supuestos!$F$7*Supuestos!$F$8)/Supuestos!$F$6</f>
        <v>216.942148760331</v>
      </c>
      <c r="AC19" s="32" t="n">
        <f aca="false">Supuestos!$F$40*MIN(1,AC$3/Supuestos!$F$42)*Supuestos!$F$36*Supuestos!$F$37/(1+Supuestos!$F$7*Supuestos!$F$8)/Supuestos!$F$6</f>
        <v>216.942148760331</v>
      </c>
      <c r="AD19" s="32" t="n">
        <f aca="false">Supuestos!$F$40*MIN(1,AD$3/Supuestos!$F$42)*Supuestos!$F$36*Supuestos!$F$37/(1+Supuestos!$F$7*Supuestos!$F$8)/Supuestos!$F$6</f>
        <v>216.942148760331</v>
      </c>
      <c r="AE19" s="32" t="n">
        <f aca="false">Supuestos!$F$40*MIN(1,AE$3/Supuestos!$F$42)*Supuestos!$F$36*Supuestos!$F$37/(1+Supuestos!$F$7*Supuestos!$F$8)/Supuestos!$F$6</f>
        <v>216.942148760331</v>
      </c>
      <c r="AF19" s="32" t="n">
        <f aca="false">Supuestos!$F$40*MIN(1,AF$3/Supuestos!$F$42)*Supuestos!$F$36*Supuestos!$F$37/(1+Supuestos!$F$7*Supuestos!$F$8)/Supuestos!$F$6</f>
        <v>216.942148760331</v>
      </c>
      <c r="AG19" s="32" t="n">
        <f aca="false">Supuestos!$F$40*MIN(1,AG$3/Supuestos!$F$42)*Supuestos!$F$36*Supuestos!$F$37/(1+Supuestos!$F$7*Supuestos!$F$8)/Supuestos!$F$6</f>
        <v>216.942148760331</v>
      </c>
      <c r="AH19" s="32" t="n">
        <f aca="false">Supuestos!$F$40*MIN(1,AH$3/Supuestos!$F$42)*Supuestos!$F$36*Supuestos!$F$37/(1+Supuestos!$F$7*Supuestos!$F$8)/Supuestos!$F$6</f>
        <v>216.942148760331</v>
      </c>
      <c r="AI19" s="32" t="n">
        <f aca="false">Supuestos!$F$40*MIN(1,AI$3/Supuestos!$F$42)*Supuestos!$F$36*Supuestos!$F$37/(1+Supuestos!$F$7*Supuestos!$F$8)/Supuestos!$F$6</f>
        <v>216.942148760331</v>
      </c>
      <c r="AJ19" s="32" t="n">
        <f aca="false">Supuestos!$F$40*MIN(1,AJ$3/Supuestos!$F$42)*Supuestos!$F$36*Supuestos!$F$37/(1+Supuestos!$F$7*Supuestos!$F$8)/Supuestos!$F$6</f>
        <v>216.942148760331</v>
      </c>
      <c r="AK19" s="32" t="n">
        <f aca="false">Supuestos!$F$40*MIN(1,AK$3/Supuestos!$F$42)*Supuestos!$F$36*Supuestos!$F$37/(1+Supuestos!$F$7*Supuestos!$F$8)/Supuestos!$F$6</f>
        <v>216.942148760331</v>
      </c>
      <c r="AL19" s="32" t="n">
        <f aca="false">Supuestos!$F$40*MIN(1,AL$3/Supuestos!$F$42)*Supuestos!$F$36*Supuestos!$F$37/(1+Supuestos!$F$7*Supuestos!$F$8)/Supuestos!$F$6</f>
        <v>216.942148760331</v>
      </c>
      <c r="AM19" s="32" t="n">
        <f aca="false">Supuestos!$F$40*MIN(1,AM$3/Supuestos!$F$42)*Supuestos!$F$36*Supuestos!$F$37/(1+Supuestos!$F$7*Supuestos!$F$8)/Supuestos!$F$6</f>
        <v>216.942148760331</v>
      </c>
    </row>
    <row r="20" customFormat="false" ht="15" hidden="false" customHeight="false" outlineLevel="0" collapsed="false">
      <c r="B20" s="4" t="s">
        <v>491</v>
      </c>
      <c r="D20" s="32" t="n">
        <f aca="false">Supuestos!$F$41*MIN(1,D$3/Supuestos!$F$42)</f>
        <v>33.3333333333333</v>
      </c>
      <c r="E20" s="32" t="n">
        <f aca="false">Supuestos!$F$41*MIN(1,E$3/Supuestos!$F$42)</f>
        <v>66.6666666666667</v>
      </c>
      <c r="F20" s="32" t="n">
        <f aca="false">Supuestos!$F$41*MIN(1,F$3/Supuestos!$F$42)</f>
        <v>100</v>
      </c>
      <c r="G20" s="32" t="n">
        <f aca="false">Supuestos!$F$41*MIN(1,G$3/Supuestos!$F$42)</f>
        <v>133.333333333333</v>
      </c>
      <c r="H20" s="32" t="n">
        <f aca="false">Supuestos!$F$41*MIN(1,H$3/Supuestos!$F$42)</f>
        <v>166.666666666667</v>
      </c>
      <c r="I20" s="32" t="n">
        <f aca="false">Supuestos!$F$41*MIN(1,I$3/Supuestos!$F$42)</f>
        <v>200</v>
      </c>
      <c r="J20" s="32" t="n">
        <f aca="false">Supuestos!$F$41*MIN(1,J$3/Supuestos!$F$42)</f>
        <v>200</v>
      </c>
      <c r="K20" s="32" t="n">
        <f aca="false">Supuestos!$F$41*MIN(1,K$3/Supuestos!$F$42)</f>
        <v>200</v>
      </c>
      <c r="L20" s="32" t="n">
        <f aca="false">Supuestos!$F$41*MIN(1,L$3/Supuestos!$F$42)</f>
        <v>200</v>
      </c>
      <c r="M20" s="32" t="n">
        <f aca="false">Supuestos!$F$41*MIN(1,M$3/Supuestos!$F$42)</f>
        <v>200</v>
      </c>
      <c r="N20" s="32" t="n">
        <f aca="false">Supuestos!$F$41*MIN(1,N$3/Supuestos!$F$42)</f>
        <v>200</v>
      </c>
      <c r="O20" s="32" t="n">
        <f aca="false">Supuestos!$F$41*MIN(1,O$3/Supuestos!$F$42)</f>
        <v>200</v>
      </c>
      <c r="P20" s="32" t="n">
        <f aca="false">Supuestos!$F$41*MIN(1,P$3/Supuestos!$F$42)</f>
        <v>200</v>
      </c>
      <c r="Q20" s="32" t="n">
        <f aca="false">Supuestos!$F$41*MIN(1,Q$3/Supuestos!$F$42)</f>
        <v>200</v>
      </c>
      <c r="R20" s="32" t="n">
        <f aca="false">Supuestos!$F$41*MIN(1,R$3/Supuestos!$F$42)</f>
        <v>200</v>
      </c>
      <c r="S20" s="32" t="n">
        <f aca="false">Supuestos!$F$41*MIN(1,S$3/Supuestos!$F$42)</f>
        <v>200</v>
      </c>
      <c r="T20" s="32" t="n">
        <f aca="false">Supuestos!$F$41*MIN(1,T$3/Supuestos!$F$42)</f>
        <v>200</v>
      </c>
      <c r="U20" s="32" t="n">
        <f aca="false">Supuestos!$F$41*MIN(1,U$3/Supuestos!$F$42)</f>
        <v>200</v>
      </c>
      <c r="V20" s="32" t="n">
        <f aca="false">Supuestos!$F$41*MIN(1,V$3/Supuestos!$F$42)</f>
        <v>200</v>
      </c>
      <c r="W20" s="32" t="n">
        <f aca="false">Supuestos!$F$41*MIN(1,W$3/Supuestos!$F$42)</f>
        <v>200</v>
      </c>
      <c r="X20" s="32" t="n">
        <f aca="false">Supuestos!$F$41*MIN(1,X$3/Supuestos!$F$42)</f>
        <v>200</v>
      </c>
      <c r="Y20" s="32" t="n">
        <f aca="false">Supuestos!$F$41*MIN(1,Y$3/Supuestos!$F$42)</f>
        <v>200</v>
      </c>
      <c r="Z20" s="32" t="n">
        <f aca="false">Supuestos!$F$41*MIN(1,Z$3/Supuestos!$F$42)</f>
        <v>200</v>
      </c>
      <c r="AA20" s="32" t="n">
        <f aca="false">Supuestos!$F$41*MIN(1,AA$3/Supuestos!$F$42)</f>
        <v>200</v>
      </c>
      <c r="AB20" s="32" t="n">
        <f aca="false">Supuestos!$F$41*MIN(1,AB$3/Supuestos!$F$42)</f>
        <v>200</v>
      </c>
      <c r="AC20" s="32" t="n">
        <f aca="false">Supuestos!$F$41*MIN(1,AC$3/Supuestos!$F$42)</f>
        <v>200</v>
      </c>
      <c r="AD20" s="32" t="n">
        <f aca="false">Supuestos!$F$41*MIN(1,AD$3/Supuestos!$F$42)</f>
        <v>200</v>
      </c>
      <c r="AE20" s="32" t="n">
        <f aca="false">Supuestos!$F$41*MIN(1,AE$3/Supuestos!$F$42)</f>
        <v>200</v>
      </c>
      <c r="AF20" s="32" t="n">
        <f aca="false">Supuestos!$F$41*MIN(1,AF$3/Supuestos!$F$42)</f>
        <v>200</v>
      </c>
      <c r="AG20" s="32" t="n">
        <f aca="false">Supuestos!$F$41*MIN(1,AG$3/Supuestos!$F$42)</f>
        <v>200</v>
      </c>
      <c r="AH20" s="32" t="n">
        <f aca="false">Supuestos!$F$41*MIN(1,AH$3/Supuestos!$F$42)</f>
        <v>200</v>
      </c>
      <c r="AI20" s="32" t="n">
        <f aca="false">Supuestos!$F$41*MIN(1,AI$3/Supuestos!$F$42)</f>
        <v>200</v>
      </c>
      <c r="AJ20" s="32" t="n">
        <f aca="false">Supuestos!$F$41*MIN(1,AJ$3/Supuestos!$F$42)</f>
        <v>200</v>
      </c>
      <c r="AK20" s="32" t="n">
        <f aca="false">Supuestos!$F$41*MIN(1,AK$3/Supuestos!$F$42)</f>
        <v>200</v>
      </c>
      <c r="AL20" s="32" t="n">
        <f aca="false">Supuestos!$F$41*MIN(1,AL$3/Supuestos!$F$42)</f>
        <v>200</v>
      </c>
      <c r="AM20" s="32" t="n">
        <f aca="false">Supuestos!$F$41*MIN(1,AM$3/Supuestos!$F$42)</f>
        <v>200</v>
      </c>
    </row>
    <row r="21" customFormat="false" ht="15" hidden="false" customHeight="false" outlineLevel="0" collapsed="false">
      <c r="B21" s="13" t="s">
        <v>492</v>
      </c>
      <c r="D21" s="32" t="n">
        <f aca="false">SUM(D15:D20)</f>
        <v>1131.25019866497</v>
      </c>
      <c r="E21" s="32" t="n">
        <f aca="false">SUM(E15:E20)</f>
        <v>1744.75134098856</v>
      </c>
      <c r="F21" s="32" t="n">
        <f aca="false">SUM(F15:F20)</f>
        <v>2344.76590124364</v>
      </c>
      <c r="G21" s="32" t="n">
        <f aca="false">SUM(G15:G20)</f>
        <v>2931.91377090651</v>
      </c>
      <c r="H21" s="32" t="n">
        <f aca="false">SUM(H15:H20)</f>
        <v>3316.54390340322</v>
      </c>
      <c r="I21" s="32" t="n">
        <f aca="false">SUM(I15:I20)</f>
        <v>3667.54824219861</v>
      </c>
      <c r="J21" s="32" t="n">
        <f aca="false">SUM(J15:J20)</f>
        <v>3783.77747344533</v>
      </c>
      <c r="K21" s="32" t="n">
        <f aca="false">SUM(K15:K20)</f>
        <v>3894.1952431297</v>
      </c>
      <c r="L21" s="32" t="n">
        <f aca="false">SUM(L15:L20)</f>
        <v>3999.09212432986</v>
      </c>
      <c r="M21" s="32" t="n">
        <f aca="false">SUM(M15:M20)</f>
        <v>4098.74416147001</v>
      </c>
      <c r="N21" s="32" t="n">
        <f aca="false">SUM(N15:N20)</f>
        <v>4193.41359675315</v>
      </c>
      <c r="O21" s="32" t="n">
        <f aca="false">SUM(O15:O20)</f>
        <v>4283.34956027214</v>
      </c>
      <c r="P21" s="32" t="n">
        <f aca="false">SUM(P15:P20)</f>
        <v>4318.42755269718</v>
      </c>
      <c r="Q21" s="32" t="n">
        <f aca="false">SUM(Q15:Q20)</f>
        <v>4351.75164550098</v>
      </c>
      <c r="R21" s="32" t="n">
        <f aca="false">SUM(R15:R20)</f>
        <v>4383.40953366458</v>
      </c>
      <c r="S21" s="32" t="n">
        <f aca="false">SUM(S15:S20)</f>
        <v>4413.48452742</v>
      </c>
      <c r="T21" s="32" t="n">
        <f aca="false">SUM(T15:T20)</f>
        <v>4442.05577148766</v>
      </c>
      <c r="U21" s="32" t="n">
        <f aca="false">SUM(U15:U20)</f>
        <v>4469.19845335192</v>
      </c>
      <c r="V21" s="32" t="n">
        <f aca="false">SUM(V15:V20)</f>
        <v>4494.98400112298</v>
      </c>
      <c r="W21" s="32" t="n">
        <f aca="false">SUM(W15:W20)</f>
        <v>4519.48027150548</v>
      </c>
      <c r="X21" s="32" t="n">
        <f aca="false">SUM(X15:X20)</f>
        <v>4542.75172836886</v>
      </c>
      <c r="Y21" s="32" t="n">
        <f aca="false">SUM(Y15:Y20)</f>
        <v>4564.85961238907</v>
      </c>
      <c r="Z21" s="32" t="n">
        <f aca="false">SUM(Z15:Z20)</f>
        <v>4585.86210220827</v>
      </c>
      <c r="AA21" s="32" t="n">
        <f aca="false">SUM(AA15:AA20)</f>
        <v>4605.81446753651</v>
      </c>
      <c r="AB21" s="32" t="n">
        <f aca="false">SUM(AB15:AB20)</f>
        <v>4624.76921459834</v>
      </c>
      <c r="AC21" s="32" t="n">
        <f aca="false">SUM(AC15:AC20)</f>
        <v>4642.77622430707</v>
      </c>
      <c r="AD21" s="32" t="n">
        <f aca="false">SUM(AD15:AD20)</f>
        <v>4659.88288353037</v>
      </c>
      <c r="AE21" s="32" t="n">
        <f aca="false">SUM(AE15:AE20)</f>
        <v>4676.1342097925</v>
      </c>
      <c r="AF21" s="32" t="n">
        <f aca="false">SUM(AF15:AF20)</f>
        <v>4691.57296974153</v>
      </c>
      <c r="AG21" s="32" t="n">
        <f aca="false">SUM(AG15:AG20)</f>
        <v>4706.23979169311</v>
      </c>
      <c r="AH21" s="32" t="n">
        <f aca="false">SUM(AH15:AH20)</f>
        <v>4720.1732725471</v>
      </c>
      <c r="AI21" s="32" t="n">
        <f aca="false">SUM(AI15:AI20)</f>
        <v>4733.4100793584</v>
      </c>
      <c r="AJ21" s="32" t="n">
        <f aca="false">SUM(AJ15:AJ20)</f>
        <v>4745.98504582913</v>
      </c>
      <c r="AK21" s="32" t="n">
        <f aca="false">SUM(AK15:AK20)</f>
        <v>4757.93126397633</v>
      </c>
      <c r="AL21" s="32" t="n">
        <f aca="false">SUM(AL15:AL20)</f>
        <v>4769.28017121616</v>
      </c>
      <c r="AM21" s="32" t="n">
        <f aca="false">SUM(AM15:AM20)</f>
        <v>4780.06163309401</v>
      </c>
    </row>
    <row r="22" customFormat="false" ht="15" hidden="false" customHeight="false" outlineLevel="0" collapsed="false">
      <c r="B22" s="21" t="s">
        <v>295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customFormat="false" ht="15" hidden="false" customHeight="false" outlineLevel="0" collapsed="false">
      <c r="B23" s="4" t="s">
        <v>493</v>
      </c>
      <c r="D23" s="32" t="n">
        <f aca="false">(D11+D9*Supuestos!$F$9*Supuestos!$F$19+(D10*Supuestos!$F$15*Supuestos!$F$9*Supuestos!$F$19)+Supuestos!$F$39*MIN(1,D$3/Supuestos!$F$42))*Supuestos!$F$53</f>
        <v>72.9424166666667</v>
      </c>
      <c r="E23" s="32" t="n">
        <f aca="false">(E11+E9*Supuestos!$F$9*Supuestos!$F$19+(E10*Supuestos!$F$15*Supuestos!$F$9*Supuestos!$F$19)+Supuestos!$F$39*MIN(1,E$3/Supuestos!$F$42))*Supuestos!$F$53</f>
        <v>114.761835833333</v>
      </c>
      <c r="F23" s="32" t="n">
        <f aca="false">(F11+F9*Supuestos!$F$9*Supuestos!$F$19+(F10*Supuestos!$F$15*Supuestos!$F$9*Supuestos!$F$19)+Supuestos!$F$39*MIN(1,F$3/Supuestos!$F$42))*Supuestos!$F$53</f>
        <v>155.636458175</v>
      </c>
      <c r="G23" s="32" t="n">
        <f aca="false">(G11+G9*Supuestos!$F$9*Supuestos!$F$19+(G10*Supuestos!$F$15*Supuestos!$F$9*Supuestos!$F$19)+Supuestos!$F$39*MIN(1,G$3/Supuestos!$F$42))*Supuestos!$F$53</f>
        <v>195.607510308917</v>
      </c>
      <c r="H23" s="32" t="n">
        <f aca="false">(H11+H9*Supuestos!$F$9*Supuestos!$F$19+(H10*Supuestos!$F$15*Supuestos!$F$9*Supuestos!$F$19)+Supuestos!$F$39*MIN(1,H$3/Supuestos!$F$42))*Supuestos!$F$53</f>
        <v>219.216337918191</v>
      </c>
      <c r="I23" s="32" t="n">
        <f aca="false">(I11+I9*Supuestos!$F$9*Supuestos!$F$19+(I10*Supuestos!$F$15*Supuestos!$F$9*Supuestos!$F$19)+Supuestos!$F$39*MIN(1,I$3/Supuestos!$F$42))*Supuestos!$F$53</f>
        <v>239.578052884141</v>
      </c>
      <c r="J23" s="32" t="n">
        <f aca="false">(J11+J9*Supuestos!$F$9*Supuestos!$F$19+(J10*Supuestos!$F$15*Supuestos!$F$9*Supuestos!$F$19)+Supuestos!$F$39*MIN(1,J$3/Supuestos!$F$42))*Supuestos!$F$53</f>
        <v>246.532950239934</v>
      </c>
      <c r="K23" s="32" t="n">
        <f aca="false">(K11+K9*Supuestos!$F$9*Supuestos!$F$19+(K10*Supuestos!$F$15*Supuestos!$F$9*Supuestos!$F$19)+Supuestos!$F$39*MIN(1,K$3/Supuestos!$F$42))*Supuestos!$F$53</f>
        <v>253.140102727937</v>
      </c>
      <c r="L23" s="32" t="n">
        <f aca="false">(L11+L9*Supuestos!$F$9*Supuestos!$F$19+(L10*Supuestos!$F$15*Supuestos!$F$9*Supuestos!$F$19)+Supuestos!$F$39*MIN(1,L$3/Supuestos!$F$42))*Supuestos!$F$53</f>
        <v>259.41689759154</v>
      </c>
      <c r="M23" s="32" t="n">
        <f aca="false">(M11+M9*Supuestos!$F$9*Supuestos!$F$19+(M10*Supuestos!$F$15*Supuestos!$F$9*Supuestos!$F$19)+Supuestos!$F$39*MIN(1,M$3/Supuestos!$F$42))*Supuestos!$F$53</f>
        <v>265.379852711963</v>
      </c>
      <c r="N23" s="32" t="n">
        <f aca="false">(N11+N9*Supuestos!$F$9*Supuestos!$F$19+(N10*Supuestos!$F$15*Supuestos!$F$9*Supuestos!$F$19)+Supuestos!$F$39*MIN(1,N$3/Supuestos!$F$42))*Supuestos!$F$53</f>
        <v>271.044660076365</v>
      </c>
      <c r="O23" s="32" t="n">
        <f aca="false">(O11+O9*Supuestos!$F$9*Supuestos!$F$19+(O10*Supuestos!$F$15*Supuestos!$F$9*Supuestos!$F$19)+Supuestos!$F$39*MIN(1,O$3/Supuestos!$F$42))*Supuestos!$F$53</f>
        <v>276.426227072547</v>
      </c>
      <c r="P23" s="32" t="n">
        <f aca="false">(P11+P9*Supuestos!$F$9*Supuestos!$F$19+(P10*Supuestos!$F$15*Supuestos!$F$9*Supuestos!$F$19)+Supuestos!$F$39*MIN(1,P$3/Supuestos!$F$42))*Supuestos!$F$53</f>
        <v>278.525215718919</v>
      </c>
      <c r="Q23" s="32" t="n">
        <f aca="false">(Q11+Q9*Supuestos!$F$9*Supuestos!$F$19+(Q10*Supuestos!$F$15*Supuestos!$F$9*Supuestos!$F$19)+Supuestos!$F$39*MIN(1,Q$3/Supuestos!$F$42))*Supuestos!$F$53</f>
        <v>280.519254932973</v>
      </c>
      <c r="R23" s="32" t="n">
        <f aca="false">(R11+R9*Supuestos!$F$9*Supuestos!$F$19+(R10*Supuestos!$F$15*Supuestos!$F$9*Supuestos!$F$19)+Supuestos!$F$39*MIN(1,R$3/Supuestos!$F$42))*Supuestos!$F$53</f>
        <v>282.413592186325</v>
      </c>
      <c r="S23" s="32" t="n">
        <f aca="false">(S11+S9*Supuestos!$F$9*Supuestos!$F$19+(S10*Supuestos!$F$15*Supuestos!$F$9*Supuestos!$F$19)+Supuestos!$F$39*MIN(1,S$3/Supuestos!$F$42))*Supuestos!$F$53</f>
        <v>284.213212577008</v>
      </c>
      <c r="T23" s="32" t="n">
        <f aca="false">(T11+T9*Supuestos!$F$9*Supuestos!$F$19+(T10*Supuestos!$F$15*Supuestos!$F$9*Supuestos!$F$19)+Supuestos!$F$39*MIN(1,T$3/Supuestos!$F$42))*Supuestos!$F$53</f>
        <v>285.922851948158</v>
      </c>
      <c r="U23" s="32" t="n">
        <f aca="false">(U11+U9*Supuestos!$F$9*Supuestos!$F$19+(U10*Supuestos!$F$15*Supuestos!$F$9*Supuestos!$F$19)+Supuestos!$F$39*MIN(1,U$3/Supuestos!$F$42))*Supuestos!$F$53</f>
        <v>287.54700935075</v>
      </c>
      <c r="V23" s="32" t="n">
        <f aca="false">(V11+V9*Supuestos!$F$9*Supuestos!$F$19+(V10*Supuestos!$F$15*Supuestos!$F$9*Supuestos!$F$19)+Supuestos!$F$39*MIN(1,V$3/Supuestos!$F$42))*Supuestos!$F$53</f>
        <v>289.089958883213</v>
      </c>
      <c r="W23" s="32" t="n">
        <f aca="false">(W11+W9*Supuestos!$F$9*Supuestos!$F$19+(W10*Supuestos!$F$15*Supuestos!$F$9*Supuestos!$F$19)+Supuestos!$F$39*MIN(1,W$3/Supuestos!$F$42))*Supuestos!$F$53</f>
        <v>290.555760939052</v>
      </c>
      <c r="X23" s="32" t="n">
        <f aca="false">(X11+X9*Supuestos!$F$9*Supuestos!$F$19+(X10*Supuestos!$F$15*Supuestos!$F$9*Supuestos!$F$19)+Supuestos!$F$39*MIN(1,X$3/Supuestos!$F$42))*Supuestos!$F$53</f>
        <v>291.948272892099</v>
      </c>
      <c r="Y23" s="32" t="n">
        <f aca="false">(Y11+Y9*Supuestos!$F$9*Supuestos!$F$19+(Y10*Supuestos!$F$15*Supuestos!$F$9*Supuestos!$F$19)+Supuestos!$F$39*MIN(1,Y$3/Supuestos!$F$42))*Supuestos!$F$53</f>
        <v>293.271159247494</v>
      </c>
      <c r="Z23" s="32" t="n">
        <f aca="false">(Z11+Z9*Supuestos!$F$9*Supuestos!$F$19+(Z10*Supuestos!$F$15*Supuestos!$F$9*Supuestos!$F$19)+Supuestos!$F$39*MIN(1,Z$3/Supuestos!$F$42))*Supuestos!$F$53</f>
        <v>294.52790128512</v>
      </c>
      <c r="AA23" s="32" t="n">
        <f aca="false">(AA11+AA9*Supuestos!$F$9*Supuestos!$F$19+(AA10*Supuestos!$F$15*Supuestos!$F$9*Supuestos!$F$19)+Supuestos!$F$39*MIN(1,AA$3/Supuestos!$F$42))*Supuestos!$F$53</f>
        <v>295.721806220864</v>
      </c>
      <c r="AB23" s="32" t="n">
        <f aca="false">(AB11+AB9*Supuestos!$F$9*Supuestos!$F$19+(AB10*Supuestos!$F$15*Supuestos!$F$9*Supuestos!$F$19)+Supuestos!$F$39*MIN(1,AB$3/Supuestos!$F$42))*Supuestos!$F$53</f>
        <v>296.856015909821</v>
      </c>
      <c r="AC23" s="32" t="n">
        <f aca="false">(AC11+AC9*Supuestos!$F$9*Supuestos!$F$19+(AC10*Supuestos!$F$15*Supuestos!$F$9*Supuestos!$F$19)+Supuestos!$F$39*MIN(1,AC$3/Supuestos!$F$42))*Supuestos!$F$53</f>
        <v>297.933515114329</v>
      </c>
      <c r="AD23" s="32" t="n">
        <f aca="false">(AD11+AD9*Supuestos!$F$9*Supuestos!$F$19+(AD10*Supuestos!$F$15*Supuestos!$F$9*Supuestos!$F$19)+Supuestos!$F$39*MIN(1,AD$3/Supuestos!$F$42))*Supuestos!$F$53</f>
        <v>298.957139358613</v>
      </c>
      <c r="AE23" s="32" t="n">
        <f aca="false">(AE11+AE9*Supuestos!$F$9*Supuestos!$F$19+(AE10*Supuestos!$F$15*Supuestos!$F$9*Supuestos!$F$19)+Supuestos!$F$39*MIN(1,AE$3/Supuestos!$F$42))*Supuestos!$F$53</f>
        <v>299.929582390682</v>
      </c>
      <c r="AF23" s="32" t="n">
        <f aca="false">(AF11+AF9*Supuestos!$F$9*Supuestos!$F$19+(AF10*Supuestos!$F$15*Supuestos!$F$9*Supuestos!$F$19)+Supuestos!$F$39*MIN(1,AF$3/Supuestos!$F$42))*Supuestos!$F$53</f>
        <v>300.853403271148</v>
      </c>
      <c r="AG23" s="32" t="n">
        <f aca="false">(AG11+AG9*Supuestos!$F$9*Supuestos!$F$19+(AG10*Supuestos!$F$15*Supuestos!$F$9*Supuestos!$F$19)+Supuestos!$F$39*MIN(1,AG$3/Supuestos!$F$42))*Supuestos!$F$53</f>
        <v>301.731033107591</v>
      </c>
      <c r="AH23" s="32" t="n">
        <f aca="false">(AH11+AH9*Supuestos!$F$9*Supuestos!$F$19+(AH10*Supuestos!$F$15*Supuestos!$F$9*Supuestos!$F$19)+Supuestos!$F$39*MIN(1,AH$3/Supuestos!$F$42))*Supuestos!$F$53</f>
        <v>302.564781452211</v>
      </c>
      <c r="AI23" s="32" t="n">
        <f aca="false">(AI11+AI9*Supuestos!$F$9*Supuestos!$F$19+(AI10*Supuestos!$F$15*Supuestos!$F$9*Supuestos!$F$19)+Supuestos!$F$39*MIN(1,AI$3/Supuestos!$F$42))*Supuestos!$F$53</f>
        <v>303.356842379601</v>
      </c>
      <c r="AJ23" s="32" t="n">
        <f aca="false">(AJ11+AJ9*Supuestos!$F$9*Supuestos!$F$19+(AJ10*Supuestos!$F$15*Supuestos!$F$9*Supuestos!$F$19)+Supuestos!$F$39*MIN(1,AJ$3/Supuestos!$F$42))*Supuestos!$F$53</f>
        <v>304.109300260621</v>
      </c>
      <c r="AK23" s="32" t="n">
        <f aca="false">(AK11+AK9*Supuestos!$F$9*Supuestos!$F$19+(AK10*Supuestos!$F$15*Supuestos!$F$9*Supuestos!$F$19)+Supuestos!$F$39*MIN(1,AK$3/Supuestos!$F$42))*Supuestos!$F$53</f>
        <v>304.82413524759</v>
      </c>
      <c r="AL23" s="32" t="n">
        <f aca="false">(AL11+AL9*Supuestos!$F$9*Supuestos!$F$19+(AL10*Supuestos!$F$15*Supuestos!$F$9*Supuestos!$F$19)+Supuestos!$F$39*MIN(1,AL$3/Supuestos!$F$42))*Supuestos!$F$53</f>
        <v>305.50322848521</v>
      </c>
      <c r="AM23" s="32" t="n">
        <f aca="false">(AM11+AM9*Supuestos!$F$9*Supuestos!$F$19+(AM10*Supuestos!$F$15*Supuestos!$F$9*Supuestos!$F$19)+Supuestos!$F$39*MIN(1,AM$3/Supuestos!$F$42))*Supuestos!$F$53</f>
        <v>306.14836706095</v>
      </c>
    </row>
    <row r="24" customFormat="false" ht="15" hidden="false" customHeight="false" outlineLevel="0" collapsed="false">
      <c r="B24" s="4" t="s">
        <v>494</v>
      </c>
      <c r="D24" s="32" t="n">
        <f aca="false">D21*(1+Supuestos!$F$7*Supuestos!$F$8)*Supuestos!$F$54</f>
        <v>8.21287644230769</v>
      </c>
      <c r="E24" s="32" t="n">
        <f aca="false">E21*(1+Supuestos!$F$7*Supuestos!$F$8)*Supuestos!$F$54</f>
        <v>12.6668947355769</v>
      </c>
      <c r="F24" s="32" t="n">
        <f aca="false">F21*(1+Supuestos!$F$7*Supuestos!$F$8)*Supuestos!$F$54</f>
        <v>17.0230004430288</v>
      </c>
      <c r="G24" s="32" t="n">
        <f aca="false">G21*(1+Supuestos!$F$7*Supuestos!$F$8)*Supuestos!$F$54</f>
        <v>21.2856939767812</v>
      </c>
      <c r="H24" s="32" t="n">
        <f aca="false">H21*(1+Supuestos!$F$7*Supuestos!$F$8)*Supuestos!$F$54</f>
        <v>24.0781087387074</v>
      </c>
      <c r="I24" s="32" t="n">
        <f aca="false">I21*(1+Supuestos!$F$7*Supuestos!$F$8)*Supuestos!$F$54</f>
        <v>26.6264002383619</v>
      </c>
      <c r="J24" s="32" t="n">
        <f aca="false">J21*(1+Supuestos!$F$7*Supuestos!$F$8)*Supuestos!$F$54</f>
        <v>27.4702244572131</v>
      </c>
      <c r="K24" s="32" t="n">
        <f aca="false">K21*(1+Supuestos!$F$7*Supuestos!$F$8)*Supuestos!$F$54</f>
        <v>28.2718574651216</v>
      </c>
      <c r="L24" s="32" t="n">
        <f aca="false">L21*(1+Supuestos!$F$7*Supuestos!$F$8)*Supuestos!$F$54</f>
        <v>29.0334088226348</v>
      </c>
      <c r="M24" s="32" t="n">
        <f aca="false">M21*(1+Supuestos!$F$7*Supuestos!$F$8)*Supuestos!$F$54</f>
        <v>29.7568826122723</v>
      </c>
      <c r="N24" s="32" t="n">
        <f aca="false">N21*(1+Supuestos!$F$7*Supuestos!$F$8)*Supuestos!$F$54</f>
        <v>30.4441827124279</v>
      </c>
      <c r="O24" s="32" t="n">
        <f aca="false">O21*(1+Supuestos!$F$7*Supuestos!$F$8)*Supuestos!$F$54</f>
        <v>31.0971178075757</v>
      </c>
      <c r="P24" s="32" t="n">
        <f aca="false">P21*(1+Supuestos!$F$7*Supuestos!$F$8)*Supuestos!$F$54</f>
        <v>31.3517840325816</v>
      </c>
      <c r="Q24" s="32" t="n">
        <f aca="false">Q21*(1+Supuestos!$F$7*Supuestos!$F$8)*Supuestos!$F$54</f>
        <v>31.5937169463371</v>
      </c>
      <c r="R24" s="32" t="n">
        <f aca="false">R21*(1+Supuestos!$F$7*Supuestos!$F$8)*Supuestos!$F$54</f>
        <v>31.8235532144049</v>
      </c>
      <c r="S24" s="32" t="n">
        <f aca="false">S21*(1+Supuestos!$F$7*Supuestos!$F$8)*Supuestos!$F$54</f>
        <v>32.0418976690692</v>
      </c>
      <c r="T24" s="32" t="n">
        <f aca="false">T21*(1+Supuestos!$F$7*Supuestos!$F$8)*Supuestos!$F$54</f>
        <v>32.2493249010004</v>
      </c>
      <c r="U24" s="32" t="n">
        <f aca="false">U21*(1+Supuestos!$F$7*Supuestos!$F$8)*Supuestos!$F$54</f>
        <v>32.446380771335</v>
      </c>
      <c r="V24" s="32" t="n">
        <f aca="false">V21*(1+Supuestos!$F$7*Supuestos!$F$8)*Supuestos!$F$54</f>
        <v>32.6335838481528</v>
      </c>
      <c r="W24" s="32" t="n">
        <f aca="false">W21*(1+Supuestos!$F$7*Supuestos!$F$8)*Supuestos!$F$54</f>
        <v>32.8114267711298</v>
      </c>
      <c r="X24" s="32" t="n">
        <f aca="false">X21*(1+Supuestos!$F$7*Supuestos!$F$8)*Supuestos!$F$54</f>
        <v>32.9803775479579</v>
      </c>
      <c r="Y24" s="32" t="n">
        <f aca="false">Y21*(1+Supuestos!$F$7*Supuestos!$F$8)*Supuestos!$F$54</f>
        <v>33.1408807859447</v>
      </c>
      <c r="Z24" s="32" t="n">
        <f aca="false">Z21*(1+Supuestos!$F$7*Supuestos!$F$8)*Supuestos!$F$54</f>
        <v>33.293358862032</v>
      </c>
      <c r="AA24" s="32" t="n">
        <f aca="false">AA21*(1+Supuestos!$F$7*Supuestos!$F$8)*Supuestos!$F$54</f>
        <v>33.4382130343151</v>
      </c>
      <c r="AB24" s="32" t="n">
        <f aca="false">AB21*(1+Supuestos!$F$7*Supuestos!$F$8)*Supuestos!$F$54</f>
        <v>33.5758244979839</v>
      </c>
      <c r="AC24" s="32" t="n">
        <f aca="false">AC21*(1+Supuestos!$F$7*Supuestos!$F$8)*Supuestos!$F$54</f>
        <v>33.7065553884693</v>
      </c>
      <c r="AD24" s="32" t="n">
        <f aca="false">AD21*(1+Supuestos!$F$7*Supuestos!$F$8)*Supuestos!$F$54</f>
        <v>33.8307497344305</v>
      </c>
      <c r="AE24" s="32" t="n">
        <f aca="false">AE21*(1+Supuestos!$F$7*Supuestos!$F$8)*Supuestos!$F$54</f>
        <v>33.9487343630936</v>
      </c>
      <c r="AF24" s="32" t="n">
        <f aca="false">AF21*(1+Supuestos!$F$7*Supuestos!$F$8)*Supuestos!$F$54</f>
        <v>34.0608197603235</v>
      </c>
      <c r="AG24" s="32" t="n">
        <f aca="false">AG21*(1+Supuestos!$F$7*Supuestos!$F$8)*Supuestos!$F$54</f>
        <v>34.167300887692</v>
      </c>
      <c r="AH24" s="32" t="n">
        <f aca="false">AH21*(1+Supuestos!$F$7*Supuestos!$F$8)*Supuestos!$F$54</f>
        <v>34.268457958692</v>
      </c>
      <c r="AI24" s="32" t="n">
        <f aca="false">AI21*(1+Supuestos!$F$7*Supuestos!$F$8)*Supuestos!$F$54</f>
        <v>34.364557176142</v>
      </c>
      <c r="AJ24" s="32" t="n">
        <f aca="false">AJ21*(1+Supuestos!$F$7*Supuestos!$F$8)*Supuestos!$F$54</f>
        <v>34.4558514327195</v>
      </c>
      <c r="AK24" s="32" t="n">
        <f aca="false">AK21*(1+Supuestos!$F$7*Supuestos!$F$8)*Supuestos!$F$54</f>
        <v>34.5425809764681</v>
      </c>
      <c r="AL24" s="32" t="n">
        <f aca="false">AL21*(1+Supuestos!$F$7*Supuestos!$F$8)*Supuestos!$F$54</f>
        <v>34.6249740430293</v>
      </c>
      <c r="AM24" s="32" t="n">
        <f aca="false">AM21*(1+Supuestos!$F$7*Supuestos!$F$8)*Supuestos!$F$54</f>
        <v>34.7032474562625</v>
      </c>
    </row>
    <row r="25" customFormat="false" ht="15" hidden="false" customHeight="false" outlineLevel="0" collapsed="false">
      <c r="B25" s="4" t="s">
        <v>495</v>
      </c>
      <c r="D25" s="32" t="n">
        <f aca="false">D21*Supuestos!$F$55</f>
        <v>33.9375059599491</v>
      </c>
      <c r="E25" s="32" t="n">
        <f aca="false">E21*Supuestos!$F$55</f>
        <v>52.3425402296567</v>
      </c>
      <c r="F25" s="32" t="n">
        <f aca="false">F21*Supuestos!$F$55</f>
        <v>70.3429770373093</v>
      </c>
      <c r="G25" s="32" t="n">
        <f aca="false">G21*Supuestos!$F$55</f>
        <v>87.9574131271952</v>
      </c>
      <c r="H25" s="32" t="n">
        <f aca="false">H21*Supuestos!$F$55</f>
        <v>99.4963171020966</v>
      </c>
      <c r="I25" s="32" t="n">
        <f aca="false">I21*Supuestos!$F$55</f>
        <v>110.026447265958</v>
      </c>
      <c r="J25" s="32" t="n">
        <f aca="false">J21*Supuestos!$F$55</f>
        <v>113.51332420336</v>
      </c>
      <c r="K25" s="32" t="n">
        <f aca="false">K21*Supuestos!$F$55</f>
        <v>116.825857293891</v>
      </c>
      <c r="L25" s="32" t="n">
        <f aca="false">L21*Supuestos!$F$55</f>
        <v>119.972763729896</v>
      </c>
      <c r="M25" s="32" t="n">
        <f aca="false">M21*Supuestos!$F$55</f>
        <v>122.9623248441</v>
      </c>
      <c r="N25" s="32" t="n">
        <f aca="false">N21*Supuestos!$F$55</f>
        <v>125.802407902595</v>
      </c>
      <c r="O25" s="32" t="n">
        <f aca="false">O21*Supuestos!$F$55</f>
        <v>128.500486808164</v>
      </c>
      <c r="P25" s="32" t="n">
        <f aca="false">P21*Supuestos!$F$55</f>
        <v>129.552826580916</v>
      </c>
      <c r="Q25" s="32" t="n">
        <f aca="false">Q21*Supuestos!$F$55</f>
        <v>130.552549365029</v>
      </c>
      <c r="R25" s="32" t="n">
        <f aca="false">R21*Supuestos!$F$55</f>
        <v>131.502286009937</v>
      </c>
      <c r="S25" s="32" t="n">
        <f aca="false">S21*Supuestos!$F$55</f>
        <v>132.4045358226</v>
      </c>
      <c r="T25" s="32" t="n">
        <f aca="false">T21*Supuestos!$F$55</f>
        <v>133.26167314463</v>
      </c>
      <c r="U25" s="32" t="n">
        <f aca="false">U21*Supuestos!$F$55</f>
        <v>134.075953600558</v>
      </c>
      <c r="V25" s="32" t="n">
        <f aca="false">V21*Supuestos!$F$55</f>
        <v>134.849520033689</v>
      </c>
      <c r="W25" s="32" t="n">
        <f aca="false">W21*Supuestos!$F$55</f>
        <v>135.584408145164</v>
      </c>
      <c r="X25" s="32" t="n">
        <f aca="false">X21*Supuestos!$F$55</f>
        <v>136.282551851066</v>
      </c>
      <c r="Y25" s="32" t="n">
        <f aca="false">Y21*Supuestos!$F$55</f>
        <v>136.945788371672</v>
      </c>
      <c r="Z25" s="32" t="n">
        <f aca="false">Z21*Supuestos!$F$55</f>
        <v>137.575863066248</v>
      </c>
      <c r="AA25" s="32" t="n">
        <f aca="false">AA21*Supuestos!$F$55</f>
        <v>138.174434026095</v>
      </c>
      <c r="AB25" s="32" t="n">
        <f aca="false">AB21*Supuestos!$F$55</f>
        <v>138.74307643795</v>
      </c>
      <c r="AC25" s="32" t="n">
        <f aca="false">AC21*Supuestos!$F$55</f>
        <v>139.283286729212</v>
      </c>
      <c r="AD25" s="32" t="n">
        <f aca="false">AD21*Supuestos!$F$55</f>
        <v>139.796486505911</v>
      </c>
      <c r="AE25" s="32" t="n">
        <f aca="false">AE21*Supuestos!$F$55</f>
        <v>140.284026293775</v>
      </c>
      <c r="AF25" s="32" t="n">
        <f aca="false">AF21*Supuestos!$F$55</f>
        <v>140.747189092246</v>
      </c>
      <c r="AG25" s="32" t="n">
        <f aca="false">AG21*Supuestos!$F$55</f>
        <v>141.187193750793</v>
      </c>
      <c r="AH25" s="32" t="n">
        <f aca="false">AH21*Supuestos!$F$55</f>
        <v>141.605198176413</v>
      </c>
      <c r="AI25" s="32" t="n">
        <f aca="false">AI21*Supuestos!$F$55</f>
        <v>142.002302380752</v>
      </c>
      <c r="AJ25" s="32" t="n">
        <f aca="false">AJ21*Supuestos!$F$55</f>
        <v>142.379551374874</v>
      </c>
      <c r="AK25" s="32" t="n">
        <f aca="false">AK21*Supuestos!$F$55</f>
        <v>142.73793791929</v>
      </c>
      <c r="AL25" s="32" t="n">
        <f aca="false">AL21*Supuestos!$F$55</f>
        <v>143.078405136485</v>
      </c>
      <c r="AM25" s="32" t="n">
        <f aca="false">AM21*Supuestos!$F$55</f>
        <v>143.40184899282</v>
      </c>
    </row>
    <row r="26" customFormat="false" ht="15" hidden="false" customHeight="false" outlineLevel="0" collapsed="false">
      <c r="B26" s="4" t="s">
        <v>496</v>
      </c>
      <c r="D26" s="32" t="n">
        <f aca="false">D21*(1+Supuestos!$F$7*Supuestos!$F$8)*Supuestos!$F$56</f>
        <v>16.4257528846154</v>
      </c>
      <c r="E26" s="32" t="n">
        <f aca="false">E21*(1+Supuestos!$F$7*Supuestos!$F$8)*Supuestos!$F$56</f>
        <v>25.3337894711538</v>
      </c>
      <c r="F26" s="32" t="n">
        <f aca="false">F21*(1+Supuestos!$F$7*Supuestos!$F$8)*Supuestos!$F$56</f>
        <v>34.0460008860577</v>
      </c>
      <c r="G26" s="32" t="n">
        <f aca="false">G21*(1+Supuestos!$F$7*Supuestos!$F$8)*Supuestos!$F$56</f>
        <v>42.5713879535625</v>
      </c>
      <c r="H26" s="32" t="n">
        <f aca="false">H21*(1+Supuestos!$F$7*Supuestos!$F$8)*Supuestos!$F$56</f>
        <v>48.1562174774148</v>
      </c>
      <c r="I26" s="32" t="n">
        <f aca="false">I21*(1+Supuestos!$F$7*Supuestos!$F$8)*Supuestos!$F$56</f>
        <v>53.2528004767239</v>
      </c>
      <c r="J26" s="32" t="n">
        <f aca="false">J21*(1+Supuestos!$F$7*Supuestos!$F$8)*Supuestos!$F$56</f>
        <v>54.9404489144261</v>
      </c>
      <c r="K26" s="32" t="n">
        <f aca="false">K21*(1+Supuestos!$F$7*Supuestos!$F$8)*Supuestos!$F$56</f>
        <v>56.5437149302433</v>
      </c>
      <c r="L26" s="32" t="n">
        <f aca="false">L21*(1+Supuestos!$F$7*Supuestos!$F$8)*Supuestos!$F$56</f>
        <v>58.0668176452696</v>
      </c>
      <c r="M26" s="32" t="n">
        <f aca="false">M21*(1+Supuestos!$F$7*Supuestos!$F$8)*Supuestos!$F$56</f>
        <v>59.5137652245446</v>
      </c>
      <c r="N26" s="32" t="n">
        <f aca="false">N21*(1+Supuestos!$F$7*Supuestos!$F$8)*Supuestos!$F$56</f>
        <v>60.8883654248558</v>
      </c>
      <c r="O26" s="32" t="n">
        <f aca="false">O21*(1+Supuestos!$F$7*Supuestos!$F$8)*Supuestos!$F$56</f>
        <v>62.1942356151514</v>
      </c>
      <c r="P26" s="32" t="n">
        <f aca="false">P21*(1+Supuestos!$F$7*Supuestos!$F$8)*Supuestos!$F$56</f>
        <v>62.7035680651631</v>
      </c>
      <c r="Q26" s="32" t="n">
        <f aca="false">Q21*(1+Supuestos!$F$7*Supuestos!$F$8)*Supuestos!$F$56</f>
        <v>63.1874338926742</v>
      </c>
      <c r="R26" s="32" t="n">
        <f aca="false">R21*(1+Supuestos!$F$7*Supuestos!$F$8)*Supuestos!$F$56</f>
        <v>63.6471064288097</v>
      </c>
      <c r="S26" s="32" t="n">
        <f aca="false">S21*(1+Supuestos!$F$7*Supuestos!$F$8)*Supuestos!$F$56</f>
        <v>64.0837953381384</v>
      </c>
      <c r="T26" s="32" t="n">
        <f aca="false">T21*(1+Supuestos!$F$7*Supuestos!$F$8)*Supuestos!$F$56</f>
        <v>64.4986498020008</v>
      </c>
      <c r="U26" s="32" t="n">
        <f aca="false">U21*(1+Supuestos!$F$7*Supuestos!$F$8)*Supuestos!$F$56</f>
        <v>64.8927615426699</v>
      </c>
      <c r="V26" s="32" t="n">
        <f aca="false">V21*(1+Supuestos!$F$7*Supuestos!$F$8)*Supuestos!$F$56</f>
        <v>65.2671676963057</v>
      </c>
      <c r="W26" s="32" t="n">
        <f aca="false">W21*(1+Supuestos!$F$7*Supuestos!$F$8)*Supuestos!$F$56</f>
        <v>65.6228535422596</v>
      </c>
      <c r="X26" s="32" t="n">
        <f aca="false">X21*(1+Supuestos!$F$7*Supuestos!$F$8)*Supuestos!$F$56</f>
        <v>65.9607550959159</v>
      </c>
      <c r="Y26" s="32" t="n">
        <f aca="false">Y21*(1+Supuestos!$F$7*Supuestos!$F$8)*Supuestos!$F$56</f>
        <v>66.2817615718893</v>
      </c>
      <c r="Z26" s="32" t="n">
        <f aca="false">Z21*(1+Supuestos!$F$7*Supuestos!$F$8)*Supuestos!$F$56</f>
        <v>66.5867177240641</v>
      </c>
      <c r="AA26" s="32" t="n">
        <f aca="false">AA21*(1+Supuestos!$F$7*Supuestos!$F$8)*Supuestos!$F$56</f>
        <v>66.8764260686301</v>
      </c>
      <c r="AB26" s="32" t="n">
        <f aca="false">AB21*(1+Supuestos!$F$7*Supuestos!$F$8)*Supuestos!$F$56</f>
        <v>67.1516489959678</v>
      </c>
      <c r="AC26" s="32" t="n">
        <f aca="false">AC21*(1+Supuestos!$F$7*Supuestos!$F$8)*Supuestos!$F$56</f>
        <v>67.4131107769387</v>
      </c>
      <c r="AD26" s="32" t="n">
        <f aca="false">AD21*(1+Supuestos!$F$7*Supuestos!$F$8)*Supuestos!$F$56</f>
        <v>67.661499468861</v>
      </c>
      <c r="AE26" s="32" t="n">
        <f aca="false">AE21*(1+Supuestos!$F$7*Supuestos!$F$8)*Supuestos!$F$56</f>
        <v>67.8974687261871</v>
      </c>
      <c r="AF26" s="32" t="n">
        <f aca="false">AF21*(1+Supuestos!$F$7*Supuestos!$F$8)*Supuestos!$F$56</f>
        <v>68.121639520647</v>
      </c>
      <c r="AG26" s="32" t="n">
        <f aca="false">AG21*(1+Supuestos!$F$7*Supuestos!$F$8)*Supuestos!$F$56</f>
        <v>68.3346017753839</v>
      </c>
      <c r="AH26" s="32" t="n">
        <f aca="false">AH21*(1+Supuestos!$F$7*Supuestos!$F$8)*Supuestos!$F$56</f>
        <v>68.5369159173839</v>
      </c>
      <c r="AI26" s="32" t="n">
        <f aca="false">AI21*(1+Supuestos!$F$7*Supuestos!$F$8)*Supuestos!$F$56</f>
        <v>68.729114352284</v>
      </c>
      <c r="AJ26" s="32" t="n">
        <f aca="false">AJ21*(1+Supuestos!$F$7*Supuestos!$F$8)*Supuestos!$F$56</f>
        <v>68.911702865439</v>
      </c>
      <c r="AK26" s="32" t="n">
        <f aca="false">AK21*(1+Supuestos!$F$7*Supuestos!$F$8)*Supuestos!$F$56</f>
        <v>69.0851619529363</v>
      </c>
      <c r="AL26" s="32" t="n">
        <f aca="false">AL21*(1+Supuestos!$F$7*Supuestos!$F$8)*Supuestos!$F$56</f>
        <v>69.2499480860587</v>
      </c>
      <c r="AM26" s="32" t="n">
        <f aca="false">AM21*(1+Supuestos!$F$7*Supuestos!$F$8)*Supuestos!$F$56</f>
        <v>69.406494912525</v>
      </c>
    </row>
    <row r="27" customFormat="false" ht="15" hidden="false" customHeight="false" outlineLevel="0" collapsed="false">
      <c r="B27" s="4" t="s">
        <v>497</v>
      </c>
      <c r="D27" s="32" t="n">
        <f aca="false">SUM(D23:D26)</f>
        <v>131.518551953539</v>
      </c>
      <c r="E27" s="32" t="n">
        <f aca="false">SUM(E23:E26)</f>
        <v>205.105060269721</v>
      </c>
      <c r="F27" s="32" t="n">
        <f aca="false">SUM(F23:F26)</f>
        <v>277.048436541396</v>
      </c>
      <c r="G27" s="32" t="n">
        <f aca="false">SUM(G23:G26)</f>
        <v>347.422005366456</v>
      </c>
      <c r="H27" s="32" t="n">
        <f aca="false">SUM(H23:H26)</f>
        <v>390.94698123641</v>
      </c>
      <c r="I27" s="32" t="n">
        <f aca="false">SUM(I23:I26)</f>
        <v>429.483700865185</v>
      </c>
      <c r="J27" s="32" t="n">
        <f aca="false">SUM(J23:J26)</f>
        <v>442.456947814933</v>
      </c>
      <c r="K27" s="32" t="n">
        <f aca="false">SUM(K23:K26)</f>
        <v>454.781532417193</v>
      </c>
      <c r="L27" s="32" t="n">
        <f aca="false">SUM(L23:L26)</f>
        <v>466.48988778934</v>
      </c>
      <c r="M27" s="32" t="n">
        <f aca="false">SUM(M23:M26)</f>
        <v>477.61282539288</v>
      </c>
      <c r="N27" s="32" t="n">
        <f aca="false">SUM(N23:N26)</f>
        <v>488.179616116243</v>
      </c>
      <c r="O27" s="32" t="n">
        <f aca="false">SUM(O23:O26)</f>
        <v>498.218067303438</v>
      </c>
      <c r="P27" s="32" t="n">
        <f aca="false">SUM(P23:P26)</f>
        <v>502.13339439758</v>
      </c>
      <c r="Q27" s="32" t="n">
        <f aca="false">SUM(Q23:Q26)</f>
        <v>505.852955137014</v>
      </c>
      <c r="R27" s="32" t="n">
        <f aca="false">SUM(R23:R26)</f>
        <v>509.386537839477</v>
      </c>
      <c r="S27" s="32" t="n">
        <f aca="false">SUM(S23:S26)</f>
        <v>512.743441406816</v>
      </c>
      <c r="T27" s="32" t="n">
        <f aca="false">SUM(T23:T26)</f>
        <v>515.932499795789</v>
      </c>
      <c r="U27" s="32" t="n">
        <f aca="false">SUM(U23:U26)</f>
        <v>518.962105265313</v>
      </c>
      <c r="V27" s="32" t="n">
        <f aca="false">SUM(V23:V26)</f>
        <v>521.840230461361</v>
      </c>
      <c r="W27" s="32" t="n">
        <f aca="false">SUM(W23:W26)</f>
        <v>524.574449397606</v>
      </c>
      <c r="X27" s="32" t="n">
        <f aca="false">SUM(X23:X26)</f>
        <v>527.171957387039</v>
      </c>
      <c r="Y27" s="32" t="n">
        <f aca="false">SUM(Y23:Y26)</f>
        <v>529.639589977001</v>
      </c>
      <c r="Z27" s="32" t="n">
        <f aca="false">SUM(Z23:Z26)</f>
        <v>531.983840937464</v>
      </c>
      <c r="AA27" s="32" t="n">
        <f aca="false">SUM(AA23:AA26)</f>
        <v>534.210879349904</v>
      </c>
      <c r="AB27" s="32" t="n">
        <f aca="false">SUM(AB23:AB26)</f>
        <v>536.326565841722</v>
      </c>
      <c r="AC27" s="32" t="n">
        <f aca="false">SUM(AC23:AC26)</f>
        <v>538.33646800895</v>
      </c>
      <c r="AD27" s="32" t="n">
        <f aca="false">SUM(AD23:AD26)</f>
        <v>540.245875067816</v>
      </c>
      <c r="AE27" s="32" t="n">
        <f aca="false">SUM(AE23:AE26)</f>
        <v>542.059811773738</v>
      </c>
      <c r="AF27" s="32" t="n">
        <f aca="false">SUM(AF23:AF26)</f>
        <v>543.783051644365</v>
      </c>
      <c r="AG27" s="32" t="n">
        <f aca="false">SUM(AG23:AG26)</f>
        <v>545.42012952146</v>
      </c>
      <c r="AH27" s="32" t="n">
        <f aca="false">SUM(AH23:AH26)</f>
        <v>546.9753535047</v>
      </c>
      <c r="AI27" s="32" t="n">
        <f aca="false">SUM(AI23:AI26)</f>
        <v>548.452816288779</v>
      </c>
      <c r="AJ27" s="32" t="n">
        <f aca="false">SUM(AJ23:AJ26)</f>
        <v>549.856405933653</v>
      </c>
      <c r="AK27" s="32" t="n">
        <f aca="false">SUM(AK23:AK26)</f>
        <v>551.189816096284</v>
      </c>
      <c r="AL27" s="32" t="n">
        <f aca="false">SUM(AL23:AL26)</f>
        <v>552.456555750783</v>
      </c>
      <c r="AM27" s="32" t="n">
        <f aca="false">SUM(AM23:AM26)</f>
        <v>553.659958422557</v>
      </c>
    </row>
    <row r="28" customFormat="false" ht="15" hidden="false" customHeight="false" outlineLevel="0" collapsed="false">
      <c r="B28" s="13" t="s">
        <v>498</v>
      </c>
      <c r="D28" s="32" t="n">
        <f aca="false">D21-D27</f>
        <v>999.731646711432</v>
      </c>
      <c r="E28" s="32" t="n">
        <f aca="false">E21-E27</f>
        <v>1539.64628071884</v>
      </c>
      <c r="F28" s="32" t="n">
        <f aca="false">F21-F27</f>
        <v>2067.71746470225</v>
      </c>
      <c r="G28" s="32" t="n">
        <f aca="false">G21-G27</f>
        <v>2584.49176554005</v>
      </c>
      <c r="H28" s="32" t="n">
        <f aca="false">H21-H27</f>
        <v>2925.59692216681</v>
      </c>
      <c r="I28" s="32" t="n">
        <f aca="false">I21-I27</f>
        <v>3238.06454133343</v>
      </c>
      <c r="J28" s="32" t="n">
        <f aca="false">J21-J27</f>
        <v>3341.32052563039</v>
      </c>
      <c r="K28" s="32" t="n">
        <f aca="false">K21-K27</f>
        <v>3439.41371071251</v>
      </c>
      <c r="L28" s="32" t="n">
        <f aca="false">L21-L27</f>
        <v>3532.60223654052</v>
      </c>
      <c r="M28" s="32" t="n">
        <f aca="false">M21-M27</f>
        <v>3621.13133607713</v>
      </c>
      <c r="N28" s="32" t="n">
        <f aca="false">N21-N27</f>
        <v>3705.23398063691</v>
      </c>
      <c r="O28" s="32" t="n">
        <f aca="false">O21-O27</f>
        <v>3785.1314929687</v>
      </c>
      <c r="P28" s="32" t="n">
        <f aca="false">P21-P27</f>
        <v>3816.2941582996</v>
      </c>
      <c r="Q28" s="32" t="n">
        <f aca="false">Q21-Q27</f>
        <v>3845.89869036396</v>
      </c>
      <c r="R28" s="32" t="n">
        <f aca="false">R21-R27</f>
        <v>3874.0229958251</v>
      </c>
      <c r="S28" s="32" t="n">
        <f aca="false">S21-S27</f>
        <v>3900.74108601319</v>
      </c>
      <c r="T28" s="32" t="n">
        <f aca="false">T21-T27</f>
        <v>3926.12327169187</v>
      </c>
      <c r="U28" s="32" t="n">
        <f aca="false">U21-U27</f>
        <v>3950.23634808661</v>
      </c>
      <c r="V28" s="32" t="n">
        <f aca="false">V21-V27</f>
        <v>3973.14377066162</v>
      </c>
      <c r="W28" s="32" t="n">
        <f aca="false">W21-W27</f>
        <v>3994.90582210788</v>
      </c>
      <c r="X28" s="32" t="n">
        <f aca="false">X21-X27</f>
        <v>4015.57977098182</v>
      </c>
      <c r="Y28" s="32" t="n">
        <f aca="false">Y21-Y27</f>
        <v>4035.22002241207</v>
      </c>
      <c r="Z28" s="32" t="n">
        <f aca="false">Z21-Z27</f>
        <v>4053.87826127081</v>
      </c>
      <c r="AA28" s="32" t="n">
        <f aca="false">AA21-AA27</f>
        <v>4071.6035881866</v>
      </c>
      <c r="AB28" s="32" t="n">
        <f aca="false">AB21-AB27</f>
        <v>4088.44264875661</v>
      </c>
      <c r="AC28" s="32" t="n">
        <f aca="false">AC21-AC27</f>
        <v>4104.43975629812</v>
      </c>
      <c r="AD28" s="32" t="n">
        <f aca="false">AD21-AD27</f>
        <v>4119.63700846255</v>
      </c>
      <c r="AE28" s="32" t="n">
        <f aca="false">AE21-AE27</f>
        <v>4134.07439801876</v>
      </c>
      <c r="AF28" s="32" t="n">
        <f aca="false">AF21-AF27</f>
        <v>4147.78991809717</v>
      </c>
      <c r="AG28" s="32" t="n">
        <f aca="false">AG21-AG27</f>
        <v>4160.81966217165</v>
      </c>
      <c r="AH28" s="32" t="n">
        <f aca="false">AH21-AH27</f>
        <v>4173.1979190424</v>
      </c>
      <c r="AI28" s="32" t="n">
        <f aca="false">AI21-AI27</f>
        <v>4184.95726306962</v>
      </c>
      <c r="AJ28" s="32" t="n">
        <f aca="false">AJ21-AJ27</f>
        <v>4196.12863989548</v>
      </c>
      <c r="AK28" s="32" t="n">
        <f aca="false">AK21-AK27</f>
        <v>4206.74144788004</v>
      </c>
      <c r="AL28" s="32" t="n">
        <f aca="false">AL21-AL27</f>
        <v>4216.82361546538</v>
      </c>
      <c r="AM28" s="32" t="n">
        <f aca="false">AM21-AM27</f>
        <v>4226.40167467145</v>
      </c>
    </row>
    <row r="29" customFormat="false" ht="15" hidden="false" customHeight="false" outlineLevel="0" collapsed="false">
      <c r="B29" s="21" t="s">
        <v>499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</row>
    <row r="30" customFormat="false" ht="15" hidden="false" customHeight="false" outlineLevel="0" collapsed="false">
      <c r="B30" s="4" t="s">
        <v>500</v>
      </c>
      <c r="D30" s="32" t="n">
        <f aca="false">Supuestos!$F$58*Supuestos!$F$59</f>
        <v>1049.9</v>
      </c>
      <c r="E30" s="32" t="n">
        <f aca="false">Supuestos!$F$58*Supuestos!$F$59</f>
        <v>1049.9</v>
      </c>
      <c r="F30" s="32" t="n">
        <f aca="false">Supuestos!$F$58*Supuestos!$F$59</f>
        <v>1049.9</v>
      </c>
      <c r="G30" s="32" t="n">
        <f aca="false">Supuestos!$F$58*Supuestos!$F$59</f>
        <v>1049.9</v>
      </c>
      <c r="H30" s="32" t="n">
        <f aca="false">Supuestos!$F$58*Supuestos!$F$59</f>
        <v>1049.9</v>
      </c>
      <c r="I30" s="32" t="n">
        <f aca="false">Supuestos!$F$58*Supuestos!$F$59</f>
        <v>1049.9</v>
      </c>
      <c r="J30" s="32" t="n">
        <f aca="false">Supuestos!$F$58*Supuestos!$F$59</f>
        <v>1049.9</v>
      </c>
      <c r="K30" s="32" t="n">
        <f aca="false">Supuestos!$F$58*Supuestos!$F$59</f>
        <v>1049.9</v>
      </c>
      <c r="L30" s="32" t="n">
        <f aca="false">Supuestos!$F$58*Supuestos!$F$59</f>
        <v>1049.9</v>
      </c>
      <c r="M30" s="32" t="n">
        <f aca="false">Supuestos!$F$58*Supuestos!$F$59</f>
        <v>1049.9</v>
      </c>
      <c r="N30" s="32" t="n">
        <f aca="false">Supuestos!$F$58*Supuestos!$F$59</f>
        <v>1049.9</v>
      </c>
      <c r="O30" s="32" t="n">
        <f aca="false">Supuestos!$F$58*Supuestos!$F$59</f>
        <v>1049.9</v>
      </c>
      <c r="P30" s="32" t="n">
        <f aca="false">Supuestos!$F$58*Supuestos!$F$59</f>
        <v>1049.9</v>
      </c>
      <c r="Q30" s="32" t="n">
        <f aca="false">Supuestos!$F$58*Supuestos!$F$59</f>
        <v>1049.9</v>
      </c>
      <c r="R30" s="32" t="n">
        <f aca="false">Supuestos!$F$58*Supuestos!$F$59</f>
        <v>1049.9</v>
      </c>
      <c r="S30" s="32" t="n">
        <f aca="false">Supuestos!$F$58*Supuestos!$F$59</f>
        <v>1049.9</v>
      </c>
      <c r="T30" s="32" t="n">
        <f aca="false">Supuestos!$F$58*Supuestos!$F$59</f>
        <v>1049.9</v>
      </c>
      <c r="U30" s="32" t="n">
        <f aca="false">Supuestos!$F$58*Supuestos!$F$59</f>
        <v>1049.9</v>
      </c>
      <c r="V30" s="32" t="n">
        <f aca="false">Supuestos!$F$58*Supuestos!$F$59</f>
        <v>1049.9</v>
      </c>
      <c r="W30" s="32" t="n">
        <f aca="false">Supuestos!$F$58*Supuestos!$F$59</f>
        <v>1049.9</v>
      </c>
      <c r="X30" s="32" t="n">
        <f aca="false">Supuestos!$F$58*Supuestos!$F$59</f>
        <v>1049.9</v>
      </c>
      <c r="Y30" s="32" t="n">
        <f aca="false">Supuestos!$F$58*Supuestos!$F$59</f>
        <v>1049.9</v>
      </c>
      <c r="Z30" s="32" t="n">
        <f aca="false">Supuestos!$F$58*Supuestos!$F$59</f>
        <v>1049.9</v>
      </c>
      <c r="AA30" s="32" t="n">
        <f aca="false">Supuestos!$F$58*Supuestos!$F$59</f>
        <v>1049.9</v>
      </c>
      <c r="AB30" s="32" t="n">
        <f aca="false">Supuestos!$F$58*Supuestos!$F$59</f>
        <v>1049.9</v>
      </c>
      <c r="AC30" s="32" t="n">
        <f aca="false">Supuestos!$F$58*Supuestos!$F$59</f>
        <v>1049.9</v>
      </c>
      <c r="AD30" s="32" t="n">
        <f aca="false">Supuestos!$F$58*Supuestos!$F$59</f>
        <v>1049.9</v>
      </c>
      <c r="AE30" s="32" t="n">
        <f aca="false">Supuestos!$F$58*Supuestos!$F$59</f>
        <v>1049.9</v>
      </c>
      <c r="AF30" s="32" t="n">
        <f aca="false">Supuestos!$F$58*Supuestos!$F$59</f>
        <v>1049.9</v>
      </c>
      <c r="AG30" s="32" t="n">
        <f aca="false">Supuestos!$F$58*Supuestos!$F$59</f>
        <v>1049.9</v>
      </c>
      <c r="AH30" s="32" t="n">
        <f aca="false">Supuestos!$F$58*Supuestos!$F$59</f>
        <v>1049.9</v>
      </c>
      <c r="AI30" s="32" t="n">
        <f aca="false">Supuestos!$F$58*Supuestos!$F$59</f>
        <v>1049.9</v>
      </c>
      <c r="AJ30" s="32" t="n">
        <f aca="false">Supuestos!$F$58*Supuestos!$F$59</f>
        <v>1049.9</v>
      </c>
      <c r="AK30" s="32" t="n">
        <f aca="false">Supuestos!$F$58*Supuestos!$F$59</f>
        <v>1049.9</v>
      </c>
      <c r="AL30" s="32" t="n">
        <f aca="false">Supuestos!$F$58*Supuestos!$F$59</f>
        <v>1049.9</v>
      </c>
      <c r="AM30" s="32" t="n">
        <f aca="false">Supuestos!$F$58*Supuestos!$F$59</f>
        <v>1049.9</v>
      </c>
    </row>
    <row r="31" customFormat="false" ht="15" hidden="false" customHeight="false" outlineLevel="0" collapsed="false">
      <c r="B31" s="4" t="s">
        <v>321</v>
      </c>
      <c r="D31" s="32" t="n">
        <f aca="false">Supuestos!$F$60</f>
        <v>269.2</v>
      </c>
      <c r="E31" s="32" t="n">
        <f aca="false">Supuestos!$F$60</f>
        <v>269.2</v>
      </c>
      <c r="F31" s="32" t="n">
        <f aca="false">Supuestos!$F$60</f>
        <v>269.2</v>
      </c>
      <c r="G31" s="32" t="n">
        <f aca="false">Supuestos!$F$60</f>
        <v>269.2</v>
      </c>
      <c r="H31" s="32" t="n">
        <f aca="false">Supuestos!$F$60</f>
        <v>269.2</v>
      </c>
      <c r="I31" s="32" t="n">
        <f aca="false">Supuestos!$F$60</f>
        <v>269.2</v>
      </c>
      <c r="J31" s="32" t="n">
        <f aca="false">Supuestos!$F$60</f>
        <v>269.2</v>
      </c>
      <c r="K31" s="32" t="n">
        <f aca="false">Supuestos!$F$60</f>
        <v>269.2</v>
      </c>
      <c r="L31" s="32" t="n">
        <f aca="false">Supuestos!$F$60</f>
        <v>269.2</v>
      </c>
      <c r="M31" s="32" t="n">
        <f aca="false">Supuestos!$F$60</f>
        <v>269.2</v>
      </c>
      <c r="N31" s="32" t="n">
        <f aca="false">Supuestos!$F$60</f>
        <v>269.2</v>
      </c>
      <c r="O31" s="32" t="n">
        <f aca="false">Supuestos!$F$60</f>
        <v>269.2</v>
      </c>
      <c r="P31" s="32" t="n">
        <f aca="false">Supuestos!$F$60</f>
        <v>269.2</v>
      </c>
      <c r="Q31" s="32" t="n">
        <f aca="false">Supuestos!$F$60</f>
        <v>269.2</v>
      </c>
      <c r="R31" s="32" t="n">
        <f aca="false">Supuestos!$F$60</f>
        <v>269.2</v>
      </c>
      <c r="S31" s="32" t="n">
        <f aca="false">Supuestos!$F$60</f>
        <v>269.2</v>
      </c>
      <c r="T31" s="32" t="n">
        <f aca="false">Supuestos!$F$60</f>
        <v>269.2</v>
      </c>
      <c r="U31" s="32" t="n">
        <f aca="false">Supuestos!$F$60</f>
        <v>269.2</v>
      </c>
      <c r="V31" s="32" t="n">
        <f aca="false">Supuestos!$F$60</f>
        <v>269.2</v>
      </c>
      <c r="W31" s="32" t="n">
        <f aca="false">Supuestos!$F$60</f>
        <v>269.2</v>
      </c>
      <c r="X31" s="32" t="n">
        <f aca="false">Supuestos!$F$60</f>
        <v>269.2</v>
      </c>
      <c r="Y31" s="32" t="n">
        <f aca="false">Supuestos!$F$60</f>
        <v>269.2</v>
      </c>
      <c r="Z31" s="32" t="n">
        <f aca="false">Supuestos!$F$60</f>
        <v>269.2</v>
      </c>
      <c r="AA31" s="32" t="n">
        <f aca="false">Supuestos!$F$60</f>
        <v>269.2</v>
      </c>
      <c r="AB31" s="32" t="n">
        <f aca="false">Supuestos!$F$60</f>
        <v>269.2</v>
      </c>
      <c r="AC31" s="32" t="n">
        <f aca="false">Supuestos!$F$60</f>
        <v>269.2</v>
      </c>
      <c r="AD31" s="32" t="n">
        <f aca="false">Supuestos!$F$60</f>
        <v>269.2</v>
      </c>
      <c r="AE31" s="32" t="n">
        <f aca="false">Supuestos!$F$60</f>
        <v>269.2</v>
      </c>
      <c r="AF31" s="32" t="n">
        <f aca="false">Supuestos!$F$60</f>
        <v>269.2</v>
      </c>
      <c r="AG31" s="32" t="n">
        <f aca="false">Supuestos!$F$60</f>
        <v>269.2</v>
      </c>
      <c r="AH31" s="32" t="n">
        <f aca="false">Supuestos!$F$60</f>
        <v>269.2</v>
      </c>
      <c r="AI31" s="32" t="n">
        <f aca="false">Supuestos!$F$60</f>
        <v>269.2</v>
      </c>
      <c r="AJ31" s="32" t="n">
        <f aca="false">Supuestos!$F$60</f>
        <v>269.2</v>
      </c>
      <c r="AK31" s="32" t="n">
        <f aca="false">Supuestos!$F$60</f>
        <v>269.2</v>
      </c>
      <c r="AL31" s="32" t="n">
        <f aca="false">Supuestos!$F$60</f>
        <v>269.2</v>
      </c>
      <c r="AM31" s="32" t="n">
        <f aca="false">Supuestos!$F$60</f>
        <v>269.2</v>
      </c>
    </row>
    <row r="32" customFormat="false" ht="15" hidden="false" customHeight="false" outlineLevel="0" collapsed="false">
      <c r="B32" s="4" t="s">
        <v>324</v>
      </c>
      <c r="D32" s="32" t="n">
        <f aca="false">Supuestos!$F$61</f>
        <v>43</v>
      </c>
      <c r="E32" s="32" t="n">
        <f aca="false">Supuestos!$F$61</f>
        <v>43</v>
      </c>
      <c r="F32" s="32" t="n">
        <f aca="false">Supuestos!$F$61</f>
        <v>43</v>
      </c>
      <c r="G32" s="32" t="n">
        <f aca="false">Supuestos!$F$61</f>
        <v>43</v>
      </c>
      <c r="H32" s="32" t="n">
        <f aca="false">Supuestos!$F$61</f>
        <v>43</v>
      </c>
      <c r="I32" s="32" t="n">
        <f aca="false">Supuestos!$F$61</f>
        <v>43</v>
      </c>
      <c r="J32" s="32" t="n">
        <f aca="false">Supuestos!$F$61</f>
        <v>43</v>
      </c>
      <c r="K32" s="32" t="n">
        <f aca="false">Supuestos!$F$61</f>
        <v>43</v>
      </c>
      <c r="L32" s="32" t="n">
        <f aca="false">Supuestos!$F$61</f>
        <v>43</v>
      </c>
      <c r="M32" s="32" t="n">
        <f aca="false">Supuestos!$F$61</f>
        <v>43</v>
      </c>
      <c r="N32" s="32" t="n">
        <f aca="false">Supuestos!$F$61</f>
        <v>43</v>
      </c>
      <c r="O32" s="32" t="n">
        <f aca="false">Supuestos!$F$61</f>
        <v>43</v>
      </c>
      <c r="P32" s="32" t="n">
        <f aca="false">Supuestos!$F$61</f>
        <v>43</v>
      </c>
      <c r="Q32" s="32" t="n">
        <f aca="false">Supuestos!$F$61</f>
        <v>43</v>
      </c>
      <c r="R32" s="32" t="n">
        <f aca="false">Supuestos!$F$61</f>
        <v>43</v>
      </c>
      <c r="S32" s="32" t="n">
        <f aca="false">Supuestos!$F$61</f>
        <v>43</v>
      </c>
      <c r="T32" s="32" t="n">
        <f aca="false">Supuestos!$F$61</f>
        <v>43</v>
      </c>
      <c r="U32" s="32" t="n">
        <f aca="false">Supuestos!$F$61</f>
        <v>43</v>
      </c>
      <c r="V32" s="32" t="n">
        <f aca="false">Supuestos!$F$61</f>
        <v>43</v>
      </c>
      <c r="W32" s="32" t="n">
        <f aca="false">Supuestos!$F$61</f>
        <v>43</v>
      </c>
      <c r="X32" s="32" t="n">
        <f aca="false">Supuestos!$F$61</f>
        <v>43</v>
      </c>
      <c r="Y32" s="32" t="n">
        <f aca="false">Supuestos!$F$61</f>
        <v>43</v>
      </c>
      <c r="Z32" s="32" t="n">
        <f aca="false">Supuestos!$F$61</f>
        <v>43</v>
      </c>
      <c r="AA32" s="32" t="n">
        <f aca="false">Supuestos!$F$61</f>
        <v>43</v>
      </c>
      <c r="AB32" s="32" t="n">
        <f aca="false">Supuestos!$F$61</f>
        <v>43</v>
      </c>
      <c r="AC32" s="32" t="n">
        <f aca="false">Supuestos!$F$61</f>
        <v>43</v>
      </c>
      <c r="AD32" s="32" t="n">
        <f aca="false">Supuestos!$F$61</f>
        <v>43</v>
      </c>
      <c r="AE32" s="32" t="n">
        <f aca="false">Supuestos!$F$61</f>
        <v>43</v>
      </c>
      <c r="AF32" s="32" t="n">
        <f aca="false">Supuestos!$F$61</f>
        <v>43</v>
      </c>
      <c r="AG32" s="32" t="n">
        <f aca="false">Supuestos!$F$61</f>
        <v>43</v>
      </c>
      <c r="AH32" s="32" t="n">
        <f aca="false">Supuestos!$F$61</f>
        <v>43</v>
      </c>
      <c r="AI32" s="32" t="n">
        <f aca="false">Supuestos!$F$61</f>
        <v>43</v>
      </c>
      <c r="AJ32" s="32" t="n">
        <f aca="false">Supuestos!$F$61</f>
        <v>43</v>
      </c>
      <c r="AK32" s="32" t="n">
        <f aca="false">Supuestos!$F$61</f>
        <v>43</v>
      </c>
      <c r="AL32" s="32" t="n">
        <f aca="false">Supuestos!$F$61</f>
        <v>43</v>
      </c>
      <c r="AM32" s="32" t="n">
        <f aca="false">Supuestos!$F$61</f>
        <v>43</v>
      </c>
    </row>
    <row r="33" customFormat="false" ht="15" hidden="false" customHeight="false" outlineLevel="0" collapsed="false">
      <c r="B33" s="4" t="s">
        <v>327</v>
      </c>
      <c r="D33" s="32" t="n">
        <f aca="false">Supuestos!$F$62</f>
        <v>27.1</v>
      </c>
      <c r="E33" s="32" t="n">
        <f aca="false">Supuestos!$F$62</f>
        <v>27.1</v>
      </c>
      <c r="F33" s="32" t="n">
        <f aca="false">Supuestos!$F$62</f>
        <v>27.1</v>
      </c>
      <c r="G33" s="32" t="n">
        <f aca="false">Supuestos!$F$62</f>
        <v>27.1</v>
      </c>
      <c r="H33" s="32" t="n">
        <f aca="false">Supuestos!$F$62</f>
        <v>27.1</v>
      </c>
      <c r="I33" s="32" t="n">
        <f aca="false">Supuestos!$F$62</f>
        <v>27.1</v>
      </c>
      <c r="J33" s="32" t="n">
        <f aca="false">Supuestos!$F$62</f>
        <v>27.1</v>
      </c>
      <c r="K33" s="32" t="n">
        <f aca="false">Supuestos!$F$62</f>
        <v>27.1</v>
      </c>
      <c r="L33" s="32" t="n">
        <f aca="false">Supuestos!$F$62</f>
        <v>27.1</v>
      </c>
      <c r="M33" s="32" t="n">
        <f aca="false">Supuestos!$F$62</f>
        <v>27.1</v>
      </c>
      <c r="N33" s="32" t="n">
        <f aca="false">Supuestos!$F$62</f>
        <v>27.1</v>
      </c>
      <c r="O33" s="32" t="n">
        <f aca="false">Supuestos!$F$62</f>
        <v>27.1</v>
      </c>
      <c r="P33" s="32" t="n">
        <f aca="false">Supuestos!$F$62</f>
        <v>27.1</v>
      </c>
      <c r="Q33" s="32" t="n">
        <f aca="false">Supuestos!$F$62</f>
        <v>27.1</v>
      </c>
      <c r="R33" s="32" t="n">
        <f aca="false">Supuestos!$F$62</f>
        <v>27.1</v>
      </c>
      <c r="S33" s="32" t="n">
        <f aca="false">Supuestos!$F$62</f>
        <v>27.1</v>
      </c>
      <c r="T33" s="32" t="n">
        <f aca="false">Supuestos!$F$62</f>
        <v>27.1</v>
      </c>
      <c r="U33" s="32" t="n">
        <f aca="false">Supuestos!$F$62</f>
        <v>27.1</v>
      </c>
      <c r="V33" s="32" t="n">
        <f aca="false">Supuestos!$F$62</f>
        <v>27.1</v>
      </c>
      <c r="W33" s="32" t="n">
        <f aca="false">Supuestos!$F$62</f>
        <v>27.1</v>
      </c>
      <c r="X33" s="32" t="n">
        <f aca="false">Supuestos!$F$62</f>
        <v>27.1</v>
      </c>
      <c r="Y33" s="32" t="n">
        <f aca="false">Supuestos!$F$62</f>
        <v>27.1</v>
      </c>
      <c r="Z33" s="32" t="n">
        <f aca="false">Supuestos!$F$62</f>
        <v>27.1</v>
      </c>
      <c r="AA33" s="32" t="n">
        <f aca="false">Supuestos!$F$62</f>
        <v>27.1</v>
      </c>
      <c r="AB33" s="32" t="n">
        <f aca="false">Supuestos!$F$62</f>
        <v>27.1</v>
      </c>
      <c r="AC33" s="32" t="n">
        <f aca="false">Supuestos!$F$62</f>
        <v>27.1</v>
      </c>
      <c r="AD33" s="32" t="n">
        <f aca="false">Supuestos!$F$62</f>
        <v>27.1</v>
      </c>
      <c r="AE33" s="32" t="n">
        <f aca="false">Supuestos!$F$62</f>
        <v>27.1</v>
      </c>
      <c r="AF33" s="32" t="n">
        <f aca="false">Supuestos!$F$62</f>
        <v>27.1</v>
      </c>
      <c r="AG33" s="32" t="n">
        <f aca="false">Supuestos!$F$62</f>
        <v>27.1</v>
      </c>
      <c r="AH33" s="32" t="n">
        <f aca="false">Supuestos!$F$62</f>
        <v>27.1</v>
      </c>
      <c r="AI33" s="32" t="n">
        <f aca="false">Supuestos!$F$62</f>
        <v>27.1</v>
      </c>
      <c r="AJ33" s="32" t="n">
        <f aca="false">Supuestos!$F$62</f>
        <v>27.1</v>
      </c>
      <c r="AK33" s="32" t="n">
        <f aca="false">Supuestos!$F$62</f>
        <v>27.1</v>
      </c>
      <c r="AL33" s="32" t="n">
        <f aca="false">Supuestos!$F$62</f>
        <v>27.1</v>
      </c>
      <c r="AM33" s="32" t="n">
        <f aca="false">Supuestos!$F$62</f>
        <v>27.1</v>
      </c>
    </row>
    <row r="34" customFormat="false" ht="15" hidden="false" customHeight="false" outlineLevel="0" collapsed="false">
      <c r="B34" s="4" t="s">
        <v>501</v>
      </c>
      <c r="D34" s="32" t="n">
        <f aca="false">Supuestos!$F$63</f>
        <v>32.1</v>
      </c>
      <c r="E34" s="32" t="n">
        <f aca="false">Supuestos!$F$63</f>
        <v>32.1</v>
      </c>
      <c r="F34" s="32" t="n">
        <f aca="false">Supuestos!$F$63</f>
        <v>32.1</v>
      </c>
      <c r="G34" s="32" t="n">
        <f aca="false">Supuestos!$F$63</f>
        <v>32.1</v>
      </c>
      <c r="H34" s="32" t="n">
        <f aca="false">Supuestos!$F$63</f>
        <v>32.1</v>
      </c>
      <c r="I34" s="32" t="n">
        <f aca="false">Supuestos!$F$63</f>
        <v>32.1</v>
      </c>
      <c r="J34" s="32" t="n">
        <f aca="false">Supuestos!$F$63</f>
        <v>32.1</v>
      </c>
      <c r="K34" s="32" t="n">
        <f aca="false">Supuestos!$F$63</f>
        <v>32.1</v>
      </c>
      <c r="L34" s="32" t="n">
        <f aca="false">Supuestos!$F$63</f>
        <v>32.1</v>
      </c>
      <c r="M34" s="32" t="n">
        <f aca="false">Supuestos!$F$63</f>
        <v>32.1</v>
      </c>
      <c r="N34" s="32" t="n">
        <f aca="false">Supuestos!$F$63</f>
        <v>32.1</v>
      </c>
      <c r="O34" s="32" t="n">
        <f aca="false">Supuestos!$F$63</f>
        <v>32.1</v>
      </c>
      <c r="P34" s="32" t="n">
        <f aca="false">Supuestos!$F$63</f>
        <v>32.1</v>
      </c>
      <c r="Q34" s="32" t="n">
        <f aca="false">Supuestos!$F$63</f>
        <v>32.1</v>
      </c>
      <c r="R34" s="32" t="n">
        <f aca="false">Supuestos!$F$63</f>
        <v>32.1</v>
      </c>
      <c r="S34" s="32" t="n">
        <f aca="false">Supuestos!$F$63</f>
        <v>32.1</v>
      </c>
      <c r="T34" s="32" t="n">
        <f aca="false">Supuestos!$F$63</f>
        <v>32.1</v>
      </c>
      <c r="U34" s="32" t="n">
        <f aca="false">Supuestos!$F$63</f>
        <v>32.1</v>
      </c>
      <c r="V34" s="32" t="n">
        <f aca="false">Supuestos!$F$63</f>
        <v>32.1</v>
      </c>
      <c r="W34" s="32" t="n">
        <f aca="false">Supuestos!$F$63</f>
        <v>32.1</v>
      </c>
      <c r="X34" s="32" t="n">
        <f aca="false">Supuestos!$F$63</f>
        <v>32.1</v>
      </c>
      <c r="Y34" s="32" t="n">
        <f aca="false">Supuestos!$F$63</f>
        <v>32.1</v>
      </c>
      <c r="Z34" s="32" t="n">
        <f aca="false">Supuestos!$F$63</f>
        <v>32.1</v>
      </c>
      <c r="AA34" s="32" t="n">
        <f aca="false">Supuestos!$F$63</f>
        <v>32.1</v>
      </c>
      <c r="AB34" s="32" t="n">
        <f aca="false">Supuestos!$F$63</f>
        <v>32.1</v>
      </c>
      <c r="AC34" s="32" t="n">
        <f aca="false">Supuestos!$F$63</f>
        <v>32.1</v>
      </c>
      <c r="AD34" s="32" t="n">
        <f aca="false">Supuestos!$F$63</f>
        <v>32.1</v>
      </c>
      <c r="AE34" s="32" t="n">
        <f aca="false">Supuestos!$F$63</f>
        <v>32.1</v>
      </c>
      <c r="AF34" s="32" t="n">
        <f aca="false">Supuestos!$F$63</f>
        <v>32.1</v>
      </c>
      <c r="AG34" s="32" t="n">
        <f aca="false">Supuestos!$F$63</f>
        <v>32.1</v>
      </c>
      <c r="AH34" s="32" t="n">
        <f aca="false">Supuestos!$F$63</f>
        <v>32.1</v>
      </c>
      <c r="AI34" s="32" t="n">
        <f aca="false">Supuestos!$F$63</f>
        <v>32.1</v>
      </c>
      <c r="AJ34" s="32" t="n">
        <f aca="false">Supuestos!$F$63</f>
        <v>32.1</v>
      </c>
      <c r="AK34" s="32" t="n">
        <f aca="false">Supuestos!$F$63</f>
        <v>32.1</v>
      </c>
      <c r="AL34" s="32" t="n">
        <f aca="false">Supuestos!$F$63</f>
        <v>32.1</v>
      </c>
      <c r="AM34" s="32" t="n">
        <f aca="false">Supuestos!$F$63</f>
        <v>32.1</v>
      </c>
    </row>
    <row r="35" customFormat="false" ht="15" hidden="false" customHeight="false" outlineLevel="0" collapsed="false">
      <c r="B35" s="4" t="s">
        <v>334</v>
      </c>
      <c r="D35" s="32" t="n">
        <f aca="false">Supuestos!$F$64</f>
        <v>99</v>
      </c>
      <c r="E35" s="32" t="n">
        <f aca="false">Supuestos!$F$64</f>
        <v>99</v>
      </c>
      <c r="F35" s="32" t="n">
        <f aca="false">Supuestos!$F$64</f>
        <v>99</v>
      </c>
      <c r="G35" s="32" t="n">
        <f aca="false">Supuestos!$F$64</f>
        <v>99</v>
      </c>
      <c r="H35" s="32" t="n">
        <f aca="false">Supuestos!$F$64</f>
        <v>99</v>
      </c>
      <c r="I35" s="32" t="n">
        <f aca="false">Supuestos!$F$64</f>
        <v>99</v>
      </c>
      <c r="J35" s="32" t="n">
        <f aca="false">Supuestos!$F$64</f>
        <v>99</v>
      </c>
      <c r="K35" s="32" t="n">
        <f aca="false">Supuestos!$F$64</f>
        <v>99</v>
      </c>
      <c r="L35" s="32" t="n">
        <f aca="false">Supuestos!$F$64</f>
        <v>99</v>
      </c>
      <c r="M35" s="32" t="n">
        <f aca="false">Supuestos!$F$64</f>
        <v>99</v>
      </c>
      <c r="N35" s="32" t="n">
        <f aca="false">Supuestos!$F$64</f>
        <v>99</v>
      </c>
      <c r="O35" s="32" t="n">
        <f aca="false">Supuestos!$F$64</f>
        <v>99</v>
      </c>
      <c r="P35" s="32" t="n">
        <f aca="false">Supuestos!$F$64</f>
        <v>99</v>
      </c>
      <c r="Q35" s="32" t="n">
        <f aca="false">Supuestos!$F$64</f>
        <v>99</v>
      </c>
      <c r="R35" s="32" t="n">
        <f aca="false">Supuestos!$F$64</f>
        <v>99</v>
      </c>
      <c r="S35" s="32" t="n">
        <f aca="false">Supuestos!$F$64</f>
        <v>99</v>
      </c>
      <c r="T35" s="32" t="n">
        <f aca="false">Supuestos!$F$64</f>
        <v>99</v>
      </c>
      <c r="U35" s="32" t="n">
        <f aca="false">Supuestos!$F$64</f>
        <v>99</v>
      </c>
      <c r="V35" s="32" t="n">
        <f aca="false">Supuestos!$F$64</f>
        <v>99</v>
      </c>
      <c r="W35" s="32" t="n">
        <f aca="false">Supuestos!$F$64</f>
        <v>99</v>
      </c>
      <c r="X35" s="32" t="n">
        <f aca="false">Supuestos!$F$64</f>
        <v>99</v>
      </c>
      <c r="Y35" s="32" t="n">
        <f aca="false">Supuestos!$F$64</f>
        <v>99</v>
      </c>
      <c r="Z35" s="32" t="n">
        <f aca="false">Supuestos!$F$64</f>
        <v>99</v>
      </c>
      <c r="AA35" s="32" t="n">
        <f aca="false">Supuestos!$F$64</f>
        <v>99</v>
      </c>
      <c r="AB35" s="32" t="n">
        <f aca="false">Supuestos!$F$64</f>
        <v>99</v>
      </c>
      <c r="AC35" s="32" t="n">
        <f aca="false">Supuestos!$F$64</f>
        <v>99</v>
      </c>
      <c r="AD35" s="32" t="n">
        <f aca="false">Supuestos!$F$64</f>
        <v>99</v>
      </c>
      <c r="AE35" s="32" t="n">
        <f aca="false">Supuestos!$F$64</f>
        <v>99</v>
      </c>
      <c r="AF35" s="32" t="n">
        <f aca="false">Supuestos!$F$64</f>
        <v>99</v>
      </c>
      <c r="AG35" s="32" t="n">
        <f aca="false">Supuestos!$F$64</f>
        <v>99</v>
      </c>
      <c r="AH35" s="32" t="n">
        <f aca="false">Supuestos!$F$64</f>
        <v>99</v>
      </c>
      <c r="AI35" s="32" t="n">
        <f aca="false">Supuestos!$F$64</f>
        <v>99</v>
      </c>
      <c r="AJ35" s="32" t="n">
        <f aca="false">Supuestos!$F$64</f>
        <v>99</v>
      </c>
      <c r="AK35" s="32" t="n">
        <f aca="false">Supuestos!$F$64</f>
        <v>99</v>
      </c>
      <c r="AL35" s="32" t="n">
        <f aca="false">Supuestos!$F$64</f>
        <v>99</v>
      </c>
      <c r="AM35" s="32" t="n">
        <f aca="false">Supuestos!$F$64</f>
        <v>99</v>
      </c>
    </row>
    <row r="36" customFormat="false" ht="15" hidden="false" customHeight="false" outlineLevel="0" collapsed="false">
      <c r="B36" s="4" t="s">
        <v>337</v>
      </c>
      <c r="D36" s="32" t="n">
        <f aca="false">Supuestos!$F$65</f>
        <v>0</v>
      </c>
      <c r="E36" s="32" t="n">
        <f aca="false">Supuestos!$F$65</f>
        <v>0</v>
      </c>
      <c r="F36" s="32" t="n">
        <f aca="false">Supuestos!$F$65</f>
        <v>0</v>
      </c>
      <c r="G36" s="32" t="n">
        <f aca="false">Supuestos!$F$65</f>
        <v>0</v>
      </c>
      <c r="H36" s="32" t="n">
        <f aca="false">Supuestos!$F$65</f>
        <v>0</v>
      </c>
      <c r="I36" s="32" t="n">
        <f aca="false">Supuestos!$F$65</f>
        <v>0</v>
      </c>
      <c r="J36" s="32" t="n">
        <f aca="false">Supuestos!$F$65</f>
        <v>0</v>
      </c>
      <c r="K36" s="32" t="n">
        <f aca="false">Supuestos!$F$65</f>
        <v>0</v>
      </c>
      <c r="L36" s="32" t="n">
        <f aca="false">Supuestos!$F$65</f>
        <v>0</v>
      </c>
      <c r="M36" s="32" t="n">
        <f aca="false">Supuestos!$F$65</f>
        <v>0</v>
      </c>
      <c r="N36" s="32" t="n">
        <f aca="false">Supuestos!$F$65</f>
        <v>0</v>
      </c>
      <c r="O36" s="32" t="n">
        <f aca="false">Supuestos!$F$65</f>
        <v>0</v>
      </c>
      <c r="P36" s="32" t="n">
        <f aca="false">Supuestos!$F$65</f>
        <v>0</v>
      </c>
      <c r="Q36" s="32" t="n">
        <f aca="false">Supuestos!$F$65</f>
        <v>0</v>
      </c>
      <c r="R36" s="32" t="n">
        <f aca="false">Supuestos!$F$65</f>
        <v>0</v>
      </c>
      <c r="S36" s="32" t="n">
        <f aca="false">Supuestos!$F$65</f>
        <v>0</v>
      </c>
      <c r="T36" s="32" t="n">
        <f aca="false">Supuestos!$F$65</f>
        <v>0</v>
      </c>
      <c r="U36" s="32" t="n">
        <f aca="false">Supuestos!$F$65</f>
        <v>0</v>
      </c>
      <c r="V36" s="32" t="n">
        <f aca="false">Supuestos!$F$65</f>
        <v>0</v>
      </c>
      <c r="W36" s="32" t="n">
        <f aca="false">Supuestos!$F$65</f>
        <v>0</v>
      </c>
      <c r="X36" s="32" t="n">
        <f aca="false">Supuestos!$F$65</f>
        <v>0</v>
      </c>
      <c r="Y36" s="32" t="n">
        <f aca="false">Supuestos!$F$65</f>
        <v>0</v>
      </c>
      <c r="Z36" s="32" t="n">
        <f aca="false">Supuestos!$F$65</f>
        <v>0</v>
      </c>
      <c r="AA36" s="32" t="n">
        <f aca="false">Supuestos!$F$65</f>
        <v>0</v>
      </c>
      <c r="AB36" s="32" t="n">
        <f aca="false">Supuestos!$F$65</f>
        <v>0</v>
      </c>
      <c r="AC36" s="32" t="n">
        <f aca="false">Supuestos!$F$65</f>
        <v>0</v>
      </c>
      <c r="AD36" s="32" t="n">
        <f aca="false">Supuestos!$F$65</f>
        <v>0</v>
      </c>
      <c r="AE36" s="32" t="n">
        <f aca="false">Supuestos!$F$65</f>
        <v>0</v>
      </c>
      <c r="AF36" s="32" t="n">
        <f aca="false">Supuestos!$F$65</f>
        <v>0</v>
      </c>
      <c r="AG36" s="32" t="n">
        <f aca="false">Supuestos!$F$65</f>
        <v>0</v>
      </c>
      <c r="AH36" s="32" t="n">
        <f aca="false">Supuestos!$F$65</f>
        <v>0</v>
      </c>
      <c r="AI36" s="32" t="n">
        <f aca="false">Supuestos!$F$65</f>
        <v>0</v>
      </c>
      <c r="AJ36" s="32" t="n">
        <f aca="false">Supuestos!$F$65</f>
        <v>0</v>
      </c>
      <c r="AK36" s="32" t="n">
        <f aca="false">Supuestos!$F$65</f>
        <v>0</v>
      </c>
      <c r="AL36" s="32" t="n">
        <f aca="false">Supuestos!$F$65</f>
        <v>0</v>
      </c>
      <c r="AM36" s="32" t="n">
        <f aca="false">Supuestos!$F$65</f>
        <v>0</v>
      </c>
    </row>
    <row r="37" customFormat="false" ht="15" hidden="false" customHeight="false" outlineLevel="0" collapsed="false">
      <c r="B37" s="4" t="s">
        <v>502</v>
      </c>
      <c r="D37" s="32" t="n">
        <f aca="false">Inversion!F21*Supuestos!$F$66/12</f>
        <v>174.486766666667</v>
      </c>
      <c r="E37" s="32" t="n">
        <f aca="false">Inversion!F21*Supuestos!$F$66/12</f>
        <v>174.486766666667</v>
      </c>
      <c r="F37" s="32" t="n">
        <f aca="false">Inversion!F21*Supuestos!$F$66/12</f>
        <v>174.486766666667</v>
      </c>
      <c r="G37" s="32" t="n">
        <f aca="false">Inversion!F21*Supuestos!$F$66/12</f>
        <v>174.486766666667</v>
      </c>
      <c r="H37" s="32" t="n">
        <f aca="false">Inversion!F21*Supuestos!$F$66/12</f>
        <v>174.486766666667</v>
      </c>
      <c r="I37" s="32" t="n">
        <f aca="false">Inversion!F21*Supuestos!$F$66/12</f>
        <v>174.486766666667</v>
      </c>
      <c r="J37" s="32" t="n">
        <f aca="false">Inversion!F21*Supuestos!$F$66/12</f>
        <v>174.486766666667</v>
      </c>
      <c r="K37" s="32" t="n">
        <f aca="false">Inversion!F21*Supuestos!$F$66/12</f>
        <v>174.486766666667</v>
      </c>
      <c r="L37" s="32" t="n">
        <f aca="false">Inversion!F21*Supuestos!$F$66/12</f>
        <v>174.486766666667</v>
      </c>
      <c r="M37" s="32" t="n">
        <f aca="false">Inversion!F21*Supuestos!$F$66/12</f>
        <v>174.486766666667</v>
      </c>
      <c r="N37" s="32" t="n">
        <f aca="false">Inversion!F21*Supuestos!$F$66/12</f>
        <v>174.486766666667</v>
      </c>
      <c r="O37" s="32" t="n">
        <f aca="false">Inversion!F21*Supuestos!$F$66/12</f>
        <v>174.486766666667</v>
      </c>
      <c r="P37" s="32" t="n">
        <f aca="false">Inversion!F21*Supuestos!$F$66/12</f>
        <v>174.486766666667</v>
      </c>
      <c r="Q37" s="32" t="n">
        <f aca="false">Inversion!F21*Supuestos!$F$66/12</f>
        <v>174.486766666667</v>
      </c>
      <c r="R37" s="32" t="n">
        <f aca="false">Inversion!F21*Supuestos!$F$66/12</f>
        <v>174.486766666667</v>
      </c>
      <c r="S37" s="32" t="n">
        <f aca="false">Inversion!F21*Supuestos!$F$66/12</f>
        <v>174.486766666667</v>
      </c>
      <c r="T37" s="32" t="n">
        <f aca="false">Inversion!F21*Supuestos!$F$66/12</f>
        <v>174.486766666667</v>
      </c>
      <c r="U37" s="32" t="n">
        <f aca="false">Inversion!F21*Supuestos!$F$66/12</f>
        <v>174.486766666667</v>
      </c>
      <c r="V37" s="32" t="n">
        <f aca="false">Inversion!F21*Supuestos!$F$66/12</f>
        <v>174.486766666667</v>
      </c>
      <c r="W37" s="32" t="n">
        <f aca="false">Inversion!F21*Supuestos!$F$66/12</f>
        <v>174.486766666667</v>
      </c>
      <c r="X37" s="32" t="n">
        <f aca="false">Inversion!F21*Supuestos!$F$66/12</f>
        <v>174.486766666667</v>
      </c>
      <c r="Y37" s="32" t="n">
        <f aca="false">Inversion!F21*Supuestos!$F$66/12</f>
        <v>174.486766666667</v>
      </c>
      <c r="Z37" s="32" t="n">
        <f aca="false">Inversion!F21*Supuestos!$F$66/12</f>
        <v>174.486766666667</v>
      </c>
      <c r="AA37" s="32" t="n">
        <f aca="false">Inversion!F21*Supuestos!$F$66/12</f>
        <v>174.486766666667</v>
      </c>
      <c r="AB37" s="32" t="n">
        <f aca="false">Inversion!F21*Supuestos!$F$66/12</f>
        <v>174.486766666667</v>
      </c>
      <c r="AC37" s="32" t="n">
        <f aca="false">Inversion!F21*Supuestos!$F$66/12</f>
        <v>174.486766666667</v>
      </c>
      <c r="AD37" s="32" t="n">
        <f aca="false">Inversion!F21*Supuestos!$F$66/12</f>
        <v>174.486766666667</v>
      </c>
      <c r="AE37" s="32" t="n">
        <f aca="false">Inversion!F21*Supuestos!$F$66/12</f>
        <v>174.486766666667</v>
      </c>
      <c r="AF37" s="32" t="n">
        <f aca="false">Inversion!F21*Supuestos!$F$66/12</f>
        <v>174.486766666667</v>
      </c>
      <c r="AG37" s="32" t="n">
        <f aca="false">Inversion!F21*Supuestos!$F$66/12</f>
        <v>174.486766666667</v>
      </c>
      <c r="AH37" s="32" t="n">
        <f aca="false">Inversion!F21*Supuestos!$F$66/12</f>
        <v>174.486766666667</v>
      </c>
      <c r="AI37" s="32" t="n">
        <f aca="false">Inversion!F21*Supuestos!$F$66/12</f>
        <v>174.486766666667</v>
      </c>
      <c r="AJ37" s="32" t="n">
        <f aca="false">Inversion!F21*Supuestos!$F$66/12</f>
        <v>174.486766666667</v>
      </c>
      <c r="AK37" s="32" t="n">
        <f aca="false">Inversion!F21*Supuestos!$F$66/12</f>
        <v>174.486766666667</v>
      </c>
      <c r="AL37" s="32" t="n">
        <f aca="false">Inversion!F21*Supuestos!$F$66/12</f>
        <v>174.486766666667</v>
      </c>
      <c r="AM37" s="32" t="n">
        <f aca="false">Inversion!F21*Supuestos!$F$66/12</f>
        <v>174.486766666667</v>
      </c>
    </row>
    <row r="38" customFormat="false" ht="15" hidden="false" customHeight="false" outlineLevel="0" collapsed="false">
      <c r="B38" s="4" t="s">
        <v>503</v>
      </c>
      <c r="D38" s="32" t="n">
        <f aca="false">Supuestos!$F$67+Supuestos!$F$68</f>
        <v>550</v>
      </c>
      <c r="E38" s="32" t="n">
        <f aca="false">Supuestos!$F$67+Supuestos!$F$68</f>
        <v>550</v>
      </c>
      <c r="F38" s="32" t="n">
        <f aca="false">Supuestos!$F$67+Supuestos!$F$68</f>
        <v>550</v>
      </c>
      <c r="G38" s="32" t="n">
        <f aca="false">Supuestos!$F$67+Supuestos!$F$68</f>
        <v>550</v>
      </c>
      <c r="H38" s="32" t="n">
        <f aca="false">Supuestos!$F$67+Supuestos!$F$68</f>
        <v>550</v>
      </c>
      <c r="I38" s="32" t="n">
        <f aca="false">Supuestos!$F$67+Supuestos!$F$68</f>
        <v>550</v>
      </c>
      <c r="J38" s="32" t="n">
        <f aca="false">Supuestos!$F$67+Supuestos!$F$68</f>
        <v>550</v>
      </c>
      <c r="K38" s="32" t="n">
        <f aca="false">Supuestos!$F$67+Supuestos!$F$68</f>
        <v>550</v>
      </c>
      <c r="L38" s="32" t="n">
        <f aca="false">Supuestos!$F$67+Supuestos!$F$68</f>
        <v>550</v>
      </c>
      <c r="M38" s="32" t="n">
        <f aca="false">Supuestos!$F$67+Supuestos!$F$68</f>
        <v>550</v>
      </c>
      <c r="N38" s="32" t="n">
        <f aca="false">Supuestos!$F$67+Supuestos!$F$68</f>
        <v>550</v>
      </c>
      <c r="O38" s="32" t="n">
        <f aca="false">Supuestos!$F$67+Supuestos!$F$68</f>
        <v>550</v>
      </c>
      <c r="P38" s="32" t="n">
        <f aca="false">Supuestos!$F$67+Supuestos!$F$68</f>
        <v>550</v>
      </c>
      <c r="Q38" s="32" t="n">
        <f aca="false">Supuestos!$F$67+Supuestos!$F$68</f>
        <v>550</v>
      </c>
      <c r="R38" s="32" t="n">
        <f aca="false">Supuestos!$F$67+Supuestos!$F$68</f>
        <v>550</v>
      </c>
      <c r="S38" s="32" t="n">
        <f aca="false">Supuestos!$F$67+Supuestos!$F$68</f>
        <v>550</v>
      </c>
      <c r="T38" s="32" t="n">
        <f aca="false">Supuestos!$F$67+Supuestos!$F$68</f>
        <v>550</v>
      </c>
      <c r="U38" s="32" t="n">
        <f aca="false">Supuestos!$F$67+Supuestos!$F$68</f>
        <v>550</v>
      </c>
      <c r="V38" s="32" t="n">
        <f aca="false">Supuestos!$F$67+Supuestos!$F$68</f>
        <v>550</v>
      </c>
      <c r="W38" s="32" t="n">
        <f aca="false">Supuestos!$F$67+Supuestos!$F$68</f>
        <v>550</v>
      </c>
      <c r="X38" s="32" t="n">
        <f aca="false">Supuestos!$F$67+Supuestos!$F$68</f>
        <v>550</v>
      </c>
      <c r="Y38" s="32" t="n">
        <f aca="false">Supuestos!$F$67+Supuestos!$F$68</f>
        <v>550</v>
      </c>
      <c r="Z38" s="32" t="n">
        <f aca="false">Supuestos!$F$67+Supuestos!$F$68</f>
        <v>550</v>
      </c>
      <c r="AA38" s="32" t="n">
        <f aca="false">Supuestos!$F$67+Supuestos!$F$68</f>
        <v>550</v>
      </c>
      <c r="AB38" s="32" t="n">
        <f aca="false">Supuestos!$F$67+Supuestos!$F$68</f>
        <v>550</v>
      </c>
      <c r="AC38" s="32" t="n">
        <f aca="false">Supuestos!$F$67+Supuestos!$F$68</f>
        <v>550</v>
      </c>
      <c r="AD38" s="32" t="n">
        <f aca="false">Supuestos!$F$67+Supuestos!$F$68</f>
        <v>550</v>
      </c>
      <c r="AE38" s="32" t="n">
        <f aca="false">Supuestos!$F$67+Supuestos!$F$68</f>
        <v>550</v>
      </c>
      <c r="AF38" s="32" t="n">
        <f aca="false">Supuestos!$F$67+Supuestos!$F$68</f>
        <v>550</v>
      </c>
      <c r="AG38" s="32" t="n">
        <f aca="false">Supuestos!$F$67+Supuestos!$F$68</f>
        <v>550</v>
      </c>
      <c r="AH38" s="32" t="n">
        <f aca="false">Supuestos!$F$67+Supuestos!$F$68</f>
        <v>550</v>
      </c>
      <c r="AI38" s="32" t="n">
        <f aca="false">Supuestos!$F$67+Supuestos!$F$68</f>
        <v>550</v>
      </c>
      <c r="AJ38" s="32" t="n">
        <f aca="false">Supuestos!$F$67+Supuestos!$F$68</f>
        <v>550</v>
      </c>
      <c r="AK38" s="32" t="n">
        <f aca="false">Supuestos!$F$67+Supuestos!$F$68</f>
        <v>550</v>
      </c>
      <c r="AL38" s="32" t="n">
        <f aca="false">Supuestos!$F$67+Supuestos!$F$68</f>
        <v>550</v>
      </c>
      <c r="AM38" s="32" t="n">
        <f aca="false">Supuestos!$F$67+Supuestos!$F$68</f>
        <v>550</v>
      </c>
    </row>
    <row r="39" customFormat="false" ht="15" hidden="false" customHeight="false" outlineLevel="0" collapsed="false">
      <c r="B39" s="4" t="s">
        <v>504</v>
      </c>
      <c r="D39" s="32" t="n">
        <f aca="false">SUM(D30:D38)*Supuestos!$F$69</f>
        <v>112.239338333333</v>
      </c>
      <c r="E39" s="32" t="n">
        <f aca="false">SUM(E30:E38)*Supuestos!$F$69</f>
        <v>112.239338333333</v>
      </c>
      <c r="F39" s="32" t="n">
        <f aca="false">SUM(F30:F38)*Supuestos!$F$69</f>
        <v>112.239338333333</v>
      </c>
      <c r="G39" s="32" t="n">
        <f aca="false">SUM(G30:G38)*Supuestos!$F$69</f>
        <v>112.239338333333</v>
      </c>
      <c r="H39" s="32" t="n">
        <f aca="false">SUM(H30:H38)*Supuestos!$F$69</f>
        <v>112.239338333333</v>
      </c>
      <c r="I39" s="32" t="n">
        <f aca="false">SUM(I30:I38)*Supuestos!$F$69</f>
        <v>112.239338333333</v>
      </c>
      <c r="J39" s="32" t="n">
        <f aca="false">SUM(J30:J38)*Supuestos!$F$69</f>
        <v>112.239338333333</v>
      </c>
      <c r="K39" s="32" t="n">
        <f aca="false">SUM(K30:K38)*Supuestos!$F$69</f>
        <v>112.239338333333</v>
      </c>
      <c r="L39" s="32" t="n">
        <f aca="false">SUM(L30:L38)*Supuestos!$F$69</f>
        <v>112.239338333333</v>
      </c>
      <c r="M39" s="32" t="n">
        <f aca="false">SUM(M30:M38)*Supuestos!$F$69</f>
        <v>112.239338333333</v>
      </c>
      <c r="N39" s="32" t="n">
        <f aca="false">SUM(N30:N38)*Supuestos!$F$69</f>
        <v>112.239338333333</v>
      </c>
      <c r="O39" s="32" t="n">
        <f aca="false">SUM(O30:O38)*Supuestos!$F$69</f>
        <v>112.239338333333</v>
      </c>
      <c r="P39" s="32" t="n">
        <f aca="false">SUM(P30:P38)*Supuestos!$F$69</f>
        <v>112.239338333333</v>
      </c>
      <c r="Q39" s="32" t="n">
        <f aca="false">SUM(Q30:Q38)*Supuestos!$F$69</f>
        <v>112.239338333333</v>
      </c>
      <c r="R39" s="32" t="n">
        <f aca="false">SUM(R30:R38)*Supuestos!$F$69</f>
        <v>112.239338333333</v>
      </c>
      <c r="S39" s="32" t="n">
        <f aca="false">SUM(S30:S38)*Supuestos!$F$69</f>
        <v>112.239338333333</v>
      </c>
      <c r="T39" s="32" t="n">
        <f aca="false">SUM(T30:T38)*Supuestos!$F$69</f>
        <v>112.239338333333</v>
      </c>
      <c r="U39" s="32" t="n">
        <f aca="false">SUM(U30:U38)*Supuestos!$F$69</f>
        <v>112.239338333333</v>
      </c>
      <c r="V39" s="32" t="n">
        <f aca="false">SUM(V30:V38)*Supuestos!$F$69</f>
        <v>112.239338333333</v>
      </c>
      <c r="W39" s="32" t="n">
        <f aca="false">SUM(W30:W38)*Supuestos!$F$69</f>
        <v>112.239338333333</v>
      </c>
      <c r="X39" s="32" t="n">
        <f aca="false">SUM(X30:X38)*Supuestos!$F$69</f>
        <v>112.239338333333</v>
      </c>
      <c r="Y39" s="32" t="n">
        <f aca="false">SUM(Y30:Y38)*Supuestos!$F$69</f>
        <v>112.239338333333</v>
      </c>
      <c r="Z39" s="32" t="n">
        <f aca="false">SUM(Z30:Z38)*Supuestos!$F$69</f>
        <v>112.239338333333</v>
      </c>
      <c r="AA39" s="32" t="n">
        <f aca="false">SUM(AA30:AA38)*Supuestos!$F$69</f>
        <v>112.239338333333</v>
      </c>
      <c r="AB39" s="32" t="n">
        <f aca="false">SUM(AB30:AB38)*Supuestos!$F$69</f>
        <v>112.239338333333</v>
      </c>
      <c r="AC39" s="32" t="n">
        <f aca="false">SUM(AC30:AC38)*Supuestos!$F$69</f>
        <v>112.239338333333</v>
      </c>
      <c r="AD39" s="32" t="n">
        <f aca="false">SUM(AD30:AD38)*Supuestos!$F$69</f>
        <v>112.239338333333</v>
      </c>
      <c r="AE39" s="32" t="n">
        <f aca="false">SUM(AE30:AE38)*Supuestos!$F$69</f>
        <v>112.239338333333</v>
      </c>
      <c r="AF39" s="32" t="n">
        <f aca="false">SUM(AF30:AF38)*Supuestos!$F$69</f>
        <v>112.239338333333</v>
      </c>
      <c r="AG39" s="32" t="n">
        <f aca="false">SUM(AG30:AG38)*Supuestos!$F$69</f>
        <v>112.239338333333</v>
      </c>
      <c r="AH39" s="32" t="n">
        <f aca="false">SUM(AH30:AH38)*Supuestos!$F$69</f>
        <v>112.239338333333</v>
      </c>
      <c r="AI39" s="32" t="n">
        <f aca="false">SUM(AI30:AI38)*Supuestos!$F$69</f>
        <v>112.239338333333</v>
      </c>
      <c r="AJ39" s="32" t="n">
        <f aca="false">SUM(AJ30:AJ38)*Supuestos!$F$69</f>
        <v>112.239338333333</v>
      </c>
      <c r="AK39" s="32" t="n">
        <f aca="false">SUM(AK30:AK38)*Supuestos!$F$69</f>
        <v>112.239338333333</v>
      </c>
      <c r="AL39" s="32" t="n">
        <f aca="false">SUM(AL30:AL38)*Supuestos!$F$69</f>
        <v>112.239338333333</v>
      </c>
      <c r="AM39" s="32" t="n">
        <f aca="false">SUM(AM30:AM38)*Supuestos!$F$69</f>
        <v>112.239338333333</v>
      </c>
    </row>
    <row r="40" customFormat="false" ht="15" hidden="false" customHeight="false" outlineLevel="0" collapsed="false">
      <c r="B40" s="13" t="s">
        <v>505</v>
      </c>
      <c r="D40" s="32" t="n">
        <f aca="false">SUM(D30:D39)</f>
        <v>2357.026105</v>
      </c>
      <c r="E40" s="32" t="n">
        <f aca="false">SUM(E30:E39)</f>
        <v>2357.026105</v>
      </c>
      <c r="F40" s="32" t="n">
        <f aca="false">SUM(F30:F39)</f>
        <v>2357.026105</v>
      </c>
      <c r="G40" s="32" t="n">
        <f aca="false">SUM(G30:G39)</f>
        <v>2357.026105</v>
      </c>
      <c r="H40" s="32" t="n">
        <f aca="false">SUM(H30:H39)</f>
        <v>2357.026105</v>
      </c>
      <c r="I40" s="32" t="n">
        <f aca="false">SUM(I30:I39)</f>
        <v>2357.026105</v>
      </c>
      <c r="J40" s="32" t="n">
        <f aca="false">SUM(J30:J39)</f>
        <v>2357.026105</v>
      </c>
      <c r="K40" s="32" t="n">
        <f aca="false">SUM(K30:K39)</f>
        <v>2357.026105</v>
      </c>
      <c r="L40" s="32" t="n">
        <f aca="false">SUM(L30:L39)</f>
        <v>2357.026105</v>
      </c>
      <c r="M40" s="32" t="n">
        <f aca="false">SUM(M30:M39)</f>
        <v>2357.026105</v>
      </c>
      <c r="N40" s="32" t="n">
        <f aca="false">SUM(N30:N39)</f>
        <v>2357.026105</v>
      </c>
      <c r="O40" s="32" t="n">
        <f aca="false">SUM(O30:O39)</f>
        <v>2357.026105</v>
      </c>
      <c r="P40" s="32" t="n">
        <f aca="false">SUM(P30:P39)</f>
        <v>2357.026105</v>
      </c>
      <c r="Q40" s="32" t="n">
        <f aca="false">SUM(Q30:Q39)</f>
        <v>2357.026105</v>
      </c>
      <c r="R40" s="32" t="n">
        <f aca="false">SUM(R30:R39)</f>
        <v>2357.026105</v>
      </c>
      <c r="S40" s="32" t="n">
        <f aca="false">SUM(S30:S39)</f>
        <v>2357.026105</v>
      </c>
      <c r="T40" s="32" t="n">
        <f aca="false">SUM(T30:T39)</f>
        <v>2357.026105</v>
      </c>
      <c r="U40" s="32" t="n">
        <f aca="false">SUM(U30:U39)</f>
        <v>2357.026105</v>
      </c>
      <c r="V40" s="32" t="n">
        <f aca="false">SUM(V30:V39)</f>
        <v>2357.026105</v>
      </c>
      <c r="W40" s="32" t="n">
        <f aca="false">SUM(W30:W39)</f>
        <v>2357.026105</v>
      </c>
      <c r="X40" s="32" t="n">
        <f aca="false">SUM(X30:X39)</f>
        <v>2357.026105</v>
      </c>
      <c r="Y40" s="32" t="n">
        <f aca="false">SUM(Y30:Y39)</f>
        <v>2357.026105</v>
      </c>
      <c r="Z40" s="32" t="n">
        <f aca="false">SUM(Z30:Z39)</f>
        <v>2357.026105</v>
      </c>
      <c r="AA40" s="32" t="n">
        <f aca="false">SUM(AA30:AA39)</f>
        <v>2357.026105</v>
      </c>
      <c r="AB40" s="32" t="n">
        <f aca="false">SUM(AB30:AB39)</f>
        <v>2357.026105</v>
      </c>
      <c r="AC40" s="32" t="n">
        <f aca="false">SUM(AC30:AC39)</f>
        <v>2357.026105</v>
      </c>
      <c r="AD40" s="32" t="n">
        <f aca="false">SUM(AD30:AD39)</f>
        <v>2357.026105</v>
      </c>
      <c r="AE40" s="32" t="n">
        <f aca="false">SUM(AE30:AE39)</f>
        <v>2357.026105</v>
      </c>
      <c r="AF40" s="32" t="n">
        <f aca="false">SUM(AF30:AF39)</f>
        <v>2357.026105</v>
      </c>
      <c r="AG40" s="32" t="n">
        <f aca="false">SUM(AG30:AG39)</f>
        <v>2357.026105</v>
      </c>
      <c r="AH40" s="32" t="n">
        <f aca="false">SUM(AH30:AH39)</f>
        <v>2357.026105</v>
      </c>
      <c r="AI40" s="32" t="n">
        <f aca="false">SUM(AI30:AI39)</f>
        <v>2357.026105</v>
      </c>
      <c r="AJ40" s="32" t="n">
        <f aca="false">SUM(AJ30:AJ39)</f>
        <v>2357.026105</v>
      </c>
      <c r="AK40" s="32" t="n">
        <f aca="false">SUM(AK30:AK39)</f>
        <v>2357.026105</v>
      </c>
      <c r="AL40" s="32" t="n">
        <f aca="false">SUM(AL30:AL39)</f>
        <v>2357.026105</v>
      </c>
      <c r="AM40" s="32" t="n">
        <f aca="false">SUM(AM30:AM39)</f>
        <v>2357.026105</v>
      </c>
    </row>
    <row r="41" customFormat="false" ht="15" hidden="false" customHeight="false" outlineLevel="0" collapsed="false">
      <c r="B41" s="21" t="s">
        <v>506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</row>
    <row r="42" customFormat="false" ht="15" hidden="false" customHeight="false" outlineLevel="0" collapsed="false">
      <c r="B42" s="13" t="s">
        <v>507</v>
      </c>
      <c r="D42" s="8" t="n">
        <f aca="false">D28-D40</f>
        <v>-1357.29445828857</v>
      </c>
      <c r="E42" s="8" t="n">
        <f aca="false">E28-E40</f>
        <v>-817.379824281164</v>
      </c>
      <c r="F42" s="8" t="n">
        <f aca="false">F28-F40</f>
        <v>-289.308640297753</v>
      </c>
      <c r="G42" s="8" t="n">
        <f aca="false">G28-G40</f>
        <v>227.465660540052</v>
      </c>
      <c r="H42" s="8" t="n">
        <f aca="false">H28-H40</f>
        <v>568.570817166811</v>
      </c>
      <c r="I42" s="8" t="n">
        <f aca="false">I28-I40</f>
        <v>881.038436333428</v>
      </c>
      <c r="J42" s="8" t="n">
        <f aca="false">J28-J40</f>
        <v>984.294420630393</v>
      </c>
      <c r="K42" s="8" t="n">
        <f aca="false">K28-K40</f>
        <v>1082.38760571251</v>
      </c>
      <c r="L42" s="8" t="n">
        <f aca="false">L28-L40</f>
        <v>1175.57613154052</v>
      </c>
      <c r="M42" s="8" t="n">
        <f aca="false">M28-M40</f>
        <v>1264.10523107713</v>
      </c>
      <c r="N42" s="8" t="n">
        <f aca="false">N28-N40</f>
        <v>1348.20787563691</v>
      </c>
      <c r="O42" s="8" t="n">
        <f aca="false">O28-O40</f>
        <v>1428.1053879687</v>
      </c>
      <c r="P42" s="8" t="n">
        <f aca="false">P28-P40</f>
        <v>1459.2680532996</v>
      </c>
      <c r="Q42" s="8" t="n">
        <f aca="false">Q28-Q40</f>
        <v>1488.87258536396</v>
      </c>
      <c r="R42" s="8" t="n">
        <f aca="false">R28-R40</f>
        <v>1516.9968908251</v>
      </c>
      <c r="S42" s="8" t="n">
        <f aca="false">S28-S40</f>
        <v>1543.71498101319</v>
      </c>
      <c r="T42" s="8" t="n">
        <f aca="false">T28-T40</f>
        <v>1569.09716669187</v>
      </c>
      <c r="U42" s="8" t="n">
        <f aca="false">U28-U40</f>
        <v>1593.21024308661</v>
      </c>
      <c r="V42" s="8" t="n">
        <f aca="false">V28-V40</f>
        <v>1616.11766566162</v>
      </c>
      <c r="W42" s="8" t="n">
        <f aca="false">W28-W40</f>
        <v>1637.87971710788</v>
      </c>
      <c r="X42" s="8" t="n">
        <f aca="false">X28-X40</f>
        <v>1658.55366598182</v>
      </c>
      <c r="Y42" s="8" t="n">
        <f aca="false">Y28-Y40</f>
        <v>1678.19391741207</v>
      </c>
      <c r="Z42" s="8" t="n">
        <f aca="false">Z28-Z40</f>
        <v>1696.85215627081</v>
      </c>
      <c r="AA42" s="8" t="n">
        <f aca="false">AA28-AA40</f>
        <v>1714.5774831866</v>
      </c>
      <c r="AB42" s="8" t="n">
        <f aca="false">AB28-AB40</f>
        <v>1731.41654375661</v>
      </c>
      <c r="AC42" s="8" t="n">
        <f aca="false">AC28-AC40</f>
        <v>1747.41365129812</v>
      </c>
      <c r="AD42" s="8" t="n">
        <f aca="false">AD28-AD40</f>
        <v>1762.61090346255</v>
      </c>
      <c r="AE42" s="8" t="n">
        <f aca="false">AE28-AE40</f>
        <v>1777.04829301876</v>
      </c>
      <c r="AF42" s="8" t="n">
        <f aca="false">AF28-AF40</f>
        <v>1790.76381309717</v>
      </c>
      <c r="AG42" s="8" t="n">
        <f aca="false">AG28-AG40</f>
        <v>1803.79355717165</v>
      </c>
      <c r="AH42" s="8" t="n">
        <f aca="false">AH28-AH40</f>
        <v>1816.1718140424</v>
      </c>
      <c r="AI42" s="8" t="n">
        <f aca="false">AI28-AI40</f>
        <v>1827.93115806962</v>
      </c>
      <c r="AJ42" s="8" t="n">
        <f aca="false">AJ28-AJ40</f>
        <v>1839.10253489548</v>
      </c>
      <c r="AK42" s="8" t="n">
        <f aca="false">AK28-AK40</f>
        <v>1849.71534288004</v>
      </c>
      <c r="AL42" s="8" t="n">
        <f aca="false">AL28-AL40</f>
        <v>1859.79751046538</v>
      </c>
      <c r="AM42" s="8" t="n">
        <f aca="false">AM28-AM40</f>
        <v>1869.37556967145</v>
      </c>
    </row>
    <row r="43" customFormat="false" ht="15" hidden="false" customHeight="false" outlineLevel="0" collapsed="false">
      <c r="B43" s="4" t="s">
        <v>508</v>
      </c>
      <c r="C43" s="32" t="n">
        <f aca="false">-Inversion!F21</f>
        <v>-52346.03</v>
      </c>
      <c r="D43" s="32" t="n">
        <v>0</v>
      </c>
      <c r="E43" s="32" t="n">
        <v>0</v>
      </c>
      <c r="F43" s="32" t="n">
        <v>0</v>
      </c>
      <c r="G43" s="32" t="n">
        <v>0</v>
      </c>
      <c r="H43" s="32" t="n">
        <v>0</v>
      </c>
      <c r="I43" s="32" t="n">
        <v>0</v>
      </c>
      <c r="J43" s="32" t="n">
        <v>0</v>
      </c>
      <c r="K43" s="32" t="n">
        <v>0</v>
      </c>
      <c r="L43" s="32" t="n">
        <v>0</v>
      </c>
      <c r="M43" s="32" t="n">
        <v>0</v>
      </c>
      <c r="N43" s="32" t="n">
        <v>0</v>
      </c>
      <c r="O43" s="32" t="n">
        <v>0</v>
      </c>
      <c r="P43" s="32" t="n">
        <v>0</v>
      </c>
      <c r="Q43" s="32" t="n">
        <v>0</v>
      </c>
      <c r="R43" s="32" t="n">
        <v>0</v>
      </c>
      <c r="S43" s="32" t="n">
        <v>0</v>
      </c>
      <c r="T43" s="32" t="n">
        <v>0</v>
      </c>
      <c r="U43" s="32" t="n">
        <v>0</v>
      </c>
      <c r="V43" s="32" t="n">
        <v>0</v>
      </c>
      <c r="W43" s="32" t="n">
        <v>0</v>
      </c>
      <c r="X43" s="32" t="n">
        <v>0</v>
      </c>
      <c r="Y43" s="32" t="n">
        <v>0</v>
      </c>
      <c r="Z43" s="32" t="n">
        <v>0</v>
      </c>
      <c r="AA43" s="32" t="n">
        <v>0</v>
      </c>
      <c r="AB43" s="32" t="n">
        <v>0</v>
      </c>
      <c r="AC43" s="32" t="n">
        <v>0</v>
      </c>
      <c r="AD43" s="32" t="n">
        <v>0</v>
      </c>
      <c r="AE43" s="32" t="n">
        <v>0</v>
      </c>
      <c r="AF43" s="32" t="n">
        <v>0</v>
      </c>
      <c r="AG43" s="32" t="n">
        <v>0</v>
      </c>
      <c r="AH43" s="32" t="n">
        <v>0</v>
      </c>
      <c r="AI43" s="32" t="n">
        <v>0</v>
      </c>
      <c r="AJ43" s="32" t="n">
        <v>0</v>
      </c>
      <c r="AK43" s="32" t="n">
        <v>0</v>
      </c>
      <c r="AL43" s="32" t="n">
        <v>0</v>
      </c>
      <c r="AM43" s="32" t="n">
        <v>0</v>
      </c>
    </row>
    <row r="44" customFormat="false" ht="15" hidden="false" customHeight="false" outlineLevel="0" collapsed="false">
      <c r="B44" s="13" t="s">
        <v>509</v>
      </c>
      <c r="C44" s="32" t="n">
        <f aca="false">C43</f>
        <v>-52346.03</v>
      </c>
      <c r="D44" s="8" t="n">
        <f aca="false">D42+D43</f>
        <v>-1357.29445828857</v>
      </c>
      <c r="E44" s="8" t="n">
        <f aca="false">E42+E43</f>
        <v>-817.379824281164</v>
      </c>
      <c r="F44" s="8" t="n">
        <f aca="false">F42+F43</f>
        <v>-289.308640297753</v>
      </c>
      <c r="G44" s="8" t="n">
        <f aca="false">G42+G43</f>
        <v>227.465660540052</v>
      </c>
      <c r="H44" s="8" t="n">
        <f aca="false">H42+H43</f>
        <v>568.570817166811</v>
      </c>
      <c r="I44" s="8" t="n">
        <f aca="false">I42+I43</f>
        <v>881.038436333428</v>
      </c>
      <c r="J44" s="8" t="n">
        <f aca="false">J42+J43</f>
        <v>984.294420630393</v>
      </c>
      <c r="K44" s="8" t="n">
        <f aca="false">K42+K43</f>
        <v>1082.38760571251</v>
      </c>
      <c r="L44" s="8" t="n">
        <f aca="false">L42+L43</f>
        <v>1175.57613154052</v>
      </c>
      <c r="M44" s="8" t="n">
        <f aca="false">M42+M43</f>
        <v>1264.10523107713</v>
      </c>
      <c r="N44" s="8" t="n">
        <f aca="false">N42+N43</f>
        <v>1348.20787563691</v>
      </c>
      <c r="O44" s="8" t="n">
        <f aca="false">O42+O43</f>
        <v>1428.1053879687</v>
      </c>
      <c r="P44" s="8" t="n">
        <f aca="false">P42+P43</f>
        <v>1459.2680532996</v>
      </c>
      <c r="Q44" s="8" t="n">
        <f aca="false">Q42+Q43</f>
        <v>1488.87258536396</v>
      </c>
      <c r="R44" s="8" t="n">
        <f aca="false">R42+R43</f>
        <v>1516.9968908251</v>
      </c>
      <c r="S44" s="8" t="n">
        <f aca="false">S42+S43</f>
        <v>1543.71498101319</v>
      </c>
      <c r="T44" s="8" t="n">
        <f aca="false">T42+T43</f>
        <v>1569.09716669187</v>
      </c>
      <c r="U44" s="8" t="n">
        <f aca="false">U42+U43</f>
        <v>1593.21024308661</v>
      </c>
      <c r="V44" s="8" t="n">
        <f aca="false">V42+V43</f>
        <v>1616.11766566162</v>
      </c>
      <c r="W44" s="8" t="n">
        <f aca="false">W42+W43</f>
        <v>1637.87971710788</v>
      </c>
      <c r="X44" s="8" t="n">
        <f aca="false">X42+X43</f>
        <v>1658.55366598182</v>
      </c>
      <c r="Y44" s="8" t="n">
        <f aca="false">Y42+Y43</f>
        <v>1678.19391741207</v>
      </c>
      <c r="Z44" s="8" t="n">
        <f aca="false">Z42+Z43</f>
        <v>1696.85215627081</v>
      </c>
      <c r="AA44" s="8" t="n">
        <f aca="false">AA42+AA43</f>
        <v>1714.5774831866</v>
      </c>
      <c r="AB44" s="8" t="n">
        <f aca="false">AB42+AB43</f>
        <v>1731.41654375661</v>
      </c>
      <c r="AC44" s="8" t="n">
        <f aca="false">AC42+AC43</f>
        <v>1747.41365129812</v>
      </c>
      <c r="AD44" s="8" t="n">
        <f aca="false">AD42+AD43</f>
        <v>1762.61090346255</v>
      </c>
      <c r="AE44" s="8" t="n">
        <f aca="false">AE42+AE43</f>
        <v>1777.04829301876</v>
      </c>
      <c r="AF44" s="8" t="n">
        <f aca="false">AF42+AF43</f>
        <v>1790.76381309717</v>
      </c>
      <c r="AG44" s="8" t="n">
        <f aca="false">AG42+AG43</f>
        <v>1803.79355717165</v>
      </c>
      <c r="AH44" s="8" t="n">
        <f aca="false">AH42+AH43</f>
        <v>1816.1718140424</v>
      </c>
      <c r="AI44" s="8" t="n">
        <f aca="false">AI42+AI43</f>
        <v>1827.93115806962</v>
      </c>
      <c r="AJ44" s="8" t="n">
        <f aca="false">AJ42+AJ43</f>
        <v>1839.10253489548</v>
      </c>
      <c r="AK44" s="8" t="n">
        <f aca="false">AK42+AK43</f>
        <v>1849.71534288004</v>
      </c>
      <c r="AL44" s="8" t="n">
        <f aca="false">AL42+AL43</f>
        <v>1859.79751046538</v>
      </c>
      <c r="AM44" s="8" t="n">
        <f aca="false">AM42+AM43</f>
        <v>1869.37556967145</v>
      </c>
    </row>
    <row r="45" customFormat="false" ht="15" hidden="false" customHeight="false" outlineLevel="0" collapsed="false">
      <c r="B45" s="4" t="s">
        <v>510</v>
      </c>
      <c r="C45" s="32" t="n">
        <f aca="false">C44</f>
        <v>-52346.03</v>
      </c>
      <c r="D45" s="32" t="n">
        <f aca="false">C45+D44</f>
        <v>-53703.3244582886</v>
      </c>
      <c r="E45" s="32" t="n">
        <f aca="false">D45+E44</f>
        <v>-54520.7042825697</v>
      </c>
      <c r="F45" s="32" t="n">
        <f aca="false">E45+F44</f>
        <v>-54810.0129228675</v>
      </c>
      <c r="G45" s="32" t="n">
        <f aca="false">F45+G44</f>
        <v>-54582.5472623274</v>
      </c>
      <c r="H45" s="32" t="n">
        <f aca="false">G45+H44</f>
        <v>-54013.9764451606</v>
      </c>
      <c r="I45" s="32" t="n">
        <f aca="false">H45+I44</f>
        <v>-53132.9380088272</v>
      </c>
      <c r="J45" s="32" t="n">
        <f aca="false">I45+J44</f>
        <v>-52148.6435881968</v>
      </c>
      <c r="K45" s="32" t="n">
        <f aca="false">J45+K44</f>
        <v>-51066.2559824843</v>
      </c>
      <c r="L45" s="32" t="n">
        <f aca="false">K45+L44</f>
        <v>-49890.6798509438</v>
      </c>
      <c r="M45" s="32" t="n">
        <f aca="false">L45+M44</f>
        <v>-48626.5746198666</v>
      </c>
      <c r="N45" s="32" t="n">
        <f aca="false">M45+N44</f>
        <v>-47278.3667442297</v>
      </c>
      <c r="O45" s="32" t="n">
        <f aca="false">N45+O44</f>
        <v>-45850.261356261</v>
      </c>
      <c r="P45" s="32" t="n">
        <f aca="false">O45+P44</f>
        <v>-44390.9933029614</v>
      </c>
      <c r="Q45" s="32" t="n">
        <f aca="false">P45+Q44</f>
        <v>-42902.1207175975</v>
      </c>
      <c r="R45" s="32" t="n">
        <f aca="false">Q45+R44</f>
        <v>-41385.1238267724</v>
      </c>
      <c r="S45" s="32" t="n">
        <f aca="false">R45+S44</f>
        <v>-39841.4088457592</v>
      </c>
      <c r="T45" s="32" t="n">
        <f aca="false">S45+T44</f>
        <v>-38272.3116790673</v>
      </c>
      <c r="U45" s="32" t="n">
        <f aca="false">T45+U44</f>
        <v>-36679.1014359807</v>
      </c>
      <c r="V45" s="32" t="n">
        <f aca="false">U45+V44</f>
        <v>-35062.9837703191</v>
      </c>
      <c r="W45" s="32" t="n">
        <f aca="false">V45+W44</f>
        <v>-33425.1040532112</v>
      </c>
      <c r="X45" s="32" t="n">
        <f aca="false">W45+X44</f>
        <v>-31766.5503872294</v>
      </c>
      <c r="Y45" s="32" t="n">
        <f aca="false">X45+Y44</f>
        <v>-30088.3564698173</v>
      </c>
      <c r="Z45" s="32" t="n">
        <f aca="false">Y45+Z44</f>
        <v>-28391.5043135465</v>
      </c>
      <c r="AA45" s="32" t="n">
        <f aca="false">Z45+AA44</f>
        <v>-26676.9268303599</v>
      </c>
      <c r="AB45" s="32" t="n">
        <f aca="false">AA45+AB44</f>
        <v>-24945.5102866033</v>
      </c>
      <c r="AC45" s="32" t="n">
        <f aca="false">AB45+AC44</f>
        <v>-23198.0966353052</v>
      </c>
      <c r="AD45" s="32" t="n">
        <f aca="false">AC45+AD44</f>
        <v>-21435.4857318426</v>
      </c>
      <c r="AE45" s="32" t="n">
        <f aca="false">AD45+AE44</f>
        <v>-19658.4374388238</v>
      </c>
      <c r="AF45" s="32" t="n">
        <f aca="false">AE45+AF44</f>
        <v>-17867.6736257267</v>
      </c>
      <c r="AG45" s="32" t="n">
        <f aca="false">AF45+AG44</f>
        <v>-16063.880068555</v>
      </c>
      <c r="AH45" s="32" t="n">
        <f aca="false">AG45+AH44</f>
        <v>-14247.7082545126</v>
      </c>
      <c r="AI45" s="32" t="n">
        <f aca="false">AH45+AI44</f>
        <v>-12419.777096443</v>
      </c>
      <c r="AJ45" s="32" t="n">
        <f aca="false">AI45+AJ44</f>
        <v>-10580.6745615475</v>
      </c>
      <c r="AK45" s="32" t="n">
        <f aca="false">AJ45+AK44</f>
        <v>-8730.95921866749</v>
      </c>
      <c r="AL45" s="32" t="n">
        <f aca="false">AK45+AL44</f>
        <v>-6871.16170820211</v>
      </c>
      <c r="AM45" s="32" t="n">
        <f aca="false">AL45+AM44</f>
        <v>-5001.78613853066</v>
      </c>
    </row>
    <row r="46" customFormat="false" ht="15" hidden="false" customHeight="false" outlineLevel="0" collapsed="false">
      <c r="B46" s="4" t="s">
        <v>511</v>
      </c>
      <c r="C46" s="32" t="n">
        <f aca="false">-Supuestos!$F$91*Supuestos!$F$10</f>
        <v>-0</v>
      </c>
      <c r="D46" s="32" t="n">
        <f aca="false">-Supuestos!$F$91</f>
        <v>-0</v>
      </c>
      <c r="E46" s="32" t="n">
        <f aca="false">-Supuestos!$F$91</f>
        <v>-0</v>
      </c>
      <c r="F46" s="32" t="n">
        <f aca="false">-Supuestos!$F$91</f>
        <v>-0</v>
      </c>
      <c r="G46" s="32" t="n">
        <f aca="false">-Supuestos!$F$91</f>
        <v>-0</v>
      </c>
      <c r="H46" s="32" t="n">
        <f aca="false">-Supuestos!$F$91</f>
        <v>-0</v>
      </c>
      <c r="I46" s="32" t="n">
        <f aca="false">-Supuestos!$F$91</f>
        <v>-0</v>
      </c>
      <c r="J46" s="32" t="n">
        <f aca="false">-Supuestos!$F$91</f>
        <v>-0</v>
      </c>
      <c r="K46" s="32" t="n">
        <f aca="false">-Supuestos!$F$91</f>
        <v>-0</v>
      </c>
      <c r="L46" s="32" t="n">
        <f aca="false">-Supuestos!$F$91</f>
        <v>-0</v>
      </c>
      <c r="M46" s="32" t="n">
        <f aca="false">-Supuestos!$F$91</f>
        <v>-0</v>
      </c>
      <c r="N46" s="32" t="n">
        <f aca="false">-Supuestos!$F$91</f>
        <v>-0</v>
      </c>
      <c r="O46" s="32" t="n">
        <f aca="false">-Supuestos!$F$91</f>
        <v>-0</v>
      </c>
      <c r="P46" s="32" t="n">
        <f aca="false">-Supuestos!$F$91</f>
        <v>-0</v>
      </c>
      <c r="Q46" s="32" t="n">
        <f aca="false">-Supuestos!$F$91</f>
        <v>-0</v>
      </c>
      <c r="R46" s="32" t="n">
        <f aca="false">-Supuestos!$F$91</f>
        <v>-0</v>
      </c>
      <c r="S46" s="32" t="n">
        <f aca="false">-Supuestos!$F$91</f>
        <v>-0</v>
      </c>
      <c r="T46" s="32" t="n">
        <f aca="false">-Supuestos!$F$91</f>
        <v>-0</v>
      </c>
      <c r="U46" s="32" t="n">
        <f aca="false">-Supuestos!$F$91</f>
        <v>-0</v>
      </c>
      <c r="V46" s="32" t="n">
        <f aca="false">-Supuestos!$F$91</f>
        <v>-0</v>
      </c>
      <c r="W46" s="32" t="n">
        <f aca="false">-Supuestos!$F$91</f>
        <v>-0</v>
      </c>
      <c r="X46" s="32" t="n">
        <f aca="false">-Supuestos!$F$91</f>
        <v>-0</v>
      </c>
      <c r="Y46" s="32" t="n">
        <f aca="false">-Supuestos!$F$91</f>
        <v>-0</v>
      </c>
      <c r="Z46" s="32" t="n">
        <f aca="false">-Supuestos!$F$91</f>
        <v>-0</v>
      </c>
      <c r="AA46" s="32" t="n">
        <f aca="false">-Supuestos!$F$91</f>
        <v>-0</v>
      </c>
      <c r="AB46" s="32" t="n">
        <f aca="false">-Supuestos!$F$91</f>
        <v>-0</v>
      </c>
      <c r="AC46" s="32" t="n">
        <f aca="false">-Supuestos!$F$91</f>
        <v>-0</v>
      </c>
      <c r="AD46" s="32" t="n">
        <f aca="false">-Supuestos!$F$91</f>
        <v>-0</v>
      </c>
      <c r="AE46" s="32" t="n">
        <f aca="false">-Supuestos!$F$91</f>
        <v>-0</v>
      </c>
      <c r="AF46" s="32" t="n">
        <f aca="false">-Supuestos!$F$91</f>
        <v>-0</v>
      </c>
      <c r="AG46" s="32" t="n">
        <f aca="false">-Supuestos!$F$91</f>
        <v>-0</v>
      </c>
      <c r="AH46" s="32" t="n">
        <f aca="false">-Supuestos!$F$91</f>
        <v>-0</v>
      </c>
      <c r="AI46" s="32" t="n">
        <f aca="false">-Supuestos!$F$91</f>
        <v>-0</v>
      </c>
      <c r="AJ46" s="32" t="n">
        <f aca="false">-Supuestos!$F$91</f>
        <v>-0</v>
      </c>
      <c r="AK46" s="32" t="n">
        <f aca="false">-Supuestos!$F$91</f>
        <v>-0</v>
      </c>
      <c r="AL46" s="32" t="n">
        <f aca="false">-Supuestos!$F$91</f>
        <v>-0</v>
      </c>
      <c r="AM46" s="32" t="n">
        <f aca="false">-Supuestos!$F$91</f>
        <v>-0</v>
      </c>
    </row>
    <row r="47" customFormat="false" ht="15" hidden="false" customHeight="false" outlineLevel="0" collapsed="false">
      <c r="B47" s="13" t="s">
        <v>512</v>
      </c>
      <c r="C47" s="32" t="n">
        <f aca="false">C44+C46</f>
        <v>-52346.03</v>
      </c>
      <c r="D47" s="8" t="n">
        <f aca="false">D44+D46</f>
        <v>-1357.29445828857</v>
      </c>
      <c r="E47" s="8" t="n">
        <f aca="false">E44+E46</f>
        <v>-817.379824281164</v>
      </c>
      <c r="F47" s="8" t="n">
        <f aca="false">F44+F46</f>
        <v>-289.308640297753</v>
      </c>
      <c r="G47" s="8" t="n">
        <f aca="false">G44+G46</f>
        <v>227.465660540052</v>
      </c>
      <c r="H47" s="8" t="n">
        <f aca="false">H44+H46</f>
        <v>568.570817166811</v>
      </c>
      <c r="I47" s="8" t="n">
        <f aca="false">I44+I46</f>
        <v>881.038436333428</v>
      </c>
      <c r="J47" s="8" t="n">
        <f aca="false">J44+J46</f>
        <v>984.294420630393</v>
      </c>
      <c r="K47" s="8" t="n">
        <f aca="false">K44+K46</f>
        <v>1082.38760571251</v>
      </c>
      <c r="L47" s="8" t="n">
        <f aca="false">L44+L46</f>
        <v>1175.57613154052</v>
      </c>
      <c r="M47" s="8" t="n">
        <f aca="false">M44+M46</f>
        <v>1264.10523107713</v>
      </c>
      <c r="N47" s="8" t="n">
        <f aca="false">N44+N46</f>
        <v>1348.20787563691</v>
      </c>
      <c r="O47" s="8" t="n">
        <f aca="false">O44+O46</f>
        <v>1428.1053879687</v>
      </c>
      <c r="P47" s="8" t="n">
        <f aca="false">P44+P46</f>
        <v>1459.2680532996</v>
      </c>
      <c r="Q47" s="8" t="n">
        <f aca="false">Q44+Q46</f>
        <v>1488.87258536396</v>
      </c>
      <c r="R47" s="8" t="n">
        <f aca="false">R44+R46</f>
        <v>1516.9968908251</v>
      </c>
      <c r="S47" s="8" t="n">
        <f aca="false">S44+S46</f>
        <v>1543.71498101319</v>
      </c>
      <c r="T47" s="8" t="n">
        <f aca="false">T44+T46</f>
        <v>1569.09716669187</v>
      </c>
      <c r="U47" s="8" t="n">
        <f aca="false">U44+U46</f>
        <v>1593.21024308661</v>
      </c>
      <c r="V47" s="8" t="n">
        <f aca="false">V44+V46</f>
        <v>1616.11766566162</v>
      </c>
      <c r="W47" s="8" t="n">
        <f aca="false">W44+W46</f>
        <v>1637.87971710788</v>
      </c>
      <c r="X47" s="8" t="n">
        <f aca="false">X44+X46</f>
        <v>1658.55366598182</v>
      </c>
      <c r="Y47" s="8" t="n">
        <f aca="false">Y44+Y46</f>
        <v>1678.19391741207</v>
      </c>
      <c r="Z47" s="8" t="n">
        <f aca="false">Z44+Z46</f>
        <v>1696.85215627081</v>
      </c>
      <c r="AA47" s="8" t="n">
        <f aca="false">AA44+AA46</f>
        <v>1714.5774831866</v>
      </c>
      <c r="AB47" s="8" t="n">
        <f aca="false">AB44+AB46</f>
        <v>1731.41654375661</v>
      </c>
      <c r="AC47" s="8" t="n">
        <f aca="false">AC44+AC46</f>
        <v>1747.41365129812</v>
      </c>
      <c r="AD47" s="8" t="n">
        <f aca="false">AD44+AD46</f>
        <v>1762.61090346255</v>
      </c>
      <c r="AE47" s="8" t="n">
        <f aca="false">AE44+AE46</f>
        <v>1777.04829301876</v>
      </c>
      <c r="AF47" s="8" t="n">
        <f aca="false">AF44+AF46</f>
        <v>1790.76381309717</v>
      </c>
      <c r="AG47" s="8" t="n">
        <f aca="false">AG44+AG46</f>
        <v>1803.79355717165</v>
      </c>
      <c r="AH47" s="8" t="n">
        <f aca="false">AH44+AH46</f>
        <v>1816.1718140424</v>
      </c>
      <c r="AI47" s="8" t="n">
        <f aca="false">AI44+AI46</f>
        <v>1827.93115806962</v>
      </c>
      <c r="AJ47" s="8" t="n">
        <f aca="false">AJ44+AJ46</f>
        <v>1839.10253489548</v>
      </c>
      <c r="AK47" s="8" t="n">
        <f aca="false">AK44+AK46</f>
        <v>1849.71534288004</v>
      </c>
      <c r="AL47" s="8" t="n">
        <f aca="false">AL44+AL46</f>
        <v>1859.79751046538</v>
      </c>
      <c r="AM47" s="8" t="n">
        <f aca="false">AM44+AM46</f>
        <v>1869.37556967145</v>
      </c>
    </row>
    <row r="48" customFormat="false" ht="15" hidden="false" customHeight="false" outlineLevel="0" collapsed="false">
      <c r="B48" s="4" t="s">
        <v>513</v>
      </c>
      <c r="C48" s="32" t="n">
        <f aca="false">C47</f>
        <v>-52346.03</v>
      </c>
      <c r="D48" s="32" t="n">
        <f aca="false">C48+D47</f>
        <v>-53703.3244582886</v>
      </c>
      <c r="E48" s="32" t="n">
        <f aca="false">D48+E47</f>
        <v>-54520.7042825697</v>
      </c>
      <c r="F48" s="32" t="n">
        <f aca="false">E48+F47</f>
        <v>-54810.0129228675</v>
      </c>
      <c r="G48" s="32" t="n">
        <f aca="false">F48+G47</f>
        <v>-54582.5472623274</v>
      </c>
      <c r="H48" s="32" t="n">
        <f aca="false">G48+H47</f>
        <v>-54013.9764451606</v>
      </c>
      <c r="I48" s="32" t="n">
        <f aca="false">H48+I47</f>
        <v>-53132.9380088272</v>
      </c>
      <c r="J48" s="32" t="n">
        <f aca="false">I48+J47</f>
        <v>-52148.6435881968</v>
      </c>
      <c r="K48" s="32" t="n">
        <f aca="false">J48+K47</f>
        <v>-51066.2559824843</v>
      </c>
      <c r="L48" s="32" t="n">
        <f aca="false">K48+L47</f>
        <v>-49890.6798509438</v>
      </c>
      <c r="M48" s="32" t="n">
        <f aca="false">L48+M47</f>
        <v>-48626.5746198666</v>
      </c>
      <c r="N48" s="32" t="n">
        <f aca="false">M48+N47</f>
        <v>-47278.3667442297</v>
      </c>
      <c r="O48" s="32" t="n">
        <f aca="false">N48+O47</f>
        <v>-45850.261356261</v>
      </c>
      <c r="P48" s="32" t="n">
        <f aca="false">O48+P47</f>
        <v>-44390.9933029614</v>
      </c>
      <c r="Q48" s="32" t="n">
        <f aca="false">P48+Q47</f>
        <v>-42902.1207175975</v>
      </c>
      <c r="R48" s="32" t="n">
        <f aca="false">Q48+R47</f>
        <v>-41385.1238267724</v>
      </c>
      <c r="S48" s="32" t="n">
        <f aca="false">R48+S47</f>
        <v>-39841.4088457592</v>
      </c>
      <c r="T48" s="32" t="n">
        <f aca="false">S48+T47</f>
        <v>-38272.3116790673</v>
      </c>
      <c r="U48" s="32" t="n">
        <f aca="false">T48+U47</f>
        <v>-36679.1014359807</v>
      </c>
      <c r="V48" s="32" t="n">
        <f aca="false">U48+V47</f>
        <v>-35062.9837703191</v>
      </c>
      <c r="W48" s="32" t="n">
        <f aca="false">V48+W47</f>
        <v>-33425.1040532112</v>
      </c>
      <c r="X48" s="32" t="n">
        <f aca="false">W48+X47</f>
        <v>-31766.5503872294</v>
      </c>
      <c r="Y48" s="32" t="n">
        <f aca="false">X48+Y47</f>
        <v>-30088.3564698173</v>
      </c>
      <c r="Z48" s="32" t="n">
        <f aca="false">Y48+Z47</f>
        <v>-28391.5043135465</v>
      </c>
      <c r="AA48" s="32" t="n">
        <f aca="false">Z48+AA47</f>
        <v>-26676.9268303599</v>
      </c>
      <c r="AB48" s="32" t="n">
        <f aca="false">AA48+AB47</f>
        <v>-24945.5102866033</v>
      </c>
      <c r="AC48" s="32" t="n">
        <f aca="false">AB48+AC47</f>
        <v>-23198.0966353052</v>
      </c>
      <c r="AD48" s="32" t="n">
        <f aca="false">AC48+AD47</f>
        <v>-21435.4857318426</v>
      </c>
      <c r="AE48" s="32" t="n">
        <f aca="false">AD48+AE47</f>
        <v>-19658.4374388238</v>
      </c>
      <c r="AF48" s="32" t="n">
        <f aca="false">AE48+AF47</f>
        <v>-17867.6736257267</v>
      </c>
      <c r="AG48" s="32" t="n">
        <f aca="false">AF48+AG47</f>
        <v>-16063.880068555</v>
      </c>
      <c r="AH48" s="32" t="n">
        <f aca="false">AG48+AH47</f>
        <v>-14247.7082545126</v>
      </c>
      <c r="AI48" s="32" t="n">
        <f aca="false">AH48+AI47</f>
        <v>-12419.777096443</v>
      </c>
      <c r="AJ48" s="32" t="n">
        <f aca="false">AI48+AJ47</f>
        <v>-10580.6745615475</v>
      </c>
      <c r="AK48" s="32" t="n">
        <f aca="false">AJ48+AK47</f>
        <v>-8730.95921866749</v>
      </c>
      <c r="AL48" s="32" t="n">
        <f aca="false">AK48+AL47</f>
        <v>-6871.16170820211</v>
      </c>
      <c r="AM48" s="32" t="n">
        <f aca="false">AL48+AM47</f>
        <v>-5001.78613853066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7" min="5" style="0" width="14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516</v>
      </c>
    </row>
    <row r="2" customFormat="false" ht="15" hidden="false" customHeight="false" outlineLevel="0" collapsed="false">
      <c r="A2" s="2" t="s">
        <v>517</v>
      </c>
    </row>
    <row r="4" customFormat="false" ht="23.85" hidden="false" customHeight="false" outlineLevel="0" collapsed="false">
      <c r="A4" s="3" t="s">
        <v>518</v>
      </c>
      <c r="B4" s="3" t="s">
        <v>75</v>
      </c>
      <c r="C4" s="3" t="s">
        <v>519</v>
      </c>
      <c r="D4" s="3" t="s">
        <v>520</v>
      </c>
      <c r="E4" s="3" t="s">
        <v>521</v>
      </c>
      <c r="F4" s="3" t="s">
        <v>522</v>
      </c>
      <c r="G4" s="3" t="s">
        <v>523</v>
      </c>
      <c r="H4" s="3" t="s">
        <v>81</v>
      </c>
      <c r="I4" s="3" t="s">
        <v>524</v>
      </c>
      <c r="J4" s="3" t="s">
        <v>525</v>
      </c>
    </row>
    <row r="5" customFormat="false" ht="15" hidden="false" customHeight="false" outlineLevel="0" collapsed="false">
      <c r="A5" s="4" t="s">
        <v>526</v>
      </c>
      <c r="B5" s="4" t="s">
        <v>87</v>
      </c>
      <c r="C5" s="4" t="n">
        <v>1</v>
      </c>
      <c r="D5" s="4" t="s">
        <v>58</v>
      </c>
      <c r="E5" s="19" t="n">
        <v>103000</v>
      </c>
      <c r="F5" s="19" t="n">
        <v>103000</v>
      </c>
      <c r="G5" s="19" t="n">
        <v>103000</v>
      </c>
      <c r="H5" s="4" t="s">
        <v>86</v>
      </c>
      <c r="I5" s="4" t="s">
        <v>527</v>
      </c>
      <c r="J5" s="4" t="s">
        <v>528</v>
      </c>
    </row>
    <row r="6" customFormat="false" ht="15" hidden="false" customHeight="false" outlineLevel="0" collapsed="false">
      <c r="A6" s="4" t="s">
        <v>526</v>
      </c>
      <c r="B6" s="4" t="s">
        <v>84</v>
      </c>
      <c r="C6" s="4" t="n">
        <v>1</v>
      </c>
      <c r="D6" s="4" t="s">
        <v>58</v>
      </c>
      <c r="E6" s="19" t="n">
        <v>89000</v>
      </c>
      <c r="F6" s="19" t="n">
        <v>89000</v>
      </c>
      <c r="G6" s="19" t="n">
        <v>89000</v>
      </c>
      <c r="H6" s="4" t="s">
        <v>86</v>
      </c>
      <c r="I6" s="4" t="s">
        <v>527</v>
      </c>
      <c r="J6" s="4" t="s">
        <v>528</v>
      </c>
    </row>
    <row r="7" customFormat="false" ht="15" hidden="false" customHeight="false" outlineLevel="0" collapsed="false">
      <c r="A7" s="4" t="s">
        <v>526</v>
      </c>
      <c r="B7" s="4" t="s">
        <v>89</v>
      </c>
      <c r="C7" s="4" t="n">
        <v>1</v>
      </c>
      <c r="D7" s="4" t="s">
        <v>58</v>
      </c>
      <c r="E7" s="19" t="n">
        <v>118000</v>
      </c>
      <c r="F7" s="19" t="n">
        <v>118000</v>
      </c>
      <c r="G7" s="19" t="n">
        <v>118000</v>
      </c>
      <c r="H7" s="4" t="s">
        <v>86</v>
      </c>
      <c r="I7" s="4" t="s">
        <v>527</v>
      </c>
      <c r="J7" s="4" t="s">
        <v>528</v>
      </c>
    </row>
    <row r="8" customFormat="false" ht="15" hidden="false" customHeight="false" outlineLevel="0" collapsed="false">
      <c r="A8" s="4" t="s">
        <v>526</v>
      </c>
      <c r="B8" s="4" t="s">
        <v>91</v>
      </c>
      <c r="C8" s="4" t="n">
        <v>2</v>
      </c>
      <c r="D8" s="4" t="s">
        <v>58</v>
      </c>
      <c r="E8" s="19" t="n">
        <v>13000</v>
      </c>
      <c r="F8" s="19" t="n">
        <v>19500</v>
      </c>
      <c r="G8" s="19" t="n">
        <v>26000</v>
      </c>
      <c r="H8" s="4" t="s">
        <v>86</v>
      </c>
      <c r="I8" s="4" t="s">
        <v>527</v>
      </c>
      <c r="J8" s="4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7" min="5" style="0" width="14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529</v>
      </c>
    </row>
    <row r="2" customFormat="false" ht="15" hidden="false" customHeight="false" outlineLevel="0" collapsed="false">
      <c r="A2" s="2" t="s">
        <v>530</v>
      </c>
    </row>
    <row r="4" customFormat="false" ht="23.85" hidden="false" customHeight="false" outlineLevel="0" collapsed="false">
      <c r="A4" s="3" t="s">
        <v>518</v>
      </c>
      <c r="B4" s="3" t="s">
        <v>75</v>
      </c>
      <c r="C4" s="3" t="s">
        <v>519</v>
      </c>
      <c r="D4" s="3" t="s">
        <v>520</v>
      </c>
      <c r="E4" s="3" t="s">
        <v>521</v>
      </c>
      <c r="F4" s="3" t="s">
        <v>522</v>
      </c>
      <c r="G4" s="3" t="s">
        <v>523</v>
      </c>
      <c r="H4" s="3" t="s">
        <v>81</v>
      </c>
      <c r="I4" s="3" t="s">
        <v>524</v>
      </c>
      <c r="J4" s="3" t="s">
        <v>525</v>
      </c>
    </row>
    <row r="5" customFormat="false" ht="15" hidden="false" customHeight="false" outlineLevel="0" collapsed="false">
      <c r="A5" s="4" t="s">
        <v>526</v>
      </c>
      <c r="B5" s="4" t="s">
        <v>95</v>
      </c>
      <c r="C5" s="4" t="n">
        <v>1</v>
      </c>
      <c r="D5" s="4" t="s">
        <v>61</v>
      </c>
      <c r="E5" s="19" t="n">
        <v>115000</v>
      </c>
      <c r="F5" s="19" t="n">
        <v>115000</v>
      </c>
      <c r="G5" s="19" t="n">
        <v>115000</v>
      </c>
      <c r="H5" s="4" t="s">
        <v>86</v>
      </c>
      <c r="I5" s="4" t="s">
        <v>527</v>
      </c>
      <c r="J5" s="4" t="s">
        <v>528</v>
      </c>
    </row>
    <row r="6" customFormat="false" ht="15" hidden="false" customHeight="false" outlineLevel="0" collapsed="false">
      <c r="A6" s="4" t="s">
        <v>526</v>
      </c>
      <c r="B6" s="4" t="s">
        <v>89</v>
      </c>
      <c r="C6" s="4" t="n">
        <v>2</v>
      </c>
      <c r="D6" s="4" t="s">
        <v>61</v>
      </c>
      <c r="E6" s="19" t="n">
        <v>257000</v>
      </c>
      <c r="F6" s="19" t="n">
        <v>278500</v>
      </c>
      <c r="G6" s="19" t="n">
        <v>300000</v>
      </c>
      <c r="H6" s="4" t="s">
        <v>86</v>
      </c>
      <c r="I6" s="4" t="s">
        <v>527</v>
      </c>
      <c r="J6" s="4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7" min="5" style="0" width="14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531</v>
      </c>
    </row>
    <row r="2" customFormat="false" ht="15" hidden="false" customHeight="false" outlineLevel="0" collapsed="false">
      <c r="A2" s="2" t="s">
        <v>532</v>
      </c>
    </row>
    <row r="4" customFormat="false" ht="23.85" hidden="false" customHeight="false" outlineLevel="0" collapsed="false">
      <c r="A4" s="3" t="s">
        <v>518</v>
      </c>
      <c r="B4" s="3" t="s">
        <v>75</v>
      </c>
      <c r="C4" s="3" t="s">
        <v>519</v>
      </c>
      <c r="D4" s="3" t="s">
        <v>520</v>
      </c>
      <c r="E4" s="3" t="s">
        <v>521</v>
      </c>
      <c r="F4" s="3" t="s">
        <v>522</v>
      </c>
      <c r="G4" s="3" t="s">
        <v>523</v>
      </c>
      <c r="H4" s="3" t="s">
        <v>81</v>
      </c>
      <c r="I4" s="3" t="s">
        <v>524</v>
      </c>
      <c r="J4" s="3" t="s">
        <v>525</v>
      </c>
    </row>
    <row r="5" customFormat="false" ht="15" hidden="false" customHeight="false" outlineLevel="0" collapsed="false">
      <c r="A5" s="4" t="s">
        <v>533</v>
      </c>
      <c r="B5" s="4" t="s">
        <v>87</v>
      </c>
      <c r="C5" s="4" t="n">
        <v>1</v>
      </c>
      <c r="D5" s="4" t="s">
        <v>98</v>
      </c>
      <c r="E5" s="19" t="n">
        <v>302500</v>
      </c>
      <c r="F5" s="19" t="n">
        <v>302500</v>
      </c>
      <c r="G5" s="19" t="n">
        <v>302500</v>
      </c>
      <c r="H5" s="4" t="s">
        <v>103</v>
      </c>
      <c r="I5" s="4" t="s">
        <v>527</v>
      </c>
      <c r="J5" s="4" t="s">
        <v>534</v>
      </c>
    </row>
    <row r="6" customFormat="false" ht="15" hidden="false" customHeight="false" outlineLevel="0" collapsed="false">
      <c r="A6" s="4" t="s">
        <v>533</v>
      </c>
      <c r="B6" s="4" t="s">
        <v>104</v>
      </c>
      <c r="C6" s="4" t="n">
        <v>1</v>
      </c>
      <c r="D6" s="4" t="s">
        <v>98</v>
      </c>
      <c r="E6" s="19" t="n">
        <v>108900</v>
      </c>
      <c r="F6" s="19" t="n">
        <v>108900</v>
      </c>
      <c r="G6" s="19" t="n">
        <v>108900</v>
      </c>
      <c r="H6" s="4" t="s">
        <v>103</v>
      </c>
      <c r="I6" s="4" t="s">
        <v>527</v>
      </c>
      <c r="J6" s="4" t="s">
        <v>534</v>
      </c>
    </row>
    <row r="7" customFormat="false" ht="15" hidden="false" customHeight="false" outlineLevel="0" collapsed="false">
      <c r="A7" s="4" t="s">
        <v>533</v>
      </c>
      <c r="B7" s="4" t="s">
        <v>101</v>
      </c>
      <c r="C7" s="4" t="n">
        <v>7</v>
      </c>
      <c r="D7" s="4" t="s">
        <v>535</v>
      </c>
      <c r="E7" s="19" t="n">
        <v>101400</v>
      </c>
      <c r="F7" s="19" t="n">
        <v>132600</v>
      </c>
      <c r="G7" s="19" t="n">
        <v>163350</v>
      </c>
      <c r="H7" s="4" t="s">
        <v>103</v>
      </c>
      <c r="I7" s="4" t="s">
        <v>536</v>
      </c>
      <c r="J7" s="4" t="s">
        <v>537</v>
      </c>
    </row>
    <row r="8" customFormat="false" ht="15" hidden="false" customHeight="false" outlineLevel="0" collapsed="false">
      <c r="A8" s="4" t="s">
        <v>533</v>
      </c>
      <c r="B8" s="4" t="s">
        <v>84</v>
      </c>
      <c r="C8" s="4" t="n">
        <v>7</v>
      </c>
      <c r="D8" s="4" t="s">
        <v>535</v>
      </c>
      <c r="E8" s="19" t="n">
        <v>154440</v>
      </c>
      <c r="F8" s="19" t="n">
        <v>201240</v>
      </c>
      <c r="G8" s="19" t="n">
        <v>264990</v>
      </c>
      <c r="H8" s="4" t="s">
        <v>103</v>
      </c>
      <c r="I8" s="4" t="s">
        <v>536</v>
      </c>
      <c r="J8" s="4" t="s">
        <v>537</v>
      </c>
    </row>
    <row r="9" customFormat="false" ht="15" hidden="false" customHeight="false" outlineLevel="0" collapsed="false">
      <c r="A9" s="4" t="s">
        <v>533</v>
      </c>
      <c r="B9" s="4" t="s">
        <v>108</v>
      </c>
      <c r="C9" s="4" t="n">
        <v>11</v>
      </c>
      <c r="D9" s="4" t="s">
        <v>538</v>
      </c>
      <c r="E9" s="19" t="n">
        <v>248040</v>
      </c>
      <c r="F9" s="19" t="n">
        <v>341640</v>
      </c>
      <c r="G9" s="19" t="n">
        <v>639896</v>
      </c>
      <c r="H9" s="4" t="s">
        <v>103</v>
      </c>
      <c r="I9" s="4" t="s">
        <v>536</v>
      </c>
      <c r="J9" s="4" t="s">
        <v>537</v>
      </c>
    </row>
    <row r="10" customFormat="false" ht="15" hidden="false" customHeight="false" outlineLevel="0" collapsed="false">
      <c r="A10" s="4" t="s">
        <v>533</v>
      </c>
      <c r="B10" s="4" t="s">
        <v>116</v>
      </c>
      <c r="C10" s="4" t="n">
        <v>2</v>
      </c>
      <c r="D10" s="4" t="s">
        <v>67</v>
      </c>
      <c r="E10" s="19" t="n">
        <v>76440</v>
      </c>
      <c r="F10" s="19" t="n">
        <v>81120</v>
      </c>
      <c r="G10" s="19" t="n">
        <v>85800</v>
      </c>
      <c r="H10" s="4" t="s">
        <v>103</v>
      </c>
      <c r="I10" s="4" t="s">
        <v>298</v>
      </c>
      <c r="J10" s="4" t="s">
        <v>528</v>
      </c>
    </row>
    <row r="11" customFormat="false" ht="15" hidden="false" customHeight="false" outlineLevel="0" collapsed="false">
      <c r="A11" s="4" t="s">
        <v>533</v>
      </c>
      <c r="B11" s="4" t="s">
        <v>89</v>
      </c>
      <c r="C11" s="4" t="n">
        <v>1</v>
      </c>
      <c r="D11" s="4" t="s">
        <v>98</v>
      </c>
      <c r="E11" s="19" t="n">
        <v>387200</v>
      </c>
      <c r="F11" s="19" t="n">
        <v>387200</v>
      </c>
      <c r="G11" s="19" t="n">
        <v>387200</v>
      </c>
      <c r="H11" s="4" t="s">
        <v>103</v>
      </c>
      <c r="I11" s="4" t="s">
        <v>527</v>
      </c>
      <c r="J11" s="4" t="s">
        <v>534</v>
      </c>
    </row>
    <row r="12" customFormat="false" ht="15" hidden="false" customHeight="false" outlineLevel="0" collapsed="false">
      <c r="A12" s="4" t="s">
        <v>533</v>
      </c>
      <c r="B12" s="4" t="s">
        <v>91</v>
      </c>
      <c r="C12" s="4" t="n">
        <v>6</v>
      </c>
      <c r="D12" s="4" t="s">
        <v>535</v>
      </c>
      <c r="E12" s="19" t="n">
        <v>70200</v>
      </c>
      <c r="F12" s="19" t="n">
        <v>103001</v>
      </c>
      <c r="G12" s="19" t="n">
        <v>153065</v>
      </c>
      <c r="H12" s="4" t="s">
        <v>103</v>
      </c>
      <c r="I12" s="4" t="s">
        <v>536</v>
      </c>
      <c r="J12" s="4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1" t="s">
        <v>539</v>
      </c>
    </row>
    <row r="2" customFormat="false" ht="15" hidden="false" customHeight="false" outlineLevel="0" collapsed="false">
      <c r="A2" s="2" t="s">
        <v>540</v>
      </c>
    </row>
    <row r="4" customFormat="false" ht="15" hidden="false" customHeight="false" outlineLevel="0" collapsed="false">
      <c r="A4" s="3" t="s">
        <v>518</v>
      </c>
      <c r="B4" s="3" t="s">
        <v>541</v>
      </c>
      <c r="C4" s="3" t="s">
        <v>542</v>
      </c>
      <c r="D4" s="3" t="s">
        <v>543</v>
      </c>
    </row>
    <row r="5" customFormat="false" ht="15" hidden="false" customHeight="false" outlineLevel="0" collapsed="false">
      <c r="A5" s="4" t="s">
        <v>526</v>
      </c>
      <c r="B5" s="4" t="s">
        <v>544</v>
      </c>
      <c r="C5" s="4" t="s">
        <v>545</v>
      </c>
      <c r="D5" s="4" t="n">
        <v>2</v>
      </c>
    </row>
    <row r="6" customFormat="false" ht="15" hidden="false" customHeight="false" outlineLevel="0" collapsed="false">
      <c r="A6" s="4" t="s">
        <v>526</v>
      </c>
      <c r="B6" s="4" t="s">
        <v>546</v>
      </c>
      <c r="C6" s="4" t="s">
        <v>547</v>
      </c>
      <c r="D6" s="4" t="n">
        <v>10</v>
      </c>
    </row>
    <row r="7" customFormat="false" ht="15" hidden="false" customHeight="false" outlineLevel="0" collapsed="false">
      <c r="A7" s="4" t="s">
        <v>526</v>
      </c>
      <c r="B7" s="4" t="s">
        <v>546</v>
      </c>
      <c r="C7" s="4" t="s">
        <v>545</v>
      </c>
      <c r="D7" s="4" t="n">
        <v>1</v>
      </c>
    </row>
    <row r="8" customFormat="false" ht="15" hidden="false" customHeight="false" outlineLevel="0" collapsed="false">
      <c r="A8" s="4" t="s">
        <v>526</v>
      </c>
      <c r="B8" s="4" t="s">
        <v>546</v>
      </c>
      <c r="C8" s="4" t="s">
        <v>548</v>
      </c>
      <c r="D8" s="4" t="n">
        <v>1</v>
      </c>
    </row>
    <row r="9" customFormat="false" ht="15" hidden="false" customHeight="false" outlineLevel="0" collapsed="false">
      <c r="A9" s="4" t="s">
        <v>526</v>
      </c>
      <c r="B9" s="4" t="s">
        <v>549</v>
      </c>
      <c r="C9" s="4" t="s">
        <v>547</v>
      </c>
      <c r="D9" s="4" t="n">
        <v>10</v>
      </c>
    </row>
    <row r="10" customFormat="false" ht="15" hidden="false" customHeight="false" outlineLevel="0" collapsed="false">
      <c r="A10" s="4" t="s">
        <v>526</v>
      </c>
      <c r="B10" s="4" t="s">
        <v>549</v>
      </c>
      <c r="C10" s="4" t="s">
        <v>545</v>
      </c>
      <c r="D10" s="4" t="n">
        <v>1</v>
      </c>
    </row>
    <row r="11" customFormat="false" ht="15" hidden="false" customHeight="false" outlineLevel="0" collapsed="false">
      <c r="A11" s="4" t="s">
        <v>526</v>
      </c>
      <c r="B11" s="4" t="s">
        <v>549</v>
      </c>
      <c r="C11" s="4" t="s">
        <v>550</v>
      </c>
      <c r="D11" s="4" t="n">
        <v>1</v>
      </c>
    </row>
    <row r="12" customFormat="false" ht="15" hidden="false" customHeight="false" outlineLevel="0" collapsed="false">
      <c r="A12" s="4" t="s">
        <v>526</v>
      </c>
      <c r="B12" s="4" t="s">
        <v>549</v>
      </c>
      <c r="C12" s="4" t="s">
        <v>551</v>
      </c>
      <c r="D12" s="4" t="n">
        <v>4</v>
      </c>
    </row>
    <row r="13" customFormat="false" ht="15" hidden="false" customHeight="false" outlineLevel="0" collapsed="false">
      <c r="A13" s="4" t="s">
        <v>526</v>
      </c>
      <c r="B13" s="4" t="s">
        <v>552</v>
      </c>
      <c r="C13" s="4" t="s">
        <v>550</v>
      </c>
      <c r="D13" s="4" t="n">
        <v>2</v>
      </c>
    </row>
    <row r="14" customFormat="false" ht="15" hidden="false" customHeight="false" outlineLevel="0" collapsed="false">
      <c r="A14" s="4" t="s">
        <v>553</v>
      </c>
      <c r="B14" s="4" t="s">
        <v>549</v>
      </c>
      <c r="C14" s="4" t="s">
        <v>547</v>
      </c>
      <c r="D14" s="4" t="n">
        <v>12</v>
      </c>
    </row>
    <row r="15" customFormat="false" ht="15" hidden="false" customHeight="false" outlineLevel="0" collapsed="false">
      <c r="A15" s="4" t="s">
        <v>553</v>
      </c>
      <c r="B15" s="4" t="s">
        <v>549</v>
      </c>
      <c r="C15" s="4" t="s">
        <v>550</v>
      </c>
      <c r="D15" s="4" t="n">
        <v>4</v>
      </c>
    </row>
    <row r="16" customFormat="false" ht="15" hidden="false" customHeight="false" outlineLevel="0" collapsed="false">
      <c r="A16" s="4" t="s">
        <v>553</v>
      </c>
      <c r="B16" s="4" t="s">
        <v>554</v>
      </c>
      <c r="C16" s="4" t="s">
        <v>545</v>
      </c>
      <c r="D16" s="4" t="n">
        <v>2</v>
      </c>
    </row>
    <row r="17" customFormat="false" ht="15" hidden="false" customHeight="false" outlineLevel="0" collapsed="false">
      <c r="A17" s="4" t="s">
        <v>553</v>
      </c>
      <c r="B17" s="4" t="s">
        <v>552</v>
      </c>
      <c r="C17" s="4" t="s">
        <v>547</v>
      </c>
      <c r="D17" s="4" t="n">
        <v>4</v>
      </c>
    </row>
    <row r="18" customFormat="false" ht="15" hidden="false" customHeight="false" outlineLevel="0" collapsed="false">
      <c r="A18" s="4" t="s">
        <v>553</v>
      </c>
      <c r="B18" s="4" t="s">
        <v>552</v>
      </c>
      <c r="C18" s="4" t="s">
        <v>550</v>
      </c>
      <c r="D18" s="4" t="n">
        <v>1</v>
      </c>
    </row>
    <row r="19" customFormat="false" ht="15" hidden="false" customHeight="false" outlineLevel="0" collapsed="false">
      <c r="A19" s="4" t="s">
        <v>533</v>
      </c>
      <c r="B19" s="4" t="s">
        <v>544</v>
      </c>
      <c r="C19" s="4" t="s">
        <v>545</v>
      </c>
      <c r="D19" s="4" t="n">
        <v>1</v>
      </c>
    </row>
    <row r="20" customFormat="false" ht="15" hidden="false" customHeight="false" outlineLevel="0" collapsed="false">
      <c r="A20" s="4" t="s">
        <v>533</v>
      </c>
      <c r="B20" s="4" t="s">
        <v>546</v>
      </c>
      <c r="C20" s="4" t="s">
        <v>545</v>
      </c>
      <c r="D20" s="4" t="n">
        <v>1</v>
      </c>
    </row>
    <row r="21" customFormat="false" ht="15" hidden="false" customHeight="false" outlineLevel="0" collapsed="false">
      <c r="A21" s="4" t="s">
        <v>533</v>
      </c>
      <c r="B21" s="4" t="s">
        <v>549</v>
      </c>
      <c r="C21" s="4" t="s">
        <v>547</v>
      </c>
      <c r="D21" s="4" t="n">
        <v>4</v>
      </c>
    </row>
    <row r="22" customFormat="false" ht="15" hidden="false" customHeight="false" outlineLevel="0" collapsed="false">
      <c r="A22" s="4" t="s">
        <v>533</v>
      </c>
      <c r="B22" s="4" t="s">
        <v>549</v>
      </c>
      <c r="C22" s="4" t="s">
        <v>550</v>
      </c>
      <c r="D22" s="4" t="n">
        <v>1</v>
      </c>
    </row>
    <row r="23" customFormat="false" ht="15" hidden="false" customHeight="false" outlineLevel="0" collapsed="false">
      <c r="A23" s="4" t="s">
        <v>533</v>
      </c>
      <c r="B23" s="4" t="s">
        <v>554</v>
      </c>
      <c r="C23" s="4" t="s">
        <v>545</v>
      </c>
      <c r="D23" s="4" t="n">
        <v>1</v>
      </c>
    </row>
    <row r="24" customFormat="false" ht="15" hidden="false" customHeight="false" outlineLevel="0" collapsed="false">
      <c r="A24" s="4" t="s">
        <v>533</v>
      </c>
      <c r="B24" s="4" t="s">
        <v>552</v>
      </c>
      <c r="C24" s="4" t="s">
        <v>547</v>
      </c>
      <c r="D24" s="4" t="n">
        <v>4</v>
      </c>
    </row>
    <row r="25" customFormat="false" ht="15" hidden="false" customHeight="false" outlineLevel="0" collapsed="false">
      <c r="A25" s="4" t="s">
        <v>533</v>
      </c>
      <c r="B25" s="4" t="s">
        <v>552</v>
      </c>
      <c r="C25" s="4" t="s">
        <v>550</v>
      </c>
      <c r="D25" s="4" t="n">
        <v>12</v>
      </c>
    </row>
    <row r="26" customFormat="false" ht="15" hidden="false" customHeight="false" outlineLevel="0" collapsed="false">
      <c r="A26" s="4" t="s">
        <v>533</v>
      </c>
      <c r="B26" s="4" t="s">
        <v>552</v>
      </c>
      <c r="C26" s="4" t="s">
        <v>551</v>
      </c>
      <c r="D26" s="4" t="n">
        <v>1</v>
      </c>
    </row>
    <row r="27" customFormat="false" ht="15" hidden="false" customHeight="false" outlineLevel="0" collapsed="false">
      <c r="A27" s="4" t="s">
        <v>555</v>
      </c>
      <c r="B27" s="4" t="s">
        <v>546</v>
      </c>
      <c r="C27" s="4" t="s">
        <v>547</v>
      </c>
      <c r="D27" s="4" t="n">
        <v>5</v>
      </c>
    </row>
    <row r="28" customFormat="false" ht="15" hidden="false" customHeight="false" outlineLevel="0" collapsed="false">
      <c r="A28" s="4" t="s">
        <v>555</v>
      </c>
      <c r="B28" s="4" t="s">
        <v>546</v>
      </c>
      <c r="C28" s="4" t="s">
        <v>545</v>
      </c>
      <c r="D28" s="4" t="n">
        <v>1</v>
      </c>
    </row>
    <row r="29" customFormat="false" ht="15" hidden="false" customHeight="false" outlineLevel="0" collapsed="false">
      <c r="A29" s="4" t="s">
        <v>555</v>
      </c>
      <c r="B29" s="4" t="s">
        <v>549</v>
      </c>
      <c r="C29" s="4" t="s">
        <v>545</v>
      </c>
      <c r="D29" s="4" t="n">
        <v>3</v>
      </c>
    </row>
    <row r="30" customFormat="false" ht="15" hidden="false" customHeight="false" outlineLevel="0" collapsed="false">
      <c r="A30" s="4" t="s">
        <v>555</v>
      </c>
      <c r="B30" s="4" t="s">
        <v>554</v>
      </c>
      <c r="C30" s="4" t="s">
        <v>545</v>
      </c>
      <c r="D30" s="4" t="n">
        <v>1</v>
      </c>
    </row>
    <row r="31" customFormat="false" ht="15" hidden="false" customHeight="false" outlineLevel="0" collapsed="false">
      <c r="A31" s="4" t="s">
        <v>555</v>
      </c>
      <c r="B31" s="4" t="s">
        <v>552</v>
      </c>
      <c r="C31" s="4" t="s">
        <v>545</v>
      </c>
      <c r="D31" s="4" t="n">
        <v>8</v>
      </c>
    </row>
    <row r="32" customFormat="false" ht="15" hidden="false" customHeight="false" outlineLevel="0" collapsed="false">
      <c r="A32" s="13" t="s">
        <v>556</v>
      </c>
      <c r="D32" s="13" t="n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  <col collapsed="false" customWidth="true" hidden="false" outlineLevel="0" max="4" min="4" style="0" width="60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2" t="s">
        <v>558</v>
      </c>
    </row>
    <row r="4" customFormat="false" ht="15" hidden="false" customHeight="false" outlineLevel="0" collapsed="false">
      <c r="A4" s="3" t="s">
        <v>559</v>
      </c>
      <c r="B4" s="3" t="s">
        <v>560</v>
      </c>
      <c r="C4" s="3" t="s">
        <v>561</v>
      </c>
      <c r="D4" s="3" t="s">
        <v>562</v>
      </c>
      <c r="E4" s="3" t="s">
        <v>563</v>
      </c>
    </row>
    <row r="5" customFormat="false" ht="23.85" hidden="false" customHeight="false" outlineLevel="0" collapsed="false">
      <c r="A5" s="4" t="n">
        <v>1</v>
      </c>
      <c r="B5" s="17" t="s">
        <v>564</v>
      </c>
      <c r="C5" s="17" t="s">
        <v>565</v>
      </c>
      <c r="D5" s="17" t="s">
        <v>566</v>
      </c>
      <c r="E5" s="17" t="s">
        <v>567</v>
      </c>
    </row>
    <row r="6" customFormat="false" ht="23.85" hidden="false" customHeight="false" outlineLevel="0" collapsed="false">
      <c r="A6" s="4" t="n">
        <v>2</v>
      </c>
      <c r="B6" s="17" t="s">
        <v>568</v>
      </c>
      <c r="C6" s="17" t="s">
        <v>569</v>
      </c>
      <c r="D6" s="17" t="s">
        <v>570</v>
      </c>
      <c r="E6" s="17" t="s">
        <v>571</v>
      </c>
    </row>
    <row r="7" customFormat="false" ht="23.85" hidden="false" customHeight="false" outlineLevel="0" collapsed="false">
      <c r="A7" s="4" t="n">
        <v>3</v>
      </c>
      <c r="B7" s="17" t="s">
        <v>572</v>
      </c>
      <c r="C7" s="17" t="s">
        <v>573</v>
      </c>
      <c r="D7" s="17" t="s">
        <v>574</v>
      </c>
      <c r="E7" s="17" t="s">
        <v>575</v>
      </c>
    </row>
    <row r="8" customFormat="false" ht="15" hidden="false" customHeight="false" outlineLevel="0" collapsed="false">
      <c r="A8" s="4" t="n">
        <v>4</v>
      </c>
      <c r="B8" s="17" t="s">
        <v>576</v>
      </c>
      <c r="C8" s="17" t="s">
        <v>577</v>
      </c>
      <c r="D8" s="17" t="s">
        <v>578</v>
      </c>
      <c r="E8" s="17" t="s">
        <v>579</v>
      </c>
    </row>
    <row r="9" customFormat="false" ht="23.85" hidden="false" customHeight="false" outlineLevel="0" collapsed="false">
      <c r="A9" s="4" t="n">
        <v>5</v>
      </c>
      <c r="B9" s="17" t="s">
        <v>580</v>
      </c>
      <c r="C9" s="17" t="s">
        <v>581</v>
      </c>
      <c r="D9" s="17" t="s">
        <v>582</v>
      </c>
      <c r="E9" s="17" t="s">
        <v>583</v>
      </c>
    </row>
    <row r="10" customFormat="false" ht="23.85" hidden="false" customHeight="false" outlineLevel="0" collapsed="false">
      <c r="A10" s="4" t="n">
        <v>6</v>
      </c>
      <c r="B10" s="17" t="s">
        <v>584</v>
      </c>
      <c r="C10" s="17" t="s">
        <v>585</v>
      </c>
      <c r="D10" s="17" t="s">
        <v>586</v>
      </c>
      <c r="E10" s="17" t="s">
        <v>587</v>
      </c>
    </row>
    <row r="11" customFormat="false" ht="15" hidden="false" customHeight="false" outlineLevel="0" collapsed="false">
      <c r="A11" s="4" t="n">
        <v>7</v>
      </c>
      <c r="B11" s="17" t="s">
        <v>588</v>
      </c>
      <c r="C11" s="17" t="s">
        <v>589</v>
      </c>
      <c r="D11" s="17" t="s">
        <v>590</v>
      </c>
      <c r="E11" s="17" t="s">
        <v>591</v>
      </c>
    </row>
    <row r="12" customFormat="false" ht="23.85" hidden="false" customHeight="false" outlineLevel="0" collapsed="false">
      <c r="A12" s="4" t="n">
        <v>8</v>
      </c>
      <c r="B12" s="17" t="s">
        <v>592</v>
      </c>
      <c r="C12" s="17" t="s">
        <v>593</v>
      </c>
      <c r="D12" s="17" t="s">
        <v>594</v>
      </c>
      <c r="E12" s="17" t="s">
        <v>595</v>
      </c>
    </row>
    <row r="13" customFormat="false" ht="23.85" hidden="false" customHeight="false" outlineLevel="0" collapsed="false">
      <c r="A13" s="4" t="n">
        <v>9</v>
      </c>
      <c r="B13" s="17" t="s">
        <v>596</v>
      </c>
      <c r="C13" s="17" t="s">
        <v>597</v>
      </c>
      <c r="D13" s="17" t="s">
        <v>598</v>
      </c>
      <c r="E13" s="17" t="s">
        <v>599</v>
      </c>
    </row>
    <row r="14" customFormat="false" ht="23.85" hidden="false" customHeight="false" outlineLevel="0" collapsed="false">
      <c r="A14" s="4" t="n">
        <v>10</v>
      </c>
      <c r="B14" s="17" t="s">
        <v>600</v>
      </c>
      <c r="C14" s="17" t="s">
        <v>601</v>
      </c>
      <c r="D14" s="17" t="s">
        <v>602</v>
      </c>
      <c r="E14" s="17" t="s">
        <v>603</v>
      </c>
    </row>
    <row r="15" customFormat="false" ht="23.85" hidden="false" customHeight="false" outlineLevel="0" collapsed="false">
      <c r="A15" s="4" t="n">
        <v>11</v>
      </c>
      <c r="B15" s="17" t="s">
        <v>604</v>
      </c>
      <c r="C15" s="17" t="s">
        <v>605</v>
      </c>
      <c r="D15" s="17" t="s">
        <v>606</v>
      </c>
      <c r="E15" s="17" t="s">
        <v>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2026-10-28T06:50:25Z</dcterms:created>
  <dc:creator>openpyxl</dc:creator>
  <dc:description/>
  <dc:language>en-US</dc:language>
  <cp:lastModifiedBy/>
  <dcterms:modified xsi:type="dcterms:W3CDTF">2026-10-28T06:50:25Z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