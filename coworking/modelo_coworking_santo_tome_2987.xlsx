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ectura" sheetId="1" state="visible" r:id="rId3"/>
    <sheet name="Resumen" sheetId="2" state="visible" r:id="rId4"/>
    <sheet name="Supuestos" sheetId="3" state="visible" r:id="rId5"/>
    <sheet name="Inversion" sheetId="4" state="visible" r:id="rId6"/>
    <sheet name="Equilibrio" sheetId="5" state="visible" r:id="rId7"/>
    <sheet name="Sensibilidad" sheetId="6" state="visible" r:id="rId8"/>
    <sheet name="Modelo_Conservador" sheetId="7" state="visible" r:id="rId9"/>
    <sheet name="Modelo_Base" sheetId="8" state="visible" r:id="rId10"/>
    <sheet name="Modelo_Favorable" sheetId="9" state="visible" r:id="rId11"/>
    <sheet name="Mercado_verificado" sheetId="10" state="visible" r:id="rId12"/>
    <sheet name="Mercado_no_verificado" sheetId="11" state="visible" r:id="rId13"/>
    <sheet name="Censo" sheetId="12" state="visible" r:id="rId14"/>
    <sheet name="Datos_faltant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<sst xmlns="http://schemas.openxmlformats.org/spreadsheetml/2006/main" count="997" uniqueCount="553">
  <si>
    <t xml:space="preserve">¿El negocio da o no da? Lectura con los números a la vista</t>
  </si>
  <si>
    <t xml:space="preserve">Cota optimista: los costos sin dato (alquiler de la casa, luz, gas y agua, contador, pileta, cabinas) están en 0 o en un piso. Precios: lista de la zona cercana (Ambrela). USD constantes sin IVA.</t>
  </si>
  <si>
    <t xml:space="preserve">Indicador</t>
  </si>
  <si>
    <t xml:space="preserve">Conservador</t>
  </si>
  <si>
    <t xml:space="preserve">Base</t>
  </si>
  <si>
    <t xml:space="preserve">Favorable</t>
  </si>
  <si>
    <t xml:space="preserve">Cómo se lee</t>
  </si>
  <si>
    <t xml:space="preserve">Precio neto promedio por miembro flex (USD por mes, sin IVA)</t>
  </si>
  <si>
    <t xml:space="preserve">Mezcla de planes con el precio de la zona, menos descuento, sin IVA.</t>
  </si>
  <si>
    <t xml:space="preserve">Miembros flex necesarios para cubrir los costos</t>
  </si>
  <si>
    <t xml:space="preserve">En régimen (mes 36).</t>
  </si>
  <si>
    <t xml:space="preserve">Tope de miembros flex que entran en los puestos</t>
  </si>
  <si>
    <t xml:space="preserve">Puestos simultáneos, con el pico de martes a jueves.</t>
  </si>
  <si>
    <t xml:space="preserve">El equilibrio necesita este % del tope</t>
  </si>
  <si>
    <t xml:space="preserve">Más de 100 %: no alcanza ni con todos los puestos llenos.</t>
  </si>
  <si>
    <t xml:space="preserve">Resultado operativo mensual con todos los puestos llenos (mejor caso)</t>
  </si>
  <si>
    <t xml:space="preserve">Si es negativo, el negocio pierde plata aunque se llene.</t>
  </si>
  <si>
    <t xml:space="preserve">Resultado operativo mensual en el mes 36 (con las altas supuestas)</t>
  </si>
  <si>
    <t xml:space="preserve">Antes de Ganancias y sin alquilar la casa.</t>
  </si>
  <si>
    <t xml:space="preserve">Inversión inicial (sin capital de trabajo)</t>
  </si>
  <si>
    <t xml:space="preserve">Obra, equipamiento, honorarios, trámites y contingencias.</t>
  </si>
  <si>
    <t xml:space="preserve">Años para recuperar la inversión con todos los puestos llenos</t>
  </si>
  <si>
    <t xml:space="preserve">Inversión / (mejor caso × 12).</t>
  </si>
  <si>
    <t xml:space="preserve">Precio necesario para equilibrar con el 80 % del tope (veces el precio del escenario)</t>
  </si>
  <si>
    <t xml:space="preserve">1,00 = los precios de hoy; 2,00 = el doble.</t>
  </si>
  <si>
    <t xml:space="preserve">Plan de 12 días por mes necesario para equilibrar al 80 % (ARS con IVA)</t>
  </si>
  <si>
    <t xml:space="preserve">Comparar con Ambrela 3 días/sem (103.000) y HUERTA 12 días (302.500 con IVA), ver hoja Mercado_verificado.</t>
  </si>
  <si>
    <t xml:space="preserve">Mejor caso si el dueño atiende y no hay personal pago (USD por mes)</t>
  </si>
  <si>
    <t xml:space="preserve">Suma el sueldo y las cargas que se ahorran (con el % de imprevistos). El tiempo del dueño no está valorado.</t>
  </si>
  <si>
    <t xml:space="preserve">Años para recuperar la inversión en ese caso</t>
  </si>
  <si>
    <t xml:space="preserve">Inversión / (resultado × 12), con todos los puestos llenos.</t>
  </si>
  <si>
    <t xml:space="preserve">VEREDICTO (cota optimista)</t>
  </si>
  <si>
    <t xml:space="preserve">NO DA = aun lleno no cubre los costos · AJUSTADO = necesita más del 80 % del tope · SOLO OPERATIVO = cubre los costos pero la inversión tarda más de 5 años en volver · DA = cubre y recupera en 5 años o menos.</t>
  </si>
  <si>
    <t xml:space="preserve">Aparte, NO verificado y fuera del modelo: elburó (Villa Urquiza, ficha probable) publica Flex 'desde' ARS 115.000 y puesto fijo ARS 257.000 a 300.000, sin fecha ni IVA (datos/sedes_G3.json, G3-01). Si se confirmara, sugiere precios cerca de 30 % más altos que Ambrela en planes flex.</t>
  </si>
  <si>
    <t xml:space="preserve">Resumen por escenario</t>
  </si>
  <si>
    <t xml:space="preserve">Todo se recalcula al cambiar Supuestos. USD constantes; resultado antes del impuesto a las Ganancias.</t>
  </si>
  <si>
    <t xml:space="preserve">Obra, equipamiento, honorarios, trámites, apertura y contingencias.</t>
  </si>
  <si>
    <t xml:space="preserve">Necesidad máxima de caja (inversión + pérdidas de arranque)</t>
  </si>
  <si>
    <t xml:space="preserve">Lo que hay que tener disponible en el peor momento del flujo acumulado.</t>
  </si>
  <si>
    <t xml:space="preserve">Miembros flex en el mes 12</t>
  </si>
  <si>
    <t xml:space="preserve">Miembros flex en el mes 36</t>
  </si>
  <si>
    <t xml:space="preserve">Limitado por el tope de puestos en el pico.</t>
  </si>
  <si>
    <t xml:space="preserve">Ocupación promedio de puestos flex, mes 36</t>
  </si>
  <si>
    <t xml:space="preserve">Puestos-día usados / puestos-día disponibles en días hábiles.</t>
  </si>
  <si>
    <t xml:space="preserve">Ingresos del mes 36 (USD sin IVA)</t>
  </si>
  <si>
    <t xml:space="preserve">Resultado operativo del mes 36</t>
  </si>
  <si>
    <t xml:space="preserve">Resultado operativo acumulado de los 36 meses</t>
  </si>
  <si>
    <t xml:space="preserve">Margen operativo del año 3</t>
  </si>
  <si>
    <t xml:space="preserve">Resultado operativo / ingresos, meses 25 a 36.</t>
  </si>
  <si>
    <t xml:space="preserve">Mes de recupero de la inversión (caja, casa propia)</t>
  </si>
  <si>
    <t xml:space="preserve">Primer mes con flujo acumulado ≥ 0.</t>
  </si>
  <si>
    <t xml:space="preserve">Mes de recupero frente a alquilar la casa</t>
  </si>
  <si>
    <t xml:space="preserve">Igual, restando cada mes el alquiler que se deja de cobrar.</t>
  </si>
  <si>
    <t xml:space="preserve">TIR anual a 36 meses, sin valor residual (caja)</t>
  </si>
  <si>
    <t xml:space="preserve">Conservadora: no suma lo que vale el negocio ni el equipamiento al mes 36.</t>
  </si>
  <si>
    <t xml:space="preserve">VAN a 36 meses con la tasa de Supuestos (caja)</t>
  </si>
  <si>
    <t xml:space="preserve">La tasa la define el inversor; el valor que viene es un supuesto.</t>
  </si>
  <si>
    <t xml:space="preserve">Alquiler de mercado de la casa que se deja de cobrar (por mes)</t>
  </si>
  <si>
    <t xml:space="preserve">Costo de oportunidad de usar la casa propia.</t>
  </si>
  <si>
    <t xml:space="preserve">Resultado operativo del año 3 menos el alquiler que se deja de cobrar (por mes)</t>
  </si>
  <si>
    <t xml:space="preserve">Si es negativo, alquilar la casa rinde más que el coworking (antes de impuestos).</t>
  </si>
  <si>
    <t xml:space="preserve">Supuestos del modelo (celdas azules = entradas editables)</t>
  </si>
  <si>
    <t xml:space="preserve">Marco monetario: USD constantes al 27/10/2026. TC de conversión de precios en pesos: ver fila 'tc'. Sin previsiones de inflación ni devaluación. Cada valor tiene su fuente o se marca como supuesto a validar.</t>
  </si>
  <si>
    <t xml:space="preserve">Clave</t>
  </si>
  <si>
    <t xml:space="preserve">Supuesto</t>
  </si>
  <si>
    <t xml:space="preserve">Unidad</t>
  </si>
  <si>
    <t xml:space="preserve">Fuente / justificación</t>
  </si>
  <si>
    <t xml:space="preserve">Tipo</t>
  </si>
  <si>
    <t xml:space="preserve">GENERALES</t>
  </si>
  <si>
    <t xml:space="preserve">tc</t>
  </si>
  <si>
    <t xml:space="preserve">Tipo de cambio para pasar pesos a dólares</t>
  </si>
  <si>
    <t xml:space="preserve">ARS por USD</t>
  </si>
  <si>
    <t xml:space="preserve">dolarapi.com, dólar oficial BNA venta, 27/10/2026 (datos/alquiler_oficinas.json).</t>
  </si>
  <si>
    <t xml:space="preserve">dato</t>
  </si>
  <si>
    <t xml:space="preserve">iva</t>
  </si>
  <si>
    <t xml:space="preserve">Alícuota de IVA</t>
  </si>
  <si>
    <t xml:space="preserve">%</t>
  </si>
  <si>
    <t xml:space="preserve">Ley de IVA, alícuota general.</t>
  </si>
  <si>
    <t xml:space="preserve">ri</t>
  </si>
  <si>
    <t xml:space="preserve">¿Responsable inscripto? (1 = sí, 0 = monotributo)</t>
  </si>
  <si>
    <t xml:space="preserve">1/0</t>
  </si>
  <si>
    <t xml:space="preserve">Monotributo no alcanza: tope de 200 m² para locaciones/servicios (LEEME); se asume Responsable Inscripto. A confirmar con contador.</t>
  </si>
  <si>
    <t xml:space="preserve">supuesto</t>
  </si>
  <si>
    <t xml:space="preserve">dias_habiles</t>
  </si>
  <si>
    <t xml:space="preserve">Días hábiles por mes</t>
  </si>
  <si>
    <t xml:space="preserve">días</t>
  </si>
  <si>
    <t xml:space="preserve">Promedio de lunes a viernes sin feriados nacionales (aprox.).</t>
  </si>
  <si>
    <t xml:space="preserve">meses_obra</t>
  </si>
  <si>
    <t xml:space="preserve">Meses de obra y habilitación antes de abrir</t>
  </si>
  <si>
    <t xml:space="preserve">meses</t>
  </si>
  <si>
    <t xml:space="preserve">Supuesto a validar con el arquitecto y el gestor.</t>
  </si>
  <si>
    <t xml:space="preserve">a validar</t>
  </si>
  <si>
    <t xml:space="preserve">CAPACIDAD (casa de 450 m²: subsuelo, planta baja + patio, planta alta; distribución sin plano)</t>
  </si>
  <si>
    <t xml:space="preserve">puestos_flex</t>
  </si>
  <si>
    <t xml:space="preserve">Puestos flexibles (simultáneos)</t>
  </si>
  <si>
    <t xml:space="preserve">puestos</t>
  </si>
  <si>
    <t xml:space="preserve">SUPUESTO sin plano ni dato en el repo: 7,5 a 11 m² totales por puesto (incluye baños, cocina, salas, circulación y escalera). El coeficiente de ocupación del Código (Art. 3.4.7.2) no se pudo verificar (entorno_y_normativa.md, 2.3).</t>
  </si>
  <si>
    <t xml:space="preserve">puestos_fijos</t>
  </si>
  <si>
    <t xml:space="preserve">Puestos fijos (escritorio asignado)</t>
  </si>
  <si>
    <t xml:space="preserve">oficinas_priv</t>
  </si>
  <si>
    <t xml:space="preserve">Oficinas privadas chicas (complemento)</t>
  </si>
  <si>
    <t xml:space="preserve">oficinas</t>
  </si>
  <si>
    <t xml:space="preserve">puestos_por_oficina</t>
  </si>
  <si>
    <t xml:space="preserve">Puestos por oficina privada</t>
  </si>
  <si>
    <t xml:space="preserve">Oficina de 3 personas (aprox. 12–15 m²).</t>
  </si>
  <si>
    <t xml:space="preserve">USO DE LOS PUESTOS</t>
  </si>
  <si>
    <t xml:space="preserve">uso_flex</t>
  </si>
  <si>
    <t xml:space="preserve">Uso real de los días incluidos (flex)</t>
  </si>
  <si>
    <t xml:space="preserve">Mayor uso = menos membresías por puesto (por eso el conservador usa el más alto). Supuesto a medir en la preventa.</t>
  </si>
  <si>
    <t xml:space="preserve">factor_pico</t>
  </si>
  <si>
    <t xml:space="preserve">Pico de asistencia sobre el promedio (mar-jue)</t>
  </si>
  <si>
    <t xml:space="preserve">veces</t>
  </si>
  <si>
    <t xml:space="preserve">Los coworkings se llenan martes a jueves; supuesto a medir.</t>
  </si>
  <si>
    <t xml:space="preserve">uso_fijo</t>
  </si>
  <si>
    <t xml:space="preserve">Uso de los puestos fijos y oficinas (para consumo)</t>
  </si>
  <si>
    <t xml:space="preserve">Supuesto.</t>
  </si>
  <si>
    <t xml:space="preserve">PLANES Y PRECIOS (ARS por mes, con IVA, como se publican)</t>
  </si>
  <si>
    <t xml:space="preserve">dias_p1</t>
  </si>
  <si>
    <t xml:space="preserve">Plan 4 días por mes: días incluidos</t>
  </si>
  <si>
    <t xml:space="preserve">días/mes</t>
  </si>
  <si>
    <t xml:space="preserve">Diseño de la oferta propuesta.</t>
  </si>
  <si>
    <t xml:space="preserve">dias_p2</t>
  </si>
  <si>
    <t xml:space="preserve">Plan 8 días por mes (≈2 por semana): días incluidos</t>
  </si>
  <si>
    <t xml:space="preserve">dias_p3</t>
  </si>
  <si>
    <t xml:space="preserve">Plan 12 días por mes (≈3 por semana): días incluidos</t>
  </si>
  <si>
    <t xml:space="preserve">dias_p4</t>
  </si>
  <si>
    <t xml:space="preserve">Plan ilimitado flex (lunes a viernes): días incluidos</t>
  </si>
  <si>
    <t xml:space="preserve">precio_p1</t>
  </si>
  <si>
    <t xml:space="preserve">Precio plan 1</t>
  </si>
  <si>
    <t xml:space="preserve">ARS/mes</t>
  </si>
  <si>
    <t xml:space="preserve">DERIVADO, no publicado: Ambrela no vende plan de 4 días. Precio del plan 2 días/sem (89.000) × proporción 4D/8D de HUERTA (135.000/219.000).</t>
  </si>
  <si>
    <t xml:space="preserve">mercado</t>
  </si>
  <si>
    <t xml:space="preserve">precio_p2</t>
  </si>
  <si>
    <t xml:space="preserve">Precio plan 2</t>
  </si>
  <si>
    <t xml:space="preserve">Ambrela (Devoto, 3,6 km; único competidor directo), datos/sedes_G1A.json G1A-01: precio publicado sin fecha ni IVA aclarado y sin moneda explícita (se asume ARS por magnitud, sin confirmar); se toma como precio final. Plan 'Start Point 2 Días' (≈ 8-9 días por mes).</t>
  </si>
  <si>
    <t xml:space="preserve">precio_p3</t>
  </si>
  <si>
    <t xml:space="preserve">Precio plan 3</t>
  </si>
  <si>
    <t xml:space="preserve">Ambrela (Devoto, 3,6 km; único competidor directo), datos/sedes_G1A.json G1A-01: precio publicado sin fecha ni IVA aclarado y sin moneda explícita (se asume ARS por magnitud, sin confirmar); se toma como precio final. Plan 'Start Point 3 Días' (≈ 13 días por mes).</t>
  </si>
  <si>
    <t xml:space="preserve">precio_p4</t>
  </si>
  <si>
    <t xml:space="preserve">Precio plan 4</t>
  </si>
  <si>
    <t xml:space="preserve">DERIVADO, no publicado: Ambrela no vende ilimitado flex. Precio 3 días/sem (103.000) × proporción FLEX/12D de HUERTA (270.000/250.000); queda bajo el puesto fijo de Ambrela (118.000).</t>
  </si>
  <si>
    <t xml:space="preserve">mix_p1</t>
  </si>
  <si>
    <t xml:space="preserve">Peso del plan 1 en los miembros flex</t>
  </si>
  <si>
    <t xml:space="preserve">SUPUESTO sin dato: en la zona solo Ambrela publica planes (2 y 3 días por semana y puesto fijo). Medir en la preventa.</t>
  </si>
  <si>
    <t xml:space="preserve">mix_p2</t>
  </si>
  <si>
    <t xml:space="preserve">Peso del plan 2 en los miembros flex</t>
  </si>
  <si>
    <t xml:space="preserve">mix_p3</t>
  </si>
  <si>
    <t xml:space="preserve">Peso del plan 3 en los miembros flex</t>
  </si>
  <si>
    <t xml:space="preserve">mix_p4</t>
  </si>
  <si>
    <t xml:space="preserve">Peso del plan 4 en los miembros flex</t>
  </si>
  <si>
    <t xml:space="preserve">precio_fijo</t>
  </si>
  <si>
    <t xml:space="preserve">Puesto fijo</t>
  </si>
  <si>
    <t xml:space="preserve">Ambrela (Devoto, 3,6 km; único competidor directo), datos/sedes_G1A.json G1A-01: precio publicado sin fecha ni IVA aclarado y sin moneda explícita (se asume ARS por magnitud, sin confirmar); se toma como precio final. Plan 'Fix point'.</t>
  </si>
  <si>
    <t xml:space="preserve">precio_oficina</t>
  </si>
  <si>
    <t xml:space="preserve">Oficina privada (3 personas)</t>
  </si>
  <si>
    <t xml:space="preserve">INDIRECTO: ninguna ficha publica precio de oficina privada de coworking (todas 'a consultar'). Se usa la mediana del alquiler de oficinas de 15 a 30 m² (3 avisos, ARS 480.000; expensas mediana 77.500 no incluidas), datos/alquiler_oficinas.json. Muestra chica.</t>
  </si>
  <si>
    <t xml:space="preserve">precio_pase</t>
  </si>
  <si>
    <t xml:space="preserve">Pase diario</t>
  </si>
  <si>
    <t xml:space="preserve">ARS/día</t>
  </si>
  <si>
    <t xml:space="preserve">DERIVADO: precio por día del plan de 4 días (sin recargo). Ninguna ficha de la zona publica pase diario (Regus Retiro: USD 49 a 55).</t>
  </si>
  <si>
    <t xml:space="preserve">precio_sala_h</t>
  </si>
  <si>
    <t xml:space="preserve">Sala de reunión por hora (externos)</t>
  </si>
  <si>
    <t xml:space="preserve">ARS/hora</t>
  </si>
  <si>
    <t xml:space="preserve">Ambrela (Devoto, 3,6 km; único competidor directo), datos/sedes_G1A.json G1A-01: precio publicado sin fecha ni IVA aclarado y sin moneda explícita (se asume ARS por magnitud, sin confirmar); se toma como precio final. 'Sala de reunión', por hora.</t>
  </si>
  <si>
    <t xml:space="preserve">precio_mult</t>
  </si>
  <si>
    <t xml:space="preserve">Ajuste de precios del escenario</t>
  </si>
  <si>
    <t xml:space="preserve">Conservador: −10 % para competir; favorable: +5 %.</t>
  </si>
  <si>
    <t xml:space="preserve">descuento</t>
  </si>
  <si>
    <t xml:space="preserve">Descuento promedio efectivo (promos, pago anticipado)</t>
  </si>
  <si>
    <t xml:space="preserve">pases_mes</t>
  </si>
  <si>
    <t xml:space="preserve">Pases diarios vendidos por mes (en régimen)</t>
  </si>
  <si>
    <t xml:space="preserve">pases</t>
  </si>
  <si>
    <t xml:space="preserve">Supuesto a validar.</t>
  </si>
  <si>
    <t xml:space="preserve">horas_sala_mes</t>
  </si>
  <si>
    <t xml:space="preserve">Horas de sala vendidas a externos por mes (en régimen)</t>
  </si>
  <si>
    <t xml:space="preserve">horas</t>
  </si>
  <si>
    <t xml:space="preserve">otros_ingresos_usd</t>
  </si>
  <si>
    <t xml:space="preserve">Otros ingresos (domicilio comercial, eventos) en régimen</t>
  </si>
  <si>
    <t xml:space="preserve">USD/mes</t>
  </si>
  <si>
    <t xml:space="preserve">ramp_pases</t>
  </si>
  <si>
    <t xml:space="preserve">Meses hasta vender los extras en régimen</t>
  </si>
  <si>
    <t xml:space="preserve">ramp_of</t>
  </si>
  <si>
    <t xml:space="preserve">Meses hasta ocupar las oficinas privadas</t>
  </si>
  <si>
    <t xml:space="preserve">ALTAS Y BAJAS DE MIEMBROS FLEX</t>
  </si>
  <si>
    <t xml:space="preserve">miembros_ini</t>
  </si>
  <si>
    <t xml:space="preserve">Miembros al abrir (preventa / lista de espera)</t>
  </si>
  <si>
    <t xml:space="preserve">miembros</t>
  </si>
  <si>
    <t xml:space="preserve">Depende de la preventa (ver plan de validación).</t>
  </si>
  <si>
    <t xml:space="preserve">altas_f1</t>
  </si>
  <si>
    <t xml:space="preserve">Altas por mes, meses 1 a 6</t>
  </si>
  <si>
    <t xml:space="preserve">miembros/mes</t>
  </si>
  <si>
    <t xml:space="preserve">SUPUESTO sin dato de demanda: ningún archivo del repo mide cuántos profesionales de la zona usarían un coworking (entorno_y_normativa.md, 4). Medir con preventa y lista de espera.</t>
  </si>
  <si>
    <t xml:space="preserve">altas_f2</t>
  </si>
  <si>
    <t xml:space="preserve">Altas por mes, meses 7 a 12</t>
  </si>
  <si>
    <t xml:space="preserve">altas_f3</t>
  </si>
  <si>
    <t xml:space="preserve">Altas por mes, meses 13 a 36</t>
  </si>
  <si>
    <t xml:space="preserve">churn</t>
  </si>
  <si>
    <t xml:space="preserve">Bajas mensuales de miembros flex</t>
  </si>
  <si>
    <t xml:space="preserve">SUPUESTO sin dato local.</t>
  </si>
  <si>
    <t xml:space="preserve">altas_fijo</t>
  </si>
  <si>
    <t xml:space="preserve">Altas de puestos fijos por mes</t>
  </si>
  <si>
    <t xml:space="preserve">puestos/mes</t>
  </si>
  <si>
    <t xml:space="preserve">churn_fijo</t>
  </si>
  <si>
    <t xml:space="preserve">Bajas mensuales de puestos fijos</t>
  </si>
  <si>
    <t xml:space="preserve">Supuesto (los fijos rotan menos).</t>
  </si>
  <si>
    <t xml:space="preserve">COSTOS VARIABLES</t>
  </si>
  <si>
    <t xml:space="preserve">costo_puesto_dia_usd</t>
  </si>
  <si>
    <t xml:space="preserve">Café, té, agua y consumibles por puesto-día</t>
  </si>
  <si>
    <t xml:space="preserve">USD</t>
  </si>
  <si>
    <t xml:space="preserve">Solo café: kg tostado ARS 63.540 (costos_referencia #53) × 10 g por taza × 3 / 2 / 1 tazas por día (el gramaje y las tazas son SUPUESTOS). Té, azúcar, agua y papel: SIN DATO.</t>
  </si>
  <si>
    <t xml:space="preserve">estimación</t>
  </si>
  <si>
    <t xml:space="preserve">comision_pct</t>
  </si>
  <si>
    <t xml:space="preserve">Comisión de cobro (tarjeta / billetera)</t>
  </si>
  <si>
    <t xml:space="preserve">% de lo cobrado</t>
  </si>
  <si>
    <t xml:space="preserve">Mercado Pago: tarjeta de crédito con acreditación inmediata hasta 6,29 %; QR con saldo o débito 0,6 % (costos_referencia #17-18, fuente secundaria, + IVA). Base = mitad y mitad (SUPUESTO).</t>
  </si>
  <si>
    <t xml:space="preserve">iibb_pct</t>
  </si>
  <si>
    <t xml:space="preserve">Ingresos Brutos CABA</t>
  </si>
  <si>
    <t xml:space="preserve">% de ventas sin IVA</t>
  </si>
  <si>
    <t xml:space="preserve">3 % servicios inmobiliarios y de alquiler (costos_referencia #15); 5 % si encuadra como locación de inmuebles comerciales (#16). El encuadre del coworking NO está confirmado.</t>
  </si>
  <si>
    <t xml:space="preserve">idc_pct</t>
  </si>
  <si>
    <t xml:space="preserve">Impuesto a los débitos y créditos bancarios (aprox.)</t>
  </si>
  <si>
    <t xml:space="preserve">Ley 25.413: 0,6 % sobre créditos + 0,6 % sobre débitos; aproximado sobre lo cobrado.</t>
  </si>
  <si>
    <t xml:space="preserve">COSTOS FIJOS (USD por mes)</t>
  </si>
  <si>
    <t xml:space="preserve">personal_fte</t>
  </si>
  <si>
    <t xml:space="preserve">Personal de recepción y comunidad (jornadas completas)</t>
  </si>
  <si>
    <t xml:space="preserve">personas</t>
  </si>
  <si>
    <t xml:space="preserve">Lunes a viernes 8 a 20 h: una jornada completa + media.</t>
  </si>
  <si>
    <t xml:space="preserve">costo_fte_usd</t>
  </si>
  <si>
    <t xml:space="preserve">Costo laboral por persona (sueldo + cargas)</t>
  </si>
  <si>
    <t xml:space="preserve">Comercio CCT 130/75 Administrativo A, ARS 1.316.632 con suma fija (costos_referencia #6) × cargas 37,4 % / 30,9 % / 24,4 % (#54, calculadora de un marketplace, no norma). Verificar el acuerdo.</t>
  </si>
  <si>
    <t xml:space="preserve">limpieza_usd</t>
  </si>
  <si>
    <t xml:space="preserve">Limpieza</t>
  </si>
  <si>
    <t xml:space="preserve">Conservador: jornada mediana ARS 50.000 × 21 días (costos_referencia #56). Base y favorable: ARS 7.000 / 5.000 por hora (rango 5.000 a 9.000, #57, sin verificar) × 4 h por día (SUPUESTO) × 21 días.</t>
  </si>
  <si>
    <t xml:space="preserve">internet_usd</t>
  </si>
  <si>
    <t xml:space="preserve">Internet principal + respaldo</t>
  </si>
  <si>
    <t xml:space="preserve">Fibra Movistar combo ARS 22.018 + respaldo Starlink: Priority 500 GB ARS 158.000 / Residencial Estándar 65.000 / Lite 45.000 (costos_referencia #67, #34-35). Son planes residenciales o de combo: la fibra empresarial simétrica requiere cotización (#66).</t>
  </si>
  <si>
    <t xml:space="preserve">servicios_usd</t>
  </si>
  <si>
    <t xml:space="preserve">Electricidad, gas y agua</t>
  </si>
  <si>
    <t xml:space="preserve">SIN DATO de consumo. Solo los cargos fijos mensuales: Edenor T1 ARS 18.268 + Metrogas P1-P2 ARS 24.017 (costos_referencia #76, #31); agua AySA no disponible (#83). Falta la factura real de la casa.</t>
  </si>
  <si>
    <t xml:space="preserve">SIN DATO</t>
  </si>
  <si>
    <t xml:space="preserve">seguros_usd</t>
  </si>
  <si>
    <t xml:space="preserve">Seguros (integral y responsabilidad civil)</t>
  </si>
  <si>
    <t xml:space="preserve">Comparador comercial, no cotización: oficina y servicios profesionales ARS 50.000 a 300.000 por mes (costos_referencia #62, mayo 2026, valores inconsistentes). Base = punto medio. Un coworking con terceros necesita RC.</t>
  </si>
  <si>
    <t xml:space="preserve">software_usd</t>
  </si>
  <si>
    <t xml:space="preserve">Software de gestión y reservas</t>
  </si>
  <si>
    <t xml:space="preserve">Spacebring Business USD 177; OfficeRnD Essentials USD 129 mensual / 99 anual (costos_referencia #19-20).</t>
  </si>
  <si>
    <t xml:space="preserve">admin_usd</t>
  </si>
  <si>
    <t xml:space="preserve">Contador y administración</t>
  </si>
  <si>
    <t xml:space="preserve">SIN DATO: ningún archivo tiene honorarios de contador para un Responsable Inscripto. Cargado en 0.</t>
  </si>
  <si>
    <t xml:space="preserve">mant_pct_anual</t>
  </si>
  <si>
    <t xml:space="preserve">Mantenimiento y reposición (anual, sobre la inversión)</t>
  </si>
  <si>
    <t xml:space="preserve">marketing_usd</t>
  </si>
  <si>
    <t xml:space="preserve">Publicidad digital</t>
  </si>
  <si>
    <t xml:space="preserve">SUPUESTO de diseño. Referencia: CPC mediano Meta Ads en Argentina USD 0,63 (julio 2026, costos_referencia #63) → USD 400 a 500 por mes ≈ 640 a 800 clics.</t>
  </si>
  <si>
    <t xml:space="preserve">comunidad_usd</t>
  </si>
  <si>
    <t xml:space="preserve">Actividades de comunidad (desayunos, charlas)</t>
  </si>
  <si>
    <t xml:space="preserve">Un desayuno de miembros y una charla por mes; supuesto.</t>
  </si>
  <si>
    <t xml:space="preserve">otros_pct</t>
  </si>
  <si>
    <t xml:space="preserve">Otros e imprevistos (sobre los fijos)</t>
  </si>
  <si>
    <t xml:space="preserve">INVERSIÓN INICIAL (USD)</t>
  </si>
  <si>
    <t xml:space="preserve">m2_obra</t>
  </si>
  <si>
    <t xml:space="preserve">m² a intervenir (sin el patio)</t>
  </si>
  <si>
    <t xml:space="preserve">m²</t>
  </si>
  <si>
    <t xml:space="preserve">450 m² totales menos el patio estimado; sin plano.</t>
  </si>
  <si>
    <t xml:space="preserve">usd_m2_obra</t>
  </si>
  <si>
    <t xml:space="preserve">Adecuación por m² (pintura, pisos, iluminación, baños, terminaciones)</t>
  </si>
  <si>
    <t xml:space="preserve">USD/m²</t>
  </si>
  <si>
    <t xml:space="preserve">ANCLADO en el costo de construir nuevo en CABA, ARS 1.584.840 por m² (julio 2026, costos_referencia #0). El 40 % / 30 % / 20 % para una refacción de casa usada es SUPUESTO mío: validar con presupuesto de arquitecto.</t>
  </si>
  <si>
    <t xml:space="preserve">m2_patio</t>
  </si>
  <si>
    <t xml:space="preserve">m² de patio a techar</t>
  </si>
  <si>
    <t xml:space="preserve">Sin plano: supuesto a medir.</t>
  </si>
  <si>
    <t xml:space="preserve">usd_m2_patio</t>
  </si>
  <si>
    <t xml:space="preserve">Techado de patio por m²</t>
  </si>
  <si>
    <t xml:space="preserve">Techado con policarbonato, material y mano de obra, ARS 48.000 a 100.000 por m² (costos_referencia #36). Sin estructura nueva, piso ni instalaciones. Techar puede estar prohibido (entorno_y_normativa.md, 1.3).</t>
  </si>
  <si>
    <t xml:space="preserve">pileta_usd</t>
  </si>
  <si>
    <t xml:space="preserve">Anulación / relleno de pileta</t>
  </si>
  <si>
    <t xml:space="preserve">SIN DATO: costos_referencia #44 'no disponible'. Cargado en 0.</t>
  </si>
  <si>
    <t xml:space="preserve">bano_acc_usd</t>
  </si>
  <si>
    <t xml:space="preserve">Baño accesible</t>
  </si>
  <si>
    <t xml:space="preserve">PROXY: reforma de baño 'media', ARS 5.000.000 a 9.000.000 (costos_referencia #80). No hay precio de baño accesible; el rango es de otro tipo de obra.</t>
  </si>
  <si>
    <t xml:space="preserve">electrica_datos_usd</t>
  </si>
  <si>
    <t xml:space="preserve">Instalación eléctrica y red de datos</t>
  </si>
  <si>
    <t xml:space="preserve">Solo mano de obra: tablero ARS 333.000 a 602.000 + puesta a tierra 169.000 a 260.000 + 100 bocas a 52.000 a 104.000 (costos_referencia #37-38). Las 100 bocas son SUPUESTO (2 por puesto + áreas comunes). Materiales y cableado: SIN DATO.</t>
  </si>
  <si>
    <t xml:space="preserve">clima_n</t>
  </si>
  <si>
    <t xml:space="preserve">Equipos de aire acondicionado</t>
  </si>
  <si>
    <t xml:space="preserve">equipos</t>
  </si>
  <si>
    <t xml:space="preserve">Supuesto: un equipo cada 40–50 m² cubiertos.</t>
  </si>
  <si>
    <t xml:space="preserve">clima_usd</t>
  </si>
  <si>
    <t xml:space="preserve">Aire acondicionado instalado (por equipo)</t>
  </si>
  <si>
    <t xml:space="preserve">Split inverter frío/calor de 4.300 a 5.590 frigorías, solo el equipo: ARS 1.414.550 / 1.531.827 / 2.016.845 (costos_referencia #27). Instalación: SIN DATO.</t>
  </si>
  <si>
    <t xml:space="preserve">mueble_puesto_usd</t>
  </si>
  <si>
    <t xml:space="preserve">Escritorio + silla ergonómica por puesto</t>
  </si>
  <si>
    <t xml:space="preserve">Puesto: silla (70.000 económica / 340.000 media-alta) + escritorio (151.499 a 259.919) (costos_referencia #23-25). Común: lockers de 12 puertas, sillones de 3 cuerpos y Smart TV (#50, #51, #48); las cantidades son SUPUESTO. Mesa de reuniones y sillas de sala: SIN DATO (#75).</t>
  </si>
  <si>
    <t xml:space="preserve">mueble_comun_usd</t>
  </si>
  <si>
    <t xml:space="preserve">Mobiliario común (salas, living, lockers)</t>
  </si>
  <si>
    <t xml:space="preserve">cabinas_n</t>
  </si>
  <si>
    <t xml:space="preserve">Cabinas para llamadas</t>
  </si>
  <si>
    <t xml:space="preserve">cabinas</t>
  </si>
  <si>
    <t xml:space="preserve">cabina_usd</t>
  </si>
  <si>
    <t xml:space="preserve">Cabina acústica por unidad</t>
  </si>
  <si>
    <t xml:space="preserve">SIN DATO: costos_referencia #75, no hay precio argentino de cabina acústica. Cargado en 0.</t>
  </si>
  <si>
    <t xml:space="preserve">cafe_equipo_usd</t>
  </si>
  <si>
    <t xml:space="preserve">Café y cocina (máquina, heladera, microondas, vajilla)</t>
  </si>
  <si>
    <t xml:space="preserve">Heladera no frost ARS 2.839.999 + microondas 317.253 + espresso hogareña (150.999 a 1.999.999) (costos_referencia #29, #28, #52). Espresso comercial y vajilla: SIN DATO.</t>
  </si>
  <si>
    <t xml:space="preserve">it_seguridad_usd</t>
  </si>
  <si>
    <t xml:space="preserve">Red WiFi, UPS, control de acceso y cámaras</t>
  </si>
  <si>
    <t xml:space="preserve">Access points UniFi, router, UPS, kit de 8 cámaras con NVR instalado y terminales de control de acceso (costos_referencia #46, #45, #47, #39, #73); las cantidades son SUPUESTO. Switch PoE y cableado: SIN DATO.</t>
  </si>
  <si>
    <t xml:space="preserve">honorarios_pct</t>
  </si>
  <si>
    <t xml:space="preserve">Honorarios profesionales (sobre la obra)</t>
  </si>
  <si>
    <t xml:space="preserve">CPAU: honorario sugerido 14 % del monto de obra para obras de hasta unos ARS 320 millones (costos_referencia #59). Sugerido, no obligatorio.</t>
  </si>
  <si>
    <t xml:space="preserve">habilitacion_usd</t>
  </si>
  <si>
    <t xml:space="preserve">Habilitación, planos de uso, incendio y trámites</t>
  </si>
  <si>
    <t xml:space="preserve">Tasa de habilitación (blog) + gestor 15-25 % + certificados + seguro RC anual + planos y firma profesional + 6 matafuegos de ARS 80.000 (costos_referencia #78, #79, #61). Rangos de un blog, no fuente oficial. Regularización de planos y plan de evacuación: SIN DATO.</t>
  </si>
  <si>
    <t xml:space="preserve">apertura_mkt_usd</t>
  </si>
  <si>
    <t xml:space="preserve">Marketing de apertura y preventa</t>
  </si>
  <si>
    <t xml:space="preserve">contingencia_pct</t>
  </si>
  <si>
    <t xml:space="preserve">Contingencias</t>
  </si>
  <si>
    <t xml:space="preserve">Práctica habitual en refacciones de casas usadas; supuesto.</t>
  </si>
  <si>
    <t xml:space="preserve">COSTO DE OPORTUNIDAD Y FINANZAS</t>
  </si>
  <si>
    <t xml:space="preserve">alquiler_casa_usd</t>
  </si>
  <si>
    <t xml:space="preserve">Alquiler de mercado de la casa que se deja de cobrar</t>
  </si>
  <si>
    <t xml:space="preserve">SIN DATO: datos/casa_costo_oportunidad.json está pendiente (0 avisos). Cargado en 0; el Resumen muestra cuánto resultado operativo queda para pagar ese alquiler.</t>
  </si>
  <si>
    <t xml:space="preserve">tasa_desc_anual</t>
  </si>
  <si>
    <t xml:space="preserve">Tasa de descuento anual en USD (la define el inversor)</t>
  </si>
  <si>
    <t xml:space="preserve">Supuesto ilustrativo: el inversor tiene que poner su propia tasa.</t>
  </si>
  <si>
    <t xml:space="preserve">a definir</t>
  </si>
  <si>
    <t xml:space="preserve">valor_residual_usd</t>
  </si>
  <si>
    <t xml:space="preserve">Valor residual al mes 36 (negocio y equipamiento)</t>
  </si>
  <si>
    <t xml:space="preserve">Se deja en 0 para no inflar el retorno.</t>
  </si>
  <si>
    <t xml:space="preserve">Inversión inicial (USD, mes 0)</t>
  </si>
  <si>
    <t xml:space="preserve">Se calcula desde Supuestos. El capital de trabajo no se suma acá: es la necesidad máxima de caja de cada escenario (ver Resumen).</t>
  </si>
  <si>
    <t xml:space="preserve">Rubro</t>
  </si>
  <si>
    <t xml:space="preserve">Cómo se calcula</t>
  </si>
  <si>
    <t xml:space="preserve">Obra de adecuación general</t>
  </si>
  <si>
    <t xml:space="preserve">m² intervenidos × USD/m²</t>
  </si>
  <si>
    <t xml:space="preserve">Techado del patio</t>
  </si>
  <si>
    <t xml:space="preserve">m² de patio × USD/m²</t>
  </si>
  <si>
    <t xml:space="preserve">suma fija</t>
  </si>
  <si>
    <t xml:space="preserve">Climatización</t>
  </si>
  <si>
    <t xml:space="preserve">equipos × USD por equipo instalado</t>
  </si>
  <si>
    <t xml:space="preserve">Mobiliario de puestos</t>
  </si>
  <si>
    <t xml:space="preserve">(puestos flex + fijos + oficinas) × USD por puesto</t>
  </si>
  <si>
    <t xml:space="preserve">cabinas × USD</t>
  </si>
  <si>
    <t xml:space="preserve">Café y cocina (equipamiento)</t>
  </si>
  <si>
    <t xml:space="preserve">Conectividad, control de acceso y cámaras</t>
  </si>
  <si>
    <t xml:space="preserve">Subtotal obra y equipamiento</t>
  </si>
  <si>
    <t xml:space="preserve">Honorarios profesionales (proyecto, dirección, planos)</t>
  </si>
  <si>
    <t xml:space="preserve">% sobre obra (filas de obra e instalaciones)</t>
  </si>
  <si>
    <t xml:space="preserve">% sobre todo lo anterior</t>
  </si>
  <si>
    <t xml:space="preserve">INVERSIÓN INICIAL TOTAL (sin capital de trabajo)</t>
  </si>
  <si>
    <t xml:space="preserve">Punto de equilibrio en régimen (mes tipo, con los supuestos de cada escenario)</t>
  </si>
  <si>
    <t xml:space="preserve">¿Cuántos miembros flex hacen falta para cubrir los costos fijos, con los puestos fijos, oficinas y extras del mes 36? Comparado con el tope de puestos.</t>
  </si>
  <si>
    <t xml:space="preserve">Concepto</t>
  </si>
  <si>
    <t xml:space="preserve">Fórmula</t>
  </si>
  <si>
    <t xml:space="preserve">Precio neto promedio por miembro flex (USD/mes, sin IVA)</t>
  </si>
  <si>
    <t xml:space="preserve">mezcla de planes × precio × (1 − descuento) / IVA / TC</t>
  </si>
  <si>
    <t xml:space="preserve">Días promedio incluidos por miembro flex</t>
  </si>
  <si>
    <t xml:space="preserve">mezcla × días de cada plan</t>
  </si>
  <si>
    <t xml:space="preserve">Costo variable por miembro flex (USD/mes)</t>
  </si>
  <si>
    <t xml:space="preserve">consumo + comisiones + impuestos sobre ventas</t>
  </si>
  <si>
    <t xml:space="preserve">Contribución por miembro flex (USD/mes)</t>
  </si>
  <si>
    <t xml:space="preserve">precio neto − costo variable</t>
  </si>
  <si>
    <t xml:space="preserve">Costos fijos del mes 36</t>
  </si>
  <si>
    <t xml:space="preserve">Contribución de fijos, oficinas y extras del mes 36</t>
  </si>
  <si>
    <t xml:space="preserve">margen de contribución total − el de los miembros flex</t>
  </si>
  <si>
    <t xml:space="preserve">MIEMBROS FLEX NECESARIOS PARA EL EQUILIBRIO</t>
  </si>
  <si>
    <t xml:space="preserve">(fijos − otras contribuciones) / contribución por miembro</t>
  </si>
  <si>
    <t xml:space="preserve">Tope de miembros flex (puestos en el pico)</t>
  </si>
  <si>
    <t xml:space="preserve">Equilibrio como % del tope</t>
  </si>
  <si>
    <t xml:space="preserve">más de 80 %: el negocio depende de estar casi lleno</t>
  </si>
  <si>
    <t xml:space="preserve">Sensibilidad del resultado operativo mensual en régimen · escenario Base</t>
  </si>
  <si>
    <t xml:space="preserve">Miembros flex = % del tope de puestos. Precio = variación sobre los precios de Supuestos. Fijos, oficinas y extras como en el mes 36 del escenario Base. USD por mes, antes de Ganancias.</t>
  </si>
  <si>
    <t xml:space="preserve">Miembros flex (% del tope) ↓ / Precio →</t>
  </si>
  <si>
    <t xml:space="preserve">Lectura: en rojo, el mes da pérdida. La celda de 0 % de precio y la ocupación que alcanza el escenario Base es la del Resumen.</t>
  </si>
  <si>
    <t xml:space="preserve">Qué mueve más el resultado (mes en régimen, escenario Base, ±20 %)</t>
  </si>
  <si>
    <t xml:space="preserve">Variable</t>
  </si>
  <si>
    <t xml:space="preserve">−20 %</t>
  </si>
  <si>
    <t xml:space="preserve">+20 %</t>
  </si>
  <si>
    <t xml:space="preserve">Rango</t>
  </si>
  <si>
    <t xml:space="preserve">Precio de las membresías</t>
  </si>
  <si>
    <t xml:space="preserve">Cantidad de miembros flex</t>
  </si>
  <si>
    <t xml:space="preserve">Costos fijos</t>
  </si>
  <si>
    <t xml:space="preserve">Personal (sueldos y cargas)</t>
  </si>
  <si>
    <t xml:space="preserve">Referencia: resultado del mes 36, escenario Base</t>
  </si>
  <si>
    <t xml:space="preserve">Modelo mensual a 36 meses · escenario Conservador (USD constantes)</t>
  </si>
  <si>
    <t xml:space="preserve">Miembros = fin de mes. Ingresos sin IVA. Flujo de caja con la casa propia (sin alquiler pagado); abajo, el resultado económico restando el alquiler que se deja de cobrar.</t>
  </si>
  <si>
    <t xml:space="preserve">Mes</t>
  </si>
  <si>
    <t xml:space="preserve">MIEMBROS Y OCUPACIÓN</t>
  </si>
  <si>
    <t xml:space="preserve">Tope de miembros flex que entran en los puestos (pico)</t>
  </si>
  <si>
    <t xml:space="preserve">Altas de miembros flex en el mes</t>
  </si>
  <si>
    <t xml:space="preserve">Miembros flex (fin de mes)</t>
  </si>
  <si>
    <t xml:space="preserve">Bajas estimadas de flex en el mes</t>
  </si>
  <si>
    <t xml:space="preserve">Puestos fijos ocupados</t>
  </si>
  <si>
    <t xml:space="preserve">Oficinas privadas ocupadas</t>
  </si>
  <si>
    <t xml:space="preserve">Puestos-día usados por miembros flex</t>
  </si>
  <si>
    <t xml:space="preserve">Ocupación promedio de puestos flex (días hábiles)</t>
  </si>
  <si>
    <t xml:space="preserve">Puestos flex simultáneos en el pico (estimado)</t>
  </si>
  <si>
    <t xml:space="preserve">INGRESOS (USD sin IVA)</t>
  </si>
  <si>
    <t xml:space="preserve">Membresías flex (días por mes / ilimitado)</t>
  </si>
  <si>
    <t xml:space="preserve">Puestos fijos</t>
  </si>
  <si>
    <t xml:space="preserve">Oficinas privadas (complemento)</t>
  </si>
  <si>
    <t xml:space="preserve">Pases diarios</t>
  </si>
  <si>
    <t xml:space="preserve">Salas por hora a externos</t>
  </si>
  <si>
    <t xml:space="preserve">Otros (domicilio comercial, eventos)</t>
  </si>
  <si>
    <t xml:space="preserve">INGRESOS TOTALES</t>
  </si>
  <si>
    <t xml:space="preserve">Café, té, agua y consumibles</t>
  </si>
  <si>
    <t xml:space="preserve">Comisiones de cobro</t>
  </si>
  <si>
    <t xml:space="preserve">Ingresos Brutos</t>
  </si>
  <si>
    <t xml:space="preserve">Impuesto a los débitos y créditos (aprox.)</t>
  </si>
  <si>
    <t xml:space="preserve">Total costos variables</t>
  </si>
  <si>
    <t xml:space="preserve">MARGEN DE CONTRIBUCIÓN</t>
  </si>
  <si>
    <t xml:space="preserve">COSTOS FIJOS MENSUALES</t>
  </si>
  <si>
    <t xml:space="preserve">Personal (recepción / comunidad), con cargas</t>
  </si>
  <si>
    <t xml:space="preserve">Seguros</t>
  </si>
  <si>
    <t xml:space="preserve">Mantenimiento y reposición</t>
  </si>
  <si>
    <t xml:space="preserve">Publicidad y comunidad (eventos, desayunos)</t>
  </si>
  <si>
    <t xml:space="preserve">Otros e imprevistos</t>
  </si>
  <si>
    <t xml:space="preserve">Total costos fijos</t>
  </si>
  <si>
    <t xml:space="preserve">RESULTADO Y CAJA</t>
  </si>
  <si>
    <t xml:space="preserve">RESULTADO OPERATIVO (antes de Ganancias)</t>
  </si>
  <si>
    <t xml:space="preserve">Inversión inicial</t>
  </si>
  <si>
    <t xml:space="preserve">Flujo de caja del proyecto (casa propia, sin alquiler pagado)</t>
  </si>
  <si>
    <t xml:space="preserve">Flujo acumulado</t>
  </si>
  <si>
    <t xml:space="preserve">Alquiler de la casa que se deja de cobrar (costo de oportunidad)</t>
  </si>
  <si>
    <t xml:space="preserve">Resultado económico frente a alquilar la casa</t>
  </si>
  <si>
    <t xml:space="preserve">Resultado económico acumulado</t>
  </si>
  <si>
    <t xml:space="preserve">Modelo mensual a 36 meses · escenario Base (USD constantes)</t>
  </si>
  <si>
    <t xml:space="preserve">Modelo mensual a 36 meses · escenario Favorable (USD constantes)</t>
  </si>
  <si>
    <t xml:space="preserve">Precios del mercado: solo fichas VERIFICADAS (ARS por mes, con IVA)</t>
  </si>
  <si>
    <t xml:space="preserve">USD pasados a pesos con el TC de Supuestos; precios 'IVA excluido' llevados a con IVA. Una cadena con varias sedes cuenta una vez. No se usan precios históricos.</t>
  </si>
  <si>
    <t xml:space="preserve">Zona</t>
  </si>
  <si>
    <t xml:space="preserve">Planes únicos</t>
  </si>
  <si>
    <t xml:space="preserve">Marcas</t>
  </si>
  <si>
    <t xml:space="preserve">Mínimo</t>
  </si>
  <si>
    <t xml:space="preserve">Mediana</t>
  </si>
  <si>
    <t xml:space="preserve">Máximo</t>
  </si>
  <si>
    <t xml:space="preserve">Vigencia del precio</t>
  </si>
  <si>
    <t xml:space="preserve">Moneda publicada</t>
  </si>
  <si>
    <t xml:space="preserve">IVA publicado</t>
  </si>
  <si>
    <t xml:space="preserve">A · Cercana (Com. 9, 10, 11, 12, 15)</t>
  </si>
  <si>
    <t xml:space="preserve">12-13 días por mes</t>
  </si>
  <si>
    <t xml:space="preserve">Ambrela</t>
  </si>
  <si>
    <t xml:space="preserve">publicado_sin_vigencia</t>
  </si>
  <si>
    <t xml:space="preserve">ARS</t>
  </si>
  <si>
    <t xml:space="preserve">sin aclarar</t>
  </si>
  <si>
    <t xml:space="preserve">8-10 días por mes</t>
  </si>
  <si>
    <t xml:space="preserve">Puesto fijo (por mes)</t>
  </si>
  <si>
    <t xml:space="preserve">Sala (por hora)</t>
  </si>
  <si>
    <t xml:space="preserve">C · Centro y Palermo (Com. 1, 14 y otras)</t>
  </si>
  <si>
    <t xml:space="preserve">HUERTA Coworking</t>
  </si>
  <si>
    <t xml:space="preserve">vigente_comprobado</t>
  </si>
  <si>
    <t xml:space="preserve">excluido</t>
  </si>
  <si>
    <t xml:space="preserve">2 días fijos por semana (L y V)</t>
  </si>
  <si>
    <t xml:space="preserve">4-5 días por mes</t>
  </si>
  <si>
    <t xml:space="preserve">HUERTA Coworking, Regus (IWG)</t>
  </si>
  <si>
    <t xml:space="preserve">ARS, USD</t>
  </si>
  <si>
    <t xml:space="preserve">excluido, sin aclarar</t>
  </si>
  <si>
    <t xml:space="preserve">Ilimitado flex (por mes)</t>
  </si>
  <si>
    <t xml:space="preserve">HUERTA Coworking, Regus (IWG), WeWork</t>
  </si>
  <si>
    <t xml:space="preserve">Regus (IWG)</t>
  </si>
  <si>
    <t xml:space="preserve">Precios de fichas PROBABLES o INCIERTAS: aparte, no alimentan el modelo</t>
  </si>
  <si>
    <t xml:space="preserve">Misma conversión que la hoja verificada. Sin confirmar que la sede exista, siga abierta o que el precio esté vigente.</t>
  </si>
  <si>
    <t xml:space="preserve">elburó</t>
  </si>
  <si>
    <t xml:space="preserve">Spaces (IWG)</t>
  </si>
  <si>
    <t xml:space="preserve">Qué hay en el censo de sedes (98 fichas) y cuánto está confirmado</t>
  </si>
  <si>
    <t xml:space="preserve">Solo las fichas 'verificado' + 'principal' alimentan los precios. Probable e incierto van aparte. Cerradas, GBA y próximas aperturas están excluidas.</t>
  </si>
  <si>
    <t xml:space="preserve">Estado de la ficha</t>
  </si>
  <si>
    <t xml:space="preserve">Categoría</t>
  </si>
  <si>
    <t xml:space="preserve">Fichas</t>
  </si>
  <si>
    <t xml:space="preserve">cerrado</t>
  </si>
  <si>
    <t xml:space="preserve">excluida</t>
  </si>
  <si>
    <t xml:space="preserve">incierto</t>
  </si>
  <si>
    <t xml:space="preserve">candidata_pendiente</t>
  </si>
  <si>
    <t xml:space="preserve">sustituto</t>
  </si>
  <si>
    <t xml:space="preserve">probable</t>
  </si>
  <si>
    <t xml:space="preserve">principal</t>
  </si>
  <si>
    <t xml:space="preserve">secundaria</t>
  </si>
  <si>
    <t xml:space="preserve">verificado</t>
  </si>
  <si>
    <t xml:space="preserve">B · Norte (Com. 13: Belgrano, Núñez)</t>
  </si>
  <si>
    <t xml:space="preserve">proxima_apertura</t>
  </si>
  <si>
    <t xml:space="preserve">D · Fuera de CABA o sin zona</t>
  </si>
  <si>
    <t xml:space="preserve">TOTAL</t>
  </si>
  <si>
    <t xml:space="preserve">Datos que faltan (ninguno se buscó en la web: se pregunta primero)</t>
  </si>
  <si>
    <t xml:space="preserve">Lo que no tiene dato entra en 0 o en un piso con fuente, así que el resultado del modelo es una COTA OPTIMISTA: lo real es peor o igual.</t>
  </si>
  <si>
    <t xml:space="preserve">N°</t>
  </si>
  <si>
    <t xml:space="preserve">Qué falta</t>
  </si>
  <si>
    <t xml:space="preserve">Por qué importa</t>
  </si>
  <si>
    <t xml:space="preserve">Cómo está cargado hoy</t>
  </si>
  <si>
    <t xml:space="preserve">Quién lo puede dar</t>
  </si>
  <si>
    <t xml:space="preserve">Valor de alquiler (y de venta) de la casa de 450 m²</t>
  </si>
  <si>
    <t xml:space="preserve">Es el costo de oportunidad: lo que se deja de cobrar. Sin él no se puede decir si conviene más alquilar la casa.</t>
  </si>
  <si>
    <t xml:space="preserve">alquiler_casa_usd = 0. El Resumen y la hoja Lectura muestran cuánto resultado operativo queda para pagarlo.</t>
  </si>
  <si>
    <t xml:space="preserve">Cris (o avisos de casas de 300 a 600 m² en Villa del Parque, Devoto, Santa Rita y Agronomía)</t>
  </si>
  <si>
    <t xml:space="preserve">Facturas de luz, gas y agua de la casa (12 meses) o consumo estimado</t>
  </si>
  <si>
    <t xml:space="preserve">Hoy solo hay tarifas, no consumo. Con 40 a 60 personas y aire acondicionado puede ser un costo grande.</t>
  </si>
  <si>
    <t xml:space="preserve">servicios_usd = solo cargos fijos (USD 27 por mes).</t>
  </si>
  <si>
    <t xml:space="preserve">Cris (facturas) o un profesional de instalaciones</t>
  </si>
  <si>
    <t xml:space="preserve">Honorarios de contador (Responsable Inscripto)</t>
  </si>
  <si>
    <t xml:space="preserve">Es un costo fijo seguro.</t>
  </si>
  <si>
    <t xml:space="preserve">admin_usd = 0.</t>
  </si>
  <si>
    <t xml:space="preserve">Cris / contador</t>
  </si>
  <si>
    <t xml:space="preserve">Plano de la casa y m² reales por piso</t>
  </si>
  <si>
    <t xml:space="preserve">Define cuántos puestos entran, el techado del patio y la superficie de la unidad de uso (500 m² cambia el trámite).</t>
  </si>
  <si>
    <t xml:space="preserve">Capacidad supuesta: 7,5 a 11 m² por puesto; patio de 60 m² supuesto.</t>
  </si>
  <si>
    <t xml:space="preserve">Cris (planos) / arquitecto</t>
  </si>
  <si>
    <t xml:space="preserve">Demanda local: cuántos interesados hay en el barrio</t>
  </si>
  <si>
    <t xml:space="preserve">Todo el ritmo de altas es supuesto. No hay un solo dato de usuarios potenciales ni de disposición a pagar.</t>
  </si>
  <si>
    <t xml:space="preserve">Altas por mes supuestas (1 a 5).</t>
  </si>
  <si>
    <t xml:space="preserve">Cris (preventa o lista de espera)</t>
  </si>
  <si>
    <t xml:space="preserve">Precio de relleno de pileta</t>
  </si>
  <si>
    <t xml:space="preserve">No hay precio en las fuentes.</t>
  </si>
  <si>
    <t xml:space="preserve">pileta_usd = 0.</t>
  </si>
  <si>
    <t xml:space="preserve">Presupuesto de albañilería</t>
  </si>
  <si>
    <t xml:space="preserve">Precio de cabinas acústicas</t>
  </si>
  <si>
    <t xml:space="preserve">No hay precio argentino.</t>
  </si>
  <si>
    <t xml:space="preserve">cabina_usd = 0.</t>
  </si>
  <si>
    <t xml:space="preserve">Proveedor</t>
  </si>
  <si>
    <t xml:space="preserve">Precio de baño accesible</t>
  </si>
  <si>
    <t xml:space="preserve">El rango usado es de reforma de baño común.</t>
  </si>
  <si>
    <t xml:space="preserve">Proxy: reforma 'media' de ARS 5 a 9 millones.</t>
  </si>
  <si>
    <t xml:space="preserve">Presupuesto</t>
  </si>
  <si>
    <t xml:space="preserve">Mesa de reuniones, sillas de sala, espresso comercial, vajilla, switch PoE y cableado</t>
  </si>
  <si>
    <t xml:space="preserve">Equipamiento sin precio.</t>
  </si>
  <si>
    <t xml:space="preserve">No incluidos.</t>
  </si>
  <si>
    <t xml:space="preserve">Proveedores</t>
  </si>
  <si>
    <t xml:space="preserve">Cotización de internet empresarial simétrica</t>
  </si>
  <si>
    <t xml:space="preserve">Hoy hay precios de planes residenciales.</t>
  </si>
  <si>
    <t xml:space="preserve">Fibra de combo + respaldo Starlink.</t>
  </si>
  <si>
    <t xml:space="preserve">Operadores</t>
  </si>
  <si>
    <t xml:space="preserve">Certificado urbanístico y de uso conforme; regularización de planos (catastro 2008 no muestra subsuelo ni planta alta)</t>
  </si>
  <si>
    <t xml:space="preserve">El Código dice que el uso está permitido, pero no hay certificado. Puede haber multas y obra de regularización.</t>
  </si>
  <si>
    <t xml:space="preserve">No cuantificado.</t>
  </si>
  <si>
    <t xml:space="preserve">Gestor / arquitecto (entorno_y_normativa.md, 2.6)</t>
  </si>
  <si>
    <t xml:space="preserve">Si techar el patio se puede; estacionamiento exigible (2 módulos); accesibilidad en una casa de 3 niveles</t>
  </si>
  <si>
    <t xml:space="preserve">Pueden sumar obra o frenar el proyecto.</t>
  </si>
  <si>
    <t xml:space="preserve">No cuantificado; el techado de 60 m² está incluido como si se pudiera.</t>
  </si>
  <si>
    <t xml:space="preserve">Arquitecto / DGIUR</t>
  </si>
  <si>
    <t xml:space="preserve">Vigencia, fecha, IVA y moneda de los precios de Ambrela</t>
  </si>
  <si>
    <t xml:space="preserve">Es el único comparable verificado de la zona y su ficha dice 'sin fecha', sin IVA aclarado y sin moneda explícita. Todo el precio del modelo cuelga de ahí.</t>
  </si>
  <si>
    <t xml:space="preserve">Se toman como ARS con IVA incluido.</t>
  </si>
  <si>
    <t xml:space="preserve">Mirar la web de Ambrela / consultar</t>
  </si>
  <si>
    <t xml:space="preserve">Confirmar elburó (Villa Urquiza, ficha probable): Flex desde 115.000 y puesto fijo 257.000 a 300.000</t>
  </si>
  <si>
    <t xml:space="preserve">Si es real, el techo de precios de la zona es más alto que el de Ambrela. Hoy no se puede usar.</t>
  </si>
  <si>
    <t xml:space="preserve">Fuera del modelo; figura en Mercado_no_verificado.</t>
  </si>
  <si>
    <t xml:space="preserve">Mirar la web de elburó / consultar</t>
  </si>
  <si>
    <t xml:space="preserve">Resto de CABA (grupos G2, G4 a G6), Instagram y fotos</t>
  </si>
  <si>
    <t xml:space="preserve">No se relevaron. Faltan también las cadenas Urban Station y AreaTres, según el LEEME.</t>
  </si>
  <si>
    <t xml:space="preserve">No incluidos; no cambian la zona cercana.</t>
  </si>
  <si>
    <t xml:space="preserve">Siguiente tramo, si Cris lo pide</t>
  </si>
  <si>
    <t xml:space="preserve">Secciones 5 a 9 de entorno_y_normativa.md (escala de Comuna, estado de las leyes)</t>
  </si>
  <si>
    <t xml:space="preserve">El archivo anuncia secciones que nunca se escribieron.</t>
  </si>
  <si>
    <t xml:space="preserve">—</t>
  </si>
  <si>
    <t xml:space="preserve">Siguiente tramo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</si>
</sst>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;[RED]\-#,##0.00"/>
    <numFmt numFmtId="166" formatCode="0.0"/>
    <numFmt numFmtId="167" formatCode="0.0%"/>
    <numFmt numFmtId="168" formatCode="#,##0;[RED]\-#,##0"/>
    <numFmt numFmtId="169" formatCode="0.00"/>
    <numFmt numFmtId="170" formatCode="#,##0"/>
    <numFmt numFmtId="171" formatCode="0"/>
    <numFmt numFmtId="172" formatCode="#,##0.0"/>
    <numFmt numFmtId="173" formatCode="\+0%;\-0%;0%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1717"/>
      <name val="Arial"/>
      <family val="0"/>
      <charset val="1"/>
    </font>
    <font>
      <i val="true"/>
      <sz val="9"/>
      <color rgb="FF6A6A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B2B34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1F4E9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53C64"/>
        <bgColor rgb="FF2B2B34"/>
      </patternFill>
    </fill>
    <fill>
      <patternFill patternType="solid">
        <fgColor rgb="FFFBF0D9"/>
        <bgColor rgb="FFEEF2FA"/>
      </patternFill>
    </fill>
    <fill>
      <patternFill patternType="solid">
        <fgColor rgb="FFDBDBDB"/>
        <bgColor rgb="FFF8D7DA"/>
      </patternFill>
    </fill>
    <fill>
      <patternFill patternType="solid">
        <fgColor rgb="FFEEF2FA"/>
        <bgColor rgb="FFFBF0D9"/>
      </patternFill>
    </fill>
    <fill>
      <patternFill patternType="solid">
        <fgColor rgb="FFF8D7DA"/>
        <bgColor rgb="FFDBDBD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0D9"/>
      <rgbColor rgb="FFEEF2FA"/>
      <rgbColor rgb="FF660066"/>
      <rgbColor rgb="FFFF8080"/>
      <rgbColor rgb="FF1F4E9E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003366"/>
      <rgbColor rgb="FF339966"/>
      <rgbColor rgb="FF171717"/>
      <rgbColor rgb="FF333300"/>
      <rgbColor rgb="FF993300"/>
      <rgbColor rgb="FF993366"/>
      <rgbColor rgb="FF253C64"/>
      <rgbColor rgb="FF2B2B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6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n">
        <f aca="false">Equilibrio!B5</f>
        <v>40.911951684679</v>
      </c>
      <c r="C5" s="5" t="n">
        <f aca="false">Equilibrio!C5</f>
        <v>46.9729815638907</v>
      </c>
      <c r="D5" s="5" t="n">
        <f aca="false">Equilibrio!D5</f>
        <v>50.3823108709472</v>
      </c>
      <c r="E5" s="2" t="s">
        <v>8</v>
      </c>
    </row>
    <row r="6" customFormat="false" ht="15" hidden="false" customHeight="false" outlineLevel="0" collapsed="false">
      <c r="A6" s="4" t="s">
        <v>9</v>
      </c>
      <c r="B6" s="6" t="n">
        <f aca="false">Equilibrio!B11</f>
        <v>204.6113330386</v>
      </c>
      <c r="C6" s="6" t="n">
        <f aca="false">Equilibrio!C11</f>
        <v>77.9306284767899</v>
      </c>
      <c r="D6" s="6" t="n">
        <f aca="false">Equilibrio!D11</f>
        <v>31.4571236933061</v>
      </c>
      <c r="E6" s="2" t="s">
        <v>10</v>
      </c>
    </row>
    <row r="7" customFormat="false" ht="15" hidden="false" customHeight="false" outlineLevel="0" collapsed="false">
      <c r="A7" s="4" t="s">
        <v>11</v>
      </c>
      <c r="B7" s="6" t="n">
        <f aca="false">Equilibrio!B12</f>
        <v>45.5617931820031</v>
      </c>
      <c r="C7" s="6" t="n">
        <f aca="false">Equilibrio!C12</f>
        <v>60.3255665496329</v>
      </c>
      <c r="D7" s="6" t="n">
        <f aca="false">Equilibrio!D12</f>
        <v>78.0746887966805</v>
      </c>
      <c r="E7" s="2" t="s">
        <v>12</v>
      </c>
    </row>
    <row r="8" customFormat="false" ht="15" hidden="false" customHeight="false" outlineLevel="0" collapsed="false">
      <c r="A8" s="4" t="s">
        <v>13</v>
      </c>
      <c r="B8" s="7" t="n">
        <f aca="false">Equilibrio!B13</f>
        <v>4.49085338281684</v>
      </c>
      <c r="C8" s="7" t="n">
        <f aca="false">Equilibrio!C13</f>
        <v>1.29183417469726</v>
      </c>
      <c r="D8" s="7" t="n">
        <f aca="false">Equilibrio!D13</f>
        <v>0.402910651046278</v>
      </c>
      <c r="E8" s="2" t="s">
        <v>14</v>
      </c>
    </row>
    <row r="9" customFormat="false" ht="15" hidden="false" customHeight="false" outlineLevel="0" collapsed="false">
      <c r="A9" s="4" t="s">
        <v>15</v>
      </c>
      <c r="B9" s="8" t="n">
        <f aca="false">Equilibrio!B12*Equilibrio!B8+Equilibrio!B10-Equilibrio!B9</f>
        <v>-3604.49118481509</v>
      </c>
      <c r="C9" s="8" t="n">
        <f aca="false">Equilibrio!C12*Equilibrio!C8+Equilibrio!C10-Equilibrio!C9</f>
        <v>-618.156985344557</v>
      </c>
      <c r="D9" s="8" t="n">
        <f aca="false">Equilibrio!D12*Equilibrio!D8+Equilibrio!D10-Equilibrio!D9</f>
        <v>2054.34937676606</v>
      </c>
      <c r="E9" s="2" t="s">
        <v>16</v>
      </c>
    </row>
    <row r="10" customFormat="false" ht="15" hidden="false" customHeight="false" outlineLevel="0" collapsed="false">
      <c r="A10" s="4" t="s">
        <v>17</v>
      </c>
      <c r="B10" s="8" t="n">
        <f aca="false">Resumen!B11</f>
        <v>-4343.62537820844</v>
      </c>
      <c r="C10" s="8" t="n">
        <f aca="false">Resumen!C11</f>
        <v>-1603.69525307417</v>
      </c>
      <c r="D10" s="8" t="n">
        <f aca="false">Resumen!D11</f>
        <v>1078.58106319866</v>
      </c>
      <c r="E10" s="2" t="s">
        <v>18</v>
      </c>
    </row>
    <row r="11" customFormat="false" ht="15" hidden="false" customHeight="false" outlineLevel="0" collapsed="false">
      <c r="A11" s="4" t="s">
        <v>19</v>
      </c>
      <c r="B11" s="8" t="n">
        <f aca="false">Resumen!B5</f>
        <v>275790.1894</v>
      </c>
      <c r="C11" s="8" t="n">
        <f aca="false">Resumen!C5</f>
        <v>197524.94272</v>
      </c>
      <c r="D11" s="8" t="n">
        <f aca="false">Resumen!D5</f>
        <v>135685.4048</v>
      </c>
      <c r="E11" s="2" t="s">
        <v>20</v>
      </c>
    </row>
    <row r="12" customFormat="false" ht="15" hidden="false" customHeight="false" outlineLevel="0" collapsed="false">
      <c r="A12" s="4" t="s">
        <v>21</v>
      </c>
      <c r="B12" s="6" t="str">
        <f aca="false">IF(B9&gt;0,B11/(B9*12),"no la recupera")</f>
        <v>no la recupera</v>
      </c>
      <c r="C12" s="6" t="str">
        <f aca="false">IF(C9&gt;0,C11/(C9*12),"no la recupera")</f>
        <v>no la recupera</v>
      </c>
      <c r="D12" s="6" t="n">
        <f aca="false">IF(D9&gt;0,D11/(D9*12),"no la recupera")</f>
        <v>5.50398933820411</v>
      </c>
      <c r="E12" s="2" t="s">
        <v>22</v>
      </c>
    </row>
    <row r="13" customFormat="false" ht="15" hidden="false" customHeight="false" outlineLevel="0" collapsed="false">
      <c r="A13" s="4" t="s">
        <v>23</v>
      </c>
      <c r="B13" s="9" t="n">
        <f aca="false">(Equilibrio!B9+0.8*Equilibrio!B12*(Equilibrio!B7-Equilibrio!B5*((1+Supuestos!$D$7*Supuestos!$D$8)*(Supuestos!$D$54+Supuestos!$D$56)+Supuestos!$D$55)))/(0.8*Equilibrio!B12*Equilibrio!B5*(1-((1+Supuestos!$D$7*Supuestos!$D$8)*(Supuestos!$D$54+Supuestos!$D$56)+Supuestos!$D$55))+Equilibrio!B10)</f>
        <v>3.18299849900369</v>
      </c>
      <c r="C13" s="9" t="n">
        <f aca="false">(Equilibrio!C9+0.8*Equilibrio!C12*(Equilibrio!C7-Equilibrio!C5*((1+Supuestos!$E$7*Supuestos!$E$8)*(Supuestos!$E$54+Supuestos!$E$56)+Supuestos!$E$55)))/(0.8*Equilibrio!C12*Equilibrio!C5*(1-((1+Supuestos!$E$7*Supuestos!$E$8)*(Supuestos!$E$54+Supuestos!$E$56)+Supuestos!$E$55))+Equilibrio!C10)</f>
        <v>1.33824534076998</v>
      </c>
      <c r="D13" s="9" t="n">
        <f aca="false">(Equilibrio!D9+0.8*Equilibrio!D12*(Equilibrio!D7-Equilibrio!D5*((1+Supuestos!$F$7*Supuestos!$F$8)*(Supuestos!$F$54+Supuestos!$F$56)+Supuestos!$F$55)))/(0.8*Equilibrio!D12*Equilibrio!D5*(1-((1+Supuestos!$F$7*Supuestos!$F$8)*(Supuestos!$F$54+Supuestos!$F$56)+Supuestos!$F$55))+Equilibrio!D10)</f>
        <v>0.715225350987028</v>
      </c>
      <c r="E13" s="2" t="s">
        <v>24</v>
      </c>
    </row>
    <row r="14" customFormat="false" ht="15" hidden="false" customHeight="false" outlineLevel="0" collapsed="false">
      <c r="A14" s="4" t="s">
        <v>25</v>
      </c>
      <c r="B14" s="10" t="n">
        <f aca="false">B13*Supuestos!$D$27*Supuestos!$D$37</f>
        <v>295063.960857642</v>
      </c>
      <c r="C14" s="10" t="n">
        <f aca="false">C13*Supuestos!$E$27*Supuestos!$E$37</f>
        <v>137839.270099308</v>
      </c>
      <c r="D14" s="10" t="n">
        <f aca="false">D13*Supuestos!$F$27*Supuestos!$F$37</f>
        <v>77351.6217092471</v>
      </c>
      <c r="E14" s="2" t="s">
        <v>26</v>
      </c>
    </row>
    <row r="15" customFormat="false" ht="15" hidden="false" customHeight="false" outlineLevel="0" collapsed="false">
      <c r="A15" s="4" t="s">
        <v>27</v>
      </c>
      <c r="B15" s="8" t="n">
        <f aca="false">B9+Modelo_Conservador!AM30*(1+Supuestos!$D$69)</f>
        <v>-1725.93918481509</v>
      </c>
      <c r="C15" s="8" t="n">
        <f aca="false">C9+Modelo_Base!AM30*(1+Supuestos!$E$69)</f>
        <v>1121.90301465544</v>
      </c>
      <c r="D15" s="8" t="n">
        <f aca="false">D9+Modelo_Favorable!AM30*(1+Supuestos!$F$69)</f>
        <v>3707.94187676606</v>
      </c>
      <c r="E15" s="2" t="s">
        <v>28</v>
      </c>
    </row>
    <row r="16" customFormat="false" ht="15" hidden="false" customHeight="false" outlineLevel="0" collapsed="false">
      <c r="A16" s="4" t="s">
        <v>29</v>
      </c>
      <c r="B16" s="6" t="str">
        <f aca="false">IF(B15&gt;0,B11/(B15*12),"no la recupera")</f>
        <v>no la recupera</v>
      </c>
      <c r="C16" s="6" t="n">
        <f aca="false">IF(C15&gt;0,C11/(C15*12),"no la recupera")</f>
        <v>14.6718670672158</v>
      </c>
      <c r="D16" s="6" t="n">
        <f aca="false">IF(D15&gt;0,D11/(D15*12),"no la recupera")</f>
        <v>3.04943212230941</v>
      </c>
      <c r="E16" s="2" t="s">
        <v>30</v>
      </c>
    </row>
    <row r="17" customFormat="false" ht="15" hidden="false" customHeight="false" outlineLevel="0" collapsed="false">
      <c r="A17" s="11" t="s">
        <v>31</v>
      </c>
      <c r="B17" s="12" t="str">
        <f aca="false">IF(B9&lt;0,"NO DA",IF(B8&gt;0.8,"AJUSTADO",IF(B12&gt;5,"SOLO OPERATIVO","DA")))</f>
        <v>NO DA</v>
      </c>
      <c r="C17" s="12" t="str">
        <f aca="false">IF(C9&lt;0,"NO DA",IF(C8&gt;0.8,"AJUSTADO",IF(C12&gt;5,"SOLO OPERATIVO","DA")))</f>
        <v>NO DA</v>
      </c>
      <c r="D17" s="12" t="str">
        <f aca="false">IF(D9&lt;0,"NO DA",IF(D8&gt;0.8,"AJUSTADO",IF(D12&gt;5,"SOLO OPERATIVO","DA")))</f>
        <v>SOLO OPERATIVO</v>
      </c>
      <c r="E17" s="2" t="s">
        <v>32</v>
      </c>
    </row>
    <row r="19" customFormat="false" ht="15" hidden="false" customHeight="false" outlineLevel="0" collapsed="false">
      <c r="A19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19</v>
      </c>
      <c r="B5" s="8" t="n">
        <f aca="false">Inversion!D21</f>
        <v>275790.1894</v>
      </c>
      <c r="C5" s="8" t="n">
        <f aca="false">Inversion!E21</f>
        <v>197524.94272</v>
      </c>
      <c r="D5" s="8" t="n">
        <f aca="false">Inversion!F21</f>
        <v>135685.4048</v>
      </c>
      <c r="E5" s="2" t="s">
        <v>36</v>
      </c>
    </row>
    <row r="6" customFormat="false" ht="15" hidden="false" customHeight="false" outlineLevel="0" collapsed="false">
      <c r="A6" s="4" t="s">
        <v>37</v>
      </c>
      <c r="B6" s="8" t="n">
        <f aca="false">-MIN(Modelo_Conservador!C45:AM45)</f>
        <v>434690.544485175</v>
      </c>
      <c r="C6" s="8" t="n">
        <f aca="false">-MIN(Modelo_Base!C45:AM45)</f>
        <v>265076.001212882</v>
      </c>
      <c r="D6" s="8" t="n">
        <f aca="false">-MIN(Modelo_Favorable!C45:AM45)</f>
        <v>141419.635956623</v>
      </c>
      <c r="E6" s="2" t="s">
        <v>38</v>
      </c>
    </row>
    <row r="7" customFormat="false" ht="15" hidden="false" customHeight="false" outlineLevel="0" collapsed="false">
      <c r="A7" s="4" t="s">
        <v>39</v>
      </c>
      <c r="B7" s="13" t="n">
        <f aca="false">Modelo_Conservador!O7</f>
        <v>15.8083403086279</v>
      </c>
      <c r="C7" s="13" t="n">
        <f aca="false">Modelo_Base!O7</f>
        <v>28.5835858333586</v>
      </c>
      <c r="D7" s="13" t="n">
        <f aca="false">Modelo_Favorable!O7</f>
        <v>46.0694299228627</v>
      </c>
      <c r="E7" s="2"/>
    </row>
    <row r="8" customFormat="false" ht="15" hidden="false" customHeight="false" outlineLevel="0" collapsed="false">
      <c r="A8" s="4" t="s">
        <v>40</v>
      </c>
      <c r="B8" s="13" t="n">
        <f aca="false">Modelo_Conservador!AM7</f>
        <v>12.9472167206324</v>
      </c>
      <c r="C8" s="13" t="n">
        <f aca="false">Modelo_Base!AM7</f>
        <v>32.2575148308747</v>
      </c>
      <c r="D8" s="13" t="n">
        <f aca="false">Modelo_Favorable!AM7</f>
        <v>55.9324264346937</v>
      </c>
      <c r="E8" s="2" t="s">
        <v>41</v>
      </c>
    </row>
    <row r="9" customFormat="false" ht="15" hidden="false" customHeight="false" outlineLevel="0" collapsed="false">
      <c r="A9" s="4" t="s">
        <v>42</v>
      </c>
      <c r="B9" s="7" t="n">
        <f aca="false">Modelo_Conservador!AM12</f>
        <v>0.210495027398535</v>
      </c>
      <c r="C9" s="7" t="n">
        <f aca="false">Modelo_Base!AM12</f>
        <v>0.411325982764063</v>
      </c>
      <c r="D9" s="7" t="n">
        <f aca="false">Modelo_Favorable!AM12</f>
        <v>0.573117124607193</v>
      </c>
      <c r="E9" s="2" t="s">
        <v>43</v>
      </c>
    </row>
    <row r="10" customFormat="false" ht="15" hidden="false" customHeight="false" outlineLevel="0" collapsed="false">
      <c r="A10" s="4" t="s">
        <v>44</v>
      </c>
      <c r="B10" s="8" t="n">
        <f aca="false">Modelo_Conservador!AM21</f>
        <v>1336.81605750028</v>
      </c>
      <c r="C10" s="8" t="n">
        <f aca="false">Modelo_Base!AM21</f>
        <v>2828.80444029312</v>
      </c>
      <c r="D10" s="8" t="n">
        <f aca="false">Modelo_Favorable!AM21</f>
        <v>4875.80845647541</v>
      </c>
      <c r="E10" s="2"/>
    </row>
    <row r="11" customFormat="false" ht="15" hidden="false" customHeight="false" outlineLevel="0" collapsed="false">
      <c r="A11" s="4" t="s">
        <v>45</v>
      </c>
      <c r="B11" s="8" t="n">
        <f aca="false">Modelo_Conservador!AM42</f>
        <v>-4343.62537820844</v>
      </c>
      <c r="C11" s="8" t="n">
        <f aca="false">Modelo_Base!AM42</f>
        <v>-1603.69525307417</v>
      </c>
      <c r="D11" s="8" t="n">
        <f aca="false">Modelo_Favorable!AM42</f>
        <v>1078.58106319866</v>
      </c>
      <c r="E11" s="2"/>
    </row>
    <row r="12" customFormat="false" ht="15" hidden="false" customHeight="false" outlineLevel="0" collapsed="false">
      <c r="A12" s="4" t="s">
        <v>46</v>
      </c>
      <c r="B12" s="8" t="n">
        <f aca="false">SUM(Modelo_Conservador!D42:AM42)</f>
        <v>-158900.355085175</v>
      </c>
      <c r="C12" s="8" t="n">
        <f aca="false">SUM(Modelo_Base!D42:AM42)</f>
        <v>-67551.0584928819</v>
      </c>
      <c r="D12" s="8" t="n">
        <f aca="false">SUM(Modelo_Favorable!D42:AM42)</f>
        <v>18897.5524784275</v>
      </c>
      <c r="E12" s="2"/>
    </row>
    <row r="13" customFormat="false" ht="15" hidden="false" customHeight="false" outlineLevel="0" collapsed="false">
      <c r="A13" s="4" t="s">
        <v>47</v>
      </c>
      <c r="B13" s="7" t="n">
        <f aca="false">IFERROR(SUM(Modelo_Conservador!AB42:AM42)/SUM(Modelo_Conservador!AB21:AM21),0)</f>
        <v>-3.2157883036349</v>
      </c>
      <c r="C13" s="7" t="n">
        <f aca="false">IFERROR(SUM(Modelo_Base!AB42:AM42)/SUM(Modelo_Base!AB21:AM21),0)</f>
        <v>-0.577274158902897</v>
      </c>
      <c r="D13" s="7" t="n">
        <f aca="false">IFERROR(SUM(Modelo_Favorable!AB42:AM42)/SUM(Modelo_Favorable!AB21:AM21),0)</f>
        <v>0.211544433524012</v>
      </c>
      <c r="E13" s="2" t="s">
        <v>48</v>
      </c>
    </row>
    <row r="14" customFormat="false" ht="15" hidden="false" customHeight="false" outlineLevel="0" collapsed="false">
      <c r="A14" s="4" t="s">
        <v>49</v>
      </c>
      <c r="B14" s="13" t="str">
        <f aca="false">IFERROR(MATCH(TRUE(),INDEX(Modelo_Conservador!C45:AM45&gt;=0,0),0)-1,"no recupera en 36 meses")</f>
        <v>no recupera en 36 meses</v>
      </c>
      <c r="C14" s="13" t="str">
        <f aca="false">IFERROR(MATCH(TRUE(),INDEX(Modelo_Base!C45:AM45&gt;=0,0),0)-1,"no recupera en 36 meses")</f>
        <v>no recupera en 36 meses</v>
      </c>
      <c r="D14" s="13" t="str">
        <f aca="false">IFERROR(MATCH(TRUE(),INDEX(Modelo_Favorable!C45:AM45&gt;=0,0),0)-1,"no recupera en 36 meses")</f>
        <v>no recupera en 36 meses</v>
      </c>
      <c r="E14" s="2" t="s">
        <v>50</v>
      </c>
    </row>
    <row r="15" customFormat="false" ht="15" hidden="false" customHeight="false" outlineLevel="0" collapsed="false">
      <c r="A15" s="4" t="s">
        <v>51</v>
      </c>
      <c r="B15" s="13" t="str">
        <f aca="false">IFERROR(MATCH(TRUE(),INDEX(Modelo_Conservador!C48:AM48&gt;=0,0),0)-1,"no recupera en 36 meses")</f>
        <v>no recupera en 36 meses</v>
      </c>
      <c r="C15" s="13" t="str">
        <f aca="false">IFERROR(MATCH(TRUE(),INDEX(Modelo_Base!C48:AM48&gt;=0,0),0)-1,"no recupera en 36 meses")</f>
        <v>no recupera en 36 meses</v>
      </c>
      <c r="D15" s="13" t="str">
        <f aca="false">IFERROR(MATCH(TRUE(),INDEX(Modelo_Favorable!C48:AM48&gt;=0,0),0)-1,"no recupera en 36 meses")</f>
        <v>no recupera en 36 meses</v>
      </c>
      <c r="E15" s="2" t="s">
        <v>52</v>
      </c>
    </row>
    <row r="16" customFormat="false" ht="15" hidden="false" customHeight="false" outlineLevel="0" collapsed="false">
      <c r="A16" s="4" t="s">
        <v>53</v>
      </c>
      <c r="B16" s="7" t="str">
        <f aca="false">IFERROR((1+IRR(Modelo_Conservador!C44:AM44))^12-1,"no calculable")</f>
        <v>no calculable</v>
      </c>
      <c r="C16" s="7" t="str">
        <f aca="false">IFERROR((1+IRR(Modelo_Base!C44:AM44))^12-1,"no calculable")</f>
        <v>no calculable</v>
      </c>
      <c r="D16" s="7" t="str">
        <f aca="false">IFERROR((1+IRR(Modelo_Favorable!C44:AM44))^12-1,"no calculable")</f>
        <v>no calculable</v>
      </c>
      <c r="E16" s="2" t="s">
        <v>54</v>
      </c>
    </row>
    <row r="17" customFormat="false" ht="15" hidden="false" customHeight="false" outlineLevel="0" collapsed="false">
      <c r="A17" s="4" t="s">
        <v>55</v>
      </c>
      <c r="B17" s="8" t="n">
        <f aca="false">NPV((1+Supuestos!$D$92)^(1/12)-1,Modelo_Conservador!D44:AM44)+Modelo_Conservador!C44+Supuestos!$D$93/(1+Supuestos!$D$92)^3</f>
        <v>-410246.249978855</v>
      </c>
      <c r="C17" s="8" t="n">
        <f aca="false">NPV((1+Supuestos!$E$92)^(1/12)-1,Modelo_Base!D44:AM44)+Modelo_Base!C44+Supuestos!$E$93/(1+Supuestos!$E$92)^3</f>
        <v>-255543.63014239</v>
      </c>
      <c r="D17" s="8" t="n">
        <f aca="false">NPV((1+Supuestos!$F$92)^(1/12)-1,Modelo_Favorable!D44:AM44)+Modelo_Favorable!C44+Supuestos!$F$93/(1+Supuestos!$F$92)^3</f>
        <v>-121557.684564228</v>
      </c>
      <c r="E17" s="2" t="s">
        <v>56</v>
      </c>
    </row>
    <row r="18" customFormat="false" ht="15" hidden="false" customHeight="false" outlineLevel="0" collapsed="false">
      <c r="A18" s="4" t="s">
        <v>57</v>
      </c>
      <c r="B18" s="8" t="n">
        <f aca="false">Supuestos!$D$91</f>
        <v>0</v>
      </c>
      <c r="C18" s="8" t="n">
        <f aca="false">Supuestos!$E$91</f>
        <v>0</v>
      </c>
      <c r="D18" s="8" t="n">
        <f aca="false">Supuestos!$F$91</f>
        <v>0</v>
      </c>
      <c r="E18" s="2" t="s">
        <v>58</v>
      </c>
    </row>
    <row r="19" customFormat="false" ht="15" hidden="false" customHeight="false" outlineLevel="0" collapsed="false">
      <c r="A19" s="4" t="s">
        <v>59</v>
      </c>
      <c r="B19" s="8" t="n">
        <f aca="false">AVERAGE(Modelo_Conservador!AB42:AM42)-Supuestos!$D$91</f>
        <v>-4337.05582054734</v>
      </c>
      <c r="C19" s="8" t="n">
        <f aca="false">AVERAGE(Modelo_Base!AB42:AM42)-Supuestos!$E$91</f>
        <v>-1620.22797953592</v>
      </c>
      <c r="D19" s="8" t="n">
        <f aca="false">AVERAGE(Modelo_Favorable!AB42:AM42)-Supuestos!$F$91</f>
        <v>1016.41495814466</v>
      </c>
      <c r="E19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90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3" t="s">
        <v>63</v>
      </c>
      <c r="B4" s="3" t="s">
        <v>64</v>
      </c>
      <c r="C4" s="3" t="s">
        <v>65</v>
      </c>
      <c r="D4" s="3" t="s">
        <v>3</v>
      </c>
      <c r="E4" s="3" t="s">
        <v>4</v>
      </c>
      <c r="F4" s="3" t="s">
        <v>5</v>
      </c>
      <c r="G4" s="3" t="s">
        <v>66</v>
      </c>
      <c r="H4" s="3" t="s">
        <v>67</v>
      </c>
    </row>
    <row r="5" customFormat="false" ht="15" hidden="false" customHeight="false" outlineLevel="0" collapsed="false">
      <c r="A5" s="14" t="s">
        <v>68</v>
      </c>
      <c r="B5" s="15"/>
      <c r="C5" s="15"/>
      <c r="D5" s="15"/>
      <c r="E5" s="15"/>
      <c r="F5" s="15"/>
      <c r="G5" s="15"/>
      <c r="H5" s="15"/>
    </row>
    <row r="6" customFormat="false" ht="15" hidden="false" customHeight="false" outlineLevel="0" collapsed="false">
      <c r="A6" s="2" t="s">
        <v>69</v>
      </c>
      <c r="B6" s="4" t="s">
        <v>70</v>
      </c>
      <c r="C6" s="2" t="s">
        <v>71</v>
      </c>
      <c r="D6" s="16" t="n">
        <v>1560</v>
      </c>
      <c r="E6" s="16" t="n">
        <v>1560</v>
      </c>
      <c r="F6" s="16" t="n">
        <v>1560</v>
      </c>
      <c r="G6" s="17" t="s">
        <v>72</v>
      </c>
      <c r="H6" s="2" t="s">
        <v>73</v>
      </c>
    </row>
    <row r="7" customFormat="false" ht="15" hidden="false" customHeight="false" outlineLevel="0" collapsed="false">
      <c r="A7" s="2" t="s">
        <v>74</v>
      </c>
      <c r="B7" s="4" t="s">
        <v>75</v>
      </c>
      <c r="C7" s="2" t="s">
        <v>76</v>
      </c>
      <c r="D7" s="18" t="n">
        <v>0.21</v>
      </c>
      <c r="E7" s="18" t="n">
        <v>0.21</v>
      </c>
      <c r="F7" s="18" t="n">
        <v>0.21</v>
      </c>
      <c r="G7" s="17" t="s">
        <v>77</v>
      </c>
      <c r="H7" s="2" t="s">
        <v>73</v>
      </c>
    </row>
    <row r="8" customFormat="false" ht="22.35" hidden="false" customHeight="false" outlineLevel="0" collapsed="false">
      <c r="A8" s="2" t="s">
        <v>78</v>
      </c>
      <c r="B8" s="4" t="s">
        <v>79</v>
      </c>
      <c r="C8" s="2" t="s">
        <v>80</v>
      </c>
      <c r="D8" s="19" t="n">
        <v>1</v>
      </c>
      <c r="E8" s="19" t="n">
        <v>1</v>
      </c>
      <c r="F8" s="19" t="n">
        <v>1</v>
      </c>
      <c r="G8" s="17" t="s">
        <v>81</v>
      </c>
      <c r="H8" s="2" t="s">
        <v>82</v>
      </c>
    </row>
    <row r="9" customFormat="false" ht="15" hidden="false" customHeight="false" outlineLevel="0" collapsed="false">
      <c r="A9" s="2" t="s">
        <v>83</v>
      </c>
      <c r="B9" s="4" t="s">
        <v>84</v>
      </c>
      <c r="C9" s="2" t="s">
        <v>85</v>
      </c>
      <c r="D9" s="19" t="n">
        <v>21</v>
      </c>
      <c r="E9" s="19" t="n">
        <v>21</v>
      </c>
      <c r="F9" s="19" t="n">
        <v>21</v>
      </c>
      <c r="G9" s="17" t="s">
        <v>86</v>
      </c>
      <c r="H9" s="2" t="s">
        <v>82</v>
      </c>
    </row>
    <row r="10" customFormat="false" ht="15" hidden="false" customHeight="false" outlineLevel="0" collapsed="false">
      <c r="A10" s="2" t="s">
        <v>87</v>
      </c>
      <c r="B10" s="4" t="s">
        <v>88</v>
      </c>
      <c r="C10" s="2" t="s">
        <v>89</v>
      </c>
      <c r="D10" s="19" t="n">
        <v>6</v>
      </c>
      <c r="E10" s="19" t="n">
        <v>4</v>
      </c>
      <c r="F10" s="19" t="n">
        <v>3</v>
      </c>
      <c r="G10" s="17" t="s">
        <v>90</v>
      </c>
      <c r="H10" s="2" t="s">
        <v>91</v>
      </c>
    </row>
    <row r="11" customFormat="false" ht="15" hidden="false" customHeight="false" outlineLevel="0" collapsed="false">
      <c r="A11" s="14" t="s">
        <v>92</v>
      </c>
      <c r="B11" s="15"/>
      <c r="C11" s="15"/>
      <c r="D11" s="15"/>
      <c r="E11" s="15"/>
      <c r="F11" s="15"/>
      <c r="G11" s="15"/>
      <c r="H11" s="15"/>
    </row>
    <row r="12" customFormat="false" ht="22.35" hidden="false" customHeight="false" outlineLevel="0" collapsed="false">
      <c r="A12" s="2" t="s">
        <v>93</v>
      </c>
      <c r="B12" s="4" t="s">
        <v>94</v>
      </c>
      <c r="C12" s="2" t="s">
        <v>95</v>
      </c>
      <c r="D12" s="19" t="n">
        <v>30</v>
      </c>
      <c r="E12" s="19" t="n">
        <v>36</v>
      </c>
      <c r="F12" s="19" t="n">
        <v>42</v>
      </c>
      <c r="G12" s="17" t="s">
        <v>96</v>
      </c>
      <c r="H12" s="2" t="s">
        <v>91</v>
      </c>
    </row>
    <row r="13" customFormat="false" ht="22.35" hidden="false" customHeight="false" outlineLevel="0" collapsed="false">
      <c r="A13" s="2" t="s">
        <v>97</v>
      </c>
      <c r="B13" s="4" t="s">
        <v>98</v>
      </c>
      <c r="C13" s="2" t="s">
        <v>95</v>
      </c>
      <c r="D13" s="19" t="n">
        <v>4</v>
      </c>
      <c r="E13" s="19" t="n">
        <v>6</v>
      </c>
      <c r="F13" s="19" t="n">
        <v>8</v>
      </c>
      <c r="G13" s="17" t="s">
        <v>96</v>
      </c>
      <c r="H13" s="2" t="s">
        <v>91</v>
      </c>
    </row>
    <row r="14" customFormat="false" ht="22.35" hidden="false" customHeight="false" outlineLevel="0" collapsed="false">
      <c r="A14" s="2" t="s">
        <v>99</v>
      </c>
      <c r="B14" s="4" t="s">
        <v>100</v>
      </c>
      <c r="C14" s="2" t="s">
        <v>101</v>
      </c>
      <c r="D14" s="19" t="n">
        <v>2</v>
      </c>
      <c r="E14" s="19" t="n">
        <v>2</v>
      </c>
      <c r="F14" s="19" t="n">
        <v>3</v>
      </c>
      <c r="G14" s="17" t="s">
        <v>96</v>
      </c>
      <c r="H14" s="2" t="s">
        <v>91</v>
      </c>
    </row>
    <row r="15" customFormat="false" ht="15" hidden="false" customHeight="false" outlineLevel="0" collapsed="false">
      <c r="A15" s="2" t="s">
        <v>102</v>
      </c>
      <c r="B15" s="4" t="s">
        <v>103</v>
      </c>
      <c r="C15" s="2" t="s">
        <v>95</v>
      </c>
      <c r="D15" s="19" t="n">
        <v>3</v>
      </c>
      <c r="E15" s="19" t="n">
        <v>3</v>
      </c>
      <c r="F15" s="19" t="n">
        <v>3</v>
      </c>
      <c r="G15" s="17" t="s">
        <v>104</v>
      </c>
      <c r="H15" s="2" t="s">
        <v>82</v>
      </c>
    </row>
    <row r="16" customFormat="false" ht="15" hidden="false" customHeight="false" outlineLevel="0" collapsed="false">
      <c r="A16" s="14" t="s">
        <v>105</v>
      </c>
      <c r="B16" s="15"/>
      <c r="C16" s="15"/>
      <c r="D16" s="15"/>
      <c r="E16" s="15"/>
      <c r="F16" s="15"/>
      <c r="G16" s="15"/>
      <c r="H16" s="15"/>
    </row>
    <row r="17" customFormat="false" ht="15" hidden="false" customHeight="false" outlineLevel="0" collapsed="false">
      <c r="A17" s="2" t="s">
        <v>106</v>
      </c>
      <c r="B17" s="4" t="s">
        <v>107</v>
      </c>
      <c r="C17" s="2" t="s">
        <v>76</v>
      </c>
      <c r="D17" s="18" t="n">
        <v>0.85</v>
      </c>
      <c r="E17" s="18" t="n">
        <v>0.8</v>
      </c>
      <c r="F17" s="18" t="n">
        <v>0.75</v>
      </c>
      <c r="G17" s="17" t="s">
        <v>108</v>
      </c>
      <c r="H17" s="2" t="s">
        <v>91</v>
      </c>
    </row>
    <row r="18" customFormat="false" ht="15" hidden="false" customHeight="false" outlineLevel="0" collapsed="false">
      <c r="A18" s="2" t="s">
        <v>109</v>
      </c>
      <c r="B18" s="4" t="s">
        <v>110</v>
      </c>
      <c r="C18" s="2" t="s">
        <v>111</v>
      </c>
      <c r="D18" s="19" t="n">
        <v>1.35</v>
      </c>
      <c r="E18" s="19" t="n">
        <v>1.3</v>
      </c>
      <c r="F18" s="19" t="n">
        <v>1.25</v>
      </c>
      <c r="G18" s="17" t="s">
        <v>112</v>
      </c>
      <c r="H18" s="2" t="s">
        <v>91</v>
      </c>
    </row>
    <row r="19" customFormat="false" ht="15" hidden="false" customHeight="false" outlineLevel="0" collapsed="false">
      <c r="A19" s="2" t="s">
        <v>113</v>
      </c>
      <c r="B19" s="4" t="s">
        <v>114</v>
      </c>
      <c r="C19" s="2" t="s">
        <v>76</v>
      </c>
      <c r="D19" s="18" t="n">
        <v>0.8</v>
      </c>
      <c r="E19" s="18" t="n">
        <v>0.8</v>
      </c>
      <c r="F19" s="18" t="n">
        <v>0.8</v>
      </c>
      <c r="G19" s="17" t="s">
        <v>115</v>
      </c>
      <c r="H19" s="2" t="s">
        <v>82</v>
      </c>
    </row>
    <row r="20" customFormat="false" ht="15" hidden="false" customHeight="false" outlineLevel="0" collapsed="false">
      <c r="A20" s="14" t="s">
        <v>116</v>
      </c>
      <c r="B20" s="15"/>
      <c r="C20" s="15"/>
      <c r="D20" s="15"/>
      <c r="E20" s="15"/>
      <c r="F20" s="15"/>
      <c r="G20" s="15"/>
      <c r="H20" s="15"/>
    </row>
    <row r="21" customFormat="false" ht="15" hidden="false" customHeight="false" outlineLevel="0" collapsed="false">
      <c r="A21" s="2" t="s">
        <v>117</v>
      </c>
      <c r="B21" s="4" t="s">
        <v>118</v>
      </c>
      <c r="C21" s="2" t="s">
        <v>119</v>
      </c>
      <c r="D21" s="19" t="n">
        <v>4</v>
      </c>
      <c r="E21" s="19" t="n">
        <v>4</v>
      </c>
      <c r="F21" s="19" t="n">
        <v>4</v>
      </c>
      <c r="G21" s="17" t="s">
        <v>120</v>
      </c>
      <c r="H21" s="2" t="s">
        <v>82</v>
      </c>
    </row>
    <row r="22" customFormat="false" ht="15" hidden="false" customHeight="false" outlineLevel="0" collapsed="false">
      <c r="A22" s="2" t="s">
        <v>121</v>
      </c>
      <c r="B22" s="4" t="s">
        <v>122</v>
      </c>
      <c r="C22" s="2" t="s">
        <v>119</v>
      </c>
      <c r="D22" s="19" t="n">
        <v>8</v>
      </c>
      <c r="E22" s="19" t="n">
        <v>8</v>
      </c>
      <c r="F22" s="19" t="n">
        <v>8</v>
      </c>
      <c r="G22" s="17" t="s">
        <v>120</v>
      </c>
      <c r="H22" s="2" t="s">
        <v>82</v>
      </c>
    </row>
    <row r="23" customFormat="false" ht="15" hidden="false" customHeight="false" outlineLevel="0" collapsed="false">
      <c r="A23" s="2" t="s">
        <v>123</v>
      </c>
      <c r="B23" s="4" t="s">
        <v>124</v>
      </c>
      <c r="C23" s="2" t="s">
        <v>119</v>
      </c>
      <c r="D23" s="19" t="n">
        <v>12</v>
      </c>
      <c r="E23" s="19" t="n">
        <v>12</v>
      </c>
      <c r="F23" s="19" t="n">
        <v>12</v>
      </c>
      <c r="G23" s="17" t="s">
        <v>120</v>
      </c>
      <c r="H23" s="2" t="s">
        <v>82</v>
      </c>
    </row>
    <row r="24" customFormat="false" ht="15" hidden="false" customHeight="false" outlineLevel="0" collapsed="false">
      <c r="A24" s="2" t="s">
        <v>125</v>
      </c>
      <c r="B24" s="4" t="s">
        <v>126</v>
      </c>
      <c r="C24" s="2" t="s">
        <v>119</v>
      </c>
      <c r="D24" s="19" t="n">
        <v>21</v>
      </c>
      <c r="E24" s="19" t="n">
        <v>21</v>
      </c>
      <c r="F24" s="19" t="n">
        <v>21</v>
      </c>
      <c r="G24" s="17" t="s">
        <v>120</v>
      </c>
      <c r="H24" s="2" t="s">
        <v>82</v>
      </c>
    </row>
    <row r="25" customFormat="false" ht="22.35" hidden="false" customHeight="false" outlineLevel="0" collapsed="false">
      <c r="A25" s="2" t="s">
        <v>127</v>
      </c>
      <c r="B25" s="4" t="s">
        <v>128</v>
      </c>
      <c r="C25" s="2" t="s">
        <v>129</v>
      </c>
      <c r="D25" s="16" t="n">
        <v>54900</v>
      </c>
      <c r="E25" s="16" t="n">
        <v>54900</v>
      </c>
      <c r="F25" s="16" t="n">
        <v>54900</v>
      </c>
      <c r="G25" s="17" t="s">
        <v>130</v>
      </c>
      <c r="H25" s="2" t="s">
        <v>131</v>
      </c>
    </row>
    <row r="26" customFormat="false" ht="32.8" hidden="false" customHeight="false" outlineLevel="0" collapsed="false">
      <c r="A26" s="2" t="s">
        <v>132</v>
      </c>
      <c r="B26" s="4" t="s">
        <v>133</v>
      </c>
      <c r="C26" s="2" t="s">
        <v>129</v>
      </c>
      <c r="D26" s="16" t="n">
        <v>89000</v>
      </c>
      <c r="E26" s="16" t="n">
        <v>89000</v>
      </c>
      <c r="F26" s="16" t="n">
        <v>89000</v>
      </c>
      <c r="G26" s="17" t="s">
        <v>134</v>
      </c>
      <c r="H26" s="2" t="s">
        <v>131</v>
      </c>
    </row>
    <row r="27" customFormat="false" ht="32.8" hidden="false" customHeight="false" outlineLevel="0" collapsed="false">
      <c r="A27" s="2" t="s">
        <v>135</v>
      </c>
      <c r="B27" s="4" t="s">
        <v>136</v>
      </c>
      <c r="C27" s="2" t="s">
        <v>129</v>
      </c>
      <c r="D27" s="16" t="n">
        <v>103000</v>
      </c>
      <c r="E27" s="16" t="n">
        <v>103000</v>
      </c>
      <c r="F27" s="16" t="n">
        <v>103000</v>
      </c>
      <c r="G27" s="17" t="s">
        <v>137</v>
      </c>
      <c r="H27" s="2" t="s">
        <v>131</v>
      </c>
    </row>
    <row r="28" customFormat="false" ht="22.35" hidden="false" customHeight="false" outlineLevel="0" collapsed="false">
      <c r="A28" s="2" t="s">
        <v>138</v>
      </c>
      <c r="B28" s="4" t="s">
        <v>139</v>
      </c>
      <c r="C28" s="2" t="s">
        <v>129</v>
      </c>
      <c r="D28" s="16" t="n">
        <v>111200</v>
      </c>
      <c r="E28" s="16" t="n">
        <v>111200</v>
      </c>
      <c r="F28" s="16" t="n">
        <v>111200</v>
      </c>
      <c r="G28" s="17" t="s">
        <v>140</v>
      </c>
      <c r="H28" s="2" t="s">
        <v>131</v>
      </c>
    </row>
    <row r="29" customFormat="false" ht="22.35" hidden="false" customHeight="false" outlineLevel="0" collapsed="false">
      <c r="A29" s="2" t="s">
        <v>141</v>
      </c>
      <c r="B29" s="4" t="s">
        <v>142</v>
      </c>
      <c r="C29" s="2" t="s">
        <v>76</v>
      </c>
      <c r="D29" s="18" t="n">
        <v>0.1</v>
      </c>
      <c r="E29" s="18" t="n">
        <v>0.1</v>
      </c>
      <c r="F29" s="18" t="n">
        <v>0.1</v>
      </c>
      <c r="G29" s="17" t="s">
        <v>143</v>
      </c>
      <c r="H29" s="2" t="s">
        <v>91</v>
      </c>
    </row>
    <row r="30" customFormat="false" ht="22.35" hidden="false" customHeight="false" outlineLevel="0" collapsed="false">
      <c r="A30" s="2" t="s">
        <v>144</v>
      </c>
      <c r="B30" s="4" t="s">
        <v>145</v>
      </c>
      <c r="C30" s="2" t="s">
        <v>76</v>
      </c>
      <c r="D30" s="18" t="n">
        <v>0.35</v>
      </c>
      <c r="E30" s="18" t="n">
        <v>0.35</v>
      </c>
      <c r="F30" s="18" t="n">
        <v>0.35</v>
      </c>
      <c r="G30" s="17" t="s">
        <v>143</v>
      </c>
      <c r="H30" s="2" t="s">
        <v>91</v>
      </c>
    </row>
    <row r="31" customFormat="false" ht="22.35" hidden="false" customHeight="false" outlineLevel="0" collapsed="false">
      <c r="A31" s="2" t="s">
        <v>146</v>
      </c>
      <c r="B31" s="4" t="s">
        <v>147</v>
      </c>
      <c r="C31" s="2" t="s">
        <v>76</v>
      </c>
      <c r="D31" s="18" t="n">
        <v>0.3</v>
      </c>
      <c r="E31" s="18" t="n">
        <v>0.3</v>
      </c>
      <c r="F31" s="18" t="n">
        <v>0.3</v>
      </c>
      <c r="G31" s="17" t="s">
        <v>143</v>
      </c>
      <c r="H31" s="2" t="s">
        <v>91</v>
      </c>
    </row>
    <row r="32" customFormat="false" ht="22.35" hidden="false" customHeight="false" outlineLevel="0" collapsed="false">
      <c r="A32" s="2" t="s">
        <v>148</v>
      </c>
      <c r="B32" s="4" t="s">
        <v>149</v>
      </c>
      <c r="C32" s="2" t="s">
        <v>76</v>
      </c>
      <c r="D32" s="18" t="n">
        <v>0.25</v>
      </c>
      <c r="E32" s="18" t="n">
        <v>0.25</v>
      </c>
      <c r="F32" s="18" t="n">
        <v>0.25</v>
      </c>
      <c r="G32" s="17" t="s">
        <v>143</v>
      </c>
      <c r="H32" s="2" t="s">
        <v>91</v>
      </c>
    </row>
    <row r="33" customFormat="false" ht="22.35" hidden="false" customHeight="false" outlineLevel="0" collapsed="false">
      <c r="A33" s="2" t="s">
        <v>150</v>
      </c>
      <c r="B33" s="4" t="s">
        <v>151</v>
      </c>
      <c r="C33" s="2" t="s">
        <v>129</v>
      </c>
      <c r="D33" s="16" t="n">
        <v>118000</v>
      </c>
      <c r="E33" s="16" t="n">
        <v>118000</v>
      </c>
      <c r="F33" s="16" t="n">
        <v>118000</v>
      </c>
      <c r="G33" s="17" t="s">
        <v>152</v>
      </c>
      <c r="H33" s="2" t="s">
        <v>131</v>
      </c>
    </row>
    <row r="34" customFormat="false" ht="32.8" hidden="false" customHeight="false" outlineLevel="0" collapsed="false">
      <c r="A34" s="2" t="s">
        <v>153</v>
      </c>
      <c r="B34" s="4" t="s">
        <v>154</v>
      </c>
      <c r="C34" s="2" t="s">
        <v>129</v>
      </c>
      <c r="D34" s="16" t="n">
        <v>480000</v>
      </c>
      <c r="E34" s="16" t="n">
        <v>480000</v>
      </c>
      <c r="F34" s="16" t="n">
        <v>480000</v>
      </c>
      <c r="G34" s="17" t="s">
        <v>155</v>
      </c>
      <c r="H34" s="2" t="s">
        <v>131</v>
      </c>
    </row>
    <row r="35" customFormat="false" ht="22.35" hidden="false" customHeight="false" outlineLevel="0" collapsed="false">
      <c r="A35" s="2" t="s">
        <v>156</v>
      </c>
      <c r="B35" s="4" t="s">
        <v>157</v>
      </c>
      <c r="C35" s="2" t="s">
        <v>158</v>
      </c>
      <c r="D35" s="16" t="n">
        <v>13700</v>
      </c>
      <c r="E35" s="16" t="n">
        <v>13700</v>
      </c>
      <c r="F35" s="16" t="n">
        <v>13700</v>
      </c>
      <c r="G35" s="17" t="s">
        <v>159</v>
      </c>
      <c r="H35" s="2" t="s">
        <v>131</v>
      </c>
    </row>
    <row r="36" customFormat="false" ht="32.8" hidden="false" customHeight="false" outlineLevel="0" collapsed="false">
      <c r="A36" s="2" t="s">
        <v>160</v>
      </c>
      <c r="B36" s="4" t="s">
        <v>161</v>
      </c>
      <c r="C36" s="2" t="s">
        <v>162</v>
      </c>
      <c r="D36" s="16" t="n">
        <v>13000</v>
      </c>
      <c r="E36" s="16" t="n">
        <v>13000</v>
      </c>
      <c r="F36" s="16" t="n">
        <v>13000</v>
      </c>
      <c r="G36" s="17" t="s">
        <v>163</v>
      </c>
      <c r="H36" s="2" t="s">
        <v>131</v>
      </c>
    </row>
    <row r="37" customFormat="false" ht="15" hidden="false" customHeight="false" outlineLevel="0" collapsed="false">
      <c r="A37" s="2" t="s">
        <v>164</v>
      </c>
      <c r="B37" s="4" t="s">
        <v>165</v>
      </c>
      <c r="C37" s="2" t="s">
        <v>111</v>
      </c>
      <c r="D37" s="19" t="n">
        <v>0.9</v>
      </c>
      <c r="E37" s="19" t="n">
        <v>1</v>
      </c>
      <c r="F37" s="19" t="n">
        <v>1.05</v>
      </c>
      <c r="G37" s="17" t="s">
        <v>166</v>
      </c>
      <c r="H37" s="2" t="s">
        <v>82</v>
      </c>
    </row>
    <row r="38" customFormat="false" ht="15" hidden="false" customHeight="false" outlineLevel="0" collapsed="false">
      <c r="A38" s="2" t="s">
        <v>167</v>
      </c>
      <c r="B38" s="4" t="s">
        <v>168</v>
      </c>
      <c r="C38" s="2" t="s">
        <v>76</v>
      </c>
      <c r="D38" s="18" t="n">
        <v>0.1</v>
      </c>
      <c r="E38" s="18" t="n">
        <v>0.07</v>
      </c>
      <c r="F38" s="18" t="n">
        <v>0.05</v>
      </c>
      <c r="G38" s="17" t="s">
        <v>115</v>
      </c>
      <c r="H38" s="2" t="s">
        <v>82</v>
      </c>
    </row>
    <row r="39" customFormat="false" ht="15" hidden="false" customHeight="false" outlineLevel="0" collapsed="false">
      <c r="A39" s="2" t="s">
        <v>169</v>
      </c>
      <c r="B39" s="4" t="s">
        <v>170</v>
      </c>
      <c r="C39" s="2" t="s">
        <v>171</v>
      </c>
      <c r="D39" s="19" t="n">
        <v>20</v>
      </c>
      <c r="E39" s="19" t="n">
        <v>35</v>
      </c>
      <c r="F39" s="19" t="n">
        <v>50</v>
      </c>
      <c r="G39" s="17" t="s">
        <v>172</v>
      </c>
      <c r="H39" s="2" t="s">
        <v>91</v>
      </c>
    </row>
    <row r="40" customFormat="false" ht="15" hidden="false" customHeight="false" outlineLevel="0" collapsed="false">
      <c r="A40" s="2" t="s">
        <v>173</v>
      </c>
      <c r="B40" s="4" t="s">
        <v>174</v>
      </c>
      <c r="C40" s="2" t="s">
        <v>175</v>
      </c>
      <c r="D40" s="19" t="n">
        <v>10</v>
      </c>
      <c r="E40" s="19" t="n">
        <v>20</v>
      </c>
      <c r="F40" s="19" t="n">
        <v>30</v>
      </c>
      <c r="G40" s="17" t="s">
        <v>172</v>
      </c>
      <c r="H40" s="2" t="s">
        <v>91</v>
      </c>
    </row>
    <row r="41" customFormat="false" ht="15" hidden="false" customHeight="false" outlineLevel="0" collapsed="false">
      <c r="A41" s="2" t="s">
        <v>176</v>
      </c>
      <c r="B41" s="4" t="s">
        <v>177</v>
      </c>
      <c r="C41" s="2" t="s">
        <v>178</v>
      </c>
      <c r="D41" s="20" t="n">
        <v>0</v>
      </c>
      <c r="E41" s="20" t="n">
        <v>100</v>
      </c>
      <c r="F41" s="20" t="n">
        <v>200</v>
      </c>
      <c r="G41" s="17" t="s">
        <v>115</v>
      </c>
      <c r="H41" s="2" t="s">
        <v>91</v>
      </c>
    </row>
    <row r="42" customFormat="false" ht="15" hidden="false" customHeight="false" outlineLevel="0" collapsed="false">
      <c r="A42" s="2" t="s">
        <v>179</v>
      </c>
      <c r="B42" s="4" t="s">
        <v>180</v>
      </c>
      <c r="C42" s="2" t="s">
        <v>89</v>
      </c>
      <c r="D42" s="19" t="n">
        <v>12</v>
      </c>
      <c r="E42" s="19" t="n">
        <v>9</v>
      </c>
      <c r="F42" s="19" t="n">
        <v>6</v>
      </c>
      <c r="G42" s="17" t="s">
        <v>115</v>
      </c>
      <c r="H42" s="2" t="s">
        <v>82</v>
      </c>
    </row>
    <row r="43" customFormat="false" ht="15" hidden="false" customHeight="false" outlineLevel="0" collapsed="false">
      <c r="A43" s="2" t="s">
        <v>181</v>
      </c>
      <c r="B43" s="4" t="s">
        <v>182</v>
      </c>
      <c r="C43" s="2" t="s">
        <v>89</v>
      </c>
      <c r="D43" s="19" t="n">
        <v>10</v>
      </c>
      <c r="E43" s="19" t="n">
        <v>6</v>
      </c>
      <c r="F43" s="19" t="n">
        <v>4</v>
      </c>
      <c r="G43" s="17" t="s">
        <v>115</v>
      </c>
      <c r="H43" s="2" t="s">
        <v>91</v>
      </c>
    </row>
    <row r="44" customFormat="false" ht="15" hidden="false" customHeight="false" outlineLevel="0" collapsed="false">
      <c r="A44" s="14" t="s">
        <v>183</v>
      </c>
      <c r="B44" s="15"/>
      <c r="C44" s="15"/>
      <c r="D44" s="15"/>
      <c r="E44" s="15"/>
      <c r="F44" s="15"/>
      <c r="G44" s="15"/>
      <c r="H44" s="15"/>
    </row>
    <row r="45" customFormat="false" ht="15" hidden="false" customHeight="false" outlineLevel="0" collapsed="false">
      <c r="A45" s="2" t="s">
        <v>184</v>
      </c>
      <c r="B45" s="4" t="s">
        <v>185</v>
      </c>
      <c r="C45" s="2" t="s">
        <v>186</v>
      </c>
      <c r="D45" s="19" t="n">
        <v>0</v>
      </c>
      <c r="E45" s="19" t="n">
        <v>5</v>
      </c>
      <c r="F45" s="19" t="n">
        <v>10</v>
      </c>
      <c r="G45" s="17" t="s">
        <v>187</v>
      </c>
      <c r="H45" s="2" t="s">
        <v>91</v>
      </c>
    </row>
    <row r="46" customFormat="false" ht="22.35" hidden="false" customHeight="false" outlineLevel="0" collapsed="false">
      <c r="A46" s="2" t="s">
        <v>188</v>
      </c>
      <c r="B46" s="4" t="s">
        <v>189</v>
      </c>
      <c r="C46" s="2" t="s">
        <v>190</v>
      </c>
      <c r="D46" s="19" t="n">
        <v>2</v>
      </c>
      <c r="E46" s="19" t="n">
        <v>3</v>
      </c>
      <c r="F46" s="19" t="n">
        <v>5</v>
      </c>
      <c r="G46" s="17" t="s">
        <v>191</v>
      </c>
      <c r="H46" s="2" t="s">
        <v>91</v>
      </c>
    </row>
    <row r="47" customFormat="false" ht="22.35" hidden="false" customHeight="false" outlineLevel="0" collapsed="false">
      <c r="A47" s="2" t="s">
        <v>192</v>
      </c>
      <c r="B47" s="4" t="s">
        <v>193</v>
      </c>
      <c r="C47" s="2" t="s">
        <v>190</v>
      </c>
      <c r="D47" s="19" t="n">
        <v>2</v>
      </c>
      <c r="E47" s="19" t="n">
        <v>3</v>
      </c>
      <c r="F47" s="19" t="n">
        <v>4</v>
      </c>
      <c r="G47" s="17" t="s">
        <v>191</v>
      </c>
      <c r="H47" s="2" t="s">
        <v>91</v>
      </c>
    </row>
    <row r="48" customFormat="false" ht="22.35" hidden="false" customHeight="false" outlineLevel="0" collapsed="false">
      <c r="A48" s="2" t="s">
        <v>194</v>
      </c>
      <c r="B48" s="4" t="s">
        <v>195</v>
      </c>
      <c r="C48" s="2" t="s">
        <v>190</v>
      </c>
      <c r="D48" s="19" t="n">
        <v>1</v>
      </c>
      <c r="E48" s="19" t="n">
        <v>2</v>
      </c>
      <c r="F48" s="19" t="n">
        <v>3</v>
      </c>
      <c r="G48" s="17" t="s">
        <v>191</v>
      </c>
      <c r="H48" s="2" t="s">
        <v>91</v>
      </c>
    </row>
    <row r="49" customFormat="false" ht="15" hidden="false" customHeight="false" outlineLevel="0" collapsed="false">
      <c r="A49" s="2" t="s">
        <v>196</v>
      </c>
      <c r="B49" s="4" t="s">
        <v>197</v>
      </c>
      <c r="C49" s="2" t="s">
        <v>76</v>
      </c>
      <c r="D49" s="18" t="n">
        <v>0.08</v>
      </c>
      <c r="E49" s="18" t="n">
        <v>0.06</v>
      </c>
      <c r="F49" s="18" t="n">
        <v>0.05</v>
      </c>
      <c r="G49" s="17" t="s">
        <v>198</v>
      </c>
      <c r="H49" s="2" t="s">
        <v>91</v>
      </c>
    </row>
    <row r="50" customFormat="false" ht="15" hidden="false" customHeight="false" outlineLevel="0" collapsed="false">
      <c r="A50" s="2" t="s">
        <v>199</v>
      </c>
      <c r="B50" s="4" t="s">
        <v>200</v>
      </c>
      <c r="C50" s="2" t="s">
        <v>201</v>
      </c>
      <c r="D50" s="19" t="n">
        <v>0.5</v>
      </c>
      <c r="E50" s="19" t="n">
        <v>1</v>
      </c>
      <c r="F50" s="19" t="n">
        <v>1.5</v>
      </c>
      <c r="G50" s="17" t="s">
        <v>115</v>
      </c>
      <c r="H50" s="2" t="s">
        <v>91</v>
      </c>
    </row>
    <row r="51" customFormat="false" ht="15" hidden="false" customHeight="false" outlineLevel="0" collapsed="false">
      <c r="A51" s="2" t="s">
        <v>202</v>
      </c>
      <c r="B51" s="4" t="s">
        <v>203</v>
      </c>
      <c r="C51" s="2" t="s">
        <v>76</v>
      </c>
      <c r="D51" s="18" t="n">
        <v>0.05</v>
      </c>
      <c r="E51" s="18" t="n">
        <v>0.04</v>
      </c>
      <c r="F51" s="18" t="n">
        <v>0.03</v>
      </c>
      <c r="G51" s="17" t="s">
        <v>204</v>
      </c>
      <c r="H51" s="2" t="s">
        <v>91</v>
      </c>
    </row>
    <row r="52" customFormat="false" ht="15" hidden="false" customHeight="false" outlineLevel="0" collapsed="false">
      <c r="A52" s="14" t="s">
        <v>205</v>
      </c>
      <c r="B52" s="15"/>
      <c r="C52" s="15"/>
      <c r="D52" s="15"/>
      <c r="E52" s="15"/>
      <c r="F52" s="15"/>
      <c r="G52" s="15"/>
      <c r="H52" s="15"/>
    </row>
    <row r="53" customFormat="false" ht="22.35" hidden="false" customHeight="false" outlineLevel="0" collapsed="false">
      <c r="A53" s="2" t="s">
        <v>206</v>
      </c>
      <c r="B53" s="4" t="s">
        <v>207</v>
      </c>
      <c r="C53" s="2" t="s">
        <v>208</v>
      </c>
      <c r="D53" s="19" t="n">
        <v>1.22</v>
      </c>
      <c r="E53" s="19" t="n">
        <v>0.81</v>
      </c>
      <c r="F53" s="19" t="n">
        <v>0.41</v>
      </c>
      <c r="G53" s="17" t="s">
        <v>209</v>
      </c>
      <c r="H53" s="2" t="s">
        <v>210</v>
      </c>
    </row>
    <row r="54" customFormat="false" ht="22.35" hidden="false" customHeight="false" outlineLevel="0" collapsed="false">
      <c r="A54" s="2" t="s">
        <v>211</v>
      </c>
      <c r="B54" s="4" t="s">
        <v>212</v>
      </c>
      <c r="C54" s="2" t="s">
        <v>213</v>
      </c>
      <c r="D54" s="18" t="n">
        <v>0.0629</v>
      </c>
      <c r="E54" s="18" t="n">
        <v>0.0345</v>
      </c>
      <c r="F54" s="18" t="n">
        <v>0.006</v>
      </c>
      <c r="G54" s="17" t="s">
        <v>214</v>
      </c>
      <c r="H54" s="2" t="s">
        <v>73</v>
      </c>
    </row>
    <row r="55" customFormat="false" ht="22.35" hidden="false" customHeight="false" outlineLevel="0" collapsed="false">
      <c r="A55" s="2" t="s">
        <v>215</v>
      </c>
      <c r="B55" s="4" t="s">
        <v>216</v>
      </c>
      <c r="C55" s="2" t="s">
        <v>217</v>
      </c>
      <c r="D55" s="18" t="n">
        <v>0.05</v>
      </c>
      <c r="E55" s="18" t="n">
        <v>0.03</v>
      </c>
      <c r="F55" s="18" t="n">
        <v>0.03</v>
      </c>
      <c r="G55" s="17" t="s">
        <v>218</v>
      </c>
      <c r="H55" s="2" t="s">
        <v>73</v>
      </c>
    </row>
    <row r="56" customFormat="false" ht="15" hidden="false" customHeight="false" outlineLevel="0" collapsed="false">
      <c r="A56" s="2" t="s">
        <v>219</v>
      </c>
      <c r="B56" s="4" t="s">
        <v>220</v>
      </c>
      <c r="C56" s="2" t="s">
        <v>213</v>
      </c>
      <c r="D56" s="18" t="n">
        <v>0.012</v>
      </c>
      <c r="E56" s="18" t="n">
        <v>0.012</v>
      </c>
      <c r="F56" s="18" t="n">
        <v>0.012</v>
      </c>
      <c r="G56" s="17" t="s">
        <v>221</v>
      </c>
      <c r="H56" s="2" t="s">
        <v>73</v>
      </c>
    </row>
    <row r="57" customFormat="false" ht="15" hidden="false" customHeight="false" outlineLevel="0" collapsed="false">
      <c r="A57" s="14" t="s">
        <v>222</v>
      </c>
      <c r="B57" s="15"/>
      <c r="C57" s="15"/>
      <c r="D57" s="15"/>
      <c r="E57" s="15"/>
      <c r="F57" s="15"/>
      <c r="G57" s="15"/>
      <c r="H57" s="15"/>
    </row>
    <row r="58" customFormat="false" ht="15" hidden="false" customHeight="false" outlineLevel="0" collapsed="false">
      <c r="A58" s="2" t="s">
        <v>223</v>
      </c>
      <c r="B58" s="4" t="s">
        <v>224</v>
      </c>
      <c r="C58" s="2" t="s">
        <v>225</v>
      </c>
      <c r="D58" s="19" t="n">
        <v>1.5</v>
      </c>
      <c r="E58" s="19" t="n">
        <v>1.5</v>
      </c>
      <c r="F58" s="19" t="n">
        <v>1.5</v>
      </c>
      <c r="G58" s="17" t="s">
        <v>226</v>
      </c>
      <c r="H58" s="2" t="s">
        <v>82</v>
      </c>
    </row>
    <row r="59" customFormat="false" ht="22.35" hidden="false" customHeight="false" outlineLevel="0" collapsed="false">
      <c r="A59" s="2" t="s">
        <v>227</v>
      </c>
      <c r="B59" s="4" t="s">
        <v>228</v>
      </c>
      <c r="C59" s="2" t="s">
        <v>178</v>
      </c>
      <c r="D59" s="19" t="n">
        <v>1159.6</v>
      </c>
      <c r="E59" s="19" t="n">
        <v>1104.8</v>
      </c>
      <c r="F59" s="19" t="n">
        <v>1049.9</v>
      </c>
      <c r="G59" s="17" t="s">
        <v>229</v>
      </c>
      <c r="H59" s="2" t="s">
        <v>73</v>
      </c>
    </row>
    <row r="60" customFormat="false" ht="22.35" hidden="false" customHeight="false" outlineLevel="0" collapsed="false">
      <c r="A60" s="2" t="s">
        <v>230</v>
      </c>
      <c r="B60" s="4" t="s">
        <v>231</v>
      </c>
      <c r="C60" s="2" t="s">
        <v>178</v>
      </c>
      <c r="D60" s="20" t="n">
        <v>673.1</v>
      </c>
      <c r="E60" s="20" t="n">
        <v>376.9</v>
      </c>
      <c r="F60" s="20" t="n">
        <v>269.2</v>
      </c>
      <c r="G60" s="17" t="s">
        <v>232</v>
      </c>
      <c r="H60" s="2" t="s">
        <v>210</v>
      </c>
    </row>
    <row r="61" customFormat="false" ht="32.8" hidden="false" customHeight="false" outlineLevel="0" collapsed="false">
      <c r="A61" s="2" t="s">
        <v>233</v>
      </c>
      <c r="B61" s="4" t="s">
        <v>234</v>
      </c>
      <c r="C61" s="2" t="s">
        <v>178</v>
      </c>
      <c r="D61" s="20" t="n">
        <v>115.4</v>
      </c>
      <c r="E61" s="20" t="n">
        <v>55.8</v>
      </c>
      <c r="F61" s="20" t="n">
        <v>43</v>
      </c>
      <c r="G61" s="17" t="s">
        <v>235</v>
      </c>
      <c r="H61" s="2" t="s">
        <v>73</v>
      </c>
    </row>
    <row r="62" customFormat="false" ht="22.35" hidden="false" customHeight="false" outlineLevel="0" collapsed="false">
      <c r="A62" s="21" t="s">
        <v>236</v>
      </c>
      <c r="B62" s="22" t="s">
        <v>237</v>
      </c>
      <c r="C62" s="21" t="s">
        <v>178</v>
      </c>
      <c r="D62" s="23" t="n">
        <v>27.1</v>
      </c>
      <c r="E62" s="23" t="n">
        <v>27.1</v>
      </c>
      <c r="F62" s="23" t="n">
        <v>27.1</v>
      </c>
      <c r="G62" s="24" t="s">
        <v>238</v>
      </c>
      <c r="H62" s="21" t="s">
        <v>239</v>
      </c>
    </row>
    <row r="63" customFormat="false" ht="32.8" hidden="false" customHeight="false" outlineLevel="0" collapsed="false">
      <c r="A63" s="2" t="s">
        <v>240</v>
      </c>
      <c r="B63" s="4" t="s">
        <v>241</v>
      </c>
      <c r="C63" s="2" t="s">
        <v>178</v>
      </c>
      <c r="D63" s="20" t="n">
        <v>192.3</v>
      </c>
      <c r="E63" s="20" t="n">
        <v>112.2</v>
      </c>
      <c r="F63" s="20" t="n">
        <v>32.1</v>
      </c>
      <c r="G63" s="17" t="s">
        <v>242</v>
      </c>
      <c r="H63" s="2" t="s">
        <v>210</v>
      </c>
    </row>
    <row r="64" customFormat="false" ht="15" hidden="false" customHeight="false" outlineLevel="0" collapsed="false">
      <c r="A64" s="2" t="s">
        <v>243</v>
      </c>
      <c r="B64" s="4" t="s">
        <v>244</v>
      </c>
      <c r="C64" s="2" t="s">
        <v>178</v>
      </c>
      <c r="D64" s="20" t="n">
        <v>177</v>
      </c>
      <c r="E64" s="20" t="n">
        <v>129</v>
      </c>
      <c r="F64" s="20" t="n">
        <v>99</v>
      </c>
      <c r="G64" s="17" t="s">
        <v>245</v>
      </c>
      <c r="H64" s="2" t="s">
        <v>73</v>
      </c>
    </row>
    <row r="65" customFormat="false" ht="15" hidden="false" customHeight="false" outlineLevel="0" collapsed="false">
      <c r="A65" s="21" t="s">
        <v>246</v>
      </c>
      <c r="B65" s="22" t="s">
        <v>247</v>
      </c>
      <c r="C65" s="21" t="s">
        <v>178</v>
      </c>
      <c r="D65" s="23" t="n">
        <v>0</v>
      </c>
      <c r="E65" s="23" t="n">
        <v>0</v>
      </c>
      <c r="F65" s="23" t="n">
        <v>0</v>
      </c>
      <c r="G65" s="24" t="s">
        <v>248</v>
      </c>
      <c r="H65" s="21" t="s">
        <v>239</v>
      </c>
    </row>
    <row r="66" customFormat="false" ht="15" hidden="false" customHeight="false" outlineLevel="0" collapsed="false">
      <c r="A66" s="2" t="s">
        <v>249</v>
      </c>
      <c r="B66" s="4" t="s">
        <v>250</v>
      </c>
      <c r="C66" s="2" t="s">
        <v>76</v>
      </c>
      <c r="D66" s="18" t="n">
        <v>0.05</v>
      </c>
      <c r="E66" s="18" t="n">
        <v>0.04</v>
      </c>
      <c r="F66" s="18" t="n">
        <v>0.04</v>
      </c>
      <c r="G66" s="17" t="s">
        <v>115</v>
      </c>
      <c r="H66" s="2" t="s">
        <v>82</v>
      </c>
    </row>
    <row r="67" customFormat="false" ht="22.35" hidden="false" customHeight="false" outlineLevel="0" collapsed="false">
      <c r="A67" s="2" t="s">
        <v>251</v>
      </c>
      <c r="B67" s="4" t="s">
        <v>252</v>
      </c>
      <c r="C67" s="2" t="s">
        <v>178</v>
      </c>
      <c r="D67" s="20" t="n">
        <v>500</v>
      </c>
      <c r="E67" s="20" t="n">
        <v>400</v>
      </c>
      <c r="F67" s="20" t="n">
        <v>400</v>
      </c>
      <c r="G67" s="17" t="s">
        <v>253</v>
      </c>
      <c r="H67" s="2" t="s">
        <v>82</v>
      </c>
    </row>
    <row r="68" customFormat="false" ht="15" hidden="false" customHeight="false" outlineLevel="0" collapsed="false">
      <c r="A68" s="2" t="s">
        <v>254</v>
      </c>
      <c r="B68" s="4" t="s">
        <v>255</v>
      </c>
      <c r="C68" s="2" t="s">
        <v>178</v>
      </c>
      <c r="D68" s="20" t="n">
        <v>150</v>
      </c>
      <c r="E68" s="20" t="n">
        <v>150</v>
      </c>
      <c r="F68" s="20" t="n">
        <v>150</v>
      </c>
      <c r="G68" s="17" t="s">
        <v>256</v>
      </c>
      <c r="H68" s="2" t="s">
        <v>82</v>
      </c>
    </row>
    <row r="69" customFormat="false" ht="15" hidden="false" customHeight="false" outlineLevel="0" collapsed="false">
      <c r="A69" s="2" t="s">
        <v>257</v>
      </c>
      <c r="B69" s="4" t="s">
        <v>258</v>
      </c>
      <c r="C69" s="2" t="s">
        <v>76</v>
      </c>
      <c r="D69" s="18" t="n">
        <v>0.08</v>
      </c>
      <c r="E69" s="18" t="n">
        <v>0.05</v>
      </c>
      <c r="F69" s="18" t="n">
        <v>0.05</v>
      </c>
      <c r="G69" s="17" t="s">
        <v>115</v>
      </c>
      <c r="H69" s="2" t="s">
        <v>82</v>
      </c>
    </row>
    <row r="70" customFormat="false" ht="15" hidden="false" customHeight="false" outlineLevel="0" collapsed="false">
      <c r="A70" s="14" t="s">
        <v>259</v>
      </c>
      <c r="B70" s="15"/>
      <c r="C70" s="15"/>
      <c r="D70" s="15"/>
      <c r="E70" s="15"/>
      <c r="F70" s="15"/>
      <c r="G70" s="15"/>
      <c r="H70" s="15"/>
    </row>
    <row r="71" customFormat="false" ht="15" hidden="false" customHeight="false" outlineLevel="0" collapsed="false">
      <c r="A71" s="2" t="s">
        <v>260</v>
      </c>
      <c r="B71" s="4" t="s">
        <v>261</v>
      </c>
      <c r="C71" s="2" t="s">
        <v>262</v>
      </c>
      <c r="D71" s="19" t="n">
        <v>390</v>
      </c>
      <c r="E71" s="19" t="n">
        <v>390</v>
      </c>
      <c r="F71" s="19" t="n">
        <v>390</v>
      </c>
      <c r="G71" s="17" t="s">
        <v>263</v>
      </c>
      <c r="H71" s="2" t="s">
        <v>91</v>
      </c>
    </row>
    <row r="72" customFormat="false" ht="22.35" hidden="false" customHeight="false" outlineLevel="0" collapsed="false">
      <c r="A72" s="2" t="s">
        <v>264</v>
      </c>
      <c r="B72" s="4" t="s">
        <v>265</v>
      </c>
      <c r="C72" s="2" t="s">
        <v>266</v>
      </c>
      <c r="D72" s="20" t="n">
        <v>406.4</v>
      </c>
      <c r="E72" s="20" t="n">
        <v>304.8</v>
      </c>
      <c r="F72" s="20" t="n">
        <v>203.2</v>
      </c>
      <c r="G72" s="17" t="s">
        <v>267</v>
      </c>
      <c r="H72" s="2" t="s">
        <v>210</v>
      </c>
    </row>
    <row r="73" customFormat="false" ht="15" hidden="false" customHeight="false" outlineLevel="0" collapsed="false">
      <c r="A73" s="2" t="s">
        <v>268</v>
      </c>
      <c r="B73" s="4" t="s">
        <v>269</v>
      </c>
      <c r="C73" s="2" t="s">
        <v>262</v>
      </c>
      <c r="D73" s="19" t="n">
        <v>60</v>
      </c>
      <c r="E73" s="19" t="n">
        <v>60</v>
      </c>
      <c r="F73" s="19" t="n">
        <v>60</v>
      </c>
      <c r="G73" s="17" t="s">
        <v>270</v>
      </c>
      <c r="H73" s="2" t="s">
        <v>91</v>
      </c>
    </row>
    <row r="74" customFormat="false" ht="22.35" hidden="false" customHeight="false" outlineLevel="0" collapsed="false">
      <c r="A74" s="2" t="s">
        <v>271</v>
      </c>
      <c r="B74" s="4" t="s">
        <v>272</v>
      </c>
      <c r="C74" s="2" t="s">
        <v>266</v>
      </c>
      <c r="D74" s="20" t="n">
        <v>64.1</v>
      </c>
      <c r="E74" s="20" t="n">
        <v>47.4</v>
      </c>
      <c r="F74" s="20" t="n">
        <v>30.8</v>
      </c>
      <c r="G74" s="17" t="s">
        <v>273</v>
      </c>
      <c r="H74" s="2" t="s">
        <v>210</v>
      </c>
    </row>
    <row r="75" customFormat="false" ht="15" hidden="false" customHeight="false" outlineLevel="0" collapsed="false">
      <c r="A75" s="21" t="s">
        <v>274</v>
      </c>
      <c r="B75" s="22" t="s">
        <v>275</v>
      </c>
      <c r="C75" s="21" t="s">
        <v>208</v>
      </c>
      <c r="D75" s="23" t="n">
        <v>0</v>
      </c>
      <c r="E75" s="23" t="n">
        <v>0</v>
      </c>
      <c r="F75" s="23" t="n">
        <v>0</v>
      </c>
      <c r="G75" s="24" t="s">
        <v>276</v>
      </c>
      <c r="H75" s="21" t="s">
        <v>239</v>
      </c>
    </row>
    <row r="76" customFormat="false" ht="22.35" hidden="false" customHeight="false" outlineLevel="0" collapsed="false">
      <c r="A76" s="2" t="s">
        <v>277</v>
      </c>
      <c r="B76" s="4" t="s">
        <v>278</v>
      </c>
      <c r="C76" s="2" t="s">
        <v>208</v>
      </c>
      <c r="D76" s="20" t="n">
        <v>5769.2</v>
      </c>
      <c r="E76" s="20" t="n">
        <v>4487.2</v>
      </c>
      <c r="F76" s="20" t="n">
        <v>3205.1</v>
      </c>
      <c r="G76" s="17" t="s">
        <v>279</v>
      </c>
      <c r="H76" s="2" t="s">
        <v>210</v>
      </c>
    </row>
    <row r="77" customFormat="false" ht="32.8" hidden="false" customHeight="false" outlineLevel="0" collapsed="false">
      <c r="A77" s="2" t="s">
        <v>280</v>
      </c>
      <c r="B77" s="4" t="s">
        <v>281</v>
      </c>
      <c r="C77" s="2" t="s">
        <v>208</v>
      </c>
      <c r="D77" s="20" t="n">
        <v>7219.2</v>
      </c>
      <c r="E77" s="20" t="n">
        <v>5437.2</v>
      </c>
      <c r="F77" s="20" t="n">
        <v>3655.1</v>
      </c>
      <c r="G77" s="17" t="s">
        <v>282</v>
      </c>
      <c r="H77" s="2" t="s">
        <v>210</v>
      </c>
    </row>
    <row r="78" customFormat="false" ht="15" hidden="false" customHeight="false" outlineLevel="0" collapsed="false">
      <c r="A78" s="2" t="s">
        <v>283</v>
      </c>
      <c r="B78" s="4" t="s">
        <v>284</v>
      </c>
      <c r="C78" s="2" t="s">
        <v>285</v>
      </c>
      <c r="D78" s="19" t="n">
        <v>8</v>
      </c>
      <c r="E78" s="19" t="n">
        <v>8</v>
      </c>
      <c r="F78" s="19" t="n">
        <v>8</v>
      </c>
      <c r="G78" s="17" t="s">
        <v>286</v>
      </c>
      <c r="H78" s="2" t="s">
        <v>82</v>
      </c>
    </row>
    <row r="79" customFormat="false" ht="22.35" hidden="false" customHeight="false" outlineLevel="0" collapsed="false">
      <c r="A79" s="2" t="s">
        <v>287</v>
      </c>
      <c r="B79" s="4" t="s">
        <v>288</v>
      </c>
      <c r="C79" s="2" t="s">
        <v>208</v>
      </c>
      <c r="D79" s="20" t="n">
        <v>1292.8</v>
      </c>
      <c r="E79" s="20" t="n">
        <v>981.9</v>
      </c>
      <c r="F79" s="20" t="n">
        <v>906.8</v>
      </c>
      <c r="G79" s="17" t="s">
        <v>289</v>
      </c>
      <c r="H79" s="2" t="s">
        <v>73</v>
      </c>
    </row>
    <row r="80" customFormat="false" ht="32.8" hidden="false" customHeight="false" outlineLevel="0" collapsed="false">
      <c r="A80" s="2" t="s">
        <v>290</v>
      </c>
      <c r="B80" s="4" t="s">
        <v>291</v>
      </c>
      <c r="C80" s="2" t="s">
        <v>208</v>
      </c>
      <c r="D80" s="20" t="n">
        <v>384.6</v>
      </c>
      <c r="E80" s="20" t="n">
        <v>173.1</v>
      </c>
      <c r="F80" s="20" t="n">
        <v>142</v>
      </c>
      <c r="G80" s="17" t="s">
        <v>292</v>
      </c>
      <c r="H80" s="2" t="s">
        <v>73</v>
      </c>
    </row>
    <row r="81" customFormat="false" ht="32.8" hidden="false" customHeight="false" outlineLevel="0" collapsed="false">
      <c r="A81" s="2" t="s">
        <v>293</v>
      </c>
      <c r="B81" s="4" t="s">
        <v>294</v>
      </c>
      <c r="C81" s="2" t="s">
        <v>208</v>
      </c>
      <c r="D81" s="20" t="n">
        <v>3982.6</v>
      </c>
      <c r="E81" s="20" t="n">
        <v>2876.5</v>
      </c>
      <c r="F81" s="20" t="n">
        <v>1434.3</v>
      </c>
      <c r="G81" s="17" t="s">
        <v>292</v>
      </c>
      <c r="H81" s="2" t="s">
        <v>210</v>
      </c>
    </row>
    <row r="82" customFormat="false" ht="15" hidden="false" customHeight="false" outlineLevel="0" collapsed="false">
      <c r="A82" s="2" t="s">
        <v>295</v>
      </c>
      <c r="B82" s="4" t="s">
        <v>296</v>
      </c>
      <c r="C82" s="2" t="s">
        <v>297</v>
      </c>
      <c r="D82" s="19" t="n">
        <v>2</v>
      </c>
      <c r="E82" s="19" t="n">
        <v>3</v>
      </c>
      <c r="F82" s="19" t="n">
        <v>3</v>
      </c>
      <c r="G82" s="17" t="s">
        <v>115</v>
      </c>
      <c r="H82" s="2" t="s">
        <v>82</v>
      </c>
    </row>
    <row r="83" customFormat="false" ht="15" hidden="false" customHeight="false" outlineLevel="0" collapsed="false">
      <c r="A83" s="21" t="s">
        <v>298</v>
      </c>
      <c r="B83" s="22" t="s">
        <v>299</v>
      </c>
      <c r="C83" s="21" t="s">
        <v>208</v>
      </c>
      <c r="D83" s="23" t="n">
        <v>0</v>
      </c>
      <c r="E83" s="23" t="n">
        <v>0</v>
      </c>
      <c r="F83" s="23" t="n">
        <v>0</v>
      </c>
      <c r="G83" s="24" t="s">
        <v>300</v>
      </c>
      <c r="H83" s="21" t="s">
        <v>239</v>
      </c>
    </row>
    <row r="84" customFormat="false" ht="22.35" hidden="false" customHeight="false" outlineLevel="0" collapsed="false">
      <c r="A84" s="2" t="s">
        <v>301</v>
      </c>
      <c r="B84" s="4" t="s">
        <v>302</v>
      </c>
      <c r="C84" s="2" t="s">
        <v>208</v>
      </c>
      <c r="D84" s="20" t="n">
        <v>3509.3</v>
      </c>
      <c r="E84" s="20" t="n">
        <v>2145.7</v>
      </c>
      <c r="F84" s="20" t="n">
        <v>2120.7</v>
      </c>
      <c r="G84" s="17" t="s">
        <v>303</v>
      </c>
      <c r="H84" s="2" t="s">
        <v>73</v>
      </c>
    </row>
    <row r="85" customFormat="false" ht="22.35" hidden="false" customHeight="false" outlineLevel="0" collapsed="false">
      <c r="A85" s="2" t="s">
        <v>304</v>
      </c>
      <c r="B85" s="4" t="s">
        <v>305</v>
      </c>
      <c r="C85" s="2" t="s">
        <v>208</v>
      </c>
      <c r="D85" s="20" t="n">
        <v>2735.4</v>
      </c>
      <c r="E85" s="20" t="n">
        <v>1701.5</v>
      </c>
      <c r="F85" s="20" t="n">
        <v>1166.9</v>
      </c>
      <c r="G85" s="17" t="s">
        <v>306</v>
      </c>
      <c r="H85" s="2" t="s">
        <v>73</v>
      </c>
    </row>
    <row r="86" customFormat="false" ht="22.35" hidden="false" customHeight="false" outlineLevel="0" collapsed="false">
      <c r="A86" s="2" t="s">
        <v>307</v>
      </c>
      <c r="B86" s="4" t="s">
        <v>308</v>
      </c>
      <c r="C86" s="2" t="s">
        <v>76</v>
      </c>
      <c r="D86" s="18" t="n">
        <v>0.14</v>
      </c>
      <c r="E86" s="18" t="n">
        <v>0.14</v>
      </c>
      <c r="F86" s="18" t="n">
        <v>0.14</v>
      </c>
      <c r="G86" s="17" t="s">
        <v>309</v>
      </c>
      <c r="H86" s="2" t="s">
        <v>210</v>
      </c>
    </row>
    <row r="87" customFormat="false" ht="32.8" hidden="false" customHeight="false" outlineLevel="0" collapsed="false">
      <c r="A87" s="2" t="s">
        <v>310</v>
      </c>
      <c r="B87" s="4" t="s">
        <v>311</v>
      </c>
      <c r="C87" s="2" t="s">
        <v>208</v>
      </c>
      <c r="D87" s="20" t="n">
        <v>1987.2</v>
      </c>
      <c r="E87" s="20" t="n">
        <v>1403.8</v>
      </c>
      <c r="F87" s="20" t="n">
        <v>726</v>
      </c>
      <c r="G87" s="17" t="s">
        <v>312</v>
      </c>
      <c r="H87" s="2" t="s">
        <v>210</v>
      </c>
    </row>
    <row r="88" customFormat="false" ht="15" hidden="false" customHeight="false" outlineLevel="0" collapsed="false">
      <c r="A88" s="2" t="s">
        <v>313</v>
      </c>
      <c r="B88" s="4" t="s">
        <v>314</v>
      </c>
      <c r="C88" s="2" t="s">
        <v>208</v>
      </c>
      <c r="D88" s="20" t="n">
        <v>2000</v>
      </c>
      <c r="E88" s="20" t="n">
        <v>2000</v>
      </c>
      <c r="F88" s="20" t="n">
        <v>2000</v>
      </c>
      <c r="G88" s="17" t="s">
        <v>115</v>
      </c>
      <c r="H88" s="2" t="s">
        <v>82</v>
      </c>
    </row>
    <row r="89" customFormat="false" ht="15" hidden="false" customHeight="false" outlineLevel="0" collapsed="false">
      <c r="A89" s="2" t="s">
        <v>315</v>
      </c>
      <c r="B89" s="4" t="s">
        <v>316</v>
      </c>
      <c r="C89" s="2" t="s">
        <v>76</v>
      </c>
      <c r="D89" s="18" t="n">
        <v>0.15</v>
      </c>
      <c r="E89" s="18" t="n">
        <v>0.12</v>
      </c>
      <c r="F89" s="18" t="n">
        <v>0.1</v>
      </c>
      <c r="G89" s="17" t="s">
        <v>317</v>
      </c>
      <c r="H89" s="2" t="s">
        <v>82</v>
      </c>
    </row>
    <row r="90" customFormat="false" ht="15" hidden="false" customHeight="false" outlineLevel="0" collapsed="false">
      <c r="A90" s="14" t="s">
        <v>318</v>
      </c>
      <c r="B90" s="15"/>
      <c r="C90" s="15"/>
      <c r="D90" s="15"/>
      <c r="E90" s="15"/>
      <c r="F90" s="15"/>
      <c r="G90" s="15"/>
      <c r="H90" s="15"/>
    </row>
    <row r="91" customFormat="false" ht="22.35" hidden="false" customHeight="false" outlineLevel="0" collapsed="false">
      <c r="A91" s="21" t="s">
        <v>319</v>
      </c>
      <c r="B91" s="22" t="s">
        <v>320</v>
      </c>
      <c r="C91" s="21" t="s">
        <v>178</v>
      </c>
      <c r="D91" s="23" t="n">
        <v>0</v>
      </c>
      <c r="E91" s="23" t="n">
        <v>0</v>
      </c>
      <c r="F91" s="23" t="n">
        <v>0</v>
      </c>
      <c r="G91" s="24" t="s">
        <v>321</v>
      </c>
      <c r="H91" s="21" t="s">
        <v>239</v>
      </c>
    </row>
    <row r="92" customFormat="false" ht="15" hidden="false" customHeight="false" outlineLevel="0" collapsed="false">
      <c r="A92" s="2" t="s">
        <v>322</v>
      </c>
      <c r="B92" s="4" t="s">
        <v>323</v>
      </c>
      <c r="C92" s="2" t="s">
        <v>76</v>
      </c>
      <c r="D92" s="18" t="n">
        <v>0.12</v>
      </c>
      <c r="E92" s="18" t="n">
        <v>0.12</v>
      </c>
      <c r="F92" s="18" t="n">
        <v>0.12</v>
      </c>
      <c r="G92" s="17" t="s">
        <v>324</v>
      </c>
      <c r="H92" s="2" t="s">
        <v>325</v>
      </c>
    </row>
    <row r="93" customFormat="false" ht="15" hidden="false" customHeight="false" outlineLevel="0" collapsed="false">
      <c r="A93" s="2" t="s">
        <v>326</v>
      </c>
      <c r="B93" s="4" t="s">
        <v>327</v>
      </c>
      <c r="C93" s="2" t="s">
        <v>208</v>
      </c>
      <c r="D93" s="20" t="n">
        <v>0</v>
      </c>
      <c r="E93" s="20" t="n">
        <v>0</v>
      </c>
      <c r="F93" s="20" t="n">
        <v>0</v>
      </c>
      <c r="G93" s="17" t="s">
        <v>328</v>
      </c>
      <c r="H93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0"/>
    <col collapsed="false" customWidth="true" hidden="false" outlineLevel="0" max="3" min="3" style="0" width="2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329</v>
      </c>
    </row>
    <row r="2" customFormat="false" ht="15" hidden="false" customHeight="false" outlineLevel="0" collapsed="false">
      <c r="A2" s="2" t="s">
        <v>330</v>
      </c>
    </row>
    <row r="4" customFormat="false" ht="15" hidden="false" customHeight="false" outlineLevel="0" collapsed="false">
      <c r="A4" s="3" t="s">
        <v>331</v>
      </c>
      <c r="B4" s="3" t="s">
        <v>332</v>
      </c>
      <c r="C4" s="3"/>
      <c r="D4" s="3" t="s">
        <v>3</v>
      </c>
      <c r="E4" s="3" t="s">
        <v>4</v>
      </c>
      <c r="F4" s="3" t="s">
        <v>5</v>
      </c>
    </row>
    <row r="5" customFormat="false" ht="15" hidden="false" customHeight="false" outlineLevel="0" collapsed="false">
      <c r="A5" s="4" t="s">
        <v>333</v>
      </c>
      <c r="B5" s="2" t="s">
        <v>334</v>
      </c>
      <c r="D5" s="25" t="n">
        <f aca="false">Supuestos!$D$71*Supuestos!$D$72</f>
        <v>158496</v>
      </c>
      <c r="E5" s="25" t="n">
        <f aca="false">Supuestos!$E$71*Supuestos!$E$72</f>
        <v>118872</v>
      </c>
      <c r="F5" s="25" t="n">
        <f aca="false">Supuestos!$F$71*Supuestos!$F$72</f>
        <v>79248</v>
      </c>
    </row>
    <row r="6" customFormat="false" ht="15" hidden="false" customHeight="false" outlineLevel="0" collapsed="false">
      <c r="A6" s="4" t="s">
        <v>335</v>
      </c>
      <c r="B6" s="2" t="s">
        <v>336</v>
      </c>
      <c r="D6" s="25" t="n">
        <f aca="false">Supuestos!$D$73*Supuestos!$D$74</f>
        <v>3846</v>
      </c>
      <c r="E6" s="25" t="n">
        <f aca="false">Supuestos!$E$73*Supuestos!$E$74</f>
        <v>2844</v>
      </c>
      <c r="F6" s="25" t="n">
        <f aca="false">Supuestos!$F$73*Supuestos!$F$74</f>
        <v>1848</v>
      </c>
    </row>
    <row r="7" customFormat="false" ht="15" hidden="false" customHeight="false" outlineLevel="0" collapsed="false">
      <c r="A7" s="4" t="s">
        <v>275</v>
      </c>
      <c r="B7" s="2" t="s">
        <v>337</v>
      </c>
      <c r="D7" s="25" t="n">
        <f aca="false">Supuestos!$D$75</f>
        <v>0</v>
      </c>
      <c r="E7" s="25" t="n">
        <f aca="false">Supuestos!$E$75</f>
        <v>0</v>
      </c>
      <c r="F7" s="25" t="n">
        <f aca="false">Supuestos!$F$75</f>
        <v>0</v>
      </c>
    </row>
    <row r="8" customFormat="false" ht="15" hidden="false" customHeight="false" outlineLevel="0" collapsed="false">
      <c r="A8" s="4" t="s">
        <v>278</v>
      </c>
      <c r="B8" s="2" t="s">
        <v>337</v>
      </c>
      <c r="D8" s="25" t="n">
        <f aca="false">Supuestos!$D$76</f>
        <v>5769.2</v>
      </c>
      <c r="E8" s="25" t="n">
        <f aca="false">Supuestos!$E$76</f>
        <v>4487.2</v>
      </c>
      <c r="F8" s="25" t="n">
        <f aca="false">Supuestos!$F$76</f>
        <v>3205.1</v>
      </c>
    </row>
    <row r="9" customFormat="false" ht="15" hidden="false" customHeight="false" outlineLevel="0" collapsed="false">
      <c r="A9" s="4" t="s">
        <v>281</v>
      </c>
      <c r="B9" s="2" t="s">
        <v>337</v>
      </c>
      <c r="D9" s="25" t="n">
        <f aca="false">Supuestos!$D$77</f>
        <v>7219.2</v>
      </c>
      <c r="E9" s="25" t="n">
        <f aca="false">Supuestos!$E$77</f>
        <v>5437.2</v>
      </c>
      <c r="F9" s="25" t="n">
        <f aca="false">Supuestos!$F$77</f>
        <v>3655.1</v>
      </c>
    </row>
    <row r="10" customFormat="false" ht="15" hidden="false" customHeight="false" outlineLevel="0" collapsed="false">
      <c r="A10" s="4" t="s">
        <v>338</v>
      </c>
      <c r="B10" s="2" t="s">
        <v>339</v>
      </c>
      <c r="D10" s="25" t="n">
        <f aca="false">Supuestos!$D$78*Supuestos!$D$79</f>
        <v>10342.4</v>
      </c>
      <c r="E10" s="25" t="n">
        <f aca="false">Supuestos!$E$78*Supuestos!$E$79</f>
        <v>7855.2</v>
      </c>
      <c r="F10" s="25" t="n">
        <f aca="false">Supuestos!$F$78*Supuestos!$F$79</f>
        <v>7254.4</v>
      </c>
    </row>
    <row r="11" customFormat="false" ht="15" hidden="false" customHeight="false" outlineLevel="0" collapsed="false">
      <c r="A11" s="4" t="s">
        <v>340</v>
      </c>
      <c r="B11" s="2" t="s">
        <v>341</v>
      </c>
      <c r="D11" s="25" t="n">
        <f aca="false">(Supuestos!$D$12+Supuestos!$D$13+Supuestos!$D$14*Supuestos!$D$15)*Supuestos!$D$80</f>
        <v>15384</v>
      </c>
      <c r="E11" s="25" t="n">
        <f aca="false">(Supuestos!$E$12+Supuestos!$E$13+Supuestos!$E$14*Supuestos!$E$15)*Supuestos!$E$80</f>
        <v>8308.8</v>
      </c>
      <c r="F11" s="25" t="n">
        <f aca="false">(Supuestos!$F$12+Supuestos!$F$13+Supuestos!$F$14*Supuestos!$F$15)*Supuestos!$F$80</f>
        <v>8378</v>
      </c>
    </row>
    <row r="12" customFormat="false" ht="15" hidden="false" customHeight="false" outlineLevel="0" collapsed="false">
      <c r="A12" s="4" t="s">
        <v>294</v>
      </c>
      <c r="B12" s="2" t="s">
        <v>337</v>
      </c>
      <c r="D12" s="25" t="n">
        <f aca="false">Supuestos!$D$81</f>
        <v>3982.6</v>
      </c>
      <c r="E12" s="25" t="n">
        <f aca="false">Supuestos!$E$81</f>
        <v>2876.5</v>
      </c>
      <c r="F12" s="25" t="n">
        <f aca="false">Supuestos!$F$81</f>
        <v>1434.3</v>
      </c>
    </row>
    <row r="13" customFormat="false" ht="15" hidden="false" customHeight="false" outlineLevel="0" collapsed="false">
      <c r="A13" s="4" t="s">
        <v>296</v>
      </c>
      <c r="B13" s="2" t="s">
        <v>342</v>
      </c>
      <c r="D13" s="25" t="n">
        <f aca="false">Supuestos!$D$82*Supuestos!$D$83</f>
        <v>0</v>
      </c>
      <c r="E13" s="25" t="n">
        <f aca="false">Supuestos!$E$82*Supuestos!$E$83</f>
        <v>0</v>
      </c>
      <c r="F13" s="25" t="n">
        <f aca="false">Supuestos!$F$82*Supuestos!$F$83</f>
        <v>0</v>
      </c>
    </row>
    <row r="14" customFormat="false" ht="15" hidden="false" customHeight="false" outlineLevel="0" collapsed="false">
      <c r="A14" s="4" t="s">
        <v>343</v>
      </c>
      <c r="B14" s="2" t="s">
        <v>337</v>
      </c>
      <c r="D14" s="25" t="n">
        <f aca="false">Supuestos!$D$84</f>
        <v>3509.3</v>
      </c>
      <c r="E14" s="25" t="n">
        <f aca="false">Supuestos!$E$84</f>
        <v>2145.7</v>
      </c>
      <c r="F14" s="25" t="n">
        <f aca="false">Supuestos!$F$84</f>
        <v>2120.7</v>
      </c>
    </row>
    <row r="15" customFormat="false" ht="15" hidden="false" customHeight="false" outlineLevel="0" collapsed="false">
      <c r="A15" s="4" t="s">
        <v>344</v>
      </c>
      <c r="B15" s="2" t="s">
        <v>337</v>
      </c>
      <c r="D15" s="25" t="n">
        <f aca="false">Supuestos!$D$85</f>
        <v>2735.4</v>
      </c>
      <c r="E15" s="25" t="n">
        <f aca="false">Supuestos!$E$85</f>
        <v>1701.5</v>
      </c>
      <c r="F15" s="25" t="n">
        <f aca="false">Supuestos!$F$85</f>
        <v>1166.9</v>
      </c>
    </row>
    <row r="16" customFormat="false" ht="15" hidden="false" customHeight="false" outlineLevel="0" collapsed="false">
      <c r="A16" s="11" t="s">
        <v>345</v>
      </c>
      <c r="D16" s="8" t="n">
        <f aca="false">SUM(D5:D15)</f>
        <v>211284.1</v>
      </c>
      <c r="E16" s="8" t="n">
        <f aca="false">SUM(E5:E15)</f>
        <v>154528.1</v>
      </c>
      <c r="F16" s="8" t="n">
        <f aca="false">SUM(F5:F15)</f>
        <v>108310.5</v>
      </c>
    </row>
    <row r="17" customFormat="false" ht="15" hidden="false" customHeight="false" outlineLevel="0" collapsed="false">
      <c r="A17" s="4" t="s">
        <v>346</v>
      </c>
      <c r="B17" s="2" t="s">
        <v>347</v>
      </c>
      <c r="D17" s="25" t="n">
        <f aca="false">SUM(D5:D9)*Supuestos!$D$86</f>
        <v>24546.256</v>
      </c>
      <c r="E17" s="25" t="n">
        <f aca="false">SUM(E5:E9)*Supuestos!$E$86</f>
        <v>18429.656</v>
      </c>
      <c r="F17" s="25" t="n">
        <f aca="false">SUM(F5:F9)*Supuestos!$F$86</f>
        <v>12313.868</v>
      </c>
    </row>
    <row r="18" customFormat="false" ht="15" hidden="false" customHeight="false" outlineLevel="0" collapsed="false">
      <c r="A18" s="4" t="s">
        <v>311</v>
      </c>
      <c r="B18" s="2" t="s">
        <v>337</v>
      </c>
      <c r="D18" s="25" t="n">
        <f aca="false">Supuestos!$D$87</f>
        <v>1987.2</v>
      </c>
      <c r="E18" s="25" t="n">
        <f aca="false">Supuestos!$E$87</f>
        <v>1403.8</v>
      </c>
      <c r="F18" s="25" t="n">
        <f aca="false">Supuestos!$F$87</f>
        <v>726</v>
      </c>
    </row>
    <row r="19" customFormat="false" ht="15" hidden="false" customHeight="false" outlineLevel="0" collapsed="false">
      <c r="A19" s="4" t="s">
        <v>314</v>
      </c>
      <c r="B19" s="2" t="s">
        <v>337</v>
      </c>
      <c r="D19" s="25" t="n">
        <f aca="false">Supuestos!$D$88</f>
        <v>2000</v>
      </c>
      <c r="E19" s="25" t="n">
        <f aca="false">Supuestos!$E$88</f>
        <v>2000</v>
      </c>
      <c r="F19" s="25" t="n">
        <f aca="false">Supuestos!$F$88</f>
        <v>2000</v>
      </c>
    </row>
    <row r="20" customFormat="false" ht="15" hidden="false" customHeight="false" outlineLevel="0" collapsed="false">
      <c r="A20" s="4" t="s">
        <v>316</v>
      </c>
      <c r="B20" s="2" t="s">
        <v>348</v>
      </c>
      <c r="D20" s="25" t="n">
        <f aca="false">SUM(D16:D19)*Supuestos!$D$89</f>
        <v>35972.6334</v>
      </c>
      <c r="E20" s="25" t="n">
        <f aca="false">SUM(E16:E19)*Supuestos!$E$89</f>
        <v>21163.38672</v>
      </c>
      <c r="F20" s="25" t="n">
        <f aca="false">SUM(F16:F19)*Supuestos!$F$89</f>
        <v>12335.0368</v>
      </c>
    </row>
    <row r="21" customFormat="false" ht="15" hidden="false" customHeight="false" outlineLevel="0" collapsed="false">
      <c r="A21" s="11" t="s">
        <v>349</v>
      </c>
      <c r="D21" s="26" t="n">
        <f aca="false">SUM(D16:D20)</f>
        <v>275790.1894</v>
      </c>
      <c r="E21" s="26" t="n">
        <f aca="false">SUM(E16:E20)</f>
        <v>197524.94272</v>
      </c>
      <c r="F21" s="26" t="n">
        <f aca="false">SUM(F16:F20)</f>
        <v>135685.4048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16"/>
    <col collapsed="false" customWidth="true" hidden="false" outlineLevel="0" max="5" min="5" style="0" width="70"/>
  </cols>
  <sheetData>
    <row r="1" customFormat="false" ht="17.35" hidden="false" customHeight="false" outlineLevel="0" collapsed="false">
      <c r="A1" s="1" t="s">
        <v>350</v>
      </c>
    </row>
    <row r="2" customFormat="false" ht="15" hidden="false" customHeight="false" outlineLevel="0" collapsed="false">
      <c r="A2" s="2" t="s">
        <v>351</v>
      </c>
    </row>
    <row r="4" customFormat="false" ht="15" hidden="false" customHeight="false" outlineLevel="0" collapsed="false">
      <c r="A4" s="3" t="s">
        <v>352</v>
      </c>
      <c r="B4" s="3" t="s">
        <v>3</v>
      </c>
      <c r="C4" s="3" t="s">
        <v>4</v>
      </c>
      <c r="D4" s="3" t="s">
        <v>5</v>
      </c>
      <c r="E4" s="3" t="s">
        <v>353</v>
      </c>
    </row>
    <row r="5" customFormat="false" ht="15" hidden="false" customHeight="false" outlineLevel="0" collapsed="false">
      <c r="A5" s="4" t="s">
        <v>354</v>
      </c>
      <c r="B5" s="27" t="n">
        <f aca="false">((Supuestos!$D$29*Supuestos!$D$25+Supuestos!$D$30*Supuestos!$D$26+Supuestos!$D$31*Supuestos!$D$27+Supuestos!$D$32*Supuestos!$D$28)*Supuestos!$D$37*(1-Supuestos!$D$38)/(1+Supuestos!$D$7*Supuestos!$D$8)/Supuestos!$D$6)</f>
        <v>40.911951684679</v>
      </c>
      <c r="C5" s="27" t="n">
        <f aca="false">((Supuestos!$E$29*Supuestos!$E$25+Supuestos!$E$30*Supuestos!$E$26+Supuestos!$E$31*Supuestos!$E$27+Supuestos!$E$32*Supuestos!$E$28)*Supuestos!$E$37*(1-Supuestos!$E$38)/(1+Supuestos!$E$7*Supuestos!$E$8)/Supuestos!$E$6)</f>
        <v>46.9729815638907</v>
      </c>
      <c r="D5" s="27" t="n">
        <f aca="false">((Supuestos!$F$29*Supuestos!$F$25+Supuestos!$F$30*Supuestos!$F$26+Supuestos!$F$31*Supuestos!$F$27+Supuestos!$F$32*Supuestos!$F$28)*Supuestos!$F$37*(1-Supuestos!$F$38)/(1+Supuestos!$F$7*Supuestos!$F$8)/Supuestos!$F$6)</f>
        <v>50.3823108709472</v>
      </c>
      <c r="E5" s="2" t="s">
        <v>355</v>
      </c>
    </row>
    <row r="6" customFormat="false" ht="15" hidden="false" customHeight="false" outlineLevel="0" collapsed="false">
      <c r="A6" s="4" t="s">
        <v>356</v>
      </c>
      <c r="B6" s="28" t="n">
        <f aca="false">(Supuestos!$D$29*Supuestos!$D$21+Supuestos!$D$30*Supuestos!$D$22+Supuestos!$D$31*Supuestos!$D$23+Supuestos!$D$32*Supuestos!$D$24)</f>
        <v>12.05</v>
      </c>
      <c r="C6" s="28" t="n">
        <f aca="false">(Supuestos!$E$29*Supuestos!$E$21+Supuestos!$E$30*Supuestos!$E$22+Supuestos!$E$31*Supuestos!$E$23+Supuestos!$E$32*Supuestos!$E$24)</f>
        <v>12.05</v>
      </c>
      <c r="D6" s="28" t="n">
        <f aca="false">(Supuestos!$F$29*Supuestos!$F$21+Supuestos!$F$30*Supuestos!$F$22+Supuestos!$F$31*Supuestos!$F$23+Supuestos!$F$32*Supuestos!$F$24)</f>
        <v>12.05</v>
      </c>
      <c r="E6" s="2" t="s">
        <v>357</v>
      </c>
    </row>
    <row r="7" customFormat="false" ht="15" hidden="false" customHeight="false" outlineLevel="0" collapsed="false">
      <c r="A7" s="4" t="s">
        <v>358</v>
      </c>
      <c r="B7" s="27" t="n">
        <f aca="false">(Supuestos!$D$29*Supuestos!$D$21+Supuestos!$D$30*Supuestos!$D$22+Supuestos!$D$31*Supuestos!$D$23+Supuestos!$D$32*Supuestos!$D$24)*Supuestos!$D$17*Supuestos!$D$53+((Supuestos!$D$29*Supuestos!$D$25+Supuestos!$D$30*Supuestos!$D$26+Supuestos!$D$31*Supuestos!$D$27+Supuestos!$D$32*Supuestos!$D$28)*Supuestos!$D$37*(1-Supuestos!$D$38)/(1+Supuestos!$D$7*Supuestos!$D$8)/Supuestos!$D$6)*((1+Supuestos!$D$7*Supuestos!$D$8)*(Supuestos!$D$54+Supuestos!$D$56)+Supuestos!$D$55)</f>
        <v>18.2492568534647</v>
      </c>
      <c r="C7" s="27" t="n">
        <f aca="false">(Supuestos!$E$29*Supuestos!$E$21+Supuestos!$E$30*Supuestos!$E$22+Supuestos!$E$31*Supuestos!$E$23+Supuestos!$E$32*Supuestos!$E$24)*Supuestos!$E$17*Supuestos!$E$53+((Supuestos!$E$29*Supuestos!$E$25+Supuestos!$E$30*Supuestos!$E$26+Supuestos!$E$31*Supuestos!$E$27+Supuestos!$E$32*Supuestos!$E$28)*Supuestos!$E$37*(1-Supuestos!$E$38)/(1+Supuestos!$E$7*Supuestos!$E$8)/Supuestos!$E$6)*((1+Supuestos!$E$7*Supuestos!$E$8)*(Supuestos!$E$54+Supuestos!$E$56)+Supuestos!$E$55)</f>
        <v>11.860524254609</v>
      </c>
      <c r="D7" s="27" t="n">
        <f aca="false">(Supuestos!$F$29*Supuestos!$F$21+Supuestos!$F$30*Supuestos!$F$22+Supuestos!$F$31*Supuestos!$F$23+Supuestos!$F$32*Supuestos!$F$24)*Supuestos!$F$17*Supuestos!$F$53+((Supuestos!$F$29*Supuestos!$F$25+Supuestos!$F$30*Supuestos!$F$26+Supuestos!$F$31*Supuestos!$F$27+Supuestos!$F$32*Supuestos!$F$28)*Supuestos!$F$37*(1-Supuestos!$F$38)/(1+Supuestos!$F$7*Supuestos!$F$8)/Supuestos!$F$6)*((1+Supuestos!$F$7*Supuestos!$F$8)*(Supuestos!$F$54+Supuestos!$F$56)+Supuestos!$F$55)</f>
        <v>6.31417105689765</v>
      </c>
      <c r="E7" s="2" t="s">
        <v>359</v>
      </c>
    </row>
    <row r="8" customFormat="false" ht="15" hidden="false" customHeight="false" outlineLevel="0" collapsed="false">
      <c r="A8" s="4" t="s">
        <v>360</v>
      </c>
      <c r="B8" s="27" t="n">
        <f aca="false">B5-B7</f>
        <v>22.6626948312142</v>
      </c>
      <c r="C8" s="27" t="n">
        <f aca="false">C5-C7</f>
        <v>35.1124573092816</v>
      </c>
      <c r="D8" s="27" t="n">
        <f aca="false">D5-D7</f>
        <v>44.0681398140496</v>
      </c>
      <c r="E8" s="2" t="s">
        <v>361</v>
      </c>
    </row>
    <row r="9" customFormat="false" ht="15" hidden="false" customHeight="false" outlineLevel="0" collapsed="false">
      <c r="A9" s="4" t="s">
        <v>362</v>
      </c>
      <c r="B9" s="25" t="n">
        <f aca="false">Modelo_Conservador!AM40</f>
        <v>5101.2998523</v>
      </c>
      <c r="C9" s="25" t="n">
        <f aca="false">Modelo_Base!AM40</f>
        <v>3744.94729952</v>
      </c>
      <c r="D9" s="25" t="n">
        <f aca="false">Modelo_Favorable!AM40</f>
        <v>3199.9114168</v>
      </c>
      <c r="E9" s="2"/>
    </row>
    <row r="10" customFormat="false" ht="15" hidden="false" customHeight="false" outlineLevel="0" collapsed="false">
      <c r="A10" s="4" t="s">
        <v>363</v>
      </c>
      <c r="B10" s="25" t="n">
        <f aca="false">Modelo_Conservador!AM28-Modelo_Conservador!AM7*B8</f>
        <v>464.255652638271</v>
      </c>
      <c r="C10" s="25" t="n">
        <f aca="false">Modelo_Base!AM28-Modelo_Base!AM7*C8</f>
        <v>1008.61143404323</v>
      </c>
      <c r="D10" s="25" t="n">
        <f aca="false">Modelo_Favorable!AM28-Modelo_Favorable!AM7*D8</f>
        <v>1813.65449173554</v>
      </c>
      <c r="E10" s="2" t="s">
        <v>364</v>
      </c>
    </row>
    <row r="11" customFormat="false" ht="15" hidden="false" customHeight="false" outlineLevel="0" collapsed="false">
      <c r="A11" s="11" t="s">
        <v>365</v>
      </c>
      <c r="B11" s="29" t="n">
        <f aca="false">MAX(0,(B9-B10)/B8)</f>
        <v>204.6113330386</v>
      </c>
      <c r="C11" s="29" t="n">
        <f aca="false">MAX(0,(C9-C10)/C8)</f>
        <v>77.9306284767899</v>
      </c>
      <c r="D11" s="29" t="n">
        <f aca="false">MAX(0,(D9-D10)/D8)</f>
        <v>31.4571236933061</v>
      </c>
      <c r="E11" s="2" t="s">
        <v>366</v>
      </c>
    </row>
    <row r="12" customFormat="false" ht="15" hidden="false" customHeight="false" outlineLevel="0" collapsed="false">
      <c r="A12" s="4" t="s">
        <v>367</v>
      </c>
      <c r="B12" s="28" t="n">
        <f aca="false">Modelo_Conservador!AM5</f>
        <v>45.5617931820031</v>
      </c>
      <c r="C12" s="28" t="n">
        <f aca="false">Modelo_Base!AM5</f>
        <v>60.3255665496329</v>
      </c>
      <c r="D12" s="28" t="n">
        <f aca="false">Modelo_Favorable!AM5</f>
        <v>78.0746887966805</v>
      </c>
      <c r="E12" s="2"/>
    </row>
    <row r="13" customFormat="false" ht="15" hidden="false" customHeight="false" outlineLevel="0" collapsed="false">
      <c r="A13" s="4" t="s">
        <v>368</v>
      </c>
      <c r="B13" s="30" t="n">
        <f aca="false">B11/B12</f>
        <v>4.49085338281684</v>
      </c>
      <c r="C13" s="30" t="n">
        <f aca="false">C11/C12</f>
        <v>1.29183417469726</v>
      </c>
      <c r="D13" s="30" t="n">
        <f aca="false">D11/D12</f>
        <v>0.402910651046278</v>
      </c>
      <c r="E13" s="2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370</v>
      </c>
    </row>
    <row r="2" customFormat="false" ht="15" hidden="false" customHeight="false" outlineLevel="0" collapsed="false">
      <c r="A2" s="2" t="s">
        <v>371</v>
      </c>
    </row>
    <row r="4" customFormat="false" ht="15" hidden="false" customHeight="false" outlineLevel="0" collapsed="false">
      <c r="A4" s="11" t="s">
        <v>372</v>
      </c>
      <c r="B4" s="31" t="n">
        <v>-0.2</v>
      </c>
      <c r="C4" s="31" t="n">
        <v>-0.1</v>
      </c>
      <c r="D4" s="31" t="n">
        <v>0</v>
      </c>
      <c r="E4" s="31" t="n">
        <v>0.1</v>
      </c>
      <c r="F4" s="31" t="n">
        <v>0.2</v>
      </c>
    </row>
    <row r="5" customFormat="false" ht="15" hidden="false" customHeight="false" outlineLevel="0" collapsed="false">
      <c r="A5" s="32" t="n">
        <v>0.4</v>
      </c>
      <c r="B5" s="25" t="n">
        <f aca="false">$A5*Equilibrio!C12*(Equilibrio!C5*(1+B$4)*(1-((1+Supuestos!$E$7*Supuestos!$E$8)*(Supuestos!$E$54+Supuestos!$E$56)+Supuestos!$E$55))-(Equilibrio!C7-Equilibrio!C5*((1+Supuestos!$E$7*Supuestos!$E$8)*(Supuestos!$E$54+Supuestos!$E$56)+Supuestos!$E$55)))+Equilibrio!C10*(1+B$4)-Equilibrio!C9</f>
        <v>-2297.9246029508</v>
      </c>
      <c r="C5" s="25" t="n">
        <f aca="false">$A5*Equilibrio!C12*(Equilibrio!C5*(1+C$4)*(1-((1+Supuestos!$E$7*Supuestos!$E$8)*(Supuestos!$E$54+Supuestos!$E$56)+Supuestos!$E$55))-(Equilibrio!C7-Equilibrio!C5*((1+Supuestos!$E$7*Supuestos!$E$8)*(Supuestos!$E$54+Supuestos!$E$56)+Supuestos!$E$55)))+Equilibrio!C10*(1+C$4)-Equilibrio!C9</f>
        <v>-2093.49445818734</v>
      </c>
      <c r="D5" s="25" t="n">
        <f aca="false">$A5*Equilibrio!C12*(Equilibrio!C5*(1+D$4)*(1-((1+Supuestos!$E$7*Supuestos!$E$8)*(Supuestos!$E$54+Supuestos!$E$56)+Supuestos!$E$55))-(Equilibrio!C7-Equilibrio!C5*((1+Supuestos!$E$7*Supuestos!$E$8)*(Supuestos!$E$54+Supuestos!$E$56)+Supuestos!$E$55)))+Equilibrio!C10*(1+D$4)-Equilibrio!C9</f>
        <v>-1889.06431342388</v>
      </c>
      <c r="E5" s="25" t="n">
        <f aca="false">$A5*Equilibrio!C12*(Equilibrio!C5*(1+E$4)*(1-((1+Supuestos!$E$7*Supuestos!$E$8)*(Supuestos!$E$54+Supuestos!$E$56)+Supuestos!$E$55))-(Equilibrio!C7-Equilibrio!C5*((1+Supuestos!$E$7*Supuestos!$E$8)*(Supuestos!$E$54+Supuestos!$E$56)+Supuestos!$E$55)))+Equilibrio!C10*(1+E$4)-Equilibrio!C9</f>
        <v>-1684.63416866043</v>
      </c>
      <c r="F5" s="25" t="n">
        <f aca="false">$A5*Equilibrio!C12*(Equilibrio!C5*(1+F$4)*(1-((1+Supuestos!$E$7*Supuestos!$E$8)*(Supuestos!$E$54+Supuestos!$E$56)+Supuestos!$E$55))-(Equilibrio!C7-Equilibrio!C5*((1+Supuestos!$E$7*Supuestos!$E$8)*(Supuestos!$E$54+Supuestos!$E$56)+Supuestos!$E$55)))+Equilibrio!C10*(1+F$4)-Equilibrio!C9</f>
        <v>-1480.20402389697</v>
      </c>
    </row>
    <row r="6" customFormat="false" ht="15" hidden="false" customHeight="false" outlineLevel="0" collapsed="false">
      <c r="A6" s="32" t="n">
        <v>0.5</v>
      </c>
      <c r="B6" s="25" t="n">
        <f aca="false">$A6*Equilibrio!C12*(Equilibrio!C5*(1+B$4)*(1-((1+Supuestos!$E$7*Supuestos!$E$8)*(Supuestos!$E$54+Supuestos!$E$56)+Supuestos!$E$55))-(Equilibrio!C7-Equilibrio!C5*((1+Supuestos!$E$7*Supuestos!$E$8)*(Supuestos!$E$54+Supuestos!$E$56)+Supuestos!$E$55)))+Equilibrio!C10*(1+B$4)-Equilibrio!C9</f>
        <v>-2137.89121561715</v>
      </c>
      <c r="C6" s="25" t="n">
        <f aca="false">$A6*Equilibrio!C12*(Equilibrio!C5*(1+C$4)*(1-((1+Supuestos!$E$7*Supuestos!$E$8)*(Supuestos!$E$54+Supuestos!$E$56)+Supuestos!$E$55))-(Equilibrio!C7-Equilibrio!C5*((1+Supuestos!$E$7*Supuestos!$E$8)*(Supuestos!$E$54+Supuestos!$E$56)+Supuestos!$E$55)))+Equilibrio!C10*(1+C$4)-Equilibrio!C9</f>
        <v>-1907.5688205139</v>
      </c>
      <c r="D6" s="25" t="n">
        <f aca="false">$A6*Equilibrio!C12*(Equilibrio!C5*(1+D$4)*(1-((1+Supuestos!$E$7*Supuestos!$E$8)*(Supuestos!$E$54+Supuestos!$E$56)+Supuestos!$E$55))-(Equilibrio!C7-Equilibrio!C5*((1+Supuestos!$E$7*Supuestos!$E$8)*(Supuestos!$E$54+Supuestos!$E$56)+Supuestos!$E$55)))+Equilibrio!C10*(1+D$4)-Equilibrio!C9</f>
        <v>-1677.24642541066</v>
      </c>
      <c r="E6" s="25" t="n">
        <f aca="false">$A6*Equilibrio!C12*(Equilibrio!C5*(1+E$4)*(1-((1+Supuestos!$E$7*Supuestos!$E$8)*(Supuestos!$E$54+Supuestos!$E$56)+Supuestos!$E$55))-(Equilibrio!C7-Equilibrio!C5*((1+Supuestos!$E$7*Supuestos!$E$8)*(Supuestos!$E$54+Supuestos!$E$56)+Supuestos!$E$55)))+Equilibrio!C10*(1+E$4)-Equilibrio!C9</f>
        <v>-1446.92403030742</v>
      </c>
      <c r="F6" s="25" t="n">
        <f aca="false">$A6*Equilibrio!C12*(Equilibrio!C5*(1+F$4)*(1-((1+Supuestos!$E$7*Supuestos!$E$8)*(Supuestos!$E$54+Supuestos!$E$56)+Supuestos!$E$55))-(Equilibrio!C7-Equilibrio!C5*((1+Supuestos!$E$7*Supuestos!$E$8)*(Supuestos!$E$54+Supuestos!$E$56)+Supuestos!$E$55)))+Equilibrio!C10*(1+F$4)-Equilibrio!C9</f>
        <v>-1216.60163520418</v>
      </c>
    </row>
    <row r="7" customFormat="false" ht="15" hidden="false" customHeight="false" outlineLevel="0" collapsed="false">
      <c r="A7" s="32" t="n">
        <v>0.6</v>
      </c>
      <c r="B7" s="25" t="n">
        <f aca="false">$A7*Equilibrio!C12*(Equilibrio!C5*(1+B$4)*(1-((1+Supuestos!$E$7*Supuestos!$E$8)*(Supuestos!$E$54+Supuestos!$E$56)+Supuestos!$E$55))-(Equilibrio!C7-Equilibrio!C5*((1+Supuestos!$E$7*Supuestos!$E$8)*(Supuestos!$E$54+Supuestos!$E$56)+Supuestos!$E$55)))+Equilibrio!C10*(1+B$4)-Equilibrio!C9</f>
        <v>-1977.85782828349</v>
      </c>
      <c r="C7" s="25" t="n">
        <f aca="false">$A7*Equilibrio!C12*(Equilibrio!C5*(1+C$4)*(1-((1+Supuestos!$E$7*Supuestos!$E$8)*(Supuestos!$E$54+Supuestos!$E$56)+Supuestos!$E$55))-(Equilibrio!C7-Equilibrio!C5*((1+Supuestos!$E$7*Supuestos!$E$8)*(Supuestos!$E$54+Supuestos!$E$56)+Supuestos!$E$55)))+Equilibrio!C10*(1+C$4)-Equilibrio!C9</f>
        <v>-1721.64318284047</v>
      </c>
      <c r="D7" s="25" t="n">
        <f aca="false">$A7*Equilibrio!C12*(Equilibrio!C5*(1+D$4)*(1-((1+Supuestos!$E$7*Supuestos!$E$8)*(Supuestos!$E$54+Supuestos!$E$56)+Supuestos!$E$55))-(Equilibrio!C7-Equilibrio!C5*((1+Supuestos!$E$7*Supuestos!$E$8)*(Supuestos!$E$54+Supuestos!$E$56)+Supuestos!$E$55)))+Equilibrio!C10*(1+D$4)-Equilibrio!C9</f>
        <v>-1465.42853739744</v>
      </c>
      <c r="E7" s="25" t="n">
        <f aca="false">$A7*Equilibrio!C12*(Equilibrio!C5*(1+E$4)*(1-((1+Supuestos!$E$7*Supuestos!$E$8)*(Supuestos!$E$54+Supuestos!$E$56)+Supuestos!$E$55))-(Equilibrio!C7-Equilibrio!C5*((1+Supuestos!$E$7*Supuestos!$E$8)*(Supuestos!$E$54+Supuestos!$E$56)+Supuestos!$E$55)))+Equilibrio!C10*(1+E$4)-Equilibrio!C9</f>
        <v>-1209.21389195442</v>
      </c>
      <c r="F7" s="25" t="n">
        <f aca="false">$A7*Equilibrio!C12*(Equilibrio!C5*(1+F$4)*(1-((1+Supuestos!$E$7*Supuestos!$E$8)*(Supuestos!$E$54+Supuestos!$E$56)+Supuestos!$E$55))-(Equilibrio!C7-Equilibrio!C5*((1+Supuestos!$E$7*Supuestos!$E$8)*(Supuestos!$E$54+Supuestos!$E$56)+Supuestos!$E$55)))+Equilibrio!C10*(1+F$4)-Equilibrio!C9</f>
        <v>-952.999246511392</v>
      </c>
    </row>
    <row r="8" customFormat="false" ht="15" hidden="false" customHeight="false" outlineLevel="0" collapsed="false">
      <c r="A8" s="32" t="n">
        <v>0.7</v>
      </c>
      <c r="B8" s="25" t="n">
        <f aca="false">$A8*Equilibrio!C12*(Equilibrio!C5*(1+B$4)*(1-((1+Supuestos!$E$7*Supuestos!$E$8)*(Supuestos!$E$54+Supuestos!$E$56)+Supuestos!$E$55))-(Equilibrio!C7-Equilibrio!C5*((1+Supuestos!$E$7*Supuestos!$E$8)*(Supuestos!$E$54+Supuestos!$E$56)+Supuestos!$E$55)))+Equilibrio!C10*(1+B$4)-Equilibrio!C9</f>
        <v>-1817.82444094984</v>
      </c>
      <c r="C8" s="25" t="n">
        <f aca="false">$A8*Equilibrio!C12*(Equilibrio!C5*(1+C$4)*(1-((1+Supuestos!$E$7*Supuestos!$E$8)*(Supuestos!$E$54+Supuestos!$E$56)+Supuestos!$E$55))-(Equilibrio!C7-Equilibrio!C5*((1+Supuestos!$E$7*Supuestos!$E$8)*(Supuestos!$E$54+Supuestos!$E$56)+Supuestos!$E$55)))+Equilibrio!C10*(1+C$4)-Equilibrio!C9</f>
        <v>-1535.71754516703</v>
      </c>
      <c r="D8" s="25" t="n">
        <f aca="false">$A8*Equilibrio!C12*(Equilibrio!C5*(1+D$4)*(1-((1+Supuestos!$E$7*Supuestos!$E$8)*(Supuestos!$E$54+Supuestos!$E$56)+Supuestos!$E$55))-(Equilibrio!C7-Equilibrio!C5*((1+Supuestos!$E$7*Supuestos!$E$8)*(Supuestos!$E$54+Supuestos!$E$56)+Supuestos!$E$55)))+Equilibrio!C10*(1+D$4)-Equilibrio!C9</f>
        <v>-1253.61064938422</v>
      </c>
      <c r="E8" s="25" t="n">
        <f aca="false">$A8*Equilibrio!C12*(Equilibrio!C5*(1+E$4)*(1-((1+Supuestos!$E$7*Supuestos!$E$8)*(Supuestos!$E$54+Supuestos!$E$56)+Supuestos!$E$55))-(Equilibrio!C7-Equilibrio!C5*((1+Supuestos!$E$7*Supuestos!$E$8)*(Supuestos!$E$54+Supuestos!$E$56)+Supuestos!$E$55)))+Equilibrio!C10*(1+E$4)-Equilibrio!C9</f>
        <v>-971.503753601412</v>
      </c>
      <c r="F8" s="25" t="n">
        <f aca="false">$A8*Equilibrio!C12*(Equilibrio!C5*(1+F$4)*(1-((1+Supuestos!$E$7*Supuestos!$E$8)*(Supuestos!$E$54+Supuestos!$E$56)+Supuestos!$E$55))-(Equilibrio!C7-Equilibrio!C5*((1+Supuestos!$E$7*Supuestos!$E$8)*(Supuestos!$E$54+Supuestos!$E$56)+Supuestos!$E$55)))+Equilibrio!C10*(1+F$4)-Equilibrio!C9</f>
        <v>-689.396857818604</v>
      </c>
    </row>
    <row r="9" customFormat="false" ht="15" hidden="false" customHeight="false" outlineLevel="0" collapsed="false">
      <c r="A9" s="32" t="n">
        <v>0.8</v>
      </c>
      <c r="B9" s="25" t="n">
        <f aca="false">$A9*Equilibrio!C12*(Equilibrio!C5*(1+B$4)*(1-((1+Supuestos!$E$7*Supuestos!$E$8)*(Supuestos!$E$54+Supuestos!$E$56)+Supuestos!$E$55))-(Equilibrio!C7-Equilibrio!C5*((1+Supuestos!$E$7*Supuestos!$E$8)*(Supuestos!$E$54+Supuestos!$E$56)+Supuestos!$E$55)))+Equilibrio!C10*(1+B$4)-Equilibrio!C9</f>
        <v>-1657.79105361618</v>
      </c>
      <c r="C9" s="25" t="n">
        <f aca="false">$A9*Equilibrio!C12*(Equilibrio!C5*(1+C$4)*(1-((1+Supuestos!$E$7*Supuestos!$E$8)*(Supuestos!$E$54+Supuestos!$E$56)+Supuestos!$E$55))-(Equilibrio!C7-Equilibrio!C5*((1+Supuestos!$E$7*Supuestos!$E$8)*(Supuestos!$E$54+Supuestos!$E$56)+Supuestos!$E$55)))+Equilibrio!C10*(1+C$4)-Equilibrio!C9</f>
        <v>-1349.79190749359</v>
      </c>
      <c r="D9" s="25" t="n">
        <f aca="false">$A9*Equilibrio!C12*(Equilibrio!C5*(1+D$4)*(1-((1+Supuestos!$E$7*Supuestos!$E$8)*(Supuestos!$E$54+Supuestos!$E$56)+Supuestos!$E$55))-(Equilibrio!C7-Equilibrio!C5*((1+Supuestos!$E$7*Supuestos!$E$8)*(Supuestos!$E$54+Supuestos!$E$56)+Supuestos!$E$55)))+Equilibrio!C10*(1+D$4)-Equilibrio!C9</f>
        <v>-1041.792761371</v>
      </c>
      <c r="E9" s="25" t="n">
        <f aca="false">$A9*Equilibrio!C12*(Equilibrio!C5*(1+E$4)*(1-((1+Supuestos!$E$7*Supuestos!$E$8)*(Supuestos!$E$54+Supuestos!$E$56)+Supuestos!$E$55))-(Equilibrio!C7-Equilibrio!C5*((1+Supuestos!$E$7*Supuestos!$E$8)*(Supuestos!$E$54+Supuestos!$E$56)+Supuestos!$E$55)))+Equilibrio!C10*(1+E$4)-Equilibrio!C9</f>
        <v>-733.793615248406</v>
      </c>
      <c r="F9" s="25" t="n">
        <f aca="false">$A9*Equilibrio!C12*(Equilibrio!C5*(1+F$4)*(1-((1+Supuestos!$E$7*Supuestos!$E$8)*(Supuestos!$E$54+Supuestos!$E$56)+Supuestos!$E$55))-(Equilibrio!C7-Equilibrio!C5*((1+Supuestos!$E$7*Supuestos!$E$8)*(Supuestos!$E$54+Supuestos!$E$56)+Supuestos!$E$55)))+Equilibrio!C10*(1+F$4)-Equilibrio!C9</f>
        <v>-425.794469125814</v>
      </c>
    </row>
    <row r="10" customFormat="false" ht="15" hidden="false" customHeight="false" outlineLevel="0" collapsed="false">
      <c r="A10" s="32" t="n">
        <v>0.9</v>
      </c>
      <c r="B10" s="25" t="n">
        <f aca="false">$A10*Equilibrio!C12*(Equilibrio!C5*(1+B$4)*(1-((1+Supuestos!$E$7*Supuestos!$E$8)*(Supuestos!$E$54+Supuestos!$E$56)+Supuestos!$E$55))-(Equilibrio!C7-Equilibrio!C5*((1+Supuestos!$E$7*Supuestos!$E$8)*(Supuestos!$E$54+Supuestos!$E$56)+Supuestos!$E$55)))+Equilibrio!C10*(1+B$4)-Equilibrio!C9</f>
        <v>-1497.75766628253</v>
      </c>
      <c r="C10" s="25" t="n">
        <f aca="false">$A10*Equilibrio!C12*(Equilibrio!C5*(1+C$4)*(1-((1+Supuestos!$E$7*Supuestos!$E$8)*(Supuestos!$E$54+Supuestos!$E$56)+Supuestos!$E$55))-(Equilibrio!C7-Equilibrio!C5*((1+Supuestos!$E$7*Supuestos!$E$8)*(Supuestos!$E$54+Supuestos!$E$56)+Supuestos!$E$55)))+Equilibrio!C10*(1+C$4)-Equilibrio!C9</f>
        <v>-1163.86626982015</v>
      </c>
      <c r="D10" s="25" t="n">
        <f aca="false">$A10*Equilibrio!C12*(Equilibrio!C5*(1+D$4)*(1-((1+Supuestos!$E$7*Supuestos!$E$8)*(Supuestos!$E$54+Supuestos!$E$56)+Supuestos!$E$55))-(Equilibrio!C7-Equilibrio!C5*((1+Supuestos!$E$7*Supuestos!$E$8)*(Supuestos!$E$54+Supuestos!$E$56)+Supuestos!$E$55)))+Equilibrio!C10*(1+D$4)-Equilibrio!C9</f>
        <v>-829.974873357778</v>
      </c>
      <c r="E10" s="25" t="n">
        <f aca="false">$A10*Equilibrio!C12*(Equilibrio!C5*(1+E$4)*(1-((1+Supuestos!$E$7*Supuestos!$E$8)*(Supuestos!$E$54+Supuestos!$E$56)+Supuestos!$E$55))-(Equilibrio!C7-Equilibrio!C5*((1+Supuestos!$E$7*Supuestos!$E$8)*(Supuestos!$E$54+Supuestos!$E$56)+Supuestos!$E$55)))+Equilibrio!C10*(1+E$4)-Equilibrio!C9</f>
        <v>-496.083476895401</v>
      </c>
      <c r="F10" s="25" t="n">
        <f aca="false">$A10*Equilibrio!C12*(Equilibrio!C5*(1+F$4)*(1-((1+Supuestos!$E$7*Supuestos!$E$8)*(Supuestos!$E$54+Supuestos!$E$56)+Supuestos!$E$55))-(Equilibrio!C7-Equilibrio!C5*((1+Supuestos!$E$7*Supuestos!$E$8)*(Supuestos!$E$54+Supuestos!$E$56)+Supuestos!$E$55)))+Equilibrio!C10*(1+F$4)-Equilibrio!C9</f>
        <v>-162.192080433026</v>
      </c>
    </row>
    <row r="11" customFormat="false" ht="15" hidden="false" customHeight="false" outlineLevel="0" collapsed="false">
      <c r="A11" s="32" t="n">
        <v>1</v>
      </c>
      <c r="B11" s="25" t="n">
        <f aca="false">$A11*Equilibrio!C12*(Equilibrio!C5*(1+B$4)*(1-((1+Supuestos!$E$7*Supuestos!$E$8)*(Supuestos!$E$54+Supuestos!$E$56)+Supuestos!$E$55))-(Equilibrio!C7-Equilibrio!C5*((1+Supuestos!$E$7*Supuestos!$E$8)*(Supuestos!$E$54+Supuestos!$E$56)+Supuestos!$E$55)))+Equilibrio!C10*(1+B$4)-Equilibrio!C9</f>
        <v>-1337.72427894888</v>
      </c>
      <c r="C11" s="25" t="n">
        <f aca="false">$A11*Equilibrio!C12*(Equilibrio!C5*(1+C$4)*(1-((1+Supuestos!$E$7*Supuestos!$E$8)*(Supuestos!$E$54+Supuestos!$E$56)+Supuestos!$E$55))-(Equilibrio!C7-Equilibrio!C5*((1+Supuestos!$E$7*Supuestos!$E$8)*(Supuestos!$E$54+Supuestos!$E$56)+Supuestos!$E$55)))+Equilibrio!C10*(1+C$4)-Equilibrio!C9</f>
        <v>-977.940632146716</v>
      </c>
      <c r="D11" s="25" t="n">
        <f aca="false">$A11*Equilibrio!C12*(Equilibrio!C5*(1+D$4)*(1-((1+Supuestos!$E$7*Supuestos!$E$8)*(Supuestos!$E$54+Supuestos!$E$56)+Supuestos!$E$55))-(Equilibrio!C7-Equilibrio!C5*((1+Supuestos!$E$7*Supuestos!$E$8)*(Supuestos!$E$54+Supuestos!$E$56)+Supuestos!$E$55)))+Equilibrio!C10*(1+D$4)-Equilibrio!C9</f>
        <v>-618.156985344556</v>
      </c>
      <c r="E11" s="25" t="n">
        <f aca="false">$A11*Equilibrio!C12*(Equilibrio!C5*(1+E$4)*(1-((1+Supuestos!$E$7*Supuestos!$E$8)*(Supuestos!$E$54+Supuestos!$E$56)+Supuestos!$E$55))-(Equilibrio!C7-Equilibrio!C5*((1+Supuestos!$E$7*Supuestos!$E$8)*(Supuestos!$E$54+Supuestos!$E$56)+Supuestos!$E$55)))+Equilibrio!C10*(1+E$4)-Equilibrio!C9</f>
        <v>-258.373338542396</v>
      </c>
      <c r="F11" s="25" t="n">
        <f aca="false">$A11*Equilibrio!C12*(Equilibrio!C5*(1+F$4)*(1-((1+Supuestos!$E$7*Supuestos!$E$8)*(Supuestos!$E$54+Supuestos!$E$56)+Supuestos!$E$55))-(Equilibrio!C7-Equilibrio!C5*((1+Supuestos!$E$7*Supuestos!$E$8)*(Supuestos!$E$54+Supuestos!$E$56)+Supuestos!$E$55)))+Equilibrio!C10*(1+F$4)-Equilibrio!C9</f>
        <v>101.410308259764</v>
      </c>
    </row>
    <row r="13" customFormat="false" ht="15" hidden="false" customHeight="false" outlineLevel="0" collapsed="false">
      <c r="A13" s="2" t="s">
        <v>373</v>
      </c>
    </row>
    <row r="15" customFormat="false" ht="15" hidden="false" customHeight="false" outlineLevel="0" collapsed="false">
      <c r="A15" s="11" t="s">
        <v>374</v>
      </c>
    </row>
    <row r="16" customFormat="false" ht="15" hidden="false" customHeight="false" outlineLevel="0" collapsed="false">
      <c r="A16" s="33" t="s">
        <v>375</v>
      </c>
      <c r="B16" s="33" t="s">
        <v>376</v>
      </c>
      <c r="C16" s="33" t="s">
        <v>377</v>
      </c>
      <c r="D16" s="33" t="s">
        <v>378</v>
      </c>
    </row>
    <row r="17" customFormat="false" ht="15" hidden="false" customHeight="false" outlineLevel="0" collapsed="false">
      <c r="A17" s="4" t="s">
        <v>379</v>
      </c>
      <c r="B17" s="25" t="n">
        <f aca="false">Modelo_Base!AM7*Equilibrio!C8+Equilibrio!C10-Equilibrio!C9+Modelo_Base!AM7*Equilibrio!C5*(1-((1+Supuestos!$E$7*Supuestos!$E$8)*(Supuestos!$E$54+Supuestos!$E$56)+Supuestos!$E$55))*(-0.2)</f>
        <v>-1880.59929131577</v>
      </c>
      <c r="C17" s="25" t="n">
        <f aca="false">Modelo_Base!AM7*Equilibrio!C8+Equilibrio!C10-Equilibrio!C9+Modelo_Base!AM7*Equilibrio!C5*(1-((1+Supuestos!$E$7*Supuestos!$E$8)*(Supuestos!$E$54+Supuestos!$E$56)+Supuestos!$E$55))*(0.2)</f>
        <v>-1326.79121483256</v>
      </c>
      <c r="D17" s="25" t="n">
        <f aca="false">ABS(C17-B17)</f>
        <v>553.808076483203</v>
      </c>
    </row>
    <row r="18" customFormat="false" ht="15" hidden="false" customHeight="false" outlineLevel="0" collapsed="false">
      <c r="A18" s="4" t="s">
        <v>380</v>
      </c>
      <c r="B18" s="25" t="n">
        <f aca="false">Modelo_Base!AM7*0.8*Equilibrio!C8+Equilibrio!C10-Equilibrio!C9</f>
        <v>-1830.22337555469</v>
      </c>
      <c r="C18" s="25" t="n">
        <f aca="false">MIN(Modelo_Base!AM7*1.2,Equilibrio!C12)*Equilibrio!C8+Equilibrio!C10-Equilibrio!C9</f>
        <v>-1377.16713059364</v>
      </c>
      <c r="D18" s="25" t="n">
        <f aca="false">ABS(C18-B18)</f>
        <v>453.056244961042</v>
      </c>
    </row>
    <row r="19" customFormat="false" ht="15" hidden="false" customHeight="false" outlineLevel="0" collapsed="false">
      <c r="A19" s="4" t="s">
        <v>381</v>
      </c>
      <c r="B19" s="25" t="n">
        <f aca="false">Modelo_Base!AM7*Equilibrio!C8+Equilibrio!C10-Equilibrio!C9*0.8</f>
        <v>-854.705793170165</v>
      </c>
      <c r="C19" s="25" t="n">
        <f aca="false">Modelo_Base!AM7*Equilibrio!C8+Equilibrio!C10-Equilibrio!C9*1.2</f>
        <v>-2352.68471297816</v>
      </c>
      <c r="D19" s="25" t="n">
        <f aca="false">ABS(C19-B19)</f>
        <v>1497.978919808</v>
      </c>
    </row>
    <row r="20" customFormat="false" ht="15" hidden="false" customHeight="false" outlineLevel="0" collapsed="false">
      <c r="A20" s="4" t="s">
        <v>382</v>
      </c>
      <c r="B20" s="25" t="n">
        <f aca="false">Modelo_Base!AM7*Equilibrio!C8+Equilibrio!C10-Equilibrio!C9+Modelo_Base!AM30*0.2</f>
        <v>-1272.25525307417</v>
      </c>
      <c r="C20" s="25" t="n">
        <f aca="false">Modelo_Base!AM7*Equilibrio!C8+Equilibrio!C10-Equilibrio!C9-Modelo_Base!AM30*0.2</f>
        <v>-1935.13525307417</v>
      </c>
      <c r="D20" s="25" t="n">
        <f aca="false">ABS(C20-B20)</f>
        <v>662.88</v>
      </c>
    </row>
    <row r="22" customFormat="false" ht="15" hidden="false" customHeight="false" outlineLevel="0" collapsed="false">
      <c r="A22" s="2" t="s">
        <v>383</v>
      </c>
      <c r="B22" s="25" t="n">
        <f aca="false">Modelo_Base!AM42</f>
        <v>-1603.69525307417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9" min="3" style="0" width="11"/>
  </cols>
  <sheetData>
    <row r="1" customFormat="false" ht="17.35" hidden="false" customHeight="false" outlineLevel="0" collapsed="false">
      <c r="A1" s="1" t="s">
        <v>384</v>
      </c>
    </row>
    <row r="2" customFormat="false" ht="15" hidden="false" customHeight="false" outlineLevel="0" collapsed="false">
      <c r="A2" s="2" t="s">
        <v>385</v>
      </c>
    </row>
    <row r="3" customFormat="false" ht="15" hidden="false" customHeight="false" outlineLevel="0" collapsed="false">
      <c r="B3" s="33" t="s">
        <v>386</v>
      </c>
      <c r="C3" s="34" t="n">
        <v>0</v>
      </c>
      <c r="D3" s="34" t="n">
        <v>1</v>
      </c>
      <c r="E3" s="34" t="n">
        <v>2</v>
      </c>
      <c r="F3" s="34" t="n">
        <v>3</v>
      </c>
      <c r="G3" s="34" t="n">
        <v>4</v>
      </c>
      <c r="H3" s="34" t="n">
        <v>5</v>
      </c>
      <c r="I3" s="34" t="n">
        <v>6</v>
      </c>
      <c r="J3" s="34" t="n">
        <v>7</v>
      </c>
      <c r="K3" s="34" t="n">
        <v>8</v>
      </c>
      <c r="L3" s="34" t="n">
        <v>9</v>
      </c>
      <c r="M3" s="34" t="n">
        <v>10</v>
      </c>
      <c r="N3" s="34" t="n">
        <v>11</v>
      </c>
      <c r="O3" s="34" t="n">
        <v>12</v>
      </c>
      <c r="P3" s="34" t="n">
        <v>13</v>
      </c>
      <c r="Q3" s="34" t="n">
        <v>14</v>
      </c>
      <c r="R3" s="34" t="n">
        <v>15</v>
      </c>
      <c r="S3" s="34" t="n">
        <v>16</v>
      </c>
      <c r="T3" s="34" t="n">
        <v>17</v>
      </c>
      <c r="U3" s="34" t="n">
        <v>18</v>
      </c>
      <c r="V3" s="34" t="n">
        <v>19</v>
      </c>
      <c r="W3" s="34" t="n">
        <v>20</v>
      </c>
      <c r="X3" s="34" t="n">
        <v>21</v>
      </c>
      <c r="Y3" s="34" t="n">
        <v>22</v>
      </c>
      <c r="Z3" s="34" t="n">
        <v>23</v>
      </c>
      <c r="AA3" s="34" t="n">
        <v>24</v>
      </c>
      <c r="AB3" s="34" t="n">
        <v>25</v>
      </c>
      <c r="AC3" s="34" t="n">
        <v>26</v>
      </c>
      <c r="AD3" s="34" t="n">
        <v>27</v>
      </c>
      <c r="AE3" s="34" t="n">
        <v>28</v>
      </c>
      <c r="AF3" s="34" t="n">
        <v>29</v>
      </c>
      <c r="AG3" s="34" t="n">
        <v>30</v>
      </c>
      <c r="AH3" s="34" t="n">
        <v>31</v>
      </c>
      <c r="AI3" s="34" t="n">
        <v>32</v>
      </c>
      <c r="AJ3" s="34" t="n">
        <v>33</v>
      </c>
      <c r="AK3" s="34" t="n">
        <v>34</v>
      </c>
      <c r="AL3" s="34" t="n">
        <v>35</v>
      </c>
      <c r="AM3" s="34" t="n">
        <v>36</v>
      </c>
    </row>
    <row r="4" customFormat="false" ht="15" hidden="false" customHeight="false" outlineLevel="0" collapsed="false">
      <c r="B4" s="14" t="s">
        <v>387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customFormat="false" ht="15" hidden="false" customHeight="false" outlineLevel="0" collapsed="false">
      <c r="B5" s="4" t="s">
        <v>388</v>
      </c>
      <c r="D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E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F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G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H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I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J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K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L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M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N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O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P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Q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R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S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T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U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V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W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X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Y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Z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A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B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C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D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E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F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G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H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I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J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K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L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  <c r="AM5" s="28" t="n">
        <f aca="false">(Supuestos!$D$12*Supuestos!$D$9/((Supuestos!$D$29*Supuestos!$D$21+Supuestos!$D$30*Supuestos!$D$22+Supuestos!$D$31*Supuestos!$D$23+Supuestos!$D$32*Supuestos!$D$24)*Supuestos!$D$17*Supuestos!$D$18))</f>
        <v>45.5617931820031</v>
      </c>
    </row>
    <row r="6" customFormat="false" ht="15" hidden="false" customHeight="false" outlineLevel="0" collapsed="false">
      <c r="B6" s="4" t="s">
        <v>389</v>
      </c>
      <c r="D6" s="28" t="n">
        <f aca="false">IF(D$3&lt;=6,Supuestos!$D$46,IF(D$3&lt;=12,Supuestos!$D$47,Supuestos!$D$48))</f>
        <v>2</v>
      </c>
      <c r="E6" s="28" t="n">
        <f aca="false">IF(E$3&lt;=6,Supuestos!$D$46,IF(E$3&lt;=12,Supuestos!$D$47,Supuestos!$D$48))</f>
        <v>2</v>
      </c>
      <c r="F6" s="28" t="n">
        <f aca="false">IF(F$3&lt;=6,Supuestos!$D$46,IF(F$3&lt;=12,Supuestos!$D$47,Supuestos!$D$48))</f>
        <v>2</v>
      </c>
      <c r="G6" s="28" t="n">
        <f aca="false">IF(G$3&lt;=6,Supuestos!$D$46,IF(G$3&lt;=12,Supuestos!$D$47,Supuestos!$D$48))</f>
        <v>2</v>
      </c>
      <c r="H6" s="28" t="n">
        <f aca="false">IF(H$3&lt;=6,Supuestos!$D$46,IF(H$3&lt;=12,Supuestos!$D$47,Supuestos!$D$48))</f>
        <v>2</v>
      </c>
      <c r="I6" s="28" t="n">
        <f aca="false">IF(I$3&lt;=6,Supuestos!$D$46,IF(I$3&lt;=12,Supuestos!$D$47,Supuestos!$D$48))</f>
        <v>2</v>
      </c>
      <c r="J6" s="28" t="n">
        <f aca="false">IF(J$3&lt;=6,Supuestos!$D$46,IF(J$3&lt;=12,Supuestos!$D$47,Supuestos!$D$48))</f>
        <v>2</v>
      </c>
      <c r="K6" s="28" t="n">
        <f aca="false">IF(K$3&lt;=6,Supuestos!$D$46,IF(K$3&lt;=12,Supuestos!$D$47,Supuestos!$D$48))</f>
        <v>2</v>
      </c>
      <c r="L6" s="28" t="n">
        <f aca="false">IF(L$3&lt;=6,Supuestos!$D$46,IF(L$3&lt;=12,Supuestos!$D$47,Supuestos!$D$48))</f>
        <v>2</v>
      </c>
      <c r="M6" s="28" t="n">
        <f aca="false">IF(M$3&lt;=6,Supuestos!$D$46,IF(M$3&lt;=12,Supuestos!$D$47,Supuestos!$D$48))</f>
        <v>2</v>
      </c>
      <c r="N6" s="28" t="n">
        <f aca="false">IF(N$3&lt;=6,Supuestos!$D$46,IF(N$3&lt;=12,Supuestos!$D$47,Supuestos!$D$48))</f>
        <v>2</v>
      </c>
      <c r="O6" s="28" t="n">
        <f aca="false">IF(O$3&lt;=6,Supuestos!$D$46,IF(O$3&lt;=12,Supuestos!$D$47,Supuestos!$D$48))</f>
        <v>2</v>
      </c>
      <c r="P6" s="28" t="n">
        <f aca="false">IF(P$3&lt;=6,Supuestos!$D$46,IF(P$3&lt;=12,Supuestos!$D$47,Supuestos!$D$48))</f>
        <v>1</v>
      </c>
      <c r="Q6" s="28" t="n">
        <f aca="false">IF(Q$3&lt;=6,Supuestos!$D$46,IF(Q$3&lt;=12,Supuestos!$D$47,Supuestos!$D$48))</f>
        <v>1</v>
      </c>
      <c r="R6" s="28" t="n">
        <f aca="false">IF(R$3&lt;=6,Supuestos!$D$46,IF(R$3&lt;=12,Supuestos!$D$47,Supuestos!$D$48))</f>
        <v>1</v>
      </c>
      <c r="S6" s="28" t="n">
        <f aca="false">IF(S$3&lt;=6,Supuestos!$D$46,IF(S$3&lt;=12,Supuestos!$D$47,Supuestos!$D$48))</f>
        <v>1</v>
      </c>
      <c r="T6" s="28" t="n">
        <f aca="false">IF(T$3&lt;=6,Supuestos!$D$46,IF(T$3&lt;=12,Supuestos!$D$47,Supuestos!$D$48))</f>
        <v>1</v>
      </c>
      <c r="U6" s="28" t="n">
        <f aca="false">IF(U$3&lt;=6,Supuestos!$D$46,IF(U$3&lt;=12,Supuestos!$D$47,Supuestos!$D$48))</f>
        <v>1</v>
      </c>
      <c r="V6" s="28" t="n">
        <f aca="false">IF(V$3&lt;=6,Supuestos!$D$46,IF(V$3&lt;=12,Supuestos!$D$47,Supuestos!$D$48))</f>
        <v>1</v>
      </c>
      <c r="W6" s="28" t="n">
        <f aca="false">IF(W$3&lt;=6,Supuestos!$D$46,IF(W$3&lt;=12,Supuestos!$D$47,Supuestos!$D$48))</f>
        <v>1</v>
      </c>
      <c r="X6" s="28" t="n">
        <f aca="false">IF(X$3&lt;=6,Supuestos!$D$46,IF(X$3&lt;=12,Supuestos!$D$47,Supuestos!$D$48))</f>
        <v>1</v>
      </c>
      <c r="Y6" s="28" t="n">
        <f aca="false">IF(Y$3&lt;=6,Supuestos!$D$46,IF(Y$3&lt;=12,Supuestos!$D$47,Supuestos!$D$48))</f>
        <v>1</v>
      </c>
      <c r="Z6" s="28" t="n">
        <f aca="false">IF(Z$3&lt;=6,Supuestos!$D$46,IF(Z$3&lt;=12,Supuestos!$D$47,Supuestos!$D$48))</f>
        <v>1</v>
      </c>
      <c r="AA6" s="28" t="n">
        <f aca="false">IF(AA$3&lt;=6,Supuestos!$D$46,IF(AA$3&lt;=12,Supuestos!$D$47,Supuestos!$D$48))</f>
        <v>1</v>
      </c>
      <c r="AB6" s="28" t="n">
        <f aca="false">IF(AB$3&lt;=6,Supuestos!$D$46,IF(AB$3&lt;=12,Supuestos!$D$47,Supuestos!$D$48))</f>
        <v>1</v>
      </c>
      <c r="AC6" s="28" t="n">
        <f aca="false">IF(AC$3&lt;=6,Supuestos!$D$46,IF(AC$3&lt;=12,Supuestos!$D$47,Supuestos!$D$48))</f>
        <v>1</v>
      </c>
      <c r="AD6" s="28" t="n">
        <f aca="false">IF(AD$3&lt;=6,Supuestos!$D$46,IF(AD$3&lt;=12,Supuestos!$D$47,Supuestos!$D$48))</f>
        <v>1</v>
      </c>
      <c r="AE6" s="28" t="n">
        <f aca="false">IF(AE$3&lt;=6,Supuestos!$D$46,IF(AE$3&lt;=12,Supuestos!$D$47,Supuestos!$D$48))</f>
        <v>1</v>
      </c>
      <c r="AF6" s="28" t="n">
        <f aca="false">IF(AF$3&lt;=6,Supuestos!$D$46,IF(AF$3&lt;=12,Supuestos!$D$47,Supuestos!$D$48))</f>
        <v>1</v>
      </c>
      <c r="AG6" s="28" t="n">
        <f aca="false">IF(AG$3&lt;=6,Supuestos!$D$46,IF(AG$3&lt;=12,Supuestos!$D$47,Supuestos!$D$48))</f>
        <v>1</v>
      </c>
      <c r="AH6" s="28" t="n">
        <f aca="false">IF(AH$3&lt;=6,Supuestos!$D$46,IF(AH$3&lt;=12,Supuestos!$D$47,Supuestos!$D$48))</f>
        <v>1</v>
      </c>
      <c r="AI6" s="28" t="n">
        <f aca="false">IF(AI$3&lt;=6,Supuestos!$D$46,IF(AI$3&lt;=12,Supuestos!$D$47,Supuestos!$D$48))</f>
        <v>1</v>
      </c>
      <c r="AJ6" s="28" t="n">
        <f aca="false">IF(AJ$3&lt;=6,Supuestos!$D$46,IF(AJ$3&lt;=12,Supuestos!$D$47,Supuestos!$D$48))</f>
        <v>1</v>
      </c>
      <c r="AK6" s="28" t="n">
        <f aca="false">IF(AK$3&lt;=6,Supuestos!$D$46,IF(AK$3&lt;=12,Supuestos!$D$47,Supuestos!$D$48))</f>
        <v>1</v>
      </c>
      <c r="AL6" s="28" t="n">
        <f aca="false">IF(AL$3&lt;=6,Supuestos!$D$46,IF(AL$3&lt;=12,Supuestos!$D$47,Supuestos!$D$48))</f>
        <v>1</v>
      </c>
      <c r="AM6" s="28" t="n">
        <f aca="false">IF(AM$3&lt;=6,Supuestos!$D$46,IF(AM$3&lt;=12,Supuestos!$D$47,Supuestos!$D$48))</f>
        <v>1</v>
      </c>
    </row>
    <row r="7" customFormat="false" ht="15" hidden="false" customHeight="false" outlineLevel="0" collapsed="false">
      <c r="B7" s="4" t="s">
        <v>390</v>
      </c>
      <c r="D7" s="28" t="n">
        <f aca="false">MIN(D5,Supuestos!$D$45*(1-Supuestos!$D$49)+D6)</f>
        <v>2</v>
      </c>
      <c r="E7" s="28" t="n">
        <f aca="false">MIN(E5,D7*(1-Supuestos!$D$49)+E6)</f>
        <v>3.84</v>
      </c>
      <c r="F7" s="28" t="n">
        <f aca="false">MIN(F5,E7*(1-Supuestos!$D$49)+F6)</f>
        <v>5.5328</v>
      </c>
      <c r="G7" s="28" t="n">
        <f aca="false">MIN(G5,F7*(1-Supuestos!$D$49)+G6)</f>
        <v>7.090176</v>
      </c>
      <c r="H7" s="28" t="n">
        <f aca="false">MIN(H5,G7*(1-Supuestos!$D$49)+H6)</f>
        <v>8.52296192</v>
      </c>
      <c r="I7" s="28" t="n">
        <f aca="false">MIN(I5,H7*(1-Supuestos!$D$49)+I6)</f>
        <v>9.8411249664</v>
      </c>
      <c r="J7" s="28" t="n">
        <f aca="false">MIN(J5,I7*(1-Supuestos!$D$49)+J6)</f>
        <v>11.053834969088</v>
      </c>
      <c r="K7" s="28" t="n">
        <f aca="false">MIN(K5,J7*(1-Supuestos!$D$49)+K6)</f>
        <v>12.169528171561</v>
      </c>
      <c r="L7" s="28" t="n">
        <f aca="false">MIN(L5,K7*(1-Supuestos!$D$49)+L6)</f>
        <v>13.1959659178361</v>
      </c>
      <c r="M7" s="28" t="n">
        <f aca="false">MIN(M5,L7*(1-Supuestos!$D$49)+M6)</f>
        <v>14.1402886444092</v>
      </c>
      <c r="N7" s="28" t="n">
        <f aca="false">MIN(N5,M7*(1-Supuestos!$D$49)+N6)</f>
        <v>15.0090655528565</v>
      </c>
      <c r="O7" s="28" t="n">
        <f aca="false">MIN(O5,N7*(1-Supuestos!$D$49)+O6)</f>
        <v>15.8083403086279</v>
      </c>
      <c r="P7" s="28" t="n">
        <f aca="false">MIN(P5,O7*(1-Supuestos!$D$49)+P6)</f>
        <v>15.5436730839377</v>
      </c>
      <c r="Q7" s="28" t="n">
        <f aca="false">MIN(Q5,P7*(1-Supuestos!$D$49)+Q6)</f>
        <v>15.3001792372227</v>
      </c>
      <c r="R7" s="28" t="n">
        <f aca="false">MIN(R5,Q7*(1-Supuestos!$D$49)+R6)</f>
        <v>15.0761648982449</v>
      </c>
      <c r="S7" s="28" t="n">
        <f aca="false">MIN(S5,R7*(1-Supuestos!$D$49)+S6)</f>
        <v>14.8700717063853</v>
      </c>
      <c r="T7" s="28" t="n">
        <f aca="false">MIN(T5,S7*(1-Supuestos!$D$49)+T6)</f>
        <v>14.6804659698745</v>
      </c>
      <c r="U7" s="28" t="n">
        <f aca="false">MIN(U5,T7*(1-Supuestos!$D$49)+U6)</f>
        <v>14.5060286922845</v>
      </c>
      <c r="V7" s="28" t="n">
        <f aca="false">MIN(V5,U7*(1-Supuestos!$D$49)+V6)</f>
        <v>14.3455463969018</v>
      </c>
      <c r="W7" s="28" t="n">
        <f aca="false">MIN(W5,V7*(1-Supuestos!$D$49)+W6)</f>
        <v>14.1979026851496</v>
      </c>
      <c r="X7" s="28" t="n">
        <f aca="false">MIN(X5,W7*(1-Supuestos!$D$49)+X6)</f>
        <v>14.0620704703376</v>
      </c>
      <c r="Y7" s="28" t="n">
        <f aca="false">MIN(Y5,X7*(1-Supuestos!$D$49)+Y6)</f>
        <v>13.9371048327106</v>
      </c>
      <c r="Z7" s="28" t="n">
        <f aca="false">MIN(Z5,Y7*(1-Supuestos!$D$49)+Z6)</f>
        <v>13.8221364460938</v>
      </c>
      <c r="AA7" s="28" t="n">
        <f aca="false">MIN(AA5,Z7*(1-Supuestos!$D$49)+AA6)</f>
        <v>13.7163655304063</v>
      </c>
      <c r="AB7" s="28" t="n">
        <f aca="false">MIN(AB5,AA7*(1-Supuestos!$D$49)+AB6)</f>
        <v>13.6190562879738</v>
      </c>
      <c r="AC7" s="28" t="n">
        <f aca="false">MIN(AC5,AB7*(1-Supuestos!$D$49)+AC6)</f>
        <v>13.5295317849359</v>
      </c>
      <c r="AD7" s="28" t="n">
        <f aca="false">MIN(AD5,AC7*(1-Supuestos!$D$49)+AD6)</f>
        <v>13.447169242141</v>
      </c>
      <c r="AE7" s="28" t="n">
        <f aca="false">MIN(AE5,AD7*(1-Supuestos!$D$49)+AE6)</f>
        <v>13.3713957027697</v>
      </c>
      <c r="AF7" s="28" t="n">
        <f aca="false">MIN(AF5,AE7*(1-Supuestos!$D$49)+AF6)</f>
        <v>13.3016840465481</v>
      </c>
      <c r="AG7" s="28" t="n">
        <f aca="false">MIN(AG5,AF7*(1-Supuestos!$D$49)+AG6)</f>
        <v>13.2375493228243</v>
      </c>
      <c r="AH7" s="28" t="n">
        <f aca="false">MIN(AH5,AG7*(1-Supuestos!$D$49)+AH6)</f>
        <v>13.1785453769984</v>
      </c>
      <c r="AI7" s="28" t="n">
        <f aca="false">MIN(AI5,AH7*(1-Supuestos!$D$49)+AI6)</f>
        <v>13.1242617468385</v>
      </c>
      <c r="AJ7" s="28" t="n">
        <f aca="false">MIN(AJ5,AI7*(1-Supuestos!$D$49)+AJ6)</f>
        <v>13.0743208070914</v>
      </c>
      <c r="AK7" s="28" t="n">
        <f aca="false">MIN(AK5,AJ7*(1-Supuestos!$D$49)+AK6)</f>
        <v>13.0283751425241</v>
      </c>
      <c r="AL7" s="28" t="n">
        <f aca="false">MIN(AL5,AK7*(1-Supuestos!$D$49)+AL6)</f>
        <v>12.9861051311222</v>
      </c>
      <c r="AM7" s="28" t="n">
        <f aca="false">MIN(AM5,AL7*(1-Supuestos!$D$49)+AM6)</f>
        <v>12.9472167206324</v>
      </c>
    </row>
    <row r="8" customFormat="false" ht="15" hidden="false" customHeight="false" outlineLevel="0" collapsed="false">
      <c r="B8" s="4" t="s">
        <v>391</v>
      </c>
      <c r="D8" s="28" t="n">
        <f aca="false">Supuestos!$D$45*Supuestos!$D$49</f>
        <v>0</v>
      </c>
      <c r="E8" s="28" t="n">
        <f aca="false">D7*Supuestos!$D$49</f>
        <v>0.16</v>
      </c>
      <c r="F8" s="28" t="n">
        <f aca="false">E7*Supuestos!$D$49</f>
        <v>0.3072</v>
      </c>
      <c r="G8" s="28" t="n">
        <f aca="false">F7*Supuestos!$D$49</f>
        <v>0.442624</v>
      </c>
      <c r="H8" s="28" t="n">
        <f aca="false">G7*Supuestos!$D$49</f>
        <v>0.56721408</v>
      </c>
      <c r="I8" s="28" t="n">
        <f aca="false">H7*Supuestos!$D$49</f>
        <v>0.6818369536</v>
      </c>
      <c r="J8" s="28" t="n">
        <f aca="false">I7*Supuestos!$D$49</f>
        <v>0.787289997312</v>
      </c>
      <c r="K8" s="28" t="n">
        <f aca="false">J7*Supuestos!$D$49</f>
        <v>0.88430679752704</v>
      </c>
      <c r="L8" s="28" t="n">
        <f aca="false">K7*Supuestos!$D$49</f>
        <v>0.973562253724877</v>
      </c>
      <c r="M8" s="28" t="n">
        <f aca="false">L7*Supuestos!$D$49</f>
        <v>1.05567727342689</v>
      </c>
      <c r="N8" s="28" t="n">
        <f aca="false">M7*Supuestos!$D$49</f>
        <v>1.13122309155274</v>
      </c>
      <c r="O8" s="28" t="n">
        <f aca="false">N7*Supuestos!$D$49</f>
        <v>1.20072524422852</v>
      </c>
      <c r="P8" s="28" t="n">
        <f aca="false">O7*Supuestos!$D$49</f>
        <v>1.26466722469024</v>
      </c>
      <c r="Q8" s="28" t="n">
        <f aca="false">P7*Supuestos!$D$49</f>
        <v>1.24349384671502</v>
      </c>
      <c r="R8" s="28" t="n">
        <f aca="false">Q7*Supuestos!$D$49</f>
        <v>1.22401433897782</v>
      </c>
      <c r="S8" s="28" t="n">
        <f aca="false">R7*Supuestos!$D$49</f>
        <v>1.20609319185959</v>
      </c>
      <c r="T8" s="28" t="n">
        <f aca="false">S7*Supuestos!$D$49</f>
        <v>1.18960573651082</v>
      </c>
      <c r="U8" s="28" t="n">
        <f aca="false">T7*Supuestos!$D$49</f>
        <v>1.17443727758996</v>
      </c>
      <c r="V8" s="28" t="n">
        <f aca="false">U7*Supuestos!$D$49</f>
        <v>1.16048229538276</v>
      </c>
      <c r="W8" s="28" t="n">
        <f aca="false">V7*Supuestos!$D$49</f>
        <v>1.14764371175214</v>
      </c>
      <c r="X8" s="28" t="n">
        <f aca="false">W7*Supuestos!$D$49</f>
        <v>1.13583221481197</v>
      </c>
      <c r="Y8" s="28" t="n">
        <f aca="false">X7*Supuestos!$D$49</f>
        <v>1.12496563762701</v>
      </c>
      <c r="Z8" s="28" t="n">
        <f aca="false">Y7*Supuestos!$D$49</f>
        <v>1.11496838661685</v>
      </c>
      <c r="AA8" s="28" t="n">
        <f aca="false">Z7*Supuestos!$D$49</f>
        <v>1.1057709156875</v>
      </c>
      <c r="AB8" s="28" t="n">
        <f aca="false">AA7*Supuestos!$D$49</f>
        <v>1.0973092424325</v>
      </c>
      <c r="AC8" s="28" t="n">
        <f aca="false">AB7*Supuestos!$D$49</f>
        <v>1.0895245030379</v>
      </c>
      <c r="AD8" s="28" t="n">
        <f aca="false">AC7*Supuestos!$D$49</f>
        <v>1.08236254279487</v>
      </c>
      <c r="AE8" s="28" t="n">
        <f aca="false">AD7*Supuestos!$D$49</f>
        <v>1.07577353937128</v>
      </c>
      <c r="AF8" s="28" t="n">
        <f aca="false">AE7*Supuestos!$D$49</f>
        <v>1.06971165622158</v>
      </c>
      <c r="AG8" s="28" t="n">
        <f aca="false">AF7*Supuestos!$D$49</f>
        <v>1.06413472372385</v>
      </c>
      <c r="AH8" s="28" t="n">
        <f aca="false">AG7*Supuestos!$D$49</f>
        <v>1.05900394582594</v>
      </c>
      <c r="AI8" s="28" t="n">
        <f aca="false">AH7*Supuestos!$D$49</f>
        <v>1.05428363015987</v>
      </c>
      <c r="AJ8" s="28" t="n">
        <f aca="false">AI7*Supuestos!$D$49</f>
        <v>1.04994093974708</v>
      </c>
      <c r="AK8" s="28" t="n">
        <f aca="false">AJ7*Supuestos!$D$49</f>
        <v>1.04594566456731</v>
      </c>
      <c r="AL8" s="28" t="n">
        <f aca="false">AK7*Supuestos!$D$49</f>
        <v>1.04227001140193</v>
      </c>
      <c r="AM8" s="28" t="n">
        <f aca="false">AL7*Supuestos!$D$49</f>
        <v>1.03888841048977</v>
      </c>
    </row>
    <row r="9" customFormat="false" ht="15" hidden="false" customHeight="false" outlineLevel="0" collapsed="false">
      <c r="B9" s="4" t="s">
        <v>392</v>
      </c>
      <c r="D9" s="28" t="n">
        <f aca="false">MIN(Supuestos!$D$13,Supuestos!$D$50)</f>
        <v>0.5</v>
      </c>
      <c r="E9" s="28" t="n">
        <f aca="false">MIN(Supuestos!$D$13,D9*(1-Supuestos!$D$51)+Supuestos!$D$50)</f>
        <v>0.975</v>
      </c>
      <c r="F9" s="28" t="n">
        <f aca="false">MIN(Supuestos!$D$13,E9*(1-Supuestos!$D$51)+Supuestos!$D$50)</f>
        <v>1.42625</v>
      </c>
      <c r="G9" s="28" t="n">
        <f aca="false">MIN(Supuestos!$D$13,F9*(1-Supuestos!$D$51)+Supuestos!$D$50)</f>
        <v>1.8549375</v>
      </c>
      <c r="H9" s="28" t="n">
        <f aca="false">MIN(Supuestos!$D$13,G9*(1-Supuestos!$D$51)+Supuestos!$D$50)</f>
        <v>2.262190625</v>
      </c>
      <c r="I9" s="28" t="n">
        <f aca="false">MIN(Supuestos!$D$13,H9*(1-Supuestos!$D$51)+Supuestos!$D$50)</f>
        <v>2.64908109375</v>
      </c>
      <c r="J9" s="28" t="n">
        <f aca="false">MIN(Supuestos!$D$13,I9*(1-Supuestos!$D$51)+Supuestos!$D$50)</f>
        <v>3.0166270390625</v>
      </c>
      <c r="K9" s="28" t="n">
        <f aca="false">MIN(Supuestos!$D$13,J9*(1-Supuestos!$D$51)+Supuestos!$D$50)</f>
        <v>3.36579568710937</v>
      </c>
      <c r="L9" s="28" t="n">
        <f aca="false">MIN(Supuestos!$D$13,K9*(1-Supuestos!$D$51)+Supuestos!$D$50)</f>
        <v>3.69750590275391</v>
      </c>
      <c r="M9" s="28" t="n">
        <f aca="false">MIN(Supuestos!$D$13,L9*(1-Supuestos!$D$51)+Supuestos!$D$50)</f>
        <v>4</v>
      </c>
      <c r="N9" s="28" t="n">
        <f aca="false">MIN(Supuestos!$D$13,M9*(1-Supuestos!$D$51)+Supuestos!$D$50)</f>
        <v>4</v>
      </c>
      <c r="O9" s="28" t="n">
        <f aca="false">MIN(Supuestos!$D$13,N9*(1-Supuestos!$D$51)+Supuestos!$D$50)</f>
        <v>4</v>
      </c>
      <c r="P9" s="28" t="n">
        <f aca="false">MIN(Supuestos!$D$13,O9*(1-Supuestos!$D$51)+Supuestos!$D$50)</f>
        <v>4</v>
      </c>
      <c r="Q9" s="28" t="n">
        <f aca="false">MIN(Supuestos!$D$13,P9*(1-Supuestos!$D$51)+Supuestos!$D$50)</f>
        <v>4</v>
      </c>
      <c r="R9" s="28" t="n">
        <f aca="false">MIN(Supuestos!$D$13,Q9*(1-Supuestos!$D$51)+Supuestos!$D$50)</f>
        <v>4</v>
      </c>
      <c r="S9" s="28" t="n">
        <f aca="false">MIN(Supuestos!$D$13,R9*(1-Supuestos!$D$51)+Supuestos!$D$50)</f>
        <v>4</v>
      </c>
      <c r="T9" s="28" t="n">
        <f aca="false">MIN(Supuestos!$D$13,S9*(1-Supuestos!$D$51)+Supuestos!$D$50)</f>
        <v>4</v>
      </c>
      <c r="U9" s="28" t="n">
        <f aca="false">MIN(Supuestos!$D$13,T9*(1-Supuestos!$D$51)+Supuestos!$D$50)</f>
        <v>4</v>
      </c>
      <c r="V9" s="28" t="n">
        <f aca="false">MIN(Supuestos!$D$13,U9*(1-Supuestos!$D$51)+Supuestos!$D$50)</f>
        <v>4</v>
      </c>
      <c r="W9" s="28" t="n">
        <f aca="false">MIN(Supuestos!$D$13,V9*(1-Supuestos!$D$51)+Supuestos!$D$50)</f>
        <v>4</v>
      </c>
      <c r="X9" s="28" t="n">
        <f aca="false">MIN(Supuestos!$D$13,W9*(1-Supuestos!$D$51)+Supuestos!$D$50)</f>
        <v>4</v>
      </c>
      <c r="Y9" s="28" t="n">
        <f aca="false">MIN(Supuestos!$D$13,X9*(1-Supuestos!$D$51)+Supuestos!$D$50)</f>
        <v>4</v>
      </c>
      <c r="Z9" s="28" t="n">
        <f aca="false">MIN(Supuestos!$D$13,Y9*(1-Supuestos!$D$51)+Supuestos!$D$50)</f>
        <v>4</v>
      </c>
      <c r="AA9" s="28" t="n">
        <f aca="false">MIN(Supuestos!$D$13,Z9*(1-Supuestos!$D$51)+Supuestos!$D$50)</f>
        <v>4</v>
      </c>
      <c r="AB9" s="28" t="n">
        <f aca="false">MIN(Supuestos!$D$13,AA9*(1-Supuestos!$D$51)+Supuestos!$D$50)</f>
        <v>4</v>
      </c>
      <c r="AC9" s="28" t="n">
        <f aca="false">MIN(Supuestos!$D$13,AB9*(1-Supuestos!$D$51)+Supuestos!$D$50)</f>
        <v>4</v>
      </c>
      <c r="AD9" s="28" t="n">
        <f aca="false">MIN(Supuestos!$D$13,AC9*(1-Supuestos!$D$51)+Supuestos!$D$50)</f>
        <v>4</v>
      </c>
      <c r="AE9" s="28" t="n">
        <f aca="false">MIN(Supuestos!$D$13,AD9*(1-Supuestos!$D$51)+Supuestos!$D$50)</f>
        <v>4</v>
      </c>
      <c r="AF9" s="28" t="n">
        <f aca="false">MIN(Supuestos!$D$13,AE9*(1-Supuestos!$D$51)+Supuestos!$D$50)</f>
        <v>4</v>
      </c>
      <c r="AG9" s="28" t="n">
        <f aca="false">MIN(Supuestos!$D$13,AF9*(1-Supuestos!$D$51)+Supuestos!$D$50)</f>
        <v>4</v>
      </c>
      <c r="AH9" s="28" t="n">
        <f aca="false">MIN(Supuestos!$D$13,AG9*(1-Supuestos!$D$51)+Supuestos!$D$50)</f>
        <v>4</v>
      </c>
      <c r="AI9" s="28" t="n">
        <f aca="false">MIN(Supuestos!$D$13,AH9*(1-Supuestos!$D$51)+Supuestos!$D$50)</f>
        <v>4</v>
      </c>
      <c r="AJ9" s="28" t="n">
        <f aca="false">MIN(Supuestos!$D$13,AI9*(1-Supuestos!$D$51)+Supuestos!$D$50)</f>
        <v>4</v>
      </c>
      <c r="AK9" s="28" t="n">
        <f aca="false">MIN(Supuestos!$D$13,AJ9*(1-Supuestos!$D$51)+Supuestos!$D$50)</f>
        <v>4</v>
      </c>
      <c r="AL9" s="28" t="n">
        <f aca="false">MIN(Supuestos!$D$13,AK9*(1-Supuestos!$D$51)+Supuestos!$D$50)</f>
        <v>4</v>
      </c>
      <c r="AM9" s="28" t="n">
        <f aca="false">MIN(Supuestos!$D$13,AL9*(1-Supuestos!$D$51)+Supuestos!$D$50)</f>
        <v>4</v>
      </c>
    </row>
    <row r="10" customFormat="false" ht="15" hidden="false" customHeight="false" outlineLevel="0" collapsed="false">
      <c r="B10" s="4" t="s">
        <v>393</v>
      </c>
      <c r="D10" s="28" t="n">
        <f aca="false">Supuestos!$D$14*MIN(1,D$3/Supuestos!$D$43)</f>
        <v>0.2</v>
      </c>
      <c r="E10" s="28" t="n">
        <f aca="false">Supuestos!$D$14*MIN(1,E$3/Supuestos!$D$43)</f>
        <v>0.4</v>
      </c>
      <c r="F10" s="28" t="n">
        <f aca="false">Supuestos!$D$14*MIN(1,F$3/Supuestos!$D$43)</f>
        <v>0.6</v>
      </c>
      <c r="G10" s="28" t="n">
        <f aca="false">Supuestos!$D$14*MIN(1,G$3/Supuestos!$D$43)</f>
        <v>0.8</v>
      </c>
      <c r="H10" s="28" t="n">
        <f aca="false">Supuestos!$D$14*MIN(1,H$3/Supuestos!$D$43)</f>
        <v>1</v>
      </c>
      <c r="I10" s="28" t="n">
        <f aca="false">Supuestos!$D$14*MIN(1,I$3/Supuestos!$D$43)</f>
        <v>1.2</v>
      </c>
      <c r="J10" s="28" t="n">
        <f aca="false">Supuestos!$D$14*MIN(1,J$3/Supuestos!$D$43)</f>
        <v>1.4</v>
      </c>
      <c r="K10" s="28" t="n">
        <f aca="false">Supuestos!$D$14*MIN(1,K$3/Supuestos!$D$43)</f>
        <v>1.6</v>
      </c>
      <c r="L10" s="28" t="n">
        <f aca="false">Supuestos!$D$14*MIN(1,L$3/Supuestos!$D$43)</f>
        <v>1.8</v>
      </c>
      <c r="M10" s="28" t="n">
        <f aca="false">Supuestos!$D$14*MIN(1,M$3/Supuestos!$D$43)</f>
        <v>2</v>
      </c>
      <c r="N10" s="28" t="n">
        <f aca="false">Supuestos!$D$14*MIN(1,N$3/Supuestos!$D$43)</f>
        <v>2</v>
      </c>
      <c r="O10" s="28" t="n">
        <f aca="false">Supuestos!$D$14*MIN(1,O$3/Supuestos!$D$43)</f>
        <v>2</v>
      </c>
      <c r="P10" s="28" t="n">
        <f aca="false">Supuestos!$D$14*MIN(1,P$3/Supuestos!$D$43)</f>
        <v>2</v>
      </c>
      <c r="Q10" s="28" t="n">
        <f aca="false">Supuestos!$D$14*MIN(1,Q$3/Supuestos!$D$43)</f>
        <v>2</v>
      </c>
      <c r="R10" s="28" t="n">
        <f aca="false">Supuestos!$D$14*MIN(1,R$3/Supuestos!$D$43)</f>
        <v>2</v>
      </c>
      <c r="S10" s="28" t="n">
        <f aca="false">Supuestos!$D$14*MIN(1,S$3/Supuestos!$D$43)</f>
        <v>2</v>
      </c>
      <c r="T10" s="28" t="n">
        <f aca="false">Supuestos!$D$14*MIN(1,T$3/Supuestos!$D$43)</f>
        <v>2</v>
      </c>
      <c r="U10" s="28" t="n">
        <f aca="false">Supuestos!$D$14*MIN(1,U$3/Supuestos!$D$43)</f>
        <v>2</v>
      </c>
      <c r="V10" s="28" t="n">
        <f aca="false">Supuestos!$D$14*MIN(1,V$3/Supuestos!$D$43)</f>
        <v>2</v>
      </c>
      <c r="W10" s="28" t="n">
        <f aca="false">Supuestos!$D$14*MIN(1,W$3/Supuestos!$D$43)</f>
        <v>2</v>
      </c>
      <c r="X10" s="28" t="n">
        <f aca="false">Supuestos!$D$14*MIN(1,X$3/Supuestos!$D$43)</f>
        <v>2</v>
      </c>
      <c r="Y10" s="28" t="n">
        <f aca="false">Supuestos!$D$14*MIN(1,Y$3/Supuestos!$D$43)</f>
        <v>2</v>
      </c>
      <c r="Z10" s="28" t="n">
        <f aca="false">Supuestos!$D$14*MIN(1,Z$3/Supuestos!$D$43)</f>
        <v>2</v>
      </c>
      <c r="AA10" s="28" t="n">
        <f aca="false">Supuestos!$D$14*MIN(1,AA$3/Supuestos!$D$43)</f>
        <v>2</v>
      </c>
      <c r="AB10" s="28" t="n">
        <f aca="false">Supuestos!$D$14*MIN(1,AB$3/Supuestos!$D$43)</f>
        <v>2</v>
      </c>
      <c r="AC10" s="28" t="n">
        <f aca="false">Supuestos!$D$14*MIN(1,AC$3/Supuestos!$D$43)</f>
        <v>2</v>
      </c>
      <c r="AD10" s="28" t="n">
        <f aca="false">Supuestos!$D$14*MIN(1,AD$3/Supuestos!$D$43)</f>
        <v>2</v>
      </c>
      <c r="AE10" s="28" t="n">
        <f aca="false">Supuestos!$D$14*MIN(1,AE$3/Supuestos!$D$43)</f>
        <v>2</v>
      </c>
      <c r="AF10" s="28" t="n">
        <f aca="false">Supuestos!$D$14*MIN(1,AF$3/Supuestos!$D$43)</f>
        <v>2</v>
      </c>
      <c r="AG10" s="28" t="n">
        <f aca="false">Supuestos!$D$14*MIN(1,AG$3/Supuestos!$D$43)</f>
        <v>2</v>
      </c>
      <c r="AH10" s="28" t="n">
        <f aca="false">Supuestos!$D$14*MIN(1,AH$3/Supuestos!$D$43)</f>
        <v>2</v>
      </c>
      <c r="AI10" s="28" t="n">
        <f aca="false">Supuestos!$D$14*MIN(1,AI$3/Supuestos!$D$43)</f>
        <v>2</v>
      </c>
      <c r="AJ10" s="28" t="n">
        <f aca="false">Supuestos!$D$14*MIN(1,AJ$3/Supuestos!$D$43)</f>
        <v>2</v>
      </c>
      <c r="AK10" s="28" t="n">
        <f aca="false">Supuestos!$D$14*MIN(1,AK$3/Supuestos!$D$43)</f>
        <v>2</v>
      </c>
      <c r="AL10" s="28" t="n">
        <f aca="false">Supuestos!$D$14*MIN(1,AL$3/Supuestos!$D$43)</f>
        <v>2</v>
      </c>
      <c r="AM10" s="28" t="n">
        <f aca="false">Supuestos!$D$14*MIN(1,AM$3/Supuestos!$D$43)</f>
        <v>2</v>
      </c>
    </row>
    <row r="11" customFormat="false" ht="15" hidden="false" customHeight="false" outlineLevel="0" collapsed="false">
      <c r="B11" s="4" t="s">
        <v>394</v>
      </c>
      <c r="D11" s="35" t="n">
        <f aca="false">D7*(Supuestos!$D$29*Supuestos!$D$21+Supuestos!$D$30*Supuestos!$D$22+Supuestos!$D$31*Supuestos!$D$23+Supuestos!$D$32*Supuestos!$D$24)*Supuestos!$D$17</f>
        <v>20.485</v>
      </c>
      <c r="E11" s="35" t="n">
        <f aca="false">E7*(Supuestos!$D$29*Supuestos!$D$21+Supuestos!$D$30*Supuestos!$D$22+Supuestos!$D$31*Supuestos!$D$23+Supuestos!$D$32*Supuestos!$D$24)*Supuestos!$D$17</f>
        <v>39.3312</v>
      </c>
      <c r="F11" s="35" t="n">
        <f aca="false">F7*(Supuestos!$D$29*Supuestos!$D$21+Supuestos!$D$30*Supuestos!$D$22+Supuestos!$D$31*Supuestos!$D$23+Supuestos!$D$32*Supuestos!$D$24)*Supuestos!$D$17</f>
        <v>56.669704</v>
      </c>
      <c r="G11" s="35" t="n">
        <f aca="false">G7*(Supuestos!$D$29*Supuestos!$D$21+Supuestos!$D$30*Supuestos!$D$22+Supuestos!$D$31*Supuestos!$D$23+Supuestos!$D$32*Supuestos!$D$24)*Supuestos!$D$17</f>
        <v>72.62112768</v>
      </c>
      <c r="H11" s="35" t="n">
        <f aca="false">H7*(Supuestos!$D$29*Supuestos!$D$21+Supuestos!$D$30*Supuestos!$D$22+Supuestos!$D$31*Supuestos!$D$23+Supuestos!$D$32*Supuestos!$D$24)*Supuestos!$D$17</f>
        <v>87.2964374656</v>
      </c>
      <c r="I11" s="35" t="n">
        <f aca="false">I7*(Supuestos!$D$29*Supuestos!$D$21+Supuestos!$D$30*Supuestos!$D$22+Supuestos!$D$31*Supuestos!$D$23+Supuestos!$D$32*Supuestos!$D$24)*Supuestos!$D$17</f>
        <v>100.797722468352</v>
      </c>
      <c r="J11" s="35" t="n">
        <f aca="false">J7*(Supuestos!$D$29*Supuestos!$D$21+Supuestos!$D$30*Supuestos!$D$22+Supuestos!$D$31*Supuestos!$D$23+Supuestos!$D$32*Supuestos!$D$24)*Supuestos!$D$17</f>
        <v>113.218904670884</v>
      </c>
      <c r="K11" s="35" t="n">
        <f aca="false">K7*(Supuestos!$D$29*Supuestos!$D$21+Supuestos!$D$30*Supuestos!$D$22+Supuestos!$D$31*Supuestos!$D$23+Supuestos!$D$32*Supuestos!$D$24)*Supuestos!$D$17</f>
        <v>124.646392297213</v>
      </c>
      <c r="L11" s="35" t="n">
        <f aca="false">L7*(Supuestos!$D$29*Supuestos!$D$21+Supuestos!$D$30*Supuestos!$D$22+Supuestos!$D$31*Supuestos!$D$23+Supuestos!$D$32*Supuestos!$D$24)*Supuestos!$D$17</f>
        <v>135.159680913436</v>
      </c>
      <c r="M11" s="35" t="n">
        <f aca="false">M7*(Supuestos!$D$29*Supuestos!$D$21+Supuestos!$D$30*Supuestos!$D$22+Supuestos!$D$31*Supuestos!$D$23+Supuestos!$D$32*Supuestos!$D$24)*Supuestos!$D$17</f>
        <v>144.831906440361</v>
      </c>
      <c r="N11" s="35" t="n">
        <f aca="false">N7*(Supuestos!$D$29*Supuestos!$D$21+Supuestos!$D$30*Supuestos!$D$22+Supuestos!$D$31*Supuestos!$D$23+Supuestos!$D$32*Supuestos!$D$24)*Supuestos!$D$17</f>
        <v>153.730353925132</v>
      </c>
      <c r="O11" s="35" t="n">
        <f aca="false">O7*(Supuestos!$D$29*Supuestos!$D$21+Supuestos!$D$30*Supuestos!$D$22+Supuestos!$D$31*Supuestos!$D$23+Supuestos!$D$32*Supuestos!$D$24)*Supuestos!$D$17</f>
        <v>161.916925611122</v>
      </c>
      <c r="P11" s="35" t="n">
        <f aca="false">P7*(Supuestos!$D$29*Supuestos!$D$21+Supuestos!$D$30*Supuestos!$D$22+Supuestos!$D$31*Supuestos!$D$23+Supuestos!$D$32*Supuestos!$D$24)*Supuestos!$D$17</f>
        <v>159.206071562232</v>
      </c>
      <c r="Q11" s="35" t="n">
        <f aca="false">Q7*(Supuestos!$D$29*Supuestos!$D$21+Supuestos!$D$30*Supuestos!$D$22+Supuestos!$D$31*Supuestos!$D$23+Supuestos!$D$32*Supuestos!$D$24)*Supuestos!$D$17</f>
        <v>156.712085837253</v>
      </c>
      <c r="R11" s="35" t="n">
        <f aca="false">R7*(Supuestos!$D$29*Supuestos!$D$21+Supuestos!$D$30*Supuestos!$D$22+Supuestos!$D$31*Supuestos!$D$23+Supuestos!$D$32*Supuestos!$D$24)*Supuestos!$D$17</f>
        <v>154.417618970273</v>
      </c>
      <c r="S11" s="35" t="n">
        <f aca="false">S7*(Supuestos!$D$29*Supuestos!$D$21+Supuestos!$D$30*Supuestos!$D$22+Supuestos!$D$31*Supuestos!$D$23+Supuestos!$D$32*Supuestos!$D$24)*Supuestos!$D$17</f>
        <v>152.306709452651</v>
      </c>
      <c r="T11" s="35" t="n">
        <f aca="false">T7*(Supuestos!$D$29*Supuestos!$D$21+Supuestos!$D$30*Supuestos!$D$22+Supuestos!$D$31*Supuestos!$D$23+Supuestos!$D$32*Supuestos!$D$24)*Supuestos!$D$17</f>
        <v>150.364672696439</v>
      </c>
      <c r="U11" s="35" t="n">
        <f aca="false">U7*(Supuestos!$D$29*Supuestos!$D$21+Supuestos!$D$30*Supuestos!$D$22+Supuestos!$D$31*Supuestos!$D$23+Supuestos!$D$32*Supuestos!$D$24)*Supuestos!$D$17</f>
        <v>148.577998880724</v>
      </c>
      <c r="V11" s="35" t="n">
        <f aca="false">V7*(Supuestos!$D$29*Supuestos!$D$21+Supuestos!$D$30*Supuestos!$D$22+Supuestos!$D$31*Supuestos!$D$23+Supuestos!$D$32*Supuestos!$D$24)*Supuestos!$D$17</f>
        <v>146.934258970266</v>
      </c>
      <c r="W11" s="35" t="n">
        <f aca="false">W7*(Supuestos!$D$29*Supuestos!$D$21+Supuestos!$D$30*Supuestos!$D$22+Supuestos!$D$31*Supuestos!$D$23+Supuestos!$D$32*Supuestos!$D$24)*Supuestos!$D$17</f>
        <v>145.422018252645</v>
      </c>
      <c r="X11" s="35" t="n">
        <f aca="false">X7*(Supuestos!$D$29*Supuestos!$D$21+Supuestos!$D$30*Supuestos!$D$22+Supuestos!$D$31*Supuestos!$D$23+Supuestos!$D$32*Supuestos!$D$24)*Supuestos!$D$17</f>
        <v>144.030756792433</v>
      </c>
      <c r="Y11" s="35" t="n">
        <f aca="false">Y7*(Supuestos!$D$29*Supuestos!$D$21+Supuestos!$D$30*Supuestos!$D$22+Supuestos!$D$31*Supuestos!$D$23+Supuestos!$D$32*Supuestos!$D$24)*Supuestos!$D$17</f>
        <v>142.750796249039</v>
      </c>
      <c r="Z11" s="35" t="n">
        <f aca="false">Z7*(Supuestos!$D$29*Supuestos!$D$21+Supuestos!$D$30*Supuestos!$D$22+Supuestos!$D$31*Supuestos!$D$23+Supuestos!$D$32*Supuestos!$D$24)*Supuestos!$D$17</f>
        <v>141.573232549116</v>
      </c>
      <c r="AA11" s="35" t="n">
        <f aca="false">AA7*(Supuestos!$D$29*Supuestos!$D$21+Supuestos!$D$30*Supuestos!$D$22+Supuestos!$D$31*Supuestos!$D$23+Supuestos!$D$32*Supuestos!$D$24)*Supuestos!$D$17</f>
        <v>140.489873945186</v>
      </c>
      <c r="AB11" s="35" t="n">
        <f aca="false">AB7*(Supuestos!$D$29*Supuestos!$D$21+Supuestos!$D$30*Supuestos!$D$22+Supuestos!$D$31*Supuestos!$D$23+Supuestos!$D$32*Supuestos!$D$24)*Supuestos!$D$17</f>
        <v>139.493184029571</v>
      </c>
      <c r="AC11" s="35" t="n">
        <f aca="false">AC7*(Supuestos!$D$29*Supuestos!$D$21+Supuestos!$D$30*Supuestos!$D$22+Supuestos!$D$31*Supuestos!$D$23+Supuestos!$D$32*Supuestos!$D$24)*Supuestos!$D$17</f>
        <v>138.576229307206</v>
      </c>
      <c r="AD11" s="35" t="n">
        <f aca="false">AD7*(Supuestos!$D$29*Supuestos!$D$21+Supuestos!$D$30*Supuestos!$D$22+Supuestos!$D$31*Supuestos!$D$23+Supuestos!$D$32*Supuestos!$D$24)*Supuestos!$D$17</f>
        <v>137.732630962629</v>
      </c>
      <c r="AE11" s="35" t="n">
        <f aca="false">AE7*(Supuestos!$D$29*Supuestos!$D$21+Supuestos!$D$30*Supuestos!$D$22+Supuestos!$D$31*Supuestos!$D$23+Supuestos!$D$32*Supuestos!$D$24)*Supuestos!$D$17</f>
        <v>136.956520485619</v>
      </c>
      <c r="AF11" s="35" t="n">
        <f aca="false">AF7*(Supuestos!$D$29*Supuestos!$D$21+Supuestos!$D$30*Supuestos!$D$22+Supuestos!$D$31*Supuestos!$D$23+Supuestos!$D$32*Supuestos!$D$24)*Supuestos!$D$17</f>
        <v>136.242498846769</v>
      </c>
      <c r="AG11" s="35" t="n">
        <f aca="false">AG7*(Supuestos!$D$29*Supuestos!$D$21+Supuestos!$D$30*Supuestos!$D$22+Supuestos!$D$31*Supuestos!$D$23+Supuestos!$D$32*Supuestos!$D$24)*Supuestos!$D$17</f>
        <v>135.585598939028</v>
      </c>
      <c r="AH11" s="35" t="n">
        <f aca="false">AH7*(Supuestos!$D$29*Supuestos!$D$21+Supuestos!$D$30*Supuestos!$D$22+Supuestos!$D$31*Supuestos!$D$23+Supuestos!$D$32*Supuestos!$D$24)*Supuestos!$D$17</f>
        <v>134.981251023906</v>
      </c>
      <c r="AI11" s="35" t="n">
        <f aca="false">AI7*(Supuestos!$D$29*Supuestos!$D$21+Supuestos!$D$30*Supuestos!$D$22+Supuestos!$D$31*Supuestos!$D$23+Supuestos!$D$32*Supuestos!$D$24)*Supuestos!$D$17</f>
        <v>134.425250941993</v>
      </c>
      <c r="AJ11" s="35" t="n">
        <f aca="false">AJ7*(Supuestos!$D$29*Supuestos!$D$21+Supuestos!$D$30*Supuestos!$D$22+Supuestos!$D$31*Supuestos!$D$23+Supuestos!$D$32*Supuestos!$D$24)*Supuestos!$D$17</f>
        <v>133.913730866634</v>
      </c>
      <c r="AK11" s="35" t="n">
        <f aca="false">AK7*(Supuestos!$D$29*Supuestos!$D$21+Supuestos!$D$30*Supuestos!$D$22+Supuestos!$D$31*Supuestos!$D$23+Supuestos!$D$32*Supuestos!$D$24)*Supuestos!$D$17</f>
        <v>133.443132397303</v>
      </c>
      <c r="AL11" s="35" t="n">
        <f aca="false">AL7*(Supuestos!$D$29*Supuestos!$D$21+Supuestos!$D$30*Supuestos!$D$22+Supuestos!$D$31*Supuestos!$D$23+Supuestos!$D$32*Supuestos!$D$24)*Supuestos!$D$17</f>
        <v>133.010181805519</v>
      </c>
      <c r="AM11" s="35" t="n">
        <f aca="false">AM7*(Supuestos!$D$29*Supuestos!$D$21+Supuestos!$D$30*Supuestos!$D$22+Supuestos!$D$31*Supuestos!$D$23+Supuestos!$D$32*Supuestos!$D$24)*Supuestos!$D$17</f>
        <v>132.611867261077</v>
      </c>
    </row>
    <row r="12" customFormat="false" ht="15" hidden="false" customHeight="false" outlineLevel="0" collapsed="false">
      <c r="B12" s="4" t="s">
        <v>395</v>
      </c>
      <c r="D12" s="30" t="n">
        <f aca="false">D11/(Supuestos!$D$12*Supuestos!$D$9)</f>
        <v>0.032515873015873</v>
      </c>
      <c r="E12" s="30" t="n">
        <f aca="false">E11/(Supuestos!$D$12*Supuestos!$D$9)</f>
        <v>0.0624304761904762</v>
      </c>
      <c r="F12" s="30" t="n">
        <f aca="false">F11/(Supuestos!$D$12*Supuestos!$D$9)</f>
        <v>0.0899519111111111</v>
      </c>
      <c r="G12" s="30" t="n">
        <f aca="false">G11/(Supuestos!$D$12*Supuestos!$D$9)</f>
        <v>0.115271631238095</v>
      </c>
      <c r="H12" s="30" t="n">
        <f aca="false">H11/(Supuestos!$D$12*Supuestos!$D$9)</f>
        <v>0.138565773754921</v>
      </c>
      <c r="I12" s="30" t="n">
        <f aca="false">I11/(Supuestos!$D$12*Supuestos!$D$9)</f>
        <v>0.1599963848704</v>
      </c>
      <c r="J12" s="30" t="n">
        <f aca="false">J11/(Supuestos!$D$12*Supuestos!$D$9)</f>
        <v>0.179712547096641</v>
      </c>
      <c r="K12" s="30" t="n">
        <f aca="false">K11/(Supuestos!$D$12*Supuestos!$D$9)</f>
        <v>0.197851416344783</v>
      </c>
      <c r="L12" s="30" t="n">
        <f aca="false">L11/(Supuestos!$D$12*Supuestos!$D$9)</f>
        <v>0.214539176053073</v>
      </c>
      <c r="M12" s="30" t="n">
        <f aca="false">M11/(Supuestos!$D$12*Supuestos!$D$9)</f>
        <v>0.2298919149847</v>
      </c>
      <c r="N12" s="30" t="n">
        <f aca="false">N11/(Supuestos!$D$12*Supuestos!$D$9)</f>
        <v>0.244016434801797</v>
      </c>
      <c r="O12" s="30" t="n">
        <f aca="false">O11/(Supuestos!$D$12*Supuestos!$D$9)</f>
        <v>0.257010993033527</v>
      </c>
      <c r="P12" s="30" t="n">
        <f aca="false">P11/(Supuestos!$D$12*Supuestos!$D$9)</f>
        <v>0.252708050098781</v>
      </c>
      <c r="Q12" s="30" t="n">
        <f aca="false">Q11/(Supuestos!$D$12*Supuestos!$D$9)</f>
        <v>0.248749342598815</v>
      </c>
      <c r="R12" s="30" t="n">
        <f aca="false">R11/(Supuestos!$D$12*Supuestos!$D$9)</f>
        <v>0.245107331698846</v>
      </c>
      <c r="S12" s="30" t="n">
        <f aca="false">S11/(Supuestos!$D$12*Supuestos!$D$9)</f>
        <v>0.241756681670875</v>
      </c>
      <c r="T12" s="30" t="n">
        <f aca="false">T11/(Supuestos!$D$12*Supuestos!$D$9)</f>
        <v>0.238674083645142</v>
      </c>
      <c r="U12" s="30" t="n">
        <f aca="false">U11/(Supuestos!$D$12*Supuestos!$D$9)</f>
        <v>0.235838093461467</v>
      </c>
      <c r="V12" s="30" t="n">
        <f aca="false">V11/(Supuestos!$D$12*Supuestos!$D$9)</f>
        <v>0.233228982492486</v>
      </c>
      <c r="W12" s="30" t="n">
        <f aca="false">W11/(Supuestos!$D$12*Supuestos!$D$9)</f>
        <v>0.230828600401024</v>
      </c>
      <c r="X12" s="30" t="n">
        <f aca="false">X11/(Supuestos!$D$12*Supuestos!$D$9)</f>
        <v>0.228620248876878</v>
      </c>
      <c r="Y12" s="30" t="n">
        <f aca="false">Y11/(Supuestos!$D$12*Supuestos!$D$9)</f>
        <v>0.226588565474665</v>
      </c>
      <c r="Z12" s="30" t="n">
        <f aca="false">Z11/(Supuestos!$D$12*Supuestos!$D$9)</f>
        <v>0.224719416744628</v>
      </c>
      <c r="AA12" s="30" t="n">
        <f aca="false">AA11/(Supuestos!$D$12*Supuestos!$D$9)</f>
        <v>0.222999799912994</v>
      </c>
      <c r="AB12" s="30" t="n">
        <f aca="false">AB11/(Supuestos!$D$12*Supuestos!$D$9)</f>
        <v>0.221417752427891</v>
      </c>
      <c r="AC12" s="30" t="n">
        <f aca="false">AC11/(Supuestos!$D$12*Supuestos!$D$9)</f>
        <v>0.219962268741596</v>
      </c>
      <c r="AD12" s="30" t="n">
        <f aca="false">AD11/(Supuestos!$D$12*Supuestos!$D$9)</f>
        <v>0.218623223750205</v>
      </c>
      <c r="AE12" s="30" t="n">
        <f aca="false">AE11/(Supuestos!$D$12*Supuestos!$D$9)</f>
        <v>0.217391302358125</v>
      </c>
      <c r="AF12" s="30" t="n">
        <f aca="false">AF11/(Supuestos!$D$12*Supuestos!$D$9)</f>
        <v>0.216257934677412</v>
      </c>
      <c r="AG12" s="30" t="n">
        <f aca="false">AG11/(Supuestos!$D$12*Supuestos!$D$9)</f>
        <v>0.215215236411155</v>
      </c>
      <c r="AH12" s="30" t="n">
        <f aca="false">AH11/(Supuestos!$D$12*Supuestos!$D$9)</f>
        <v>0.214255954006199</v>
      </c>
      <c r="AI12" s="30" t="n">
        <f aca="false">AI11/(Supuestos!$D$12*Supuestos!$D$9)</f>
        <v>0.21337341419364</v>
      </c>
      <c r="AJ12" s="30" t="n">
        <f aca="false">AJ11/(Supuestos!$D$12*Supuestos!$D$9)</f>
        <v>0.212561477566085</v>
      </c>
      <c r="AK12" s="30" t="n">
        <f aca="false">AK11/(Supuestos!$D$12*Supuestos!$D$9)</f>
        <v>0.211814495868735</v>
      </c>
      <c r="AL12" s="30" t="n">
        <f aca="false">AL11/(Supuestos!$D$12*Supuestos!$D$9)</f>
        <v>0.211127272707173</v>
      </c>
      <c r="AM12" s="30" t="n">
        <f aca="false">AM11/(Supuestos!$D$12*Supuestos!$D$9)</f>
        <v>0.210495027398535</v>
      </c>
    </row>
    <row r="13" customFormat="false" ht="15" hidden="false" customHeight="false" outlineLevel="0" collapsed="false">
      <c r="B13" s="4" t="s">
        <v>396</v>
      </c>
      <c r="D13" s="28" t="n">
        <f aca="false">D11/Supuestos!$D$9*Supuestos!$D$18</f>
        <v>1.31689285714286</v>
      </c>
      <c r="E13" s="28" t="n">
        <f aca="false">E11/Supuestos!$D$9*Supuestos!$D$18</f>
        <v>2.52843428571429</v>
      </c>
      <c r="F13" s="28" t="n">
        <f aca="false">F11/Supuestos!$D$9*Supuestos!$D$18</f>
        <v>3.6430524</v>
      </c>
      <c r="G13" s="28" t="n">
        <f aca="false">G11/Supuestos!$D$9*Supuestos!$D$18</f>
        <v>4.66850106514286</v>
      </c>
      <c r="H13" s="28" t="n">
        <f aca="false">H11/Supuestos!$D$9*Supuestos!$D$18</f>
        <v>5.61191383707429</v>
      </c>
      <c r="I13" s="28" t="n">
        <f aca="false">I11/Supuestos!$D$9*Supuestos!$D$18</f>
        <v>6.4798535872512</v>
      </c>
      <c r="J13" s="28" t="n">
        <f aca="false">J11/Supuestos!$D$9*Supuestos!$D$18</f>
        <v>7.27835815741396</v>
      </c>
      <c r="K13" s="28" t="n">
        <f aca="false">K11/Supuestos!$D$9*Supuestos!$D$18</f>
        <v>8.0129823619637</v>
      </c>
      <c r="L13" s="28" t="n">
        <f aca="false">L11/Supuestos!$D$9*Supuestos!$D$18</f>
        <v>8.68883663014946</v>
      </c>
      <c r="M13" s="28" t="n">
        <f aca="false">M11/Supuestos!$D$9*Supuestos!$D$18</f>
        <v>9.31062255688036</v>
      </c>
      <c r="N13" s="28" t="n">
        <f aca="false">N11/Supuestos!$D$9*Supuestos!$D$18</f>
        <v>9.88266560947279</v>
      </c>
      <c r="O13" s="28" t="n">
        <f aca="false">O11/Supuestos!$D$9*Supuestos!$D$18</f>
        <v>10.4089452178578</v>
      </c>
      <c r="P13" s="28" t="n">
        <f aca="false">P11/Supuestos!$D$9*Supuestos!$D$18</f>
        <v>10.2346760290006</v>
      </c>
      <c r="Q13" s="28" t="n">
        <f aca="false">Q11/Supuestos!$D$9*Supuestos!$D$18</f>
        <v>10.074348375252</v>
      </c>
      <c r="R13" s="28" t="n">
        <f aca="false">R11/Supuestos!$D$9*Supuestos!$D$18</f>
        <v>9.92684693380328</v>
      </c>
      <c r="S13" s="28" t="n">
        <f aca="false">S11/Supuestos!$D$9*Supuestos!$D$18</f>
        <v>9.79114560767044</v>
      </c>
      <c r="T13" s="28" t="n">
        <f aca="false">T11/Supuestos!$D$9*Supuestos!$D$18</f>
        <v>9.66630038762824</v>
      </c>
      <c r="U13" s="28" t="n">
        <f aca="false">U11/Supuestos!$D$9*Supuestos!$D$18</f>
        <v>9.55144278518941</v>
      </c>
      <c r="V13" s="28" t="n">
        <f aca="false">V11/Supuestos!$D$9*Supuestos!$D$18</f>
        <v>9.44577379094568</v>
      </c>
      <c r="W13" s="28" t="n">
        <f aca="false">W11/Supuestos!$D$9*Supuestos!$D$18</f>
        <v>9.34855831624146</v>
      </c>
      <c r="X13" s="28" t="n">
        <f aca="false">X11/Supuestos!$D$9*Supuestos!$D$18</f>
        <v>9.25912007951357</v>
      </c>
      <c r="Y13" s="28" t="n">
        <f aca="false">Y11/Supuestos!$D$9*Supuestos!$D$18</f>
        <v>9.17683690172391</v>
      </c>
      <c r="Z13" s="28" t="n">
        <f aca="false">Z11/Supuestos!$D$9*Supuestos!$D$18</f>
        <v>9.10113637815743</v>
      </c>
      <c r="AA13" s="28" t="n">
        <f aca="false">AA11/Supuestos!$D$9*Supuestos!$D$18</f>
        <v>9.03149189647626</v>
      </c>
      <c r="AB13" s="28" t="n">
        <f aca="false">AB11/Supuestos!$D$9*Supuestos!$D$18</f>
        <v>8.96741897332959</v>
      </c>
      <c r="AC13" s="28" t="n">
        <f aca="false">AC11/Supuestos!$D$9*Supuestos!$D$18</f>
        <v>8.90847188403465</v>
      </c>
      <c r="AD13" s="28" t="n">
        <f aca="false">AD11/Supuestos!$D$9*Supuestos!$D$18</f>
        <v>8.85424056188331</v>
      </c>
      <c r="AE13" s="28" t="n">
        <f aca="false">AE11/Supuestos!$D$9*Supuestos!$D$18</f>
        <v>8.80434774550407</v>
      </c>
      <c r="AF13" s="28" t="n">
        <f aca="false">AF11/Supuestos!$D$9*Supuestos!$D$18</f>
        <v>8.75844635443518</v>
      </c>
      <c r="AG13" s="28" t="n">
        <f aca="false">AG11/Supuestos!$D$9*Supuestos!$D$18</f>
        <v>8.71621707465179</v>
      </c>
      <c r="AH13" s="28" t="n">
        <f aca="false">AH11/Supuestos!$D$9*Supuestos!$D$18</f>
        <v>8.67736613725108</v>
      </c>
      <c r="AI13" s="28" t="n">
        <f aca="false">AI11/Supuestos!$D$9*Supuestos!$D$18</f>
        <v>8.64162327484242</v>
      </c>
      <c r="AJ13" s="28" t="n">
        <f aca="false">AJ11/Supuestos!$D$9*Supuestos!$D$18</f>
        <v>8.60873984142646</v>
      </c>
      <c r="AK13" s="28" t="n">
        <f aca="false">AK11/Supuestos!$D$9*Supuestos!$D$18</f>
        <v>8.57848708268377</v>
      </c>
      <c r="AL13" s="28" t="n">
        <f aca="false">AL11/Supuestos!$D$9*Supuestos!$D$18</f>
        <v>8.5506545446405</v>
      </c>
      <c r="AM13" s="28" t="n">
        <f aca="false">AM11/Supuestos!$D$9*Supuestos!$D$18</f>
        <v>8.52504860964068</v>
      </c>
    </row>
    <row r="14" customFormat="false" ht="15" hidden="false" customHeight="false" outlineLevel="0" collapsed="false">
      <c r="B14" s="14" t="s">
        <v>397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customFormat="false" ht="15" hidden="false" customHeight="false" outlineLevel="0" collapsed="false">
      <c r="B15" s="4" t="s">
        <v>398</v>
      </c>
      <c r="D15" s="25" t="n">
        <f aca="false">D7*((Supuestos!$D$29*Supuestos!$D$25+Supuestos!$D$30*Supuestos!$D$26+Supuestos!$D$31*Supuestos!$D$27+Supuestos!$D$32*Supuestos!$D$28)*Supuestos!$D$37)*(1-Supuestos!$D$38)/(1+Supuestos!$D$7*Supuestos!$D$8)/Supuestos!$D$6</f>
        <v>81.8239033693579</v>
      </c>
      <c r="E15" s="25" t="n">
        <f aca="false">E7*((Supuestos!$D$29*Supuestos!$D$25+Supuestos!$D$30*Supuestos!$D$26+Supuestos!$D$31*Supuestos!$D$27+Supuestos!$D$32*Supuestos!$D$28)*Supuestos!$D$37)*(1-Supuestos!$D$38)/(1+Supuestos!$D$7*Supuestos!$D$8)/Supuestos!$D$6</f>
        <v>157.101894469167</v>
      </c>
      <c r="F15" s="25" t="n">
        <f aca="false">F7*((Supuestos!$D$29*Supuestos!$D$25+Supuestos!$D$30*Supuestos!$D$26+Supuestos!$D$31*Supuestos!$D$27+Supuestos!$D$32*Supuestos!$D$28)*Supuestos!$D$37)*(1-Supuestos!$D$38)/(1+Supuestos!$D$7*Supuestos!$D$8)/Supuestos!$D$6</f>
        <v>226.357646280992</v>
      </c>
      <c r="G15" s="25" t="n">
        <f aca="false">G7*((Supuestos!$D$29*Supuestos!$D$25+Supuestos!$D$30*Supuestos!$D$26+Supuestos!$D$31*Supuestos!$D$27+Supuestos!$D$32*Supuestos!$D$28)*Supuestos!$D$37)*(1-Supuestos!$D$38)/(1+Supuestos!$D$7*Supuestos!$D$8)/Supuestos!$D$6</f>
        <v>290.07293794787</v>
      </c>
      <c r="H15" s="25" t="n">
        <f aca="false">H7*((Supuestos!$D$29*Supuestos!$D$25+Supuestos!$D$30*Supuestos!$D$26+Supuestos!$D$31*Supuestos!$D$27+Supuestos!$D$32*Supuestos!$D$28)*Supuestos!$D$37)*(1-Supuestos!$D$38)/(1+Supuestos!$D$7*Supuestos!$D$8)/Supuestos!$D$6</f>
        <v>348.691006281399</v>
      </c>
      <c r="I15" s="25" t="n">
        <f aca="false">I7*((Supuestos!$D$29*Supuestos!$D$25+Supuestos!$D$30*Supuestos!$D$26+Supuestos!$D$31*Supuestos!$D$27+Supuestos!$D$32*Supuestos!$D$28)*Supuestos!$D$37)*(1-Supuestos!$D$38)/(1+Supuestos!$D$7*Supuestos!$D$8)/Supuestos!$D$6</f>
        <v>402.619629148245</v>
      </c>
      <c r="J15" s="25" t="n">
        <f aca="false">J7*((Supuestos!$D$29*Supuestos!$D$25+Supuestos!$D$30*Supuestos!$D$26+Supuestos!$D$31*Supuestos!$D$27+Supuestos!$D$32*Supuestos!$D$28)*Supuestos!$D$37)*(1-Supuestos!$D$38)/(1+Supuestos!$D$7*Supuestos!$D$8)/Supuestos!$D$6</f>
        <v>452.233962185743</v>
      </c>
      <c r="K15" s="25" t="n">
        <f aca="false">K7*((Supuestos!$D$29*Supuestos!$D$25+Supuestos!$D$30*Supuestos!$D$26+Supuestos!$D$31*Supuestos!$D$27+Supuestos!$D$32*Supuestos!$D$28)*Supuestos!$D$37)*(1-Supuestos!$D$38)/(1+Supuestos!$D$7*Supuestos!$D$8)/Supuestos!$D$6</f>
        <v>497.879148580242</v>
      </c>
      <c r="L15" s="25" t="n">
        <f aca="false">L7*((Supuestos!$D$29*Supuestos!$D$25+Supuestos!$D$30*Supuestos!$D$26+Supuestos!$D$31*Supuestos!$D$27+Supuestos!$D$32*Supuestos!$D$28)*Supuestos!$D$37)*(1-Supuestos!$D$38)/(1+Supuestos!$D$7*Supuestos!$D$8)/Supuestos!$D$6</f>
        <v>539.87272006318</v>
      </c>
      <c r="M15" s="25" t="n">
        <f aca="false">M7*((Supuestos!$D$29*Supuestos!$D$25+Supuestos!$D$30*Supuestos!$D$26+Supuestos!$D$31*Supuestos!$D$27+Supuestos!$D$32*Supuestos!$D$28)*Supuestos!$D$37)*(1-Supuestos!$D$38)/(1+Supuestos!$D$7*Supuestos!$D$8)/Supuestos!$D$6</f>
        <v>578.506805827484</v>
      </c>
      <c r="N15" s="25" t="n">
        <f aca="false">N7*((Supuestos!$D$29*Supuestos!$D$25+Supuestos!$D$30*Supuestos!$D$26+Supuestos!$D$31*Supuestos!$D$27+Supuestos!$D$32*Supuestos!$D$28)*Supuestos!$D$37)*(1-Supuestos!$D$38)/(1+Supuestos!$D$7*Supuestos!$D$8)/Supuestos!$D$6</f>
        <v>614.050164730643</v>
      </c>
      <c r="O15" s="25" t="n">
        <f aca="false">O7*((Supuestos!$D$29*Supuestos!$D$25+Supuestos!$D$30*Supuestos!$D$26+Supuestos!$D$31*Supuestos!$D$27+Supuestos!$D$32*Supuestos!$D$28)*Supuestos!$D$37)*(1-Supuestos!$D$38)/(1+Supuestos!$D$7*Supuestos!$D$8)/Supuestos!$D$6</f>
        <v>646.750054921549</v>
      </c>
      <c r="P15" s="25" t="n">
        <f aca="false">P7*((Supuestos!$D$29*Supuestos!$D$25+Supuestos!$D$30*Supuestos!$D$26+Supuestos!$D$31*Supuestos!$D$27+Supuestos!$D$32*Supuestos!$D$28)*Supuestos!$D$37)*(1-Supuestos!$D$38)/(1+Supuestos!$D$7*Supuestos!$D$8)/Supuestos!$D$6</f>
        <v>635.922002212505</v>
      </c>
      <c r="Q15" s="25" t="n">
        <f aca="false">Q7*((Supuestos!$D$29*Supuestos!$D$25+Supuestos!$D$30*Supuestos!$D$26+Supuestos!$D$31*Supuestos!$D$27+Supuestos!$D$32*Supuestos!$D$28)*Supuestos!$D$37)*(1-Supuestos!$D$38)/(1+Supuestos!$D$7*Supuestos!$D$8)/Supuestos!$D$6</f>
        <v>625.960193720183</v>
      </c>
      <c r="R15" s="25" t="n">
        <f aca="false">R7*((Supuestos!$D$29*Supuestos!$D$25+Supuestos!$D$30*Supuestos!$D$26+Supuestos!$D$31*Supuestos!$D$27+Supuestos!$D$32*Supuestos!$D$28)*Supuestos!$D$37)*(1-Supuestos!$D$38)/(1+Supuestos!$D$7*Supuestos!$D$8)/Supuestos!$D$6</f>
        <v>616.795329907247</v>
      </c>
      <c r="S15" s="25" t="n">
        <f aca="false">S7*((Supuestos!$D$29*Supuestos!$D$25+Supuestos!$D$30*Supuestos!$D$26+Supuestos!$D$31*Supuestos!$D$27+Supuestos!$D$32*Supuestos!$D$28)*Supuestos!$D$37)*(1-Supuestos!$D$38)/(1+Supuestos!$D$7*Supuestos!$D$8)/Supuestos!$D$6</f>
        <v>608.363655199347</v>
      </c>
      <c r="T15" s="25" t="n">
        <f aca="false">T7*((Supuestos!$D$29*Supuestos!$D$25+Supuestos!$D$30*Supuestos!$D$26+Supuestos!$D$31*Supuestos!$D$27+Supuestos!$D$32*Supuestos!$D$28)*Supuestos!$D$37)*(1-Supuestos!$D$38)/(1+Supuestos!$D$7*Supuestos!$D$8)/Supuestos!$D$6</f>
        <v>600.606514468078</v>
      </c>
      <c r="U15" s="25" t="n">
        <f aca="false">U7*((Supuestos!$D$29*Supuestos!$D$25+Supuestos!$D$30*Supuestos!$D$26+Supuestos!$D$31*Supuestos!$D$27+Supuestos!$D$32*Supuestos!$D$28)*Supuestos!$D$37)*(1-Supuestos!$D$38)/(1+Supuestos!$D$7*Supuestos!$D$8)/Supuestos!$D$6</f>
        <v>593.469944995311</v>
      </c>
      <c r="V15" s="25" t="n">
        <f aca="false">V7*((Supuestos!$D$29*Supuestos!$D$25+Supuestos!$D$30*Supuestos!$D$26+Supuestos!$D$31*Supuestos!$D$27+Supuestos!$D$32*Supuestos!$D$28)*Supuestos!$D$37)*(1-Supuestos!$D$38)/(1+Supuestos!$D$7*Supuestos!$D$8)/Supuestos!$D$6</f>
        <v>586.904301080365</v>
      </c>
      <c r="W15" s="25" t="n">
        <f aca="false">W7*((Supuestos!$D$29*Supuestos!$D$25+Supuestos!$D$30*Supuestos!$D$26+Supuestos!$D$31*Supuestos!$D$27+Supuestos!$D$32*Supuestos!$D$28)*Supuestos!$D$37)*(1-Supuestos!$D$38)/(1+Supuestos!$D$7*Supuestos!$D$8)/Supuestos!$D$6</f>
        <v>580.863908678614</v>
      </c>
      <c r="X15" s="25" t="n">
        <f aca="false">X7*((Supuestos!$D$29*Supuestos!$D$25+Supuestos!$D$30*Supuestos!$D$26+Supuestos!$D$31*Supuestos!$D$27+Supuestos!$D$32*Supuestos!$D$28)*Supuestos!$D$37)*(1-Supuestos!$D$38)/(1+Supuestos!$D$7*Supuestos!$D$8)/Supuestos!$D$6</f>
        <v>575.306747669005</v>
      </c>
      <c r="Y15" s="25" t="n">
        <f aca="false">Y7*((Supuestos!$D$29*Supuestos!$D$25+Supuestos!$D$30*Supuestos!$D$26+Supuestos!$D$31*Supuestos!$D$27+Supuestos!$D$32*Supuestos!$D$28)*Supuestos!$D$37)*(1-Supuestos!$D$38)/(1+Supuestos!$D$7*Supuestos!$D$8)/Supuestos!$D$6</f>
        <v>570.194159540163</v>
      </c>
      <c r="Z15" s="25" t="n">
        <f aca="false">Z7*((Supuestos!$D$29*Supuestos!$D$25+Supuestos!$D$30*Supuestos!$D$26+Supuestos!$D$31*Supuestos!$D$27+Supuestos!$D$32*Supuestos!$D$28)*Supuestos!$D$37)*(1-Supuestos!$D$38)/(1+Supuestos!$D$7*Supuestos!$D$8)/Supuestos!$D$6</f>
        <v>565.490578461629</v>
      </c>
      <c r="AA15" s="25" t="n">
        <f aca="false">AA7*((Supuestos!$D$29*Supuestos!$D$25+Supuestos!$D$30*Supuestos!$D$26+Supuestos!$D$31*Supuestos!$D$27+Supuestos!$D$32*Supuestos!$D$28)*Supuestos!$D$37)*(1-Supuestos!$D$38)/(1+Supuestos!$D$7*Supuestos!$D$8)/Supuestos!$D$6</f>
        <v>561.163283869378</v>
      </c>
      <c r="AB15" s="25" t="n">
        <f aca="false">AB7*((Supuestos!$D$29*Supuestos!$D$25+Supuestos!$D$30*Supuestos!$D$26+Supuestos!$D$31*Supuestos!$D$27+Supuestos!$D$32*Supuestos!$D$28)*Supuestos!$D$37)*(1-Supuestos!$D$38)/(1+Supuestos!$D$7*Supuestos!$D$8)/Supuestos!$D$6</f>
        <v>557.182172844507</v>
      </c>
      <c r="AC15" s="25" t="n">
        <f aca="false">AC7*((Supuestos!$D$29*Supuestos!$D$25+Supuestos!$D$30*Supuestos!$D$26+Supuestos!$D$31*Supuestos!$D$27+Supuestos!$D$32*Supuestos!$D$28)*Supuestos!$D$37)*(1-Supuestos!$D$38)/(1+Supuestos!$D$7*Supuestos!$D$8)/Supuestos!$D$6</f>
        <v>553.519550701625</v>
      </c>
      <c r="AD15" s="25" t="n">
        <f aca="false">AD7*((Supuestos!$D$29*Supuestos!$D$25+Supuestos!$D$30*Supuestos!$D$26+Supuestos!$D$31*Supuestos!$D$27+Supuestos!$D$32*Supuestos!$D$28)*Supuestos!$D$37)*(1-Supuestos!$D$38)/(1+Supuestos!$D$7*Supuestos!$D$8)/Supuestos!$D$6</f>
        <v>550.149938330174</v>
      </c>
      <c r="AE15" s="25" t="n">
        <f aca="false">AE7*((Supuestos!$D$29*Supuestos!$D$25+Supuestos!$D$30*Supuestos!$D$26+Supuestos!$D$31*Supuestos!$D$27+Supuestos!$D$32*Supuestos!$D$28)*Supuestos!$D$37)*(1-Supuestos!$D$38)/(1+Supuestos!$D$7*Supuestos!$D$8)/Supuestos!$D$6</f>
        <v>547.049894948439</v>
      </c>
      <c r="AF15" s="25" t="n">
        <f aca="false">AF7*((Supuestos!$D$29*Supuestos!$D$25+Supuestos!$D$30*Supuestos!$D$26+Supuestos!$D$31*Supuestos!$D$27+Supuestos!$D$32*Supuestos!$D$28)*Supuestos!$D$37)*(1-Supuestos!$D$38)/(1+Supuestos!$D$7*Supuestos!$D$8)/Supuestos!$D$6</f>
        <v>544.197855037243</v>
      </c>
      <c r="AG15" s="25" t="n">
        <f aca="false">AG7*((Supuestos!$D$29*Supuestos!$D$25+Supuestos!$D$30*Supuestos!$D$26+Supuestos!$D$31*Supuestos!$D$27+Supuestos!$D$32*Supuestos!$D$28)*Supuestos!$D$37)*(1-Supuestos!$D$38)/(1+Supuestos!$D$7*Supuestos!$D$8)/Supuestos!$D$6</f>
        <v>541.573978318942</v>
      </c>
      <c r="AH15" s="25" t="n">
        <f aca="false">AH7*((Supuestos!$D$29*Supuestos!$D$25+Supuestos!$D$30*Supuestos!$D$26+Supuestos!$D$31*Supuestos!$D$27+Supuestos!$D$32*Supuestos!$D$28)*Supuestos!$D$37)*(1-Supuestos!$D$38)/(1+Supuestos!$D$7*Supuestos!$D$8)/Supuestos!$D$6</f>
        <v>539.160011738106</v>
      </c>
      <c r="AI15" s="25" t="n">
        <f aca="false">AI7*((Supuestos!$D$29*Supuestos!$D$25+Supuestos!$D$30*Supuestos!$D$26+Supuestos!$D$31*Supuestos!$D$27+Supuestos!$D$32*Supuestos!$D$28)*Supuestos!$D$37)*(1-Supuestos!$D$38)/(1+Supuestos!$D$7*Supuestos!$D$8)/Supuestos!$D$6</f>
        <v>536.939162483736</v>
      </c>
      <c r="AJ15" s="25" t="n">
        <f aca="false">AJ7*((Supuestos!$D$29*Supuestos!$D$25+Supuestos!$D$30*Supuestos!$D$26+Supuestos!$D$31*Supuestos!$D$27+Supuestos!$D$32*Supuestos!$D$28)*Supuestos!$D$37)*(1-Supuestos!$D$38)/(1+Supuestos!$D$7*Supuestos!$D$8)/Supuestos!$D$6</f>
        <v>534.895981169717</v>
      </c>
      <c r="AK15" s="25" t="n">
        <f aca="false">AK7*((Supuestos!$D$29*Supuestos!$D$25+Supuestos!$D$30*Supuestos!$D$26+Supuestos!$D$31*Supuestos!$D$27+Supuestos!$D$32*Supuestos!$D$28)*Supuestos!$D$37)*(1-Supuestos!$D$38)/(1+Supuestos!$D$7*Supuestos!$D$8)/Supuestos!$D$6</f>
        <v>533.016254360818</v>
      </c>
      <c r="AL15" s="25" t="n">
        <f aca="false">AL7*((Supuestos!$D$29*Supuestos!$D$25+Supuestos!$D$30*Supuestos!$D$26+Supuestos!$D$31*Supuestos!$D$27+Supuestos!$D$32*Supuestos!$D$28)*Supuestos!$D$37)*(1-Supuestos!$D$38)/(1+Supuestos!$D$7*Supuestos!$D$8)/Supuestos!$D$6</f>
        <v>531.286905696632</v>
      </c>
      <c r="AM15" s="25" t="n">
        <f aca="false">AM7*((Supuestos!$D$29*Supuestos!$D$25+Supuestos!$D$30*Supuestos!$D$26+Supuestos!$D$31*Supuestos!$D$27+Supuestos!$D$32*Supuestos!$D$28)*Supuestos!$D$37)*(1-Supuestos!$D$38)/(1+Supuestos!$D$7*Supuestos!$D$8)/Supuestos!$D$6</f>
        <v>529.69590492558</v>
      </c>
    </row>
    <row r="16" customFormat="false" ht="15" hidden="false" customHeight="false" outlineLevel="0" collapsed="false">
      <c r="B16" s="4" t="s">
        <v>399</v>
      </c>
      <c r="D16" s="25" t="n">
        <f aca="false">D9*Supuestos!$D$33*Supuestos!$D$37*(1-Supuestos!$D$38)/(1+Supuestos!$D$7*Supuestos!$D$8)/Supuestos!$D$6</f>
        <v>25.3178639542276</v>
      </c>
      <c r="E16" s="25" t="n">
        <f aca="false">E9*Supuestos!$D$33*Supuestos!$D$37*(1-Supuestos!$D$38)/(1+Supuestos!$D$7*Supuestos!$D$8)/Supuestos!$D$6</f>
        <v>49.3698347107438</v>
      </c>
      <c r="F16" s="25" t="n">
        <f aca="false">F9*Supuestos!$D$33*Supuestos!$D$37*(1-Supuestos!$D$38)/(1+Supuestos!$D$7*Supuestos!$D$8)/Supuestos!$D$6</f>
        <v>72.2192069294342</v>
      </c>
      <c r="G16" s="25" t="n">
        <f aca="false">G9*Supuestos!$D$33*Supuestos!$D$37*(1-Supuestos!$D$38)/(1+Supuestos!$D$7*Supuestos!$D$8)/Supuestos!$D$6</f>
        <v>93.9261105371901</v>
      </c>
      <c r="H16" s="25" t="n">
        <f aca="false">H9*Supuestos!$D$33*Supuestos!$D$37*(1-Supuestos!$D$38)/(1+Supuestos!$D$7*Supuestos!$D$8)/Supuestos!$D$6</f>
        <v>114.547668964558</v>
      </c>
      <c r="I16" s="25" t="n">
        <f aca="false">I9*Supuestos!$D$33*Supuestos!$D$37*(1-Supuestos!$D$38)/(1+Supuestos!$D$7*Supuestos!$D$8)/Supuestos!$D$6</f>
        <v>134.138149470558</v>
      </c>
      <c r="J16" s="25" t="n">
        <f aca="false">J9*Supuestos!$D$33*Supuestos!$D$37*(1-Supuestos!$D$38)/(1+Supuestos!$D$7*Supuestos!$D$8)/Supuestos!$D$6</f>
        <v>152.749105951258</v>
      </c>
      <c r="K16" s="25" t="n">
        <f aca="false">K9*Supuestos!$D$33*Supuestos!$D$37*(1-Supuestos!$D$38)/(1+Supuestos!$D$7*Supuestos!$D$8)/Supuestos!$D$6</f>
        <v>170.429514607922</v>
      </c>
      <c r="L16" s="25" t="n">
        <f aca="false">L9*Supuestos!$D$33*Supuestos!$D$37*(1-Supuestos!$D$38)/(1+Supuestos!$D$7*Supuestos!$D$8)/Supuestos!$D$6</f>
        <v>187.225902831754</v>
      </c>
      <c r="M16" s="25" t="n">
        <f aca="false">M9*Supuestos!$D$33*Supuestos!$D$37*(1-Supuestos!$D$38)/(1+Supuestos!$D$7*Supuestos!$D$8)/Supuestos!$D$6</f>
        <v>202.542911633821</v>
      </c>
      <c r="N16" s="25" t="n">
        <f aca="false">N9*Supuestos!$D$33*Supuestos!$D$37*(1-Supuestos!$D$38)/(1+Supuestos!$D$7*Supuestos!$D$8)/Supuestos!$D$6</f>
        <v>202.542911633821</v>
      </c>
      <c r="O16" s="25" t="n">
        <f aca="false">O9*Supuestos!$D$33*Supuestos!$D$37*(1-Supuestos!$D$38)/(1+Supuestos!$D$7*Supuestos!$D$8)/Supuestos!$D$6</f>
        <v>202.542911633821</v>
      </c>
      <c r="P16" s="25" t="n">
        <f aca="false">P9*Supuestos!$D$33*Supuestos!$D$37*(1-Supuestos!$D$38)/(1+Supuestos!$D$7*Supuestos!$D$8)/Supuestos!$D$6</f>
        <v>202.542911633821</v>
      </c>
      <c r="Q16" s="25" t="n">
        <f aca="false">Q9*Supuestos!$D$33*Supuestos!$D$37*(1-Supuestos!$D$38)/(1+Supuestos!$D$7*Supuestos!$D$8)/Supuestos!$D$6</f>
        <v>202.542911633821</v>
      </c>
      <c r="R16" s="25" t="n">
        <f aca="false">R9*Supuestos!$D$33*Supuestos!$D$37*(1-Supuestos!$D$38)/(1+Supuestos!$D$7*Supuestos!$D$8)/Supuestos!$D$6</f>
        <v>202.542911633821</v>
      </c>
      <c r="S16" s="25" t="n">
        <f aca="false">S9*Supuestos!$D$33*Supuestos!$D$37*(1-Supuestos!$D$38)/(1+Supuestos!$D$7*Supuestos!$D$8)/Supuestos!$D$6</f>
        <v>202.542911633821</v>
      </c>
      <c r="T16" s="25" t="n">
        <f aca="false">T9*Supuestos!$D$33*Supuestos!$D$37*(1-Supuestos!$D$38)/(1+Supuestos!$D$7*Supuestos!$D$8)/Supuestos!$D$6</f>
        <v>202.542911633821</v>
      </c>
      <c r="U16" s="25" t="n">
        <f aca="false">U9*Supuestos!$D$33*Supuestos!$D$37*(1-Supuestos!$D$38)/(1+Supuestos!$D$7*Supuestos!$D$8)/Supuestos!$D$6</f>
        <v>202.542911633821</v>
      </c>
      <c r="V16" s="25" t="n">
        <f aca="false">V9*Supuestos!$D$33*Supuestos!$D$37*(1-Supuestos!$D$38)/(1+Supuestos!$D$7*Supuestos!$D$8)/Supuestos!$D$6</f>
        <v>202.542911633821</v>
      </c>
      <c r="W16" s="25" t="n">
        <f aca="false">W9*Supuestos!$D$33*Supuestos!$D$37*(1-Supuestos!$D$38)/(1+Supuestos!$D$7*Supuestos!$D$8)/Supuestos!$D$6</f>
        <v>202.542911633821</v>
      </c>
      <c r="X16" s="25" t="n">
        <f aca="false">X9*Supuestos!$D$33*Supuestos!$D$37*(1-Supuestos!$D$38)/(1+Supuestos!$D$7*Supuestos!$D$8)/Supuestos!$D$6</f>
        <v>202.542911633821</v>
      </c>
      <c r="Y16" s="25" t="n">
        <f aca="false">Y9*Supuestos!$D$33*Supuestos!$D$37*(1-Supuestos!$D$38)/(1+Supuestos!$D$7*Supuestos!$D$8)/Supuestos!$D$6</f>
        <v>202.542911633821</v>
      </c>
      <c r="Z16" s="25" t="n">
        <f aca="false">Z9*Supuestos!$D$33*Supuestos!$D$37*(1-Supuestos!$D$38)/(1+Supuestos!$D$7*Supuestos!$D$8)/Supuestos!$D$6</f>
        <v>202.542911633821</v>
      </c>
      <c r="AA16" s="25" t="n">
        <f aca="false">AA9*Supuestos!$D$33*Supuestos!$D$37*(1-Supuestos!$D$38)/(1+Supuestos!$D$7*Supuestos!$D$8)/Supuestos!$D$6</f>
        <v>202.542911633821</v>
      </c>
      <c r="AB16" s="25" t="n">
        <f aca="false">AB9*Supuestos!$D$33*Supuestos!$D$37*(1-Supuestos!$D$38)/(1+Supuestos!$D$7*Supuestos!$D$8)/Supuestos!$D$6</f>
        <v>202.542911633821</v>
      </c>
      <c r="AC16" s="25" t="n">
        <f aca="false">AC9*Supuestos!$D$33*Supuestos!$D$37*(1-Supuestos!$D$38)/(1+Supuestos!$D$7*Supuestos!$D$8)/Supuestos!$D$6</f>
        <v>202.542911633821</v>
      </c>
      <c r="AD16" s="25" t="n">
        <f aca="false">AD9*Supuestos!$D$33*Supuestos!$D$37*(1-Supuestos!$D$38)/(1+Supuestos!$D$7*Supuestos!$D$8)/Supuestos!$D$6</f>
        <v>202.542911633821</v>
      </c>
      <c r="AE16" s="25" t="n">
        <f aca="false">AE9*Supuestos!$D$33*Supuestos!$D$37*(1-Supuestos!$D$38)/(1+Supuestos!$D$7*Supuestos!$D$8)/Supuestos!$D$6</f>
        <v>202.542911633821</v>
      </c>
      <c r="AF16" s="25" t="n">
        <f aca="false">AF9*Supuestos!$D$33*Supuestos!$D$37*(1-Supuestos!$D$38)/(1+Supuestos!$D$7*Supuestos!$D$8)/Supuestos!$D$6</f>
        <v>202.542911633821</v>
      </c>
      <c r="AG16" s="25" t="n">
        <f aca="false">AG9*Supuestos!$D$33*Supuestos!$D$37*(1-Supuestos!$D$38)/(1+Supuestos!$D$7*Supuestos!$D$8)/Supuestos!$D$6</f>
        <v>202.542911633821</v>
      </c>
      <c r="AH16" s="25" t="n">
        <f aca="false">AH9*Supuestos!$D$33*Supuestos!$D$37*(1-Supuestos!$D$38)/(1+Supuestos!$D$7*Supuestos!$D$8)/Supuestos!$D$6</f>
        <v>202.542911633821</v>
      </c>
      <c r="AI16" s="25" t="n">
        <f aca="false">AI9*Supuestos!$D$33*Supuestos!$D$37*(1-Supuestos!$D$38)/(1+Supuestos!$D$7*Supuestos!$D$8)/Supuestos!$D$6</f>
        <v>202.542911633821</v>
      </c>
      <c r="AJ16" s="25" t="n">
        <f aca="false">AJ9*Supuestos!$D$33*Supuestos!$D$37*(1-Supuestos!$D$38)/(1+Supuestos!$D$7*Supuestos!$D$8)/Supuestos!$D$6</f>
        <v>202.542911633821</v>
      </c>
      <c r="AK16" s="25" t="n">
        <f aca="false">AK9*Supuestos!$D$33*Supuestos!$D$37*(1-Supuestos!$D$38)/(1+Supuestos!$D$7*Supuestos!$D$8)/Supuestos!$D$6</f>
        <v>202.542911633821</v>
      </c>
      <c r="AL16" s="25" t="n">
        <f aca="false">AL9*Supuestos!$D$33*Supuestos!$D$37*(1-Supuestos!$D$38)/(1+Supuestos!$D$7*Supuestos!$D$8)/Supuestos!$D$6</f>
        <v>202.542911633821</v>
      </c>
      <c r="AM16" s="25" t="n">
        <f aca="false">AM9*Supuestos!$D$33*Supuestos!$D$37*(1-Supuestos!$D$38)/(1+Supuestos!$D$7*Supuestos!$D$8)/Supuestos!$D$6</f>
        <v>202.542911633821</v>
      </c>
    </row>
    <row r="17" customFormat="false" ht="15" hidden="false" customHeight="false" outlineLevel="0" collapsed="false">
      <c r="B17" s="4" t="s">
        <v>400</v>
      </c>
      <c r="D17" s="25" t="n">
        <f aca="false">D10*Supuestos!$D$34*Supuestos!$D$37*(1-Supuestos!$D$38)/(1+Supuestos!$D$7*Supuestos!$D$8)/Supuestos!$D$6</f>
        <v>41.1951684678957</v>
      </c>
      <c r="E17" s="25" t="n">
        <f aca="false">E10*Supuestos!$D$34*Supuestos!$D$37*(1-Supuestos!$D$38)/(1+Supuestos!$D$7*Supuestos!$D$8)/Supuestos!$D$6</f>
        <v>82.3903369357915</v>
      </c>
      <c r="F17" s="25" t="n">
        <f aca="false">F10*Supuestos!$D$34*Supuestos!$D$37*(1-Supuestos!$D$38)/(1+Supuestos!$D$7*Supuestos!$D$8)/Supuestos!$D$6</f>
        <v>123.585505403687</v>
      </c>
      <c r="G17" s="25" t="n">
        <f aca="false">G10*Supuestos!$D$34*Supuestos!$D$37*(1-Supuestos!$D$38)/(1+Supuestos!$D$7*Supuestos!$D$8)/Supuestos!$D$6</f>
        <v>164.780673871583</v>
      </c>
      <c r="H17" s="25" t="n">
        <f aca="false">H10*Supuestos!$D$34*Supuestos!$D$37*(1-Supuestos!$D$38)/(1+Supuestos!$D$7*Supuestos!$D$8)/Supuestos!$D$6</f>
        <v>205.975842339479</v>
      </c>
      <c r="I17" s="25" t="n">
        <f aca="false">I10*Supuestos!$D$34*Supuestos!$D$37*(1-Supuestos!$D$38)/(1+Supuestos!$D$7*Supuestos!$D$8)/Supuestos!$D$6</f>
        <v>247.171010807374</v>
      </c>
      <c r="J17" s="25" t="n">
        <f aca="false">J10*Supuestos!$D$34*Supuestos!$D$37*(1-Supuestos!$D$38)/(1+Supuestos!$D$7*Supuestos!$D$8)/Supuestos!$D$6</f>
        <v>288.36617927527</v>
      </c>
      <c r="K17" s="25" t="n">
        <f aca="false">K10*Supuestos!$D$34*Supuestos!$D$37*(1-Supuestos!$D$38)/(1+Supuestos!$D$7*Supuestos!$D$8)/Supuestos!$D$6</f>
        <v>329.561347743166</v>
      </c>
      <c r="L17" s="25" t="n">
        <f aca="false">L10*Supuestos!$D$34*Supuestos!$D$37*(1-Supuestos!$D$38)/(1+Supuestos!$D$7*Supuestos!$D$8)/Supuestos!$D$6</f>
        <v>370.756516211062</v>
      </c>
      <c r="M17" s="25" t="n">
        <f aca="false">M10*Supuestos!$D$34*Supuestos!$D$37*(1-Supuestos!$D$38)/(1+Supuestos!$D$7*Supuestos!$D$8)/Supuestos!$D$6</f>
        <v>411.951684678957</v>
      </c>
      <c r="N17" s="25" t="n">
        <f aca="false">N10*Supuestos!$D$34*Supuestos!$D$37*(1-Supuestos!$D$38)/(1+Supuestos!$D$7*Supuestos!$D$8)/Supuestos!$D$6</f>
        <v>411.951684678957</v>
      </c>
      <c r="O17" s="25" t="n">
        <f aca="false">O10*Supuestos!$D$34*Supuestos!$D$37*(1-Supuestos!$D$38)/(1+Supuestos!$D$7*Supuestos!$D$8)/Supuestos!$D$6</f>
        <v>411.951684678957</v>
      </c>
      <c r="P17" s="25" t="n">
        <f aca="false">P10*Supuestos!$D$34*Supuestos!$D$37*(1-Supuestos!$D$38)/(1+Supuestos!$D$7*Supuestos!$D$8)/Supuestos!$D$6</f>
        <v>411.951684678957</v>
      </c>
      <c r="Q17" s="25" t="n">
        <f aca="false">Q10*Supuestos!$D$34*Supuestos!$D$37*(1-Supuestos!$D$38)/(1+Supuestos!$D$7*Supuestos!$D$8)/Supuestos!$D$6</f>
        <v>411.951684678957</v>
      </c>
      <c r="R17" s="25" t="n">
        <f aca="false">R10*Supuestos!$D$34*Supuestos!$D$37*(1-Supuestos!$D$38)/(1+Supuestos!$D$7*Supuestos!$D$8)/Supuestos!$D$6</f>
        <v>411.951684678957</v>
      </c>
      <c r="S17" s="25" t="n">
        <f aca="false">S10*Supuestos!$D$34*Supuestos!$D$37*(1-Supuestos!$D$38)/(1+Supuestos!$D$7*Supuestos!$D$8)/Supuestos!$D$6</f>
        <v>411.951684678957</v>
      </c>
      <c r="T17" s="25" t="n">
        <f aca="false">T10*Supuestos!$D$34*Supuestos!$D$37*(1-Supuestos!$D$38)/(1+Supuestos!$D$7*Supuestos!$D$8)/Supuestos!$D$6</f>
        <v>411.951684678957</v>
      </c>
      <c r="U17" s="25" t="n">
        <f aca="false">U10*Supuestos!$D$34*Supuestos!$D$37*(1-Supuestos!$D$38)/(1+Supuestos!$D$7*Supuestos!$D$8)/Supuestos!$D$6</f>
        <v>411.951684678957</v>
      </c>
      <c r="V17" s="25" t="n">
        <f aca="false">V10*Supuestos!$D$34*Supuestos!$D$37*(1-Supuestos!$D$38)/(1+Supuestos!$D$7*Supuestos!$D$8)/Supuestos!$D$6</f>
        <v>411.951684678957</v>
      </c>
      <c r="W17" s="25" t="n">
        <f aca="false">W10*Supuestos!$D$34*Supuestos!$D$37*(1-Supuestos!$D$38)/(1+Supuestos!$D$7*Supuestos!$D$8)/Supuestos!$D$6</f>
        <v>411.951684678957</v>
      </c>
      <c r="X17" s="25" t="n">
        <f aca="false">X10*Supuestos!$D$34*Supuestos!$D$37*(1-Supuestos!$D$38)/(1+Supuestos!$D$7*Supuestos!$D$8)/Supuestos!$D$6</f>
        <v>411.951684678957</v>
      </c>
      <c r="Y17" s="25" t="n">
        <f aca="false">Y10*Supuestos!$D$34*Supuestos!$D$37*(1-Supuestos!$D$38)/(1+Supuestos!$D$7*Supuestos!$D$8)/Supuestos!$D$6</f>
        <v>411.951684678957</v>
      </c>
      <c r="Z17" s="25" t="n">
        <f aca="false">Z10*Supuestos!$D$34*Supuestos!$D$37*(1-Supuestos!$D$38)/(1+Supuestos!$D$7*Supuestos!$D$8)/Supuestos!$D$6</f>
        <v>411.951684678957</v>
      </c>
      <c r="AA17" s="25" t="n">
        <f aca="false">AA10*Supuestos!$D$34*Supuestos!$D$37*(1-Supuestos!$D$38)/(1+Supuestos!$D$7*Supuestos!$D$8)/Supuestos!$D$6</f>
        <v>411.951684678957</v>
      </c>
      <c r="AB17" s="25" t="n">
        <f aca="false">AB10*Supuestos!$D$34*Supuestos!$D$37*(1-Supuestos!$D$38)/(1+Supuestos!$D$7*Supuestos!$D$8)/Supuestos!$D$6</f>
        <v>411.951684678957</v>
      </c>
      <c r="AC17" s="25" t="n">
        <f aca="false">AC10*Supuestos!$D$34*Supuestos!$D$37*(1-Supuestos!$D$38)/(1+Supuestos!$D$7*Supuestos!$D$8)/Supuestos!$D$6</f>
        <v>411.951684678957</v>
      </c>
      <c r="AD17" s="25" t="n">
        <f aca="false">AD10*Supuestos!$D$34*Supuestos!$D$37*(1-Supuestos!$D$38)/(1+Supuestos!$D$7*Supuestos!$D$8)/Supuestos!$D$6</f>
        <v>411.951684678957</v>
      </c>
      <c r="AE17" s="25" t="n">
        <f aca="false">AE10*Supuestos!$D$34*Supuestos!$D$37*(1-Supuestos!$D$38)/(1+Supuestos!$D$7*Supuestos!$D$8)/Supuestos!$D$6</f>
        <v>411.951684678957</v>
      </c>
      <c r="AF17" s="25" t="n">
        <f aca="false">AF10*Supuestos!$D$34*Supuestos!$D$37*(1-Supuestos!$D$38)/(1+Supuestos!$D$7*Supuestos!$D$8)/Supuestos!$D$6</f>
        <v>411.951684678957</v>
      </c>
      <c r="AG17" s="25" t="n">
        <f aca="false">AG10*Supuestos!$D$34*Supuestos!$D$37*(1-Supuestos!$D$38)/(1+Supuestos!$D$7*Supuestos!$D$8)/Supuestos!$D$6</f>
        <v>411.951684678957</v>
      </c>
      <c r="AH17" s="25" t="n">
        <f aca="false">AH10*Supuestos!$D$34*Supuestos!$D$37*(1-Supuestos!$D$38)/(1+Supuestos!$D$7*Supuestos!$D$8)/Supuestos!$D$6</f>
        <v>411.951684678957</v>
      </c>
      <c r="AI17" s="25" t="n">
        <f aca="false">AI10*Supuestos!$D$34*Supuestos!$D$37*(1-Supuestos!$D$38)/(1+Supuestos!$D$7*Supuestos!$D$8)/Supuestos!$D$6</f>
        <v>411.951684678957</v>
      </c>
      <c r="AJ17" s="25" t="n">
        <f aca="false">AJ10*Supuestos!$D$34*Supuestos!$D$37*(1-Supuestos!$D$38)/(1+Supuestos!$D$7*Supuestos!$D$8)/Supuestos!$D$6</f>
        <v>411.951684678957</v>
      </c>
      <c r="AK17" s="25" t="n">
        <f aca="false">AK10*Supuestos!$D$34*Supuestos!$D$37*(1-Supuestos!$D$38)/(1+Supuestos!$D$7*Supuestos!$D$8)/Supuestos!$D$6</f>
        <v>411.951684678957</v>
      </c>
      <c r="AL17" s="25" t="n">
        <f aca="false">AL10*Supuestos!$D$34*Supuestos!$D$37*(1-Supuestos!$D$38)/(1+Supuestos!$D$7*Supuestos!$D$8)/Supuestos!$D$6</f>
        <v>411.951684678957</v>
      </c>
      <c r="AM17" s="25" t="n">
        <f aca="false">AM10*Supuestos!$D$34*Supuestos!$D$37*(1-Supuestos!$D$38)/(1+Supuestos!$D$7*Supuestos!$D$8)/Supuestos!$D$6</f>
        <v>411.951684678957</v>
      </c>
    </row>
    <row r="18" customFormat="false" ht="15" hidden="false" customHeight="false" outlineLevel="0" collapsed="false">
      <c r="B18" s="4" t="s">
        <v>401</v>
      </c>
      <c r="D18" s="25" t="n">
        <f aca="false">Supuestos!$D$39*MIN(1,D$3/Supuestos!$D$42)*Supuestos!$D$35*Supuestos!$D$37/(1+Supuestos!$D$7*Supuestos!$D$8)/Supuestos!$D$6</f>
        <v>10.886840432295</v>
      </c>
      <c r="E18" s="25" t="n">
        <f aca="false">Supuestos!$D$39*MIN(1,E$3/Supuestos!$D$42)*Supuestos!$D$35*Supuestos!$D$37/(1+Supuestos!$D$7*Supuestos!$D$8)/Supuestos!$D$6</f>
        <v>21.77368086459</v>
      </c>
      <c r="F18" s="25" t="n">
        <f aca="false">Supuestos!$D$39*MIN(1,F$3/Supuestos!$D$42)*Supuestos!$D$35*Supuestos!$D$37/(1+Supuestos!$D$7*Supuestos!$D$8)/Supuestos!$D$6</f>
        <v>32.6605212968849</v>
      </c>
      <c r="G18" s="25" t="n">
        <f aca="false">Supuestos!$D$39*MIN(1,G$3/Supuestos!$D$42)*Supuestos!$D$35*Supuestos!$D$37/(1+Supuestos!$D$7*Supuestos!$D$8)/Supuestos!$D$6</f>
        <v>43.5473617291799</v>
      </c>
      <c r="H18" s="25" t="n">
        <f aca="false">Supuestos!$D$39*MIN(1,H$3/Supuestos!$D$42)*Supuestos!$D$35*Supuestos!$D$37/(1+Supuestos!$D$7*Supuestos!$D$8)/Supuestos!$D$6</f>
        <v>54.4342021614749</v>
      </c>
      <c r="I18" s="25" t="n">
        <f aca="false">Supuestos!$D$39*MIN(1,I$3/Supuestos!$D$42)*Supuestos!$D$35*Supuestos!$D$37/(1+Supuestos!$D$7*Supuestos!$D$8)/Supuestos!$D$6</f>
        <v>65.3210425937699</v>
      </c>
      <c r="J18" s="25" t="n">
        <f aca="false">Supuestos!$D$39*MIN(1,J$3/Supuestos!$D$42)*Supuestos!$D$35*Supuestos!$D$37/(1+Supuestos!$D$7*Supuestos!$D$8)/Supuestos!$D$6</f>
        <v>76.2078830260649</v>
      </c>
      <c r="K18" s="25" t="n">
        <f aca="false">Supuestos!$D$39*MIN(1,K$3/Supuestos!$D$42)*Supuestos!$D$35*Supuestos!$D$37/(1+Supuestos!$D$7*Supuestos!$D$8)/Supuestos!$D$6</f>
        <v>87.0947234583598</v>
      </c>
      <c r="L18" s="25" t="n">
        <f aca="false">Supuestos!$D$39*MIN(1,L$3/Supuestos!$D$42)*Supuestos!$D$35*Supuestos!$D$37/(1+Supuestos!$D$7*Supuestos!$D$8)/Supuestos!$D$6</f>
        <v>97.9815638906548</v>
      </c>
      <c r="M18" s="25" t="n">
        <f aca="false">Supuestos!$D$39*MIN(1,M$3/Supuestos!$D$42)*Supuestos!$D$35*Supuestos!$D$37/(1+Supuestos!$D$7*Supuestos!$D$8)/Supuestos!$D$6</f>
        <v>108.86840432295</v>
      </c>
      <c r="N18" s="25" t="n">
        <f aca="false">Supuestos!$D$39*MIN(1,N$3/Supuestos!$D$42)*Supuestos!$D$35*Supuestos!$D$37/(1+Supuestos!$D$7*Supuestos!$D$8)/Supuestos!$D$6</f>
        <v>119.755244755245</v>
      </c>
      <c r="O18" s="25" t="n">
        <f aca="false">Supuestos!$D$39*MIN(1,O$3/Supuestos!$D$42)*Supuestos!$D$35*Supuestos!$D$37/(1+Supuestos!$D$7*Supuestos!$D$8)/Supuestos!$D$6</f>
        <v>130.64208518754</v>
      </c>
      <c r="P18" s="25" t="n">
        <f aca="false">Supuestos!$D$39*MIN(1,P$3/Supuestos!$D$42)*Supuestos!$D$35*Supuestos!$D$37/(1+Supuestos!$D$7*Supuestos!$D$8)/Supuestos!$D$6</f>
        <v>130.64208518754</v>
      </c>
      <c r="Q18" s="25" t="n">
        <f aca="false">Supuestos!$D$39*MIN(1,Q$3/Supuestos!$D$42)*Supuestos!$D$35*Supuestos!$D$37/(1+Supuestos!$D$7*Supuestos!$D$8)/Supuestos!$D$6</f>
        <v>130.64208518754</v>
      </c>
      <c r="R18" s="25" t="n">
        <f aca="false">Supuestos!$D$39*MIN(1,R$3/Supuestos!$D$42)*Supuestos!$D$35*Supuestos!$D$37/(1+Supuestos!$D$7*Supuestos!$D$8)/Supuestos!$D$6</f>
        <v>130.64208518754</v>
      </c>
      <c r="S18" s="25" t="n">
        <f aca="false">Supuestos!$D$39*MIN(1,S$3/Supuestos!$D$42)*Supuestos!$D$35*Supuestos!$D$37/(1+Supuestos!$D$7*Supuestos!$D$8)/Supuestos!$D$6</f>
        <v>130.64208518754</v>
      </c>
      <c r="T18" s="25" t="n">
        <f aca="false">Supuestos!$D$39*MIN(1,T$3/Supuestos!$D$42)*Supuestos!$D$35*Supuestos!$D$37/(1+Supuestos!$D$7*Supuestos!$D$8)/Supuestos!$D$6</f>
        <v>130.64208518754</v>
      </c>
      <c r="U18" s="25" t="n">
        <f aca="false">Supuestos!$D$39*MIN(1,U$3/Supuestos!$D$42)*Supuestos!$D$35*Supuestos!$D$37/(1+Supuestos!$D$7*Supuestos!$D$8)/Supuestos!$D$6</f>
        <v>130.64208518754</v>
      </c>
      <c r="V18" s="25" t="n">
        <f aca="false">Supuestos!$D$39*MIN(1,V$3/Supuestos!$D$42)*Supuestos!$D$35*Supuestos!$D$37/(1+Supuestos!$D$7*Supuestos!$D$8)/Supuestos!$D$6</f>
        <v>130.64208518754</v>
      </c>
      <c r="W18" s="25" t="n">
        <f aca="false">Supuestos!$D$39*MIN(1,W$3/Supuestos!$D$42)*Supuestos!$D$35*Supuestos!$D$37/(1+Supuestos!$D$7*Supuestos!$D$8)/Supuestos!$D$6</f>
        <v>130.64208518754</v>
      </c>
      <c r="X18" s="25" t="n">
        <f aca="false">Supuestos!$D$39*MIN(1,X$3/Supuestos!$D$42)*Supuestos!$D$35*Supuestos!$D$37/(1+Supuestos!$D$7*Supuestos!$D$8)/Supuestos!$D$6</f>
        <v>130.64208518754</v>
      </c>
      <c r="Y18" s="25" t="n">
        <f aca="false">Supuestos!$D$39*MIN(1,Y$3/Supuestos!$D$42)*Supuestos!$D$35*Supuestos!$D$37/(1+Supuestos!$D$7*Supuestos!$D$8)/Supuestos!$D$6</f>
        <v>130.64208518754</v>
      </c>
      <c r="Z18" s="25" t="n">
        <f aca="false">Supuestos!$D$39*MIN(1,Z$3/Supuestos!$D$42)*Supuestos!$D$35*Supuestos!$D$37/(1+Supuestos!$D$7*Supuestos!$D$8)/Supuestos!$D$6</f>
        <v>130.64208518754</v>
      </c>
      <c r="AA18" s="25" t="n">
        <f aca="false">Supuestos!$D$39*MIN(1,AA$3/Supuestos!$D$42)*Supuestos!$D$35*Supuestos!$D$37/(1+Supuestos!$D$7*Supuestos!$D$8)/Supuestos!$D$6</f>
        <v>130.64208518754</v>
      </c>
      <c r="AB18" s="25" t="n">
        <f aca="false">Supuestos!$D$39*MIN(1,AB$3/Supuestos!$D$42)*Supuestos!$D$35*Supuestos!$D$37/(1+Supuestos!$D$7*Supuestos!$D$8)/Supuestos!$D$6</f>
        <v>130.64208518754</v>
      </c>
      <c r="AC18" s="25" t="n">
        <f aca="false">Supuestos!$D$39*MIN(1,AC$3/Supuestos!$D$42)*Supuestos!$D$35*Supuestos!$D$37/(1+Supuestos!$D$7*Supuestos!$D$8)/Supuestos!$D$6</f>
        <v>130.64208518754</v>
      </c>
      <c r="AD18" s="25" t="n">
        <f aca="false">Supuestos!$D$39*MIN(1,AD$3/Supuestos!$D$42)*Supuestos!$D$35*Supuestos!$D$37/(1+Supuestos!$D$7*Supuestos!$D$8)/Supuestos!$D$6</f>
        <v>130.64208518754</v>
      </c>
      <c r="AE18" s="25" t="n">
        <f aca="false">Supuestos!$D$39*MIN(1,AE$3/Supuestos!$D$42)*Supuestos!$D$35*Supuestos!$D$37/(1+Supuestos!$D$7*Supuestos!$D$8)/Supuestos!$D$6</f>
        <v>130.64208518754</v>
      </c>
      <c r="AF18" s="25" t="n">
        <f aca="false">Supuestos!$D$39*MIN(1,AF$3/Supuestos!$D$42)*Supuestos!$D$35*Supuestos!$D$37/(1+Supuestos!$D$7*Supuestos!$D$8)/Supuestos!$D$6</f>
        <v>130.64208518754</v>
      </c>
      <c r="AG18" s="25" t="n">
        <f aca="false">Supuestos!$D$39*MIN(1,AG$3/Supuestos!$D$42)*Supuestos!$D$35*Supuestos!$D$37/(1+Supuestos!$D$7*Supuestos!$D$8)/Supuestos!$D$6</f>
        <v>130.64208518754</v>
      </c>
      <c r="AH18" s="25" t="n">
        <f aca="false">Supuestos!$D$39*MIN(1,AH$3/Supuestos!$D$42)*Supuestos!$D$35*Supuestos!$D$37/(1+Supuestos!$D$7*Supuestos!$D$8)/Supuestos!$D$6</f>
        <v>130.64208518754</v>
      </c>
      <c r="AI18" s="25" t="n">
        <f aca="false">Supuestos!$D$39*MIN(1,AI$3/Supuestos!$D$42)*Supuestos!$D$35*Supuestos!$D$37/(1+Supuestos!$D$7*Supuestos!$D$8)/Supuestos!$D$6</f>
        <v>130.64208518754</v>
      </c>
      <c r="AJ18" s="25" t="n">
        <f aca="false">Supuestos!$D$39*MIN(1,AJ$3/Supuestos!$D$42)*Supuestos!$D$35*Supuestos!$D$37/(1+Supuestos!$D$7*Supuestos!$D$8)/Supuestos!$D$6</f>
        <v>130.64208518754</v>
      </c>
      <c r="AK18" s="25" t="n">
        <f aca="false">Supuestos!$D$39*MIN(1,AK$3/Supuestos!$D$42)*Supuestos!$D$35*Supuestos!$D$37/(1+Supuestos!$D$7*Supuestos!$D$8)/Supuestos!$D$6</f>
        <v>130.64208518754</v>
      </c>
      <c r="AL18" s="25" t="n">
        <f aca="false">Supuestos!$D$39*MIN(1,AL$3/Supuestos!$D$42)*Supuestos!$D$35*Supuestos!$D$37/(1+Supuestos!$D$7*Supuestos!$D$8)/Supuestos!$D$6</f>
        <v>130.64208518754</v>
      </c>
      <c r="AM18" s="25" t="n">
        <f aca="false">Supuestos!$D$39*MIN(1,AM$3/Supuestos!$D$42)*Supuestos!$D$35*Supuestos!$D$37/(1+Supuestos!$D$7*Supuestos!$D$8)/Supuestos!$D$6</f>
        <v>130.64208518754</v>
      </c>
    </row>
    <row r="19" customFormat="false" ht="15" hidden="false" customHeight="false" outlineLevel="0" collapsed="false">
      <c r="B19" s="4" t="s">
        <v>402</v>
      </c>
      <c r="D19" s="25" t="n">
        <f aca="false">Supuestos!$D$40*MIN(1,D$3/Supuestos!$D$42)*Supuestos!$D$36*Supuestos!$D$37/(1+Supuestos!$D$7*Supuestos!$D$8)/Supuestos!$D$6</f>
        <v>5.16528925619835</v>
      </c>
      <c r="E19" s="25" t="n">
        <f aca="false">Supuestos!$D$40*MIN(1,E$3/Supuestos!$D$42)*Supuestos!$D$36*Supuestos!$D$37/(1+Supuestos!$D$7*Supuestos!$D$8)/Supuestos!$D$6</f>
        <v>10.3305785123967</v>
      </c>
      <c r="F19" s="25" t="n">
        <f aca="false">Supuestos!$D$40*MIN(1,F$3/Supuestos!$D$42)*Supuestos!$D$36*Supuestos!$D$37/(1+Supuestos!$D$7*Supuestos!$D$8)/Supuestos!$D$6</f>
        <v>15.495867768595</v>
      </c>
      <c r="G19" s="25" t="n">
        <f aca="false">Supuestos!$D$40*MIN(1,G$3/Supuestos!$D$42)*Supuestos!$D$36*Supuestos!$D$37/(1+Supuestos!$D$7*Supuestos!$D$8)/Supuestos!$D$6</f>
        <v>20.6611570247934</v>
      </c>
      <c r="H19" s="25" t="n">
        <f aca="false">Supuestos!$D$40*MIN(1,H$3/Supuestos!$D$42)*Supuestos!$D$36*Supuestos!$D$37/(1+Supuestos!$D$7*Supuestos!$D$8)/Supuestos!$D$6</f>
        <v>25.8264462809917</v>
      </c>
      <c r="I19" s="25" t="n">
        <f aca="false">Supuestos!$D$40*MIN(1,I$3/Supuestos!$D$42)*Supuestos!$D$36*Supuestos!$D$37/(1+Supuestos!$D$7*Supuestos!$D$8)/Supuestos!$D$6</f>
        <v>30.9917355371901</v>
      </c>
      <c r="J19" s="25" t="n">
        <f aca="false">Supuestos!$D$40*MIN(1,J$3/Supuestos!$D$42)*Supuestos!$D$36*Supuestos!$D$37/(1+Supuestos!$D$7*Supuestos!$D$8)/Supuestos!$D$6</f>
        <v>36.1570247933884</v>
      </c>
      <c r="K19" s="25" t="n">
        <f aca="false">Supuestos!$D$40*MIN(1,K$3/Supuestos!$D$42)*Supuestos!$D$36*Supuestos!$D$37/(1+Supuestos!$D$7*Supuestos!$D$8)/Supuestos!$D$6</f>
        <v>41.3223140495868</v>
      </c>
      <c r="L19" s="25" t="n">
        <f aca="false">Supuestos!$D$40*MIN(1,L$3/Supuestos!$D$42)*Supuestos!$D$36*Supuestos!$D$37/(1+Supuestos!$D$7*Supuestos!$D$8)/Supuestos!$D$6</f>
        <v>46.4876033057851</v>
      </c>
      <c r="M19" s="25" t="n">
        <f aca="false">Supuestos!$D$40*MIN(1,M$3/Supuestos!$D$42)*Supuestos!$D$36*Supuestos!$D$37/(1+Supuestos!$D$7*Supuestos!$D$8)/Supuestos!$D$6</f>
        <v>51.6528925619835</v>
      </c>
      <c r="N19" s="25" t="n">
        <f aca="false">Supuestos!$D$40*MIN(1,N$3/Supuestos!$D$42)*Supuestos!$D$36*Supuestos!$D$37/(1+Supuestos!$D$7*Supuestos!$D$8)/Supuestos!$D$6</f>
        <v>56.8181818181818</v>
      </c>
      <c r="O19" s="25" t="n">
        <f aca="false">Supuestos!$D$40*MIN(1,O$3/Supuestos!$D$42)*Supuestos!$D$36*Supuestos!$D$37/(1+Supuestos!$D$7*Supuestos!$D$8)/Supuestos!$D$6</f>
        <v>61.9834710743802</v>
      </c>
      <c r="P19" s="25" t="n">
        <f aca="false">Supuestos!$D$40*MIN(1,P$3/Supuestos!$D$42)*Supuestos!$D$36*Supuestos!$D$37/(1+Supuestos!$D$7*Supuestos!$D$8)/Supuestos!$D$6</f>
        <v>61.9834710743802</v>
      </c>
      <c r="Q19" s="25" t="n">
        <f aca="false">Supuestos!$D$40*MIN(1,Q$3/Supuestos!$D$42)*Supuestos!$D$36*Supuestos!$D$37/(1+Supuestos!$D$7*Supuestos!$D$8)/Supuestos!$D$6</f>
        <v>61.9834710743802</v>
      </c>
      <c r="R19" s="25" t="n">
        <f aca="false">Supuestos!$D$40*MIN(1,R$3/Supuestos!$D$42)*Supuestos!$D$36*Supuestos!$D$37/(1+Supuestos!$D$7*Supuestos!$D$8)/Supuestos!$D$6</f>
        <v>61.9834710743802</v>
      </c>
      <c r="S19" s="25" t="n">
        <f aca="false">Supuestos!$D$40*MIN(1,S$3/Supuestos!$D$42)*Supuestos!$D$36*Supuestos!$D$37/(1+Supuestos!$D$7*Supuestos!$D$8)/Supuestos!$D$6</f>
        <v>61.9834710743802</v>
      </c>
      <c r="T19" s="25" t="n">
        <f aca="false">Supuestos!$D$40*MIN(1,T$3/Supuestos!$D$42)*Supuestos!$D$36*Supuestos!$D$37/(1+Supuestos!$D$7*Supuestos!$D$8)/Supuestos!$D$6</f>
        <v>61.9834710743802</v>
      </c>
      <c r="U19" s="25" t="n">
        <f aca="false">Supuestos!$D$40*MIN(1,U$3/Supuestos!$D$42)*Supuestos!$D$36*Supuestos!$D$37/(1+Supuestos!$D$7*Supuestos!$D$8)/Supuestos!$D$6</f>
        <v>61.9834710743802</v>
      </c>
      <c r="V19" s="25" t="n">
        <f aca="false">Supuestos!$D$40*MIN(1,V$3/Supuestos!$D$42)*Supuestos!$D$36*Supuestos!$D$37/(1+Supuestos!$D$7*Supuestos!$D$8)/Supuestos!$D$6</f>
        <v>61.9834710743802</v>
      </c>
      <c r="W19" s="25" t="n">
        <f aca="false">Supuestos!$D$40*MIN(1,W$3/Supuestos!$D$42)*Supuestos!$D$36*Supuestos!$D$37/(1+Supuestos!$D$7*Supuestos!$D$8)/Supuestos!$D$6</f>
        <v>61.9834710743802</v>
      </c>
      <c r="X19" s="25" t="n">
        <f aca="false">Supuestos!$D$40*MIN(1,X$3/Supuestos!$D$42)*Supuestos!$D$36*Supuestos!$D$37/(1+Supuestos!$D$7*Supuestos!$D$8)/Supuestos!$D$6</f>
        <v>61.9834710743802</v>
      </c>
      <c r="Y19" s="25" t="n">
        <f aca="false">Supuestos!$D$40*MIN(1,Y$3/Supuestos!$D$42)*Supuestos!$D$36*Supuestos!$D$37/(1+Supuestos!$D$7*Supuestos!$D$8)/Supuestos!$D$6</f>
        <v>61.9834710743802</v>
      </c>
      <c r="Z19" s="25" t="n">
        <f aca="false">Supuestos!$D$40*MIN(1,Z$3/Supuestos!$D$42)*Supuestos!$D$36*Supuestos!$D$37/(1+Supuestos!$D$7*Supuestos!$D$8)/Supuestos!$D$6</f>
        <v>61.9834710743802</v>
      </c>
      <c r="AA19" s="25" t="n">
        <f aca="false">Supuestos!$D$40*MIN(1,AA$3/Supuestos!$D$42)*Supuestos!$D$36*Supuestos!$D$37/(1+Supuestos!$D$7*Supuestos!$D$8)/Supuestos!$D$6</f>
        <v>61.9834710743802</v>
      </c>
      <c r="AB19" s="25" t="n">
        <f aca="false">Supuestos!$D$40*MIN(1,AB$3/Supuestos!$D$42)*Supuestos!$D$36*Supuestos!$D$37/(1+Supuestos!$D$7*Supuestos!$D$8)/Supuestos!$D$6</f>
        <v>61.9834710743802</v>
      </c>
      <c r="AC19" s="25" t="n">
        <f aca="false">Supuestos!$D$40*MIN(1,AC$3/Supuestos!$D$42)*Supuestos!$D$36*Supuestos!$D$37/(1+Supuestos!$D$7*Supuestos!$D$8)/Supuestos!$D$6</f>
        <v>61.9834710743802</v>
      </c>
      <c r="AD19" s="25" t="n">
        <f aca="false">Supuestos!$D$40*MIN(1,AD$3/Supuestos!$D$42)*Supuestos!$D$36*Supuestos!$D$37/(1+Supuestos!$D$7*Supuestos!$D$8)/Supuestos!$D$6</f>
        <v>61.9834710743802</v>
      </c>
      <c r="AE19" s="25" t="n">
        <f aca="false">Supuestos!$D$40*MIN(1,AE$3/Supuestos!$D$42)*Supuestos!$D$36*Supuestos!$D$37/(1+Supuestos!$D$7*Supuestos!$D$8)/Supuestos!$D$6</f>
        <v>61.9834710743802</v>
      </c>
      <c r="AF19" s="25" t="n">
        <f aca="false">Supuestos!$D$40*MIN(1,AF$3/Supuestos!$D$42)*Supuestos!$D$36*Supuestos!$D$37/(1+Supuestos!$D$7*Supuestos!$D$8)/Supuestos!$D$6</f>
        <v>61.9834710743802</v>
      </c>
      <c r="AG19" s="25" t="n">
        <f aca="false">Supuestos!$D$40*MIN(1,AG$3/Supuestos!$D$42)*Supuestos!$D$36*Supuestos!$D$37/(1+Supuestos!$D$7*Supuestos!$D$8)/Supuestos!$D$6</f>
        <v>61.9834710743802</v>
      </c>
      <c r="AH19" s="25" t="n">
        <f aca="false">Supuestos!$D$40*MIN(1,AH$3/Supuestos!$D$42)*Supuestos!$D$36*Supuestos!$D$37/(1+Supuestos!$D$7*Supuestos!$D$8)/Supuestos!$D$6</f>
        <v>61.9834710743802</v>
      </c>
      <c r="AI19" s="25" t="n">
        <f aca="false">Supuestos!$D$40*MIN(1,AI$3/Supuestos!$D$42)*Supuestos!$D$36*Supuestos!$D$37/(1+Supuestos!$D$7*Supuestos!$D$8)/Supuestos!$D$6</f>
        <v>61.9834710743802</v>
      </c>
      <c r="AJ19" s="25" t="n">
        <f aca="false">Supuestos!$D$40*MIN(1,AJ$3/Supuestos!$D$42)*Supuestos!$D$36*Supuestos!$D$37/(1+Supuestos!$D$7*Supuestos!$D$8)/Supuestos!$D$6</f>
        <v>61.9834710743802</v>
      </c>
      <c r="AK19" s="25" t="n">
        <f aca="false">Supuestos!$D$40*MIN(1,AK$3/Supuestos!$D$42)*Supuestos!$D$36*Supuestos!$D$37/(1+Supuestos!$D$7*Supuestos!$D$8)/Supuestos!$D$6</f>
        <v>61.9834710743802</v>
      </c>
      <c r="AL19" s="25" t="n">
        <f aca="false">Supuestos!$D$40*MIN(1,AL$3/Supuestos!$D$42)*Supuestos!$D$36*Supuestos!$D$37/(1+Supuestos!$D$7*Supuestos!$D$8)/Supuestos!$D$6</f>
        <v>61.9834710743802</v>
      </c>
      <c r="AM19" s="25" t="n">
        <f aca="false">Supuestos!$D$40*MIN(1,AM$3/Supuestos!$D$42)*Supuestos!$D$36*Supuestos!$D$37/(1+Supuestos!$D$7*Supuestos!$D$8)/Supuestos!$D$6</f>
        <v>61.9834710743802</v>
      </c>
    </row>
    <row r="20" customFormat="false" ht="15" hidden="false" customHeight="false" outlineLevel="0" collapsed="false">
      <c r="B20" s="4" t="s">
        <v>403</v>
      </c>
      <c r="D20" s="25" t="n">
        <f aca="false">Supuestos!$D$41*MIN(1,D$3/Supuestos!$D$42)</f>
        <v>0</v>
      </c>
      <c r="E20" s="25" t="n">
        <f aca="false">Supuestos!$D$41*MIN(1,E$3/Supuestos!$D$42)</f>
        <v>0</v>
      </c>
      <c r="F20" s="25" t="n">
        <f aca="false">Supuestos!$D$41*MIN(1,F$3/Supuestos!$D$42)</f>
        <v>0</v>
      </c>
      <c r="G20" s="25" t="n">
        <f aca="false">Supuestos!$D$41*MIN(1,G$3/Supuestos!$D$42)</f>
        <v>0</v>
      </c>
      <c r="H20" s="25" t="n">
        <f aca="false">Supuestos!$D$41*MIN(1,H$3/Supuestos!$D$42)</f>
        <v>0</v>
      </c>
      <c r="I20" s="25" t="n">
        <f aca="false">Supuestos!$D$41*MIN(1,I$3/Supuestos!$D$42)</f>
        <v>0</v>
      </c>
      <c r="J20" s="25" t="n">
        <f aca="false">Supuestos!$D$41*MIN(1,J$3/Supuestos!$D$42)</f>
        <v>0</v>
      </c>
      <c r="K20" s="25" t="n">
        <f aca="false">Supuestos!$D$41*MIN(1,K$3/Supuestos!$D$42)</f>
        <v>0</v>
      </c>
      <c r="L20" s="25" t="n">
        <f aca="false">Supuestos!$D$41*MIN(1,L$3/Supuestos!$D$42)</f>
        <v>0</v>
      </c>
      <c r="M20" s="25" t="n">
        <f aca="false">Supuestos!$D$41*MIN(1,M$3/Supuestos!$D$42)</f>
        <v>0</v>
      </c>
      <c r="N20" s="25" t="n">
        <f aca="false">Supuestos!$D$41*MIN(1,N$3/Supuestos!$D$42)</f>
        <v>0</v>
      </c>
      <c r="O20" s="25" t="n">
        <f aca="false">Supuestos!$D$41*MIN(1,O$3/Supuestos!$D$42)</f>
        <v>0</v>
      </c>
      <c r="P20" s="25" t="n">
        <f aca="false">Supuestos!$D$41*MIN(1,P$3/Supuestos!$D$42)</f>
        <v>0</v>
      </c>
      <c r="Q20" s="25" t="n">
        <f aca="false">Supuestos!$D$41*MIN(1,Q$3/Supuestos!$D$42)</f>
        <v>0</v>
      </c>
      <c r="R20" s="25" t="n">
        <f aca="false">Supuestos!$D$41*MIN(1,R$3/Supuestos!$D$42)</f>
        <v>0</v>
      </c>
      <c r="S20" s="25" t="n">
        <f aca="false">Supuestos!$D$41*MIN(1,S$3/Supuestos!$D$42)</f>
        <v>0</v>
      </c>
      <c r="T20" s="25" t="n">
        <f aca="false">Supuestos!$D$41*MIN(1,T$3/Supuestos!$D$42)</f>
        <v>0</v>
      </c>
      <c r="U20" s="25" t="n">
        <f aca="false">Supuestos!$D$41*MIN(1,U$3/Supuestos!$D$42)</f>
        <v>0</v>
      </c>
      <c r="V20" s="25" t="n">
        <f aca="false">Supuestos!$D$41*MIN(1,V$3/Supuestos!$D$42)</f>
        <v>0</v>
      </c>
      <c r="W20" s="25" t="n">
        <f aca="false">Supuestos!$D$41*MIN(1,W$3/Supuestos!$D$42)</f>
        <v>0</v>
      </c>
      <c r="X20" s="25" t="n">
        <f aca="false">Supuestos!$D$41*MIN(1,X$3/Supuestos!$D$42)</f>
        <v>0</v>
      </c>
      <c r="Y20" s="25" t="n">
        <f aca="false">Supuestos!$D$41*MIN(1,Y$3/Supuestos!$D$42)</f>
        <v>0</v>
      </c>
      <c r="Z20" s="25" t="n">
        <f aca="false">Supuestos!$D$41*MIN(1,Z$3/Supuestos!$D$42)</f>
        <v>0</v>
      </c>
      <c r="AA20" s="25" t="n">
        <f aca="false">Supuestos!$D$41*MIN(1,AA$3/Supuestos!$D$42)</f>
        <v>0</v>
      </c>
      <c r="AB20" s="25" t="n">
        <f aca="false">Supuestos!$D$41*MIN(1,AB$3/Supuestos!$D$42)</f>
        <v>0</v>
      </c>
      <c r="AC20" s="25" t="n">
        <f aca="false">Supuestos!$D$41*MIN(1,AC$3/Supuestos!$D$42)</f>
        <v>0</v>
      </c>
      <c r="AD20" s="25" t="n">
        <f aca="false">Supuestos!$D$41*MIN(1,AD$3/Supuestos!$D$42)</f>
        <v>0</v>
      </c>
      <c r="AE20" s="25" t="n">
        <f aca="false">Supuestos!$D$41*MIN(1,AE$3/Supuestos!$D$42)</f>
        <v>0</v>
      </c>
      <c r="AF20" s="25" t="n">
        <f aca="false">Supuestos!$D$41*MIN(1,AF$3/Supuestos!$D$42)</f>
        <v>0</v>
      </c>
      <c r="AG20" s="25" t="n">
        <f aca="false">Supuestos!$D$41*MIN(1,AG$3/Supuestos!$D$42)</f>
        <v>0</v>
      </c>
      <c r="AH20" s="25" t="n">
        <f aca="false">Supuestos!$D$41*MIN(1,AH$3/Supuestos!$D$42)</f>
        <v>0</v>
      </c>
      <c r="AI20" s="25" t="n">
        <f aca="false">Supuestos!$D$41*MIN(1,AI$3/Supuestos!$D$42)</f>
        <v>0</v>
      </c>
      <c r="AJ20" s="25" t="n">
        <f aca="false">Supuestos!$D$41*MIN(1,AJ$3/Supuestos!$D$42)</f>
        <v>0</v>
      </c>
      <c r="AK20" s="25" t="n">
        <f aca="false">Supuestos!$D$41*MIN(1,AK$3/Supuestos!$D$42)</f>
        <v>0</v>
      </c>
      <c r="AL20" s="25" t="n">
        <f aca="false">Supuestos!$D$41*MIN(1,AL$3/Supuestos!$D$42)</f>
        <v>0</v>
      </c>
      <c r="AM20" s="25" t="n">
        <f aca="false">Supuestos!$D$41*MIN(1,AM$3/Supuestos!$D$42)</f>
        <v>0</v>
      </c>
    </row>
    <row r="21" customFormat="false" ht="15" hidden="false" customHeight="false" outlineLevel="0" collapsed="false">
      <c r="B21" s="11" t="s">
        <v>404</v>
      </c>
      <c r="D21" s="25" t="n">
        <f aca="false">SUM(D15:D20)</f>
        <v>164.389065479975</v>
      </c>
      <c r="E21" s="25" t="n">
        <f aca="false">SUM(E15:E20)</f>
        <v>320.966325492689</v>
      </c>
      <c r="F21" s="25" t="n">
        <f aca="false">SUM(F15:F20)</f>
        <v>470.318747679593</v>
      </c>
      <c r="G21" s="25" t="n">
        <f aca="false">SUM(G15:G20)</f>
        <v>612.988241110617</v>
      </c>
      <c r="H21" s="25" t="n">
        <f aca="false">SUM(H15:H20)</f>
        <v>749.475166027902</v>
      </c>
      <c r="I21" s="25" t="n">
        <f aca="false">SUM(I15:I20)</f>
        <v>880.241567557137</v>
      </c>
      <c r="J21" s="25" t="n">
        <f aca="false">SUM(J15:J20)</f>
        <v>1005.71415523172</v>
      </c>
      <c r="K21" s="25" t="n">
        <f aca="false">SUM(K15:K20)</f>
        <v>1126.28704843928</v>
      </c>
      <c r="L21" s="25" t="n">
        <f aca="false">SUM(L15:L20)</f>
        <v>1242.32430630244</v>
      </c>
      <c r="M21" s="25" t="n">
        <f aca="false">SUM(M15:M20)</f>
        <v>1353.5226990252</v>
      </c>
      <c r="N21" s="25" t="n">
        <f aca="false">SUM(N15:N20)</f>
        <v>1405.11818761685</v>
      </c>
      <c r="O21" s="25" t="n">
        <f aca="false">SUM(O15:O20)</f>
        <v>1453.87020749625</v>
      </c>
      <c r="P21" s="25" t="n">
        <f aca="false">SUM(P15:P20)</f>
        <v>1443.0421547872</v>
      </c>
      <c r="Q21" s="25" t="n">
        <f aca="false">SUM(Q15:Q20)</f>
        <v>1433.08034629488</v>
      </c>
      <c r="R21" s="25" t="n">
        <f aca="false">SUM(R15:R20)</f>
        <v>1423.91548248195</v>
      </c>
      <c r="S21" s="25" t="n">
        <f aca="false">SUM(S15:S20)</f>
        <v>1415.48380777404</v>
      </c>
      <c r="T21" s="25" t="n">
        <f aca="false">SUM(T15:T20)</f>
        <v>1407.72666704278</v>
      </c>
      <c r="U21" s="25" t="n">
        <f aca="false">SUM(U15:U20)</f>
        <v>1400.59009757001</v>
      </c>
      <c r="V21" s="25" t="n">
        <f aca="false">SUM(V15:V20)</f>
        <v>1394.02445365506</v>
      </c>
      <c r="W21" s="25" t="n">
        <f aca="false">SUM(W15:W20)</f>
        <v>1387.98406125331</v>
      </c>
      <c r="X21" s="25" t="n">
        <f aca="false">SUM(X15:X20)</f>
        <v>1382.4269002437</v>
      </c>
      <c r="Y21" s="25" t="n">
        <f aca="false">SUM(Y15:Y20)</f>
        <v>1377.31431211486</v>
      </c>
      <c r="Z21" s="25" t="n">
        <f aca="false">SUM(Z15:Z20)</f>
        <v>1372.61073103633</v>
      </c>
      <c r="AA21" s="25" t="n">
        <f aca="false">SUM(AA15:AA20)</f>
        <v>1368.28343644408</v>
      </c>
      <c r="AB21" s="25" t="n">
        <f aca="false">SUM(AB15:AB20)</f>
        <v>1364.3023254192</v>
      </c>
      <c r="AC21" s="25" t="n">
        <f aca="false">SUM(AC15:AC20)</f>
        <v>1360.63970327632</v>
      </c>
      <c r="AD21" s="25" t="n">
        <f aca="false">SUM(AD15:AD20)</f>
        <v>1357.27009090487</v>
      </c>
      <c r="AE21" s="25" t="n">
        <f aca="false">SUM(AE15:AE20)</f>
        <v>1354.17004752314</v>
      </c>
      <c r="AF21" s="25" t="n">
        <f aca="false">SUM(AF15:AF20)</f>
        <v>1351.31800761194</v>
      </c>
      <c r="AG21" s="25" t="n">
        <f aca="false">SUM(AG15:AG20)</f>
        <v>1348.69413089364</v>
      </c>
      <c r="AH21" s="25" t="n">
        <f aca="false">SUM(AH15:AH20)</f>
        <v>1346.2801643128</v>
      </c>
      <c r="AI21" s="25" t="n">
        <f aca="false">SUM(AI15:AI20)</f>
        <v>1344.05931505843</v>
      </c>
      <c r="AJ21" s="25" t="n">
        <f aca="false">SUM(AJ15:AJ20)</f>
        <v>1342.01613374441</v>
      </c>
      <c r="AK21" s="25" t="n">
        <f aca="false">SUM(AK15:AK20)</f>
        <v>1340.13640693552</v>
      </c>
      <c r="AL21" s="25" t="n">
        <f aca="false">SUM(AL15:AL20)</f>
        <v>1338.40705827133</v>
      </c>
      <c r="AM21" s="25" t="n">
        <f aca="false">SUM(AM15:AM20)</f>
        <v>1336.81605750028</v>
      </c>
    </row>
    <row r="22" customFormat="false" ht="15" hidden="false" customHeight="false" outlineLevel="0" collapsed="false">
      <c r="B22" s="14" t="s">
        <v>205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customFormat="false" ht="15" hidden="false" customHeight="false" outlineLevel="0" collapsed="false">
      <c r="B23" s="4" t="s">
        <v>405</v>
      </c>
      <c r="D23" s="25" t="n">
        <f aca="false">(D11+D9*Supuestos!$D$9*Supuestos!$D$19+(D10*Supuestos!$D$15*Supuestos!$D$9*Supuestos!$D$19)+Supuestos!$D$39*MIN(1,D$3/Supuestos!$D$42))*Supuestos!$D$53</f>
        <v>49.5706333333333</v>
      </c>
      <c r="E23" s="25" t="n">
        <f aca="false">(E11+E9*Supuestos!$D$9*Supuestos!$D$19+(E10*Supuestos!$D$15*Supuestos!$D$9*Supuestos!$D$19)+Supuestos!$D$39*MIN(1,E$3/Supuestos!$D$42))*Supuestos!$D$53</f>
        <v>96.6295306666666</v>
      </c>
      <c r="F23" s="25" t="n">
        <f aca="false">(F11+F9*Supuestos!$D$9*Supuestos!$D$19+(F10*Supuestos!$D$15*Supuestos!$D$9*Supuestos!$D$19)+Supuestos!$D$39*MIN(1,F$3/Supuestos!$D$42))*Supuestos!$D$53</f>
        <v>141.36225888</v>
      </c>
      <c r="G23" s="25" t="n">
        <f aca="false">(G11+G9*Supuestos!$D$9*Supuestos!$D$19+(G10*Supuestos!$D$15*Supuestos!$D$9*Supuestos!$D$19)+Supuestos!$D$39*MIN(1,G$3/Supuestos!$D$42))*Supuestos!$D$53</f>
        <v>183.940308102933</v>
      </c>
      <c r="H23" s="25" t="n">
        <f aca="false">(H11+H9*Supuestos!$D$9*Supuestos!$D$19+(H10*Supuestos!$D$15*Supuestos!$D$9*Supuestos!$D$19)+Supuestos!$D$39*MIN(1,H$3/Supuestos!$D$42))*Supuestos!$D$53</f>
        <v>224.522179424699</v>
      </c>
      <c r="I23" s="25" t="n">
        <f aca="false">(I11+I9*Supuestos!$D$9*Supuestos!$D$19+(I10*Supuestos!$D$15*Supuestos!$D$9*Supuestos!$D$19)+Supuestos!$D$39*MIN(1,I$3/Supuestos!$D$42))*Supuestos!$D$53</f>
        <v>263.254387508889</v>
      </c>
      <c r="J23" s="25" t="n">
        <f aca="false">(J11+J9*Supuestos!$D$9*Supuestos!$D$19+(J10*Supuestos!$D$15*Supuestos!$D$9*Supuestos!$D$19)+Supuestos!$D$39*MIN(1,J$3/Supuestos!$D$42))*Supuestos!$D$53</f>
        <v>300.272384824437</v>
      </c>
      <c r="K23" s="25" t="n">
        <f aca="false">(K11+K9*Supuestos!$D$9*Supuestos!$D$19+(K10*Supuestos!$D$15*Supuestos!$D$9*Supuestos!$D$19)+Supuestos!$D$39*MIN(1,K$3/Supuestos!$D$42))*Supuestos!$D$53</f>
        <v>335.70141367226</v>
      </c>
      <c r="L23" s="25" t="n">
        <f aca="false">(L11+L9*Supuestos!$D$9*Supuestos!$D$19+(L10*Supuestos!$D$15*Supuestos!$D$9*Supuestos!$D$19)+Supuestos!$D$39*MIN(1,L$3/Supuestos!$D$42))*Supuestos!$D$53</f>
        <v>369.657291697236</v>
      </c>
      <c r="M23" s="25" t="n">
        <f aca="false">(M11+M9*Supuestos!$D$9*Supuestos!$D$19+(M10*Supuestos!$D$15*Supuestos!$D$9*Supuestos!$D$19)+Supuestos!$D$39*MIN(1,M$3/Supuestos!$D$42))*Supuestos!$D$53</f>
        <v>401.988259190574</v>
      </c>
      <c r="N23" s="25" t="n">
        <f aca="false">(N11+N9*Supuestos!$D$9*Supuestos!$D$19+(N10*Supuestos!$D$15*Supuestos!$D$9*Supuestos!$D$19)+Supuestos!$D$39*MIN(1,N$3/Supuestos!$D$42))*Supuestos!$D$53</f>
        <v>414.877698455328</v>
      </c>
      <c r="O23" s="25" t="n">
        <f aca="false">(O11+O9*Supuestos!$D$9*Supuestos!$D$19+(O10*Supuestos!$D$15*Supuestos!$D$9*Supuestos!$D$19)+Supuestos!$D$39*MIN(1,O$3/Supuestos!$D$42))*Supuestos!$D$53</f>
        <v>426.898649245569</v>
      </c>
      <c r="P23" s="25" t="n">
        <f aca="false">(P11+P9*Supuestos!$D$9*Supuestos!$D$19+(P10*Supuestos!$D$15*Supuestos!$D$9*Supuestos!$D$19)+Supuestos!$D$39*MIN(1,P$3/Supuestos!$D$42))*Supuestos!$D$53</f>
        <v>423.591407305923</v>
      </c>
      <c r="Q23" s="25" t="n">
        <f aca="false">(Q11+Q9*Supuestos!$D$9*Supuestos!$D$19+(Q10*Supuestos!$D$15*Supuestos!$D$9*Supuestos!$D$19)+Supuestos!$D$39*MIN(1,Q$3/Supuestos!$D$42))*Supuestos!$D$53</f>
        <v>420.548744721449</v>
      </c>
      <c r="R23" s="25" t="n">
        <f aca="false">(R11+R9*Supuestos!$D$9*Supuestos!$D$19+(R10*Supuestos!$D$15*Supuestos!$D$9*Supuestos!$D$19)+Supuestos!$D$39*MIN(1,R$3/Supuestos!$D$42))*Supuestos!$D$53</f>
        <v>417.749495143733</v>
      </c>
      <c r="S23" s="25" t="n">
        <f aca="false">(S11+S9*Supuestos!$D$9*Supuestos!$D$19+(S10*Supuestos!$D$15*Supuestos!$D$9*Supuestos!$D$19)+Supuestos!$D$39*MIN(1,S$3/Supuestos!$D$42))*Supuestos!$D$53</f>
        <v>415.174185532235</v>
      </c>
      <c r="T23" s="25" t="n">
        <f aca="false">(T11+T9*Supuestos!$D$9*Supuestos!$D$19+(T10*Supuestos!$D$15*Supuestos!$D$9*Supuestos!$D$19)+Supuestos!$D$39*MIN(1,T$3/Supuestos!$D$42))*Supuestos!$D$53</f>
        <v>412.804900689656</v>
      </c>
      <c r="U23" s="25" t="n">
        <f aca="false">(U11+U9*Supuestos!$D$9*Supuestos!$D$19+(U10*Supuestos!$D$15*Supuestos!$D$9*Supuestos!$D$19)+Supuestos!$D$39*MIN(1,U$3/Supuestos!$D$42))*Supuestos!$D$53</f>
        <v>410.625158634483</v>
      </c>
      <c r="V23" s="25" t="n">
        <f aca="false">(V11+V9*Supuestos!$D$9*Supuestos!$D$19+(V10*Supuestos!$D$15*Supuestos!$D$9*Supuestos!$D$19)+Supuestos!$D$39*MIN(1,V$3/Supuestos!$D$42))*Supuestos!$D$53</f>
        <v>408.619795943725</v>
      </c>
      <c r="W23" s="25" t="n">
        <f aca="false">(W11+W9*Supuestos!$D$9*Supuestos!$D$19+(W10*Supuestos!$D$15*Supuestos!$D$9*Supuestos!$D$19)+Supuestos!$D$39*MIN(1,W$3/Supuestos!$D$42))*Supuestos!$D$53</f>
        <v>406.774862268227</v>
      </c>
      <c r="X23" s="25" t="n">
        <f aca="false">(X11+X9*Supuestos!$D$9*Supuestos!$D$19+(X10*Supuestos!$D$15*Supuestos!$D$9*Supuestos!$D$19)+Supuestos!$D$39*MIN(1,X$3/Supuestos!$D$42))*Supuestos!$D$53</f>
        <v>405.077523286769</v>
      </c>
      <c r="Y23" s="25" t="n">
        <f aca="false">(Y11+Y9*Supuestos!$D$9*Supuestos!$D$19+(Y10*Supuestos!$D$15*Supuestos!$D$9*Supuestos!$D$19)+Supuestos!$D$39*MIN(1,Y$3/Supuestos!$D$42))*Supuestos!$D$53</f>
        <v>403.515971423827</v>
      </c>
      <c r="Z23" s="25" t="n">
        <f aca="false">(Z11+Z9*Supuestos!$D$9*Supuestos!$D$19+(Z10*Supuestos!$D$15*Supuestos!$D$9*Supuestos!$D$19)+Supuestos!$D$39*MIN(1,Z$3/Supuestos!$D$42))*Supuestos!$D$53</f>
        <v>402.079343709921</v>
      </c>
      <c r="AA23" s="25" t="n">
        <f aca="false">(AA11+AA9*Supuestos!$D$9*Supuestos!$D$19+(AA10*Supuestos!$D$15*Supuestos!$D$9*Supuestos!$D$19)+Supuestos!$D$39*MIN(1,AA$3/Supuestos!$D$42))*Supuestos!$D$53</f>
        <v>400.757646213127</v>
      </c>
      <c r="AB23" s="25" t="n">
        <f aca="false">(AB11+AB9*Supuestos!$D$9*Supuestos!$D$19+(AB10*Supuestos!$D$15*Supuestos!$D$9*Supuestos!$D$19)+Supuestos!$D$39*MIN(1,AB$3/Supuestos!$D$42))*Supuestos!$D$53</f>
        <v>399.541684516077</v>
      </c>
      <c r="AC23" s="25" t="n">
        <f aca="false">(AC11+AC9*Supuestos!$D$9*Supuestos!$D$19+(AC10*Supuestos!$D$15*Supuestos!$D$9*Supuestos!$D$19)+Supuestos!$D$39*MIN(1,AC$3/Supuestos!$D$42))*Supuestos!$D$53</f>
        <v>398.422999754791</v>
      </c>
      <c r="AD23" s="25" t="n">
        <f aca="false">(AD11+AD9*Supuestos!$D$9*Supuestos!$D$19+(AD10*Supuestos!$D$15*Supuestos!$D$9*Supuestos!$D$19)+Supuestos!$D$39*MIN(1,AD$3/Supuestos!$D$42))*Supuestos!$D$53</f>
        <v>397.393809774408</v>
      </c>
      <c r="AE23" s="25" t="n">
        <f aca="false">(AE11+AE9*Supuestos!$D$9*Supuestos!$D$19+(AE10*Supuestos!$D$15*Supuestos!$D$9*Supuestos!$D$19)+Supuestos!$D$39*MIN(1,AE$3/Supuestos!$D$42))*Supuestos!$D$53</f>
        <v>396.446954992455</v>
      </c>
      <c r="AF23" s="25" t="n">
        <f aca="false">(AF11+AF9*Supuestos!$D$9*Supuestos!$D$19+(AF10*Supuestos!$D$15*Supuestos!$D$9*Supuestos!$D$19)+Supuestos!$D$39*MIN(1,AF$3/Supuestos!$D$42))*Supuestos!$D$53</f>
        <v>395.575848593059</v>
      </c>
      <c r="AG23" s="25" t="n">
        <f aca="false">(AG11+AG9*Supuestos!$D$9*Supuestos!$D$19+(AG10*Supuestos!$D$15*Supuestos!$D$9*Supuestos!$D$19)+Supuestos!$D$39*MIN(1,AG$3/Supuestos!$D$42))*Supuestos!$D$53</f>
        <v>394.774430705614</v>
      </c>
      <c r="AH23" s="25" t="n">
        <f aca="false">(AH11+AH9*Supuestos!$D$9*Supuestos!$D$19+(AH10*Supuestos!$D$15*Supuestos!$D$9*Supuestos!$D$19)+Supuestos!$D$39*MIN(1,AH$3/Supuestos!$D$42))*Supuestos!$D$53</f>
        <v>394.037126249165</v>
      </c>
      <c r="AI23" s="25" t="n">
        <f aca="false">(AI11+AI9*Supuestos!$D$9*Supuestos!$D$19+(AI10*Supuestos!$D$15*Supuestos!$D$9*Supuestos!$D$19)+Supuestos!$D$39*MIN(1,AI$3/Supuestos!$D$42))*Supuestos!$D$53</f>
        <v>393.358806149232</v>
      </c>
      <c r="AJ23" s="25" t="n">
        <f aca="false">(AJ11+AJ9*Supuestos!$D$9*Supuestos!$D$19+(AJ10*Supuestos!$D$15*Supuestos!$D$9*Supuestos!$D$19)+Supuestos!$D$39*MIN(1,AJ$3/Supuestos!$D$42))*Supuestos!$D$53</f>
        <v>392.734751657293</v>
      </c>
      <c r="AK23" s="25" t="n">
        <f aca="false">(AK11+AK9*Supuestos!$D$9*Supuestos!$D$19+(AK10*Supuestos!$D$15*Supuestos!$D$9*Supuestos!$D$19)+Supuestos!$D$39*MIN(1,AK$3/Supuestos!$D$42))*Supuestos!$D$53</f>
        <v>392.16062152471</v>
      </c>
      <c r="AL23" s="25" t="n">
        <f aca="false">(AL11+AL9*Supuestos!$D$9*Supuestos!$D$19+(AL10*Supuestos!$D$15*Supuestos!$D$9*Supuestos!$D$19)+Supuestos!$D$39*MIN(1,AL$3/Supuestos!$D$42))*Supuestos!$D$53</f>
        <v>391.632421802733</v>
      </c>
      <c r="AM23" s="25" t="n">
        <f aca="false">(AM11+AM9*Supuestos!$D$9*Supuestos!$D$19+(AM10*Supuestos!$D$15*Supuestos!$D$9*Supuestos!$D$19)+Supuestos!$D$39*MIN(1,AM$3/Supuestos!$D$42))*Supuestos!$D$53</f>
        <v>391.146478058514</v>
      </c>
    </row>
    <row r="24" customFormat="false" ht="15" hidden="false" customHeight="false" outlineLevel="0" collapsed="false">
      <c r="B24" s="4" t="s">
        <v>406</v>
      </c>
      <c r="D24" s="25" t="n">
        <f aca="false">D21*(1+Supuestos!$D$7*Supuestos!$D$8)*Supuestos!$D$54</f>
        <v>12.5114873846154</v>
      </c>
      <c r="E24" s="25" t="n">
        <f aca="false">E21*(1+Supuestos!$D$7*Supuestos!$D$8)*Supuestos!$D$54</f>
        <v>24.4284260669231</v>
      </c>
      <c r="F24" s="25" t="n">
        <f aca="false">F21*(1+Supuestos!$D$7*Supuestos!$D$8)*Supuestos!$D$54</f>
        <v>35.7954895671462</v>
      </c>
      <c r="G24" s="25" t="n">
        <f aca="false">G21*(1+Supuestos!$D$7*Supuestos!$D$8)*Supuestos!$D$54</f>
        <v>46.6539220426879</v>
      </c>
      <c r="H24" s="25" t="n">
        <f aca="false">H21*(1+Supuestos!$D$7*Supuestos!$D$8)*Supuestos!$D$54</f>
        <v>57.0418054112176</v>
      </c>
      <c r="I24" s="25" t="n">
        <f aca="false">I21*(1+Supuestos!$D$7*Supuestos!$D$8)*Supuestos!$D$54</f>
        <v>66.9943054652061</v>
      </c>
      <c r="J24" s="25" t="n">
        <f aca="false">J21*(1+Supuestos!$D$7*Supuestos!$D$8)*Supuestos!$D$54</f>
        <v>76.5438986405313</v>
      </c>
      <c r="K24" s="25" t="n">
        <f aca="false">K21*(1+Supuestos!$D$7*Supuestos!$D$8)*Supuestos!$D$54</f>
        <v>85.7205809696649</v>
      </c>
      <c r="L24" s="25" t="n">
        <f aca="false">L21*(1+Supuestos!$D$7*Supuestos!$D$8)*Supuestos!$D$54</f>
        <v>94.5520606283721</v>
      </c>
      <c r="M24" s="25" t="n">
        <f aca="false">M21*(1+Supuestos!$D$7*Supuestos!$D$8)*Supuestos!$D$54</f>
        <v>103.015259100109</v>
      </c>
      <c r="N24" s="25" t="n">
        <f aca="false">N21*(1+Supuestos!$D$7*Supuestos!$D$8)*Supuestos!$D$54</f>
        <v>106.942140141331</v>
      </c>
      <c r="O24" s="25" t="n">
        <f aca="false">O21*(1+Supuestos!$D$7*Supuestos!$D$8)*Supuestos!$D$54</f>
        <v>110.652607622332</v>
      </c>
      <c r="P24" s="25" t="n">
        <f aca="false">P21*(1+Supuestos!$D$7*Supuestos!$D$8)*Supuestos!$D$54</f>
        <v>109.828495358699</v>
      </c>
      <c r="Q24" s="25" t="n">
        <f aca="false">Q21*(1+Supuestos!$D$7*Supuestos!$D$8)*Supuestos!$D$54</f>
        <v>109.070312076157</v>
      </c>
      <c r="R24" s="25" t="n">
        <f aca="false">R21*(1+Supuestos!$D$7*Supuestos!$D$8)*Supuestos!$D$54</f>
        <v>108.372783456218</v>
      </c>
      <c r="S24" s="25" t="n">
        <f aca="false">S21*(1+Supuestos!$D$7*Supuestos!$D$8)*Supuestos!$D$54</f>
        <v>107.731057125875</v>
      </c>
      <c r="T24" s="25" t="n">
        <f aca="false">T21*(1+Supuestos!$D$7*Supuestos!$D$8)*Supuestos!$D$54</f>
        <v>107.140668901959</v>
      </c>
      <c r="U24" s="25" t="n">
        <f aca="false">U21*(1+Supuestos!$D$7*Supuestos!$D$8)*Supuestos!$D$54</f>
        <v>106.597511735956</v>
      </c>
      <c r="V24" s="25" t="n">
        <f aca="false">V21*(1+Supuestos!$D$7*Supuestos!$D$8)*Supuestos!$D$54</f>
        <v>106.097807143233</v>
      </c>
      <c r="W24" s="25" t="n">
        <f aca="false">W21*(1+Supuestos!$D$7*Supuestos!$D$8)*Supuestos!$D$54</f>
        <v>105.638078917928</v>
      </c>
      <c r="X24" s="25" t="n">
        <f aca="false">X21*(1+Supuestos!$D$7*Supuestos!$D$8)*Supuestos!$D$54</f>
        <v>105.215128950648</v>
      </c>
      <c r="Y24" s="25" t="n">
        <f aca="false">Y21*(1+Supuestos!$D$7*Supuestos!$D$8)*Supuestos!$D$54</f>
        <v>104.82601498075</v>
      </c>
      <c r="Z24" s="25" t="n">
        <f aca="false">Z21*(1+Supuestos!$D$7*Supuestos!$D$8)*Supuestos!$D$54</f>
        <v>104.468030128444</v>
      </c>
      <c r="AA24" s="25" t="n">
        <f aca="false">AA21*(1+Supuestos!$D$7*Supuestos!$D$8)*Supuestos!$D$54</f>
        <v>104.138684064322</v>
      </c>
      <c r="AB24" s="25" t="n">
        <f aca="false">AB21*(1+Supuestos!$D$7*Supuestos!$D$8)*Supuestos!$D$54</f>
        <v>103.83568568533</v>
      </c>
      <c r="AC24" s="25" t="n">
        <f aca="false">AC21*(1+Supuestos!$D$7*Supuestos!$D$8)*Supuestos!$D$54</f>
        <v>103.556927176658</v>
      </c>
      <c r="AD24" s="25" t="n">
        <f aca="false">AD21*(1+Supuestos!$D$7*Supuestos!$D$8)*Supuestos!$D$54</f>
        <v>103.300469348679</v>
      </c>
      <c r="AE24" s="25" t="n">
        <f aca="false">AE21*(1+Supuestos!$D$7*Supuestos!$D$8)*Supuestos!$D$54</f>
        <v>103.064528146938</v>
      </c>
      <c r="AF24" s="25" t="n">
        <f aca="false">AF21*(1+Supuestos!$D$7*Supuestos!$D$8)*Supuestos!$D$54</f>
        <v>102.847462241337</v>
      </c>
      <c r="AG24" s="25" t="n">
        <f aca="false">AG21*(1+Supuestos!$D$7*Supuestos!$D$8)*Supuestos!$D$54</f>
        <v>102.647761608184</v>
      </c>
      <c r="AH24" s="25" t="n">
        <f aca="false">AH21*(1+Supuestos!$D$7*Supuestos!$D$8)*Supuestos!$D$54</f>
        <v>102.464037025683</v>
      </c>
      <c r="AI24" s="25" t="n">
        <f aca="false">AI21*(1+Supuestos!$D$7*Supuestos!$D$8)*Supuestos!$D$54</f>
        <v>102.295010409782</v>
      </c>
      <c r="AJ24" s="25" t="n">
        <f aca="false">AJ21*(1+Supuestos!$D$7*Supuestos!$D$8)*Supuestos!$D$54</f>
        <v>102.139505923154</v>
      </c>
      <c r="AK24" s="25" t="n">
        <f aca="false">AK21*(1+Supuestos!$D$7*Supuestos!$D$8)*Supuestos!$D$54</f>
        <v>101.996441795455</v>
      </c>
      <c r="AL24" s="25" t="n">
        <f aca="false">AL21*(1+Supuestos!$D$7*Supuestos!$D$8)*Supuestos!$D$54</f>
        <v>101.864822797973</v>
      </c>
      <c r="AM24" s="25" t="n">
        <f aca="false">AM21*(1+Supuestos!$D$7*Supuestos!$D$8)*Supuestos!$D$54</f>
        <v>101.743733320289</v>
      </c>
    </row>
    <row r="25" customFormat="false" ht="15" hidden="false" customHeight="false" outlineLevel="0" collapsed="false">
      <c r="B25" s="4" t="s">
        <v>407</v>
      </c>
      <c r="D25" s="25" t="n">
        <f aca="false">D21*Supuestos!$D$55</f>
        <v>8.21945327399873</v>
      </c>
      <c r="E25" s="25" t="n">
        <f aca="false">E21*Supuestos!$D$55</f>
        <v>16.0483162746345</v>
      </c>
      <c r="F25" s="25" t="n">
        <f aca="false">F21*Supuestos!$D$55</f>
        <v>23.5159373839797</v>
      </c>
      <c r="G25" s="25" t="n">
        <f aca="false">G21*Supuestos!$D$55</f>
        <v>30.6494120555308</v>
      </c>
      <c r="H25" s="25" t="n">
        <f aca="false">H21*Supuestos!$D$55</f>
        <v>37.4737583013951</v>
      </c>
      <c r="I25" s="25" t="n">
        <f aca="false">I21*Supuestos!$D$55</f>
        <v>44.0120783778569</v>
      </c>
      <c r="J25" s="25" t="n">
        <f aca="false">J21*Supuestos!$D$55</f>
        <v>50.2857077615862</v>
      </c>
      <c r="K25" s="25" t="n">
        <f aca="false">K21*Supuestos!$D$55</f>
        <v>56.3143524219638</v>
      </c>
      <c r="L25" s="25" t="n">
        <f aca="false">L21*Supuestos!$D$55</f>
        <v>62.1162153151218</v>
      </c>
      <c r="M25" s="25" t="n">
        <f aca="false">M21*Supuestos!$D$55</f>
        <v>67.6761349512598</v>
      </c>
      <c r="N25" s="25" t="n">
        <f aca="false">N21*Supuestos!$D$55</f>
        <v>70.2559093808424</v>
      </c>
      <c r="O25" s="25" t="n">
        <f aca="false">O21*Supuestos!$D$55</f>
        <v>72.6935103748124</v>
      </c>
      <c r="P25" s="25" t="n">
        <f aca="false">P21*Supuestos!$D$55</f>
        <v>72.1521077393601</v>
      </c>
      <c r="Q25" s="25" t="n">
        <f aca="false">Q21*Supuestos!$D$55</f>
        <v>71.6540173147441</v>
      </c>
      <c r="R25" s="25" t="n">
        <f aca="false">R21*Supuestos!$D$55</f>
        <v>71.1957741240973</v>
      </c>
      <c r="S25" s="25" t="n">
        <f aca="false">S21*Supuestos!$D$55</f>
        <v>70.7741903887022</v>
      </c>
      <c r="T25" s="25" t="n">
        <f aca="false">T21*Supuestos!$D$55</f>
        <v>70.3863333521388</v>
      </c>
      <c r="U25" s="25" t="n">
        <f aca="false">U21*Supuestos!$D$55</f>
        <v>70.0295048785004</v>
      </c>
      <c r="V25" s="25" t="n">
        <f aca="false">V21*Supuestos!$D$55</f>
        <v>69.7012226827531</v>
      </c>
      <c r="W25" s="25" t="n">
        <f aca="false">W21*Supuestos!$D$55</f>
        <v>69.3992030626656</v>
      </c>
      <c r="X25" s="25" t="n">
        <f aca="false">X21*Supuestos!$D$55</f>
        <v>69.1213450121851</v>
      </c>
      <c r="Y25" s="25" t="n">
        <f aca="false">Y21*Supuestos!$D$55</f>
        <v>68.8657156057431</v>
      </c>
      <c r="Z25" s="25" t="n">
        <f aca="false">Z21*Supuestos!$D$55</f>
        <v>68.6305365518164</v>
      </c>
      <c r="AA25" s="25" t="n">
        <f aca="false">AA21*Supuestos!$D$55</f>
        <v>68.4141718222038</v>
      </c>
      <c r="AB25" s="25" t="n">
        <f aca="false">AB21*Supuestos!$D$55</f>
        <v>68.2151162709602</v>
      </c>
      <c r="AC25" s="25" t="n">
        <f aca="false">AC21*Supuestos!$D$55</f>
        <v>68.0319851638162</v>
      </c>
      <c r="AD25" s="25" t="n">
        <f aca="false">AD21*Supuestos!$D$55</f>
        <v>67.8635045452436</v>
      </c>
      <c r="AE25" s="25" t="n">
        <f aca="false">AE21*Supuestos!$D$55</f>
        <v>67.7085023761568</v>
      </c>
      <c r="AF25" s="25" t="n">
        <f aca="false">AF21*Supuestos!$D$55</f>
        <v>67.565900380597</v>
      </c>
      <c r="AG25" s="25" t="n">
        <f aca="false">AG21*Supuestos!$D$55</f>
        <v>67.434706544682</v>
      </c>
      <c r="AH25" s="25" t="n">
        <f aca="false">AH21*Supuestos!$D$55</f>
        <v>67.3140082156402</v>
      </c>
      <c r="AI25" s="25" t="n">
        <f aca="false">AI21*Supuestos!$D$55</f>
        <v>67.2029657529217</v>
      </c>
      <c r="AJ25" s="25" t="n">
        <f aca="false">AJ21*Supuestos!$D$55</f>
        <v>67.1008066872207</v>
      </c>
      <c r="AK25" s="25" t="n">
        <f aca="false">AK21*Supuestos!$D$55</f>
        <v>67.0068203467758</v>
      </c>
      <c r="AL25" s="25" t="n">
        <f aca="false">AL21*Supuestos!$D$55</f>
        <v>66.9203529135665</v>
      </c>
      <c r="AM25" s="25" t="n">
        <f aca="false">AM21*Supuestos!$D$55</f>
        <v>66.8408028750139</v>
      </c>
    </row>
    <row r="26" customFormat="false" ht="15" hidden="false" customHeight="false" outlineLevel="0" collapsed="false">
      <c r="B26" s="4" t="s">
        <v>408</v>
      </c>
      <c r="D26" s="25" t="n">
        <f aca="false">D21*(1+Supuestos!$D$7*Supuestos!$D$8)*Supuestos!$D$56</f>
        <v>2.38692923076923</v>
      </c>
      <c r="E26" s="25" t="n">
        <f aca="false">E21*(1+Supuestos!$D$7*Supuestos!$D$8)*Supuestos!$D$56</f>
        <v>4.66043104615385</v>
      </c>
      <c r="F26" s="25" t="n">
        <f aca="false">F21*(1+Supuestos!$D$7*Supuestos!$D$8)*Supuestos!$D$56</f>
        <v>6.82902821630769</v>
      </c>
      <c r="G26" s="25" t="n">
        <f aca="false">G21*(1+Supuestos!$D$7*Supuestos!$D$8)*Supuestos!$D$56</f>
        <v>8.90058926092616</v>
      </c>
      <c r="H26" s="25" t="n">
        <f aca="false">H21*(1+Supuestos!$D$7*Supuestos!$D$8)*Supuestos!$D$56</f>
        <v>10.8823794107251</v>
      </c>
      <c r="I26" s="25" t="n">
        <f aca="false">I21*(1+Supuestos!$D$7*Supuestos!$D$8)*Supuestos!$D$56</f>
        <v>12.7811075609296</v>
      </c>
      <c r="J26" s="25" t="n">
        <f aca="false">J21*(1+Supuestos!$D$7*Supuestos!$D$8)*Supuestos!$D$56</f>
        <v>14.6029695339646</v>
      </c>
      <c r="K26" s="25" t="n">
        <f aca="false">K21*(1+Supuestos!$D$7*Supuestos!$D$8)*Supuestos!$D$56</f>
        <v>16.3536879433383</v>
      </c>
      <c r="L26" s="25" t="n">
        <f aca="false">L21*(1+Supuestos!$D$7*Supuestos!$D$8)*Supuestos!$D$56</f>
        <v>18.0385489275114</v>
      </c>
      <c r="M26" s="25" t="n">
        <f aca="false">M21*(1+Supuestos!$D$7*Supuestos!$D$8)*Supuestos!$D$56</f>
        <v>19.6531495898458</v>
      </c>
      <c r="N26" s="25" t="n">
        <f aca="false">N21*(1+Supuestos!$D$7*Supuestos!$D$8)*Supuestos!$D$56</f>
        <v>20.4023160841966</v>
      </c>
      <c r="O26" s="25" t="n">
        <f aca="false">O21*(1+Supuestos!$D$7*Supuestos!$D$8)*Supuestos!$D$56</f>
        <v>21.1101954128455</v>
      </c>
      <c r="P26" s="25" t="n">
        <f aca="false">P21*(1+Supuestos!$D$7*Supuestos!$D$8)*Supuestos!$D$56</f>
        <v>20.9529720875102</v>
      </c>
      <c r="Q26" s="25" t="n">
        <f aca="false">Q21*(1+Supuestos!$D$7*Supuestos!$D$8)*Supuestos!$D$56</f>
        <v>20.8083266282017</v>
      </c>
      <c r="R26" s="25" t="n">
        <f aca="false">R21*(1+Supuestos!$D$7*Supuestos!$D$8)*Supuestos!$D$56</f>
        <v>20.6752528056378</v>
      </c>
      <c r="S26" s="25" t="n">
        <f aca="false">S21*(1+Supuestos!$D$7*Supuestos!$D$8)*Supuestos!$D$56</f>
        <v>20.5528248888791</v>
      </c>
      <c r="T26" s="25" t="n">
        <f aca="false">T21*(1+Supuestos!$D$7*Supuestos!$D$8)*Supuestos!$D$56</f>
        <v>20.4401912054611</v>
      </c>
      <c r="U26" s="25" t="n">
        <f aca="false">U21*(1+Supuestos!$D$7*Supuestos!$D$8)*Supuestos!$D$56</f>
        <v>20.3365682167165</v>
      </c>
      <c r="V26" s="25" t="n">
        <f aca="false">V21*(1+Supuestos!$D$7*Supuestos!$D$8)*Supuestos!$D$56</f>
        <v>20.2412350670715</v>
      </c>
      <c r="W26" s="25" t="n">
        <f aca="false">W21*(1+Supuestos!$D$7*Supuestos!$D$8)*Supuestos!$D$56</f>
        <v>20.1535285693981</v>
      </c>
      <c r="X26" s="25" t="n">
        <f aca="false">X21*(1+Supuestos!$D$7*Supuestos!$D$8)*Supuestos!$D$56</f>
        <v>20.0728385915386</v>
      </c>
      <c r="Y26" s="25" t="n">
        <f aca="false">Y21*(1+Supuestos!$D$7*Supuestos!$D$8)*Supuestos!$D$56</f>
        <v>19.9986038119078</v>
      </c>
      <c r="Z26" s="25" t="n">
        <f aca="false">Z21*(1+Supuestos!$D$7*Supuestos!$D$8)*Supuestos!$D$56</f>
        <v>19.9303078146475</v>
      </c>
      <c r="AA26" s="25" t="n">
        <f aca="false">AA21*(1+Supuestos!$D$7*Supuestos!$D$8)*Supuestos!$D$56</f>
        <v>19.867475497168</v>
      </c>
      <c r="AB26" s="25" t="n">
        <f aca="false">AB21*(1+Supuestos!$D$7*Supuestos!$D$8)*Supuestos!$D$56</f>
        <v>19.8096697650869</v>
      </c>
      <c r="AC26" s="25" t="n">
        <f aca="false">AC21*(1+Supuestos!$D$7*Supuestos!$D$8)*Supuestos!$D$56</f>
        <v>19.7564884915722</v>
      </c>
      <c r="AD26" s="25" t="n">
        <f aca="false">AD21*(1+Supuestos!$D$7*Supuestos!$D$8)*Supuestos!$D$56</f>
        <v>19.7075617199387</v>
      </c>
      <c r="AE26" s="25" t="n">
        <f aca="false">AE21*(1+Supuestos!$D$7*Supuestos!$D$8)*Supuestos!$D$56</f>
        <v>19.6625490900359</v>
      </c>
      <c r="AF26" s="25" t="n">
        <f aca="false">AF21*(1+Supuestos!$D$7*Supuestos!$D$8)*Supuestos!$D$56</f>
        <v>19.6211374705254</v>
      </c>
      <c r="AG26" s="25" t="n">
        <f aca="false">AG21*(1+Supuestos!$D$7*Supuestos!$D$8)*Supuestos!$D$56</f>
        <v>19.5830387805757</v>
      </c>
      <c r="AH26" s="25" t="n">
        <f aca="false">AH21*(1+Supuestos!$D$7*Supuestos!$D$8)*Supuestos!$D$56</f>
        <v>19.5479879858219</v>
      </c>
      <c r="AI26" s="25" t="n">
        <f aca="false">AI21*(1+Supuestos!$D$7*Supuestos!$D$8)*Supuestos!$D$56</f>
        <v>19.5157412546485</v>
      </c>
      <c r="AJ26" s="25" t="n">
        <f aca="false">AJ21*(1+Supuestos!$D$7*Supuestos!$D$8)*Supuestos!$D$56</f>
        <v>19.4860742619689</v>
      </c>
      <c r="AK26" s="25" t="n">
        <f aca="false">AK21*(1+Supuestos!$D$7*Supuestos!$D$8)*Supuestos!$D$56</f>
        <v>19.4587806287037</v>
      </c>
      <c r="AL26" s="25" t="n">
        <f aca="false">AL21*(1+Supuestos!$D$7*Supuestos!$D$8)*Supuestos!$D$56</f>
        <v>19.4336704860997</v>
      </c>
      <c r="AM26" s="25" t="n">
        <f aca="false">AM21*(1+Supuestos!$D$7*Supuestos!$D$8)*Supuestos!$D$56</f>
        <v>19.410569154904</v>
      </c>
    </row>
    <row r="27" customFormat="false" ht="15" hidden="false" customHeight="false" outlineLevel="0" collapsed="false">
      <c r="B27" s="4" t="s">
        <v>409</v>
      </c>
      <c r="D27" s="25" t="n">
        <f aca="false">SUM(D23:D26)</f>
        <v>72.6885032227167</v>
      </c>
      <c r="E27" s="25" t="n">
        <f aca="false">SUM(E23:E26)</f>
        <v>141.766704054378</v>
      </c>
      <c r="F27" s="25" t="n">
        <f aca="false">SUM(F23:F26)</f>
        <v>207.502714047434</v>
      </c>
      <c r="G27" s="25" t="n">
        <f aca="false">SUM(G23:G26)</f>
        <v>270.144231462078</v>
      </c>
      <c r="H27" s="25" t="n">
        <f aca="false">SUM(H23:H26)</f>
        <v>329.920122548037</v>
      </c>
      <c r="I27" s="25" t="n">
        <f aca="false">SUM(I23:I26)</f>
        <v>387.041878912882</v>
      </c>
      <c r="J27" s="25" t="n">
        <f aca="false">SUM(J23:J26)</f>
        <v>441.704960760519</v>
      </c>
      <c r="K27" s="25" t="n">
        <f aca="false">SUM(K23:K26)</f>
        <v>494.090035007227</v>
      </c>
      <c r="L27" s="25" t="n">
        <f aca="false">SUM(L23:L26)</f>
        <v>544.364116568241</v>
      </c>
      <c r="M27" s="25" t="n">
        <f aca="false">SUM(M23:M26)</f>
        <v>592.332802831788</v>
      </c>
      <c r="N27" s="25" t="n">
        <f aca="false">SUM(N23:N26)</f>
        <v>612.478064061698</v>
      </c>
      <c r="O27" s="25" t="n">
        <f aca="false">SUM(O23:O26)</f>
        <v>631.354962655558</v>
      </c>
      <c r="P27" s="25" t="n">
        <f aca="false">SUM(P23:P26)</f>
        <v>626.524982491493</v>
      </c>
      <c r="Q27" s="25" t="n">
        <f aca="false">SUM(Q23:Q26)</f>
        <v>622.081400740552</v>
      </c>
      <c r="R27" s="25" t="n">
        <f aca="false">SUM(R23:R26)</f>
        <v>617.993305529687</v>
      </c>
      <c r="S27" s="25" t="n">
        <f aca="false">SUM(S23:S26)</f>
        <v>614.232257935691</v>
      </c>
      <c r="T27" s="25" t="n">
        <f aca="false">SUM(T23:T26)</f>
        <v>610.772094149215</v>
      </c>
      <c r="U27" s="25" t="n">
        <f aca="false">SUM(U23:U26)</f>
        <v>607.588743465656</v>
      </c>
      <c r="V27" s="25" t="n">
        <f aca="false">SUM(V23:V26)</f>
        <v>604.660060836783</v>
      </c>
      <c r="W27" s="25" t="n">
        <f aca="false">SUM(W23:W26)</f>
        <v>601.965672818219</v>
      </c>
      <c r="X27" s="25" t="n">
        <f aca="false">SUM(X23:X26)</f>
        <v>599.48683584114</v>
      </c>
      <c r="Y27" s="25" t="n">
        <f aca="false">SUM(Y23:Y26)</f>
        <v>597.206305822228</v>
      </c>
      <c r="Z27" s="25" t="n">
        <f aca="false">SUM(Z23:Z26)</f>
        <v>595.108218204829</v>
      </c>
      <c r="AA27" s="25" t="n">
        <f aca="false">SUM(AA23:AA26)</f>
        <v>593.177977596821</v>
      </c>
      <c r="AB27" s="25" t="n">
        <f aca="false">SUM(AB23:AB26)</f>
        <v>591.402156237454</v>
      </c>
      <c r="AC27" s="25" t="n">
        <f aca="false">SUM(AC23:AC26)</f>
        <v>589.768400586837</v>
      </c>
      <c r="AD27" s="25" t="n">
        <f aca="false">SUM(AD23:AD26)</f>
        <v>588.265345388269</v>
      </c>
      <c r="AE27" s="25" t="n">
        <f aca="false">SUM(AE23:AE26)</f>
        <v>586.882534605586</v>
      </c>
      <c r="AF27" s="25" t="n">
        <f aca="false">SUM(AF23:AF26)</f>
        <v>585.610348685518</v>
      </c>
      <c r="AG27" s="25" t="n">
        <f aca="false">SUM(AG23:AG26)</f>
        <v>584.439937639056</v>
      </c>
      <c r="AH27" s="25" t="n">
        <f aca="false">SUM(AH23:AH26)</f>
        <v>583.36315947631</v>
      </c>
      <c r="AI27" s="25" t="n">
        <f aca="false">SUM(AI23:AI26)</f>
        <v>582.372523566584</v>
      </c>
      <c r="AJ27" s="25" t="n">
        <f aca="false">SUM(AJ23:AJ26)</f>
        <v>581.461138529637</v>
      </c>
      <c r="AK27" s="25" t="n">
        <f aca="false">SUM(AK23:AK26)</f>
        <v>580.622664295645</v>
      </c>
      <c r="AL27" s="25" t="n">
        <f aca="false">SUM(AL23:AL26)</f>
        <v>579.851268000372</v>
      </c>
      <c r="AM27" s="25" t="n">
        <f aca="false">SUM(AM23:AM26)</f>
        <v>579.141583408721</v>
      </c>
    </row>
    <row r="28" customFormat="false" ht="15" hidden="false" customHeight="false" outlineLevel="0" collapsed="false">
      <c r="B28" s="11" t="s">
        <v>410</v>
      </c>
      <c r="D28" s="25" t="n">
        <f aca="false">D21-D27</f>
        <v>91.7005622572579</v>
      </c>
      <c r="E28" s="25" t="n">
        <f aca="false">E21-E27</f>
        <v>179.199621438311</v>
      </c>
      <c r="F28" s="25" t="n">
        <f aca="false">F21-F27</f>
        <v>262.81603363216</v>
      </c>
      <c r="G28" s="25" t="n">
        <f aca="false">G21-G27</f>
        <v>342.844009648539</v>
      </c>
      <c r="H28" s="25" t="n">
        <f aca="false">H21-H27</f>
        <v>419.555043479866</v>
      </c>
      <c r="I28" s="25" t="n">
        <f aca="false">I21-I27</f>
        <v>493.199688644255</v>
      </c>
      <c r="J28" s="25" t="n">
        <f aca="false">J21-J27</f>
        <v>564.009194471205</v>
      </c>
      <c r="K28" s="25" t="n">
        <f aca="false">K21-K27</f>
        <v>632.197013432049</v>
      </c>
      <c r="L28" s="25" t="n">
        <f aca="false">L21-L27</f>
        <v>697.960189734194</v>
      </c>
      <c r="M28" s="25" t="n">
        <f aca="false">M21-M27</f>
        <v>761.189896193407</v>
      </c>
      <c r="N28" s="25" t="n">
        <f aca="false">N21-N27</f>
        <v>792.64012355515</v>
      </c>
      <c r="O28" s="25" t="n">
        <f aca="false">O21-O27</f>
        <v>822.515244840689</v>
      </c>
      <c r="P28" s="25" t="n">
        <f aca="false">P21-P27</f>
        <v>816.51717229571</v>
      </c>
      <c r="Q28" s="25" t="n">
        <f aca="false">Q21-Q27</f>
        <v>810.998945554329</v>
      </c>
      <c r="R28" s="25" t="n">
        <f aca="false">R21-R27</f>
        <v>805.922176952259</v>
      </c>
      <c r="S28" s="25" t="n">
        <f aca="false">S21-S27</f>
        <v>801.251549838354</v>
      </c>
      <c r="T28" s="25" t="n">
        <f aca="false">T21-T27</f>
        <v>796.954572893562</v>
      </c>
      <c r="U28" s="25" t="n">
        <f aca="false">U21-U27</f>
        <v>793.001354104353</v>
      </c>
      <c r="V28" s="25" t="n">
        <f aca="false">V21-V27</f>
        <v>789.36439281828</v>
      </c>
      <c r="W28" s="25" t="n">
        <f aca="false">W21-W27</f>
        <v>786.018388435094</v>
      </c>
      <c r="X28" s="25" t="n">
        <f aca="false">X21-X27</f>
        <v>782.940064402562</v>
      </c>
      <c r="Y28" s="25" t="n">
        <f aca="false">Y21-Y27</f>
        <v>780.108006292633</v>
      </c>
      <c r="Z28" s="25" t="n">
        <f aca="false">Z21-Z27</f>
        <v>777.502512831498</v>
      </c>
      <c r="AA28" s="25" t="n">
        <f aca="false">AA21-AA27</f>
        <v>775.105458847255</v>
      </c>
      <c r="AB28" s="25" t="n">
        <f aca="false">AB21-AB27</f>
        <v>772.90016918175</v>
      </c>
      <c r="AC28" s="25" t="n">
        <f aca="false">AC21-AC27</f>
        <v>770.871302689486</v>
      </c>
      <c r="AD28" s="25" t="n">
        <f aca="false">AD21-AD27</f>
        <v>769.004745516603</v>
      </c>
      <c r="AE28" s="25" t="n">
        <f aca="false">AE21-AE27</f>
        <v>767.287512917551</v>
      </c>
      <c r="AF28" s="25" t="n">
        <f aca="false">AF21-AF27</f>
        <v>765.707658926423</v>
      </c>
      <c r="AG28" s="25" t="n">
        <f aca="false">AG21-AG27</f>
        <v>764.254193254585</v>
      </c>
      <c r="AH28" s="25" t="n">
        <f aca="false">AH21-AH27</f>
        <v>762.917004836494</v>
      </c>
      <c r="AI28" s="25" t="n">
        <f aca="false">AI21-AI27</f>
        <v>761.68679149185</v>
      </c>
      <c r="AJ28" s="25" t="n">
        <f aca="false">AJ21-AJ27</f>
        <v>760.554995214778</v>
      </c>
      <c r="AK28" s="25" t="n">
        <f aca="false">AK21-AK27</f>
        <v>759.513742639872</v>
      </c>
      <c r="AL28" s="25" t="n">
        <f aca="false">AL21-AL27</f>
        <v>758.555790270958</v>
      </c>
      <c r="AM28" s="25" t="n">
        <f aca="false">AM21-AM27</f>
        <v>757.674474091557</v>
      </c>
    </row>
    <row r="29" customFormat="false" ht="15" hidden="false" customHeight="false" outlineLevel="0" collapsed="false">
      <c r="B29" s="14" t="s">
        <v>411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customFormat="false" ht="15" hidden="false" customHeight="false" outlineLevel="0" collapsed="false">
      <c r="B30" s="4" t="s">
        <v>412</v>
      </c>
      <c r="D30" s="25" t="n">
        <f aca="false">Supuestos!$D$58*Supuestos!$D$59</f>
        <v>1739.4</v>
      </c>
      <c r="E30" s="25" t="n">
        <f aca="false">Supuestos!$D$58*Supuestos!$D$59</f>
        <v>1739.4</v>
      </c>
      <c r="F30" s="25" t="n">
        <f aca="false">Supuestos!$D$58*Supuestos!$D$59</f>
        <v>1739.4</v>
      </c>
      <c r="G30" s="25" t="n">
        <f aca="false">Supuestos!$D$58*Supuestos!$D$59</f>
        <v>1739.4</v>
      </c>
      <c r="H30" s="25" t="n">
        <f aca="false">Supuestos!$D$58*Supuestos!$D$59</f>
        <v>1739.4</v>
      </c>
      <c r="I30" s="25" t="n">
        <f aca="false">Supuestos!$D$58*Supuestos!$D$59</f>
        <v>1739.4</v>
      </c>
      <c r="J30" s="25" t="n">
        <f aca="false">Supuestos!$D$58*Supuestos!$D$59</f>
        <v>1739.4</v>
      </c>
      <c r="K30" s="25" t="n">
        <f aca="false">Supuestos!$D$58*Supuestos!$D$59</f>
        <v>1739.4</v>
      </c>
      <c r="L30" s="25" t="n">
        <f aca="false">Supuestos!$D$58*Supuestos!$D$59</f>
        <v>1739.4</v>
      </c>
      <c r="M30" s="25" t="n">
        <f aca="false">Supuestos!$D$58*Supuestos!$D$59</f>
        <v>1739.4</v>
      </c>
      <c r="N30" s="25" t="n">
        <f aca="false">Supuestos!$D$58*Supuestos!$D$59</f>
        <v>1739.4</v>
      </c>
      <c r="O30" s="25" t="n">
        <f aca="false">Supuestos!$D$58*Supuestos!$D$59</f>
        <v>1739.4</v>
      </c>
      <c r="P30" s="25" t="n">
        <f aca="false">Supuestos!$D$58*Supuestos!$D$59</f>
        <v>1739.4</v>
      </c>
      <c r="Q30" s="25" t="n">
        <f aca="false">Supuestos!$D$58*Supuestos!$D$59</f>
        <v>1739.4</v>
      </c>
      <c r="R30" s="25" t="n">
        <f aca="false">Supuestos!$D$58*Supuestos!$D$59</f>
        <v>1739.4</v>
      </c>
      <c r="S30" s="25" t="n">
        <f aca="false">Supuestos!$D$58*Supuestos!$D$59</f>
        <v>1739.4</v>
      </c>
      <c r="T30" s="25" t="n">
        <f aca="false">Supuestos!$D$58*Supuestos!$D$59</f>
        <v>1739.4</v>
      </c>
      <c r="U30" s="25" t="n">
        <f aca="false">Supuestos!$D$58*Supuestos!$D$59</f>
        <v>1739.4</v>
      </c>
      <c r="V30" s="25" t="n">
        <f aca="false">Supuestos!$D$58*Supuestos!$D$59</f>
        <v>1739.4</v>
      </c>
      <c r="W30" s="25" t="n">
        <f aca="false">Supuestos!$D$58*Supuestos!$D$59</f>
        <v>1739.4</v>
      </c>
      <c r="X30" s="25" t="n">
        <f aca="false">Supuestos!$D$58*Supuestos!$D$59</f>
        <v>1739.4</v>
      </c>
      <c r="Y30" s="25" t="n">
        <f aca="false">Supuestos!$D$58*Supuestos!$D$59</f>
        <v>1739.4</v>
      </c>
      <c r="Z30" s="25" t="n">
        <f aca="false">Supuestos!$D$58*Supuestos!$D$59</f>
        <v>1739.4</v>
      </c>
      <c r="AA30" s="25" t="n">
        <f aca="false">Supuestos!$D$58*Supuestos!$D$59</f>
        <v>1739.4</v>
      </c>
      <c r="AB30" s="25" t="n">
        <f aca="false">Supuestos!$D$58*Supuestos!$D$59</f>
        <v>1739.4</v>
      </c>
      <c r="AC30" s="25" t="n">
        <f aca="false">Supuestos!$D$58*Supuestos!$D$59</f>
        <v>1739.4</v>
      </c>
      <c r="AD30" s="25" t="n">
        <f aca="false">Supuestos!$D$58*Supuestos!$D$59</f>
        <v>1739.4</v>
      </c>
      <c r="AE30" s="25" t="n">
        <f aca="false">Supuestos!$D$58*Supuestos!$D$59</f>
        <v>1739.4</v>
      </c>
      <c r="AF30" s="25" t="n">
        <f aca="false">Supuestos!$D$58*Supuestos!$D$59</f>
        <v>1739.4</v>
      </c>
      <c r="AG30" s="25" t="n">
        <f aca="false">Supuestos!$D$58*Supuestos!$D$59</f>
        <v>1739.4</v>
      </c>
      <c r="AH30" s="25" t="n">
        <f aca="false">Supuestos!$D$58*Supuestos!$D$59</f>
        <v>1739.4</v>
      </c>
      <c r="AI30" s="25" t="n">
        <f aca="false">Supuestos!$D$58*Supuestos!$D$59</f>
        <v>1739.4</v>
      </c>
      <c r="AJ30" s="25" t="n">
        <f aca="false">Supuestos!$D$58*Supuestos!$D$59</f>
        <v>1739.4</v>
      </c>
      <c r="AK30" s="25" t="n">
        <f aca="false">Supuestos!$D$58*Supuestos!$D$59</f>
        <v>1739.4</v>
      </c>
      <c r="AL30" s="25" t="n">
        <f aca="false">Supuestos!$D$58*Supuestos!$D$59</f>
        <v>1739.4</v>
      </c>
      <c r="AM30" s="25" t="n">
        <f aca="false">Supuestos!$D$58*Supuestos!$D$59</f>
        <v>1739.4</v>
      </c>
    </row>
    <row r="31" customFormat="false" ht="15" hidden="false" customHeight="false" outlineLevel="0" collapsed="false">
      <c r="B31" s="4" t="s">
        <v>231</v>
      </c>
      <c r="D31" s="25" t="n">
        <f aca="false">Supuestos!$D$60</f>
        <v>673.1</v>
      </c>
      <c r="E31" s="25" t="n">
        <f aca="false">Supuestos!$D$60</f>
        <v>673.1</v>
      </c>
      <c r="F31" s="25" t="n">
        <f aca="false">Supuestos!$D$60</f>
        <v>673.1</v>
      </c>
      <c r="G31" s="25" t="n">
        <f aca="false">Supuestos!$D$60</f>
        <v>673.1</v>
      </c>
      <c r="H31" s="25" t="n">
        <f aca="false">Supuestos!$D$60</f>
        <v>673.1</v>
      </c>
      <c r="I31" s="25" t="n">
        <f aca="false">Supuestos!$D$60</f>
        <v>673.1</v>
      </c>
      <c r="J31" s="25" t="n">
        <f aca="false">Supuestos!$D$60</f>
        <v>673.1</v>
      </c>
      <c r="K31" s="25" t="n">
        <f aca="false">Supuestos!$D$60</f>
        <v>673.1</v>
      </c>
      <c r="L31" s="25" t="n">
        <f aca="false">Supuestos!$D$60</f>
        <v>673.1</v>
      </c>
      <c r="M31" s="25" t="n">
        <f aca="false">Supuestos!$D$60</f>
        <v>673.1</v>
      </c>
      <c r="N31" s="25" t="n">
        <f aca="false">Supuestos!$D$60</f>
        <v>673.1</v>
      </c>
      <c r="O31" s="25" t="n">
        <f aca="false">Supuestos!$D$60</f>
        <v>673.1</v>
      </c>
      <c r="P31" s="25" t="n">
        <f aca="false">Supuestos!$D$60</f>
        <v>673.1</v>
      </c>
      <c r="Q31" s="25" t="n">
        <f aca="false">Supuestos!$D$60</f>
        <v>673.1</v>
      </c>
      <c r="R31" s="25" t="n">
        <f aca="false">Supuestos!$D$60</f>
        <v>673.1</v>
      </c>
      <c r="S31" s="25" t="n">
        <f aca="false">Supuestos!$D$60</f>
        <v>673.1</v>
      </c>
      <c r="T31" s="25" t="n">
        <f aca="false">Supuestos!$D$60</f>
        <v>673.1</v>
      </c>
      <c r="U31" s="25" t="n">
        <f aca="false">Supuestos!$D$60</f>
        <v>673.1</v>
      </c>
      <c r="V31" s="25" t="n">
        <f aca="false">Supuestos!$D$60</f>
        <v>673.1</v>
      </c>
      <c r="W31" s="25" t="n">
        <f aca="false">Supuestos!$D$60</f>
        <v>673.1</v>
      </c>
      <c r="X31" s="25" t="n">
        <f aca="false">Supuestos!$D$60</f>
        <v>673.1</v>
      </c>
      <c r="Y31" s="25" t="n">
        <f aca="false">Supuestos!$D$60</f>
        <v>673.1</v>
      </c>
      <c r="Z31" s="25" t="n">
        <f aca="false">Supuestos!$D$60</f>
        <v>673.1</v>
      </c>
      <c r="AA31" s="25" t="n">
        <f aca="false">Supuestos!$D$60</f>
        <v>673.1</v>
      </c>
      <c r="AB31" s="25" t="n">
        <f aca="false">Supuestos!$D$60</f>
        <v>673.1</v>
      </c>
      <c r="AC31" s="25" t="n">
        <f aca="false">Supuestos!$D$60</f>
        <v>673.1</v>
      </c>
      <c r="AD31" s="25" t="n">
        <f aca="false">Supuestos!$D$60</f>
        <v>673.1</v>
      </c>
      <c r="AE31" s="25" t="n">
        <f aca="false">Supuestos!$D$60</f>
        <v>673.1</v>
      </c>
      <c r="AF31" s="25" t="n">
        <f aca="false">Supuestos!$D$60</f>
        <v>673.1</v>
      </c>
      <c r="AG31" s="25" t="n">
        <f aca="false">Supuestos!$D$60</f>
        <v>673.1</v>
      </c>
      <c r="AH31" s="25" t="n">
        <f aca="false">Supuestos!$D$60</f>
        <v>673.1</v>
      </c>
      <c r="AI31" s="25" t="n">
        <f aca="false">Supuestos!$D$60</f>
        <v>673.1</v>
      </c>
      <c r="AJ31" s="25" t="n">
        <f aca="false">Supuestos!$D$60</f>
        <v>673.1</v>
      </c>
      <c r="AK31" s="25" t="n">
        <f aca="false">Supuestos!$D$60</f>
        <v>673.1</v>
      </c>
      <c r="AL31" s="25" t="n">
        <f aca="false">Supuestos!$D$60</f>
        <v>673.1</v>
      </c>
      <c r="AM31" s="25" t="n">
        <f aca="false">Supuestos!$D$60</f>
        <v>673.1</v>
      </c>
    </row>
    <row r="32" customFormat="false" ht="15" hidden="false" customHeight="false" outlineLevel="0" collapsed="false">
      <c r="B32" s="4" t="s">
        <v>234</v>
      </c>
      <c r="D32" s="25" t="n">
        <f aca="false">Supuestos!$D$61</f>
        <v>115.4</v>
      </c>
      <c r="E32" s="25" t="n">
        <f aca="false">Supuestos!$D$61</f>
        <v>115.4</v>
      </c>
      <c r="F32" s="25" t="n">
        <f aca="false">Supuestos!$D$61</f>
        <v>115.4</v>
      </c>
      <c r="G32" s="25" t="n">
        <f aca="false">Supuestos!$D$61</f>
        <v>115.4</v>
      </c>
      <c r="H32" s="25" t="n">
        <f aca="false">Supuestos!$D$61</f>
        <v>115.4</v>
      </c>
      <c r="I32" s="25" t="n">
        <f aca="false">Supuestos!$D$61</f>
        <v>115.4</v>
      </c>
      <c r="J32" s="25" t="n">
        <f aca="false">Supuestos!$D$61</f>
        <v>115.4</v>
      </c>
      <c r="K32" s="25" t="n">
        <f aca="false">Supuestos!$D$61</f>
        <v>115.4</v>
      </c>
      <c r="L32" s="25" t="n">
        <f aca="false">Supuestos!$D$61</f>
        <v>115.4</v>
      </c>
      <c r="M32" s="25" t="n">
        <f aca="false">Supuestos!$D$61</f>
        <v>115.4</v>
      </c>
      <c r="N32" s="25" t="n">
        <f aca="false">Supuestos!$D$61</f>
        <v>115.4</v>
      </c>
      <c r="O32" s="25" t="n">
        <f aca="false">Supuestos!$D$61</f>
        <v>115.4</v>
      </c>
      <c r="P32" s="25" t="n">
        <f aca="false">Supuestos!$D$61</f>
        <v>115.4</v>
      </c>
      <c r="Q32" s="25" t="n">
        <f aca="false">Supuestos!$D$61</f>
        <v>115.4</v>
      </c>
      <c r="R32" s="25" t="n">
        <f aca="false">Supuestos!$D$61</f>
        <v>115.4</v>
      </c>
      <c r="S32" s="25" t="n">
        <f aca="false">Supuestos!$D$61</f>
        <v>115.4</v>
      </c>
      <c r="T32" s="25" t="n">
        <f aca="false">Supuestos!$D$61</f>
        <v>115.4</v>
      </c>
      <c r="U32" s="25" t="n">
        <f aca="false">Supuestos!$D$61</f>
        <v>115.4</v>
      </c>
      <c r="V32" s="25" t="n">
        <f aca="false">Supuestos!$D$61</f>
        <v>115.4</v>
      </c>
      <c r="W32" s="25" t="n">
        <f aca="false">Supuestos!$D$61</f>
        <v>115.4</v>
      </c>
      <c r="X32" s="25" t="n">
        <f aca="false">Supuestos!$D$61</f>
        <v>115.4</v>
      </c>
      <c r="Y32" s="25" t="n">
        <f aca="false">Supuestos!$D$61</f>
        <v>115.4</v>
      </c>
      <c r="Z32" s="25" t="n">
        <f aca="false">Supuestos!$D$61</f>
        <v>115.4</v>
      </c>
      <c r="AA32" s="25" t="n">
        <f aca="false">Supuestos!$D$61</f>
        <v>115.4</v>
      </c>
      <c r="AB32" s="25" t="n">
        <f aca="false">Supuestos!$D$61</f>
        <v>115.4</v>
      </c>
      <c r="AC32" s="25" t="n">
        <f aca="false">Supuestos!$D$61</f>
        <v>115.4</v>
      </c>
      <c r="AD32" s="25" t="n">
        <f aca="false">Supuestos!$D$61</f>
        <v>115.4</v>
      </c>
      <c r="AE32" s="25" t="n">
        <f aca="false">Supuestos!$D$61</f>
        <v>115.4</v>
      </c>
      <c r="AF32" s="25" t="n">
        <f aca="false">Supuestos!$D$61</f>
        <v>115.4</v>
      </c>
      <c r="AG32" s="25" t="n">
        <f aca="false">Supuestos!$D$61</f>
        <v>115.4</v>
      </c>
      <c r="AH32" s="25" t="n">
        <f aca="false">Supuestos!$D$61</f>
        <v>115.4</v>
      </c>
      <c r="AI32" s="25" t="n">
        <f aca="false">Supuestos!$D$61</f>
        <v>115.4</v>
      </c>
      <c r="AJ32" s="25" t="n">
        <f aca="false">Supuestos!$D$61</f>
        <v>115.4</v>
      </c>
      <c r="AK32" s="25" t="n">
        <f aca="false">Supuestos!$D$61</f>
        <v>115.4</v>
      </c>
      <c r="AL32" s="25" t="n">
        <f aca="false">Supuestos!$D$61</f>
        <v>115.4</v>
      </c>
      <c r="AM32" s="25" t="n">
        <f aca="false">Supuestos!$D$61</f>
        <v>115.4</v>
      </c>
    </row>
    <row r="33" customFormat="false" ht="15" hidden="false" customHeight="false" outlineLevel="0" collapsed="false">
      <c r="B33" s="4" t="s">
        <v>237</v>
      </c>
      <c r="D33" s="25" t="n">
        <f aca="false">Supuestos!$D$62</f>
        <v>27.1</v>
      </c>
      <c r="E33" s="25" t="n">
        <f aca="false">Supuestos!$D$62</f>
        <v>27.1</v>
      </c>
      <c r="F33" s="25" t="n">
        <f aca="false">Supuestos!$D$62</f>
        <v>27.1</v>
      </c>
      <c r="G33" s="25" t="n">
        <f aca="false">Supuestos!$D$62</f>
        <v>27.1</v>
      </c>
      <c r="H33" s="25" t="n">
        <f aca="false">Supuestos!$D$62</f>
        <v>27.1</v>
      </c>
      <c r="I33" s="25" t="n">
        <f aca="false">Supuestos!$D$62</f>
        <v>27.1</v>
      </c>
      <c r="J33" s="25" t="n">
        <f aca="false">Supuestos!$D$62</f>
        <v>27.1</v>
      </c>
      <c r="K33" s="25" t="n">
        <f aca="false">Supuestos!$D$62</f>
        <v>27.1</v>
      </c>
      <c r="L33" s="25" t="n">
        <f aca="false">Supuestos!$D$62</f>
        <v>27.1</v>
      </c>
      <c r="M33" s="25" t="n">
        <f aca="false">Supuestos!$D$62</f>
        <v>27.1</v>
      </c>
      <c r="N33" s="25" t="n">
        <f aca="false">Supuestos!$D$62</f>
        <v>27.1</v>
      </c>
      <c r="O33" s="25" t="n">
        <f aca="false">Supuestos!$D$62</f>
        <v>27.1</v>
      </c>
      <c r="P33" s="25" t="n">
        <f aca="false">Supuestos!$D$62</f>
        <v>27.1</v>
      </c>
      <c r="Q33" s="25" t="n">
        <f aca="false">Supuestos!$D$62</f>
        <v>27.1</v>
      </c>
      <c r="R33" s="25" t="n">
        <f aca="false">Supuestos!$D$62</f>
        <v>27.1</v>
      </c>
      <c r="S33" s="25" t="n">
        <f aca="false">Supuestos!$D$62</f>
        <v>27.1</v>
      </c>
      <c r="T33" s="25" t="n">
        <f aca="false">Supuestos!$D$62</f>
        <v>27.1</v>
      </c>
      <c r="U33" s="25" t="n">
        <f aca="false">Supuestos!$D$62</f>
        <v>27.1</v>
      </c>
      <c r="V33" s="25" t="n">
        <f aca="false">Supuestos!$D$62</f>
        <v>27.1</v>
      </c>
      <c r="W33" s="25" t="n">
        <f aca="false">Supuestos!$D$62</f>
        <v>27.1</v>
      </c>
      <c r="X33" s="25" t="n">
        <f aca="false">Supuestos!$D$62</f>
        <v>27.1</v>
      </c>
      <c r="Y33" s="25" t="n">
        <f aca="false">Supuestos!$D$62</f>
        <v>27.1</v>
      </c>
      <c r="Z33" s="25" t="n">
        <f aca="false">Supuestos!$D$62</f>
        <v>27.1</v>
      </c>
      <c r="AA33" s="25" t="n">
        <f aca="false">Supuestos!$D$62</f>
        <v>27.1</v>
      </c>
      <c r="AB33" s="25" t="n">
        <f aca="false">Supuestos!$D$62</f>
        <v>27.1</v>
      </c>
      <c r="AC33" s="25" t="n">
        <f aca="false">Supuestos!$D$62</f>
        <v>27.1</v>
      </c>
      <c r="AD33" s="25" t="n">
        <f aca="false">Supuestos!$D$62</f>
        <v>27.1</v>
      </c>
      <c r="AE33" s="25" t="n">
        <f aca="false">Supuestos!$D$62</f>
        <v>27.1</v>
      </c>
      <c r="AF33" s="25" t="n">
        <f aca="false">Supuestos!$D$62</f>
        <v>27.1</v>
      </c>
      <c r="AG33" s="25" t="n">
        <f aca="false">Supuestos!$D$62</f>
        <v>27.1</v>
      </c>
      <c r="AH33" s="25" t="n">
        <f aca="false">Supuestos!$D$62</f>
        <v>27.1</v>
      </c>
      <c r="AI33" s="25" t="n">
        <f aca="false">Supuestos!$D$62</f>
        <v>27.1</v>
      </c>
      <c r="AJ33" s="25" t="n">
        <f aca="false">Supuestos!$D$62</f>
        <v>27.1</v>
      </c>
      <c r="AK33" s="25" t="n">
        <f aca="false">Supuestos!$D$62</f>
        <v>27.1</v>
      </c>
      <c r="AL33" s="25" t="n">
        <f aca="false">Supuestos!$D$62</f>
        <v>27.1</v>
      </c>
      <c r="AM33" s="25" t="n">
        <f aca="false">Supuestos!$D$62</f>
        <v>27.1</v>
      </c>
    </row>
    <row r="34" customFormat="false" ht="15" hidden="false" customHeight="false" outlineLevel="0" collapsed="false">
      <c r="B34" s="4" t="s">
        <v>413</v>
      </c>
      <c r="D34" s="25" t="n">
        <f aca="false">Supuestos!$D$63</f>
        <v>192.3</v>
      </c>
      <c r="E34" s="25" t="n">
        <f aca="false">Supuestos!$D$63</f>
        <v>192.3</v>
      </c>
      <c r="F34" s="25" t="n">
        <f aca="false">Supuestos!$D$63</f>
        <v>192.3</v>
      </c>
      <c r="G34" s="25" t="n">
        <f aca="false">Supuestos!$D$63</f>
        <v>192.3</v>
      </c>
      <c r="H34" s="25" t="n">
        <f aca="false">Supuestos!$D$63</f>
        <v>192.3</v>
      </c>
      <c r="I34" s="25" t="n">
        <f aca="false">Supuestos!$D$63</f>
        <v>192.3</v>
      </c>
      <c r="J34" s="25" t="n">
        <f aca="false">Supuestos!$D$63</f>
        <v>192.3</v>
      </c>
      <c r="K34" s="25" t="n">
        <f aca="false">Supuestos!$D$63</f>
        <v>192.3</v>
      </c>
      <c r="L34" s="25" t="n">
        <f aca="false">Supuestos!$D$63</f>
        <v>192.3</v>
      </c>
      <c r="M34" s="25" t="n">
        <f aca="false">Supuestos!$D$63</f>
        <v>192.3</v>
      </c>
      <c r="N34" s="25" t="n">
        <f aca="false">Supuestos!$D$63</f>
        <v>192.3</v>
      </c>
      <c r="O34" s="25" t="n">
        <f aca="false">Supuestos!$D$63</f>
        <v>192.3</v>
      </c>
      <c r="P34" s="25" t="n">
        <f aca="false">Supuestos!$D$63</f>
        <v>192.3</v>
      </c>
      <c r="Q34" s="25" t="n">
        <f aca="false">Supuestos!$D$63</f>
        <v>192.3</v>
      </c>
      <c r="R34" s="25" t="n">
        <f aca="false">Supuestos!$D$63</f>
        <v>192.3</v>
      </c>
      <c r="S34" s="25" t="n">
        <f aca="false">Supuestos!$D$63</f>
        <v>192.3</v>
      </c>
      <c r="T34" s="25" t="n">
        <f aca="false">Supuestos!$D$63</f>
        <v>192.3</v>
      </c>
      <c r="U34" s="25" t="n">
        <f aca="false">Supuestos!$D$63</f>
        <v>192.3</v>
      </c>
      <c r="V34" s="25" t="n">
        <f aca="false">Supuestos!$D$63</f>
        <v>192.3</v>
      </c>
      <c r="W34" s="25" t="n">
        <f aca="false">Supuestos!$D$63</f>
        <v>192.3</v>
      </c>
      <c r="X34" s="25" t="n">
        <f aca="false">Supuestos!$D$63</f>
        <v>192.3</v>
      </c>
      <c r="Y34" s="25" t="n">
        <f aca="false">Supuestos!$D$63</f>
        <v>192.3</v>
      </c>
      <c r="Z34" s="25" t="n">
        <f aca="false">Supuestos!$D$63</f>
        <v>192.3</v>
      </c>
      <c r="AA34" s="25" t="n">
        <f aca="false">Supuestos!$D$63</f>
        <v>192.3</v>
      </c>
      <c r="AB34" s="25" t="n">
        <f aca="false">Supuestos!$D$63</f>
        <v>192.3</v>
      </c>
      <c r="AC34" s="25" t="n">
        <f aca="false">Supuestos!$D$63</f>
        <v>192.3</v>
      </c>
      <c r="AD34" s="25" t="n">
        <f aca="false">Supuestos!$D$63</f>
        <v>192.3</v>
      </c>
      <c r="AE34" s="25" t="n">
        <f aca="false">Supuestos!$D$63</f>
        <v>192.3</v>
      </c>
      <c r="AF34" s="25" t="n">
        <f aca="false">Supuestos!$D$63</f>
        <v>192.3</v>
      </c>
      <c r="AG34" s="25" t="n">
        <f aca="false">Supuestos!$D$63</f>
        <v>192.3</v>
      </c>
      <c r="AH34" s="25" t="n">
        <f aca="false">Supuestos!$D$63</f>
        <v>192.3</v>
      </c>
      <c r="AI34" s="25" t="n">
        <f aca="false">Supuestos!$D$63</f>
        <v>192.3</v>
      </c>
      <c r="AJ34" s="25" t="n">
        <f aca="false">Supuestos!$D$63</f>
        <v>192.3</v>
      </c>
      <c r="AK34" s="25" t="n">
        <f aca="false">Supuestos!$D$63</f>
        <v>192.3</v>
      </c>
      <c r="AL34" s="25" t="n">
        <f aca="false">Supuestos!$D$63</f>
        <v>192.3</v>
      </c>
      <c r="AM34" s="25" t="n">
        <f aca="false">Supuestos!$D$63</f>
        <v>192.3</v>
      </c>
    </row>
    <row r="35" customFormat="false" ht="15" hidden="false" customHeight="false" outlineLevel="0" collapsed="false">
      <c r="B35" s="4" t="s">
        <v>244</v>
      </c>
      <c r="D35" s="25" t="n">
        <f aca="false">Supuestos!$D$64</f>
        <v>177</v>
      </c>
      <c r="E35" s="25" t="n">
        <f aca="false">Supuestos!$D$64</f>
        <v>177</v>
      </c>
      <c r="F35" s="25" t="n">
        <f aca="false">Supuestos!$D$64</f>
        <v>177</v>
      </c>
      <c r="G35" s="25" t="n">
        <f aca="false">Supuestos!$D$64</f>
        <v>177</v>
      </c>
      <c r="H35" s="25" t="n">
        <f aca="false">Supuestos!$D$64</f>
        <v>177</v>
      </c>
      <c r="I35" s="25" t="n">
        <f aca="false">Supuestos!$D$64</f>
        <v>177</v>
      </c>
      <c r="J35" s="25" t="n">
        <f aca="false">Supuestos!$D$64</f>
        <v>177</v>
      </c>
      <c r="K35" s="25" t="n">
        <f aca="false">Supuestos!$D$64</f>
        <v>177</v>
      </c>
      <c r="L35" s="25" t="n">
        <f aca="false">Supuestos!$D$64</f>
        <v>177</v>
      </c>
      <c r="M35" s="25" t="n">
        <f aca="false">Supuestos!$D$64</f>
        <v>177</v>
      </c>
      <c r="N35" s="25" t="n">
        <f aca="false">Supuestos!$D$64</f>
        <v>177</v>
      </c>
      <c r="O35" s="25" t="n">
        <f aca="false">Supuestos!$D$64</f>
        <v>177</v>
      </c>
      <c r="P35" s="25" t="n">
        <f aca="false">Supuestos!$D$64</f>
        <v>177</v>
      </c>
      <c r="Q35" s="25" t="n">
        <f aca="false">Supuestos!$D$64</f>
        <v>177</v>
      </c>
      <c r="R35" s="25" t="n">
        <f aca="false">Supuestos!$D$64</f>
        <v>177</v>
      </c>
      <c r="S35" s="25" t="n">
        <f aca="false">Supuestos!$D$64</f>
        <v>177</v>
      </c>
      <c r="T35" s="25" t="n">
        <f aca="false">Supuestos!$D$64</f>
        <v>177</v>
      </c>
      <c r="U35" s="25" t="n">
        <f aca="false">Supuestos!$D$64</f>
        <v>177</v>
      </c>
      <c r="V35" s="25" t="n">
        <f aca="false">Supuestos!$D$64</f>
        <v>177</v>
      </c>
      <c r="W35" s="25" t="n">
        <f aca="false">Supuestos!$D$64</f>
        <v>177</v>
      </c>
      <c r="X35" s="25" t="n">
        <f aca="false">Supuestos!$D$64</f>
        <v>177</v>
      </c>
      <c r="Y35" s="25" t="n">
        <f aca="false">Supuestos!$D$64</f>
        <v>177</v>
      </c>
      <c r="Z35" s="25" t="n">
        <f aca="false">Supuestos!$D$64</f>
        <v>177</v>
      </c>
      <c r="AA35" s="25" t="n">
        <f aca="false">Supuestos!$D$64</f>
        <v>177</v>
      </c>
      <c r="AB35" s="25" t="n">
        <f aca="false">Supuestos!$D$64</f>
        <v>177</v>
      </c>
      <c r="AC35" s="25" t="n">
        <f aca="false">Supuestos!$D$64</f>
        <v>177</v>
      </c>
      <c r="AD35" s="25" t="n">
        <f aca="false">Supuestos!$D$64</f>
        <v>177</v>
      </c>
      <c r="AE35" s="25" t="n">
        <f aca="false">Supuestos!$D$64</f>
        <v>177</v>
      </c>
      <c r="AF35" s="25" t="n">
        <f aca="false">Supuestos!$D$64</f>
        <v>177</v>
      </c>
      <c r="AG35" s="25" t="n">
        <f aca="false">Supuestos!$D$64</f>
        <v>177</v>
      </c>
      <c r="AH35" s="25" t="n">
        <f aca="false">Supuestos!$D$64</f>
        <v>177</v>
      </c>
      <c r="AI35" s="25" t="n">
        <f aca="false">Supuestos!$D$64</f>
        <v>177</v>
      </c>
      <c r="AJ35" s="25" t="n">
        <f aca="false">Supuestos!$D$64</f>
        <v>177</v>
      </c>
      <c r="AK35" s="25" t="n">
        <f aca="false">Supuestos!$D$64</f>
        <v>177</v>
      </c>
      <c r="AL35" s="25" t="n">
        <f aca="false">Supuestos!$D$64</f>
        <v>177</v>
      </c>
      <c r="AM35" s="25" t="n">
        <f aca="false">Supuestos!$D$64</f>
        <v>177</v>
      </c>
    </row>
    <row r="36" customFormat="false" ht="15" hidden="false" customHeight="false" outlineLevel="0" collapsed="false">
      <c r="B36" s="4" t="s">
        <v>247</v>
      </c>
      <c r="D36" s="25" t="n">
        <f aca="false">Supuestos!$D$65</f>
        <v>0</v>
      </c>
      <c r="E36" s="25" t="n">
        <f aca="false">Supuestos!$D$65</f>
        <v>0</v>
      </c>
      <c r="F36" s="25" t="n">
        <f aca="false">Supuestos!$D$65</f>
        <v>0</v>
      </c>
      <c r="G36" s="25" t="n">
        <f aca="false">Supuestos!$D$65</f>
        <v>0</v>
      </c>
      <c r="H36" s="25" t="n">
        <f aca="false">Supuestos!$D$65</f>
        <v>0</v>
      </c>
      <c r="I36" s="25" t="n">
        <f aca="false">Supuestos!$D$65</f>
        <v>0</v>
      </c>
      <c r="J36" s="25" t="n">
        <f aca="false">Supuestos!$D$65</f>
        <v>0</v>
      </c>
      <c r="K36" s="25" t="n">
        <f aca="false">Supuestos!$D$65</f>
        <v>0</v>
      </c>
      <c r="L36" s="25" t="n">
        <f aca="false">Supuestos!$D$65</f>
        <v>0</v>
      </c>
      <c r="M36" s="25" t="n">
        <f aca="false">Supuestos!$D$65</f>
        <v>0</v>
      </c>
      <c r="N36" s="25" t="n">
        <f aca="false">Supuestos!$D$65</f>
        <v>0</v>
      </c>
      <c r="O36" s="25" t="n">
        <f aca="false">Supuestos!$D$65</f>
        <v>0</v>
      </c>
      <c r="P36" s="25" t="n">
        <f aca="false">Supuestos!$D$65</f>
        <v>0</v>
      </c>
      <c r="Q36" s="25" t="n">
        <f aca="false">Supuestos!$D$65</f>
        <v>0</v>
      </c>
      <c r="R36" s="25" t="n">
        <f aca="false">Supuestos!$D$65</f>
        <v>0</v>
      </c>
      <c r="S36" s="25" t="n">
        <f aca="false">Supuestos!$D$65</f>
        <v>0</v>
      </c>
      <c r="T36" s="25" t="n">
        <f aca="false">Supuestos!$D$65</f>
        <v>0</v>
      </c>
      <c r="U36" s="25" t="n">
        <f aca="false">Supuestos!$D$65</f>
        <v>0</v>
      </c>
      <c r="V36" s="25" t="n">
        <f aca="false">Supuestos!$D$65</f>
        <v>0</v>
      </c>
      <c r="W36" s="25" t="n">
        <f aca="false">Supuestos!$D$65</f>
        <v>0</v>
      </c>
      <c r="X36" s="25" t="n">
        <f aca="false">Supuestos!$D$65</f>
        <v>0</v>
      </c>
      <c r="Y36" s="25" t="n">
        <f aca="false">Supuestos!$D$65</f>
        <v>0</v>
      </c>
      <c r="Z36" s="25" t="n">
        <f aca="false">Supuestos!$D$65</f>
        <v>0</v>
      </c>
      <c r="AA36" s="25" t="n">
        <f aca="false">Supuestos!$D$65</f>
        <v>0</v>
      </c>
      <c r="AB36" s="25" t="n">
        <f aca="false">Supuestos!$D$65</f>
        <v>0</v>
      </c>
      <c r="AC36" s="25" t="n">
        <f aca="false">Supuestos!$D$65</f>
        <v>0</v>
      </c>
      <c r="AD36" s="25" t="n">
        <f aca="false">Supuestos!$D$65</f>
        <v>0</v>
      </c>
      <c r="AE36" s="25" t="n">
        <f aca="false">Supuestos!$D$65</f>
        <v>0</v>
      </c>
      <c r="AF36" s="25" t="n">
        <f aca="false">Supuestos!$D$65</f>
        <v>0</v>
      </c>
      <c r="AG36" s="25" t="n">
        <f aca="false">Supuestos!$D$65</f>
        <v>0</v>
      </c>
      <c r="AH36" s="25" t="n">
        <f aca="false">Supuestos!$D$65</f>
        <v>0</v>
      </c>
      <c r="AI36" s="25" t="n">
        <f aca="false">Supuestos!$D$65</f>
        <v>0</v>
      </c>
      <c r="AJ36" s="25" t="n">
        <f aca="false">Supuestos!$D$65</f>
        <v>0</v>
      </c>
      <c r="AK36" s="25" t="n">
        <f aca="false">Supuestos!$D$65</f>
        <v>0</v>
      </c>
      <c r="AL36" s="25" t="n">
        <f aca="false">Supuestos!$D$65</f>
        <v>0</v>
      </c>
      <c r="AM36" s="25" t="n">
        <f aca="false">Supuestos!$D$65</f>
        <v>0</v>
      </c>
    </row>
    <row r="37" customFormat="false" ht="15" hidden="false" customHeight="false" outlineLevel="0" collapsed="false">
      <c r="B37" s="4" t="s">
        <v>414</v>
      </c>
      <c r="D37" s="25" t="n">
        <f aca="false">Inversion!D21*Supuestos!$D$66/12</f>
        <v>1149.12578916667</v>
      </c>
      <c r="E37" s="25" t="n">
        <f aca="false">Inversion!D21*Supuestos!$D$66/12</f>
        <v>1149.12578916667</v>
      </c>
      <c r="F37" s="25" t="n">
        <f aca="false">Inversion!D21*Supuestos!$D$66/12</f>
        <v>1149.12578916667</v>
      </c>
      <c r="G37" s="25" t="n">
        <f aca="false">Inversion!D21*Supuestos!$D$66/12</f>
        <v>1149.12578916667</v>
      </c>
      <c r="H37" s="25" t="n">
        <f aca="false">Inversion!D21*Supuestos!$D$66/12</f>
        <v>1149.12578916667</v>
      </c>
      <c r="I37" s="25" t="n">
        <f aca="false">Inversion!D21*Supuestos!$D$66/12</f>
        <v>1149.12578916667</v>
      </c>
      <c r="J37" s="25" t="n">
        <f aca="false">Inversion!D21*Supuestos!$D$66/12</f>
        <v>1149.12578916667</v>
      </c>
      <c r="K37" s="25" t="n">
        <f aca="false">Inversion!D21*Supuestos!$D$66/12</f>
        <v>1149.12578916667</v>
      </c>
      <c r="L37" s="25" t="n">
        <f aca="false">Inversion!D21*Supuestos!$D$66/12</f>
        <v>1149.12578916667</v>
      </c>
      <c r="M37" s="25" t="n">
        <f aca="false">Inversion!D21*Supuestos!$D$66/12</f>
        <v>1149.12578916667</v>
      </c>
      <c r="N37" s="25" t="n">
        <f aca="false">Inversion!D21*Supuestos!$D$66/12</f>
        <v>1149.12578916667</v>
      </c>
      <c r="O37" s="25" t="n">
        <f aca="false">Inversion!D21*Supuestos!$D$66/12</f>
        <v>1149.12578916667</v>
      </c>
      <c r="P37" s="25" t="n">
        <f aca="false">Inversion!D21*Supuestos!$D$66/12</f>
        <v>1149.12578916667</v>
      </c>
      <c r="Q37" s="25" t="n">
        <f aca="false">Inversion!D21*Supuestos!$D$66/12</f>
        <v>1149.12578916667</v>
      </c>
      <c r="R37" s="25" t="n">
        <f aca="false">Inversion!D21*Supuestos!$D$66/12</f>
        <v>1149.12578916667</v>
      </c>
      <c r="S37" s="25" t="n">
        <f aca="false">Inversion!D21*Supuestos!$D$66/12</f>
        <v>1149.12578916667</v>
      </c>
      <c r="T37" s="25" t="n">
        <f aca="false">Inversion!D21*Supuestos!$D$66/12</f>
        <v>1149.12578916667</v>
      </c>
      <c r="U37" s="25" t="n">
        <f aca="false">Inversion!D21*Supuestos!$D$66/12</f>
        <v>1149.12578916667</v>
      </c>
      <c r="V37" s="25" t="n">
        <f aca="false">Inversion!D21*Supuestos!$D$66/12</f>
        <v>1149.12578916667</v>
      </c>
      <c r="W37" s="25" t="n">
        <f aca="false">Inversion!D21*Supuestos!$D$66/12</f>
        <v>1149.12578916667</v>
      </c>
      <c r="X37" s="25" t="n">
        <f aca="false">Inversion!D21*Supuestos!$D$66/12</f>
        <v>1149.12578916667</v>
      </c>
      <c r="Y37" s="25" t="n">
        <f aca="false">Inversion!D21*Supuestos!$D$66/12</f>
        <v>1149.12578916667</v>
      </c>
      <c r="Z37" s="25" t="n">
        <f aca="false">Inversion!D21*Supuestos!$D$66/12</f>
        <v>1149.12578916667</v>
      </c>
      <c r="AA37" s="25" t="n">
        <f aca="false">Inversion!D21*Supuestos!$D$66/12</f>
        <v>1149.12578916667</v>
      </c>
      <c r="AB37" s="25" t="n">
        <f aca="false">Inversion!D21*Supuestos!$D$66/12</f>
        <v>1149.12578916667</v>
      </c>
      <c r="AC37" s="25" t="n">
        <f aca="false">Inversion!D21*Supuestos!$D$66/12</f>
        <v>1149.12578916667</v>
      </c>
      <c r="AD37" s="25" t="n">
        <f aca="false">Inversion!D21*Supuestos!$D$66/12</f>
        <v>1149.12578916667</v>
      </c>
      <c r="AE37" s="25" t="n">
        <f aca="false">Inversion!D21*Supuestos!$D$66/12</f>
        <v>1149.12578916667</v>
      </c>
      <c r="AF37" s="25" t="n">
        <f aca="false">Inversion!D21*Supuestos!$D$66/12</f>
        <v>1149.12578916667</v>
      </c>
      <c r="AG37" s="25" t="n">
        <f aca="false">Inversion!D21*Supuestos!$D$66/12</f>
        <v>1149.12578916667</v>
      </c>
      <c r="AH37" s="25" t="n">
        <f aca="false">Inversion!D21*Supuestos!$D$66/12</f>
        <v>1149.12578916667</v>
      </c>
      <c r="AI37" s="25" t="n">
        <f aca="false">Inversion!D21*Supuestos!$D$66/12</f>
        <v>1149.12578916667</v>
      </c>
      <c r="AJ37" s="25" t="n">
        <f aca="false">Inversion!D21*Supuestos!$D$66/12</f>
        <v>1149.12578916667</v>
      </c>
      <c r="AK37" s="25" t="n">
        <f aca="false">Inversion!D21*Supuestos!$D$66/12</f>
        <v>1149.12578916667</v>
      </c>
      <c r="AL37" s="25" t="n">
        <f aca="false">Inversion!D21*Supuestos!$D$66/12</f>
        <v>1149.12578916667</v>
      </c>
      <c r="AM37" s="25" t="n">
        <f aca="false">Inversion!D21*Supuestos!$D$66/12</f>
        <v>1149.12578916667</v>
      </c>
    </row>
    <row r="38" customFormat="false" ht="15" hidden="false" customHeight="false" outlineLevel="0" collapsed="false">
      <c r="B38" s="4" t="s">
        <v>415</v>
      </c>
      <c r="D38" s="25" t="n">
        <f aca="false">Supuestos!$D$67+Supuestos!$D$68</f>
        <v>650</v>
      </c>
      <c r="E38" s="25" t="n">
        <f aca="false">Supuestos!$D$67+Supuestos!$D$68</f>
        <v>650</v>
      </c>
      <c r="F38" s="25" t="n">
        <f aca="false">Supuestos!$D$67+Supuestos!$D$68</f>
        <v>650</v>
      </c>
      <c r="G38" s="25" t="n">
        <f aca="false">Supuestos!$D$67+Supuestos!$D$68</f>
        <v>650</v>
      </c>
      <c r="H38" s="25" t="n">
        <f aca="false">Supuestos!$D$67+Supuestos!$D$68</f>
        <v>650</v>
      </c>
      <c r="I38" s="25" t="n">
        <f aca="false">Supuestos!$D$67+Supuestos!$D$68</f>
        <v>650</v>
      </c>
      <c r="J38" s="25" t="n">
        <f aca="false">Supuestos!$D$67+Supuestos!$D$68</f>
        <v>650</v>
      </c>
      <c r="K38" s="25" t="n">
        <f aca="false">Supuestos!$D$67+Supuestos!$D$68</f>
        <v>650</v>
      </c>
      <c r="L38" s="25" t="n">
        <f aca="false">Supuestos!$D$67+Supuestos!$D$68</f>
        <v>650</v>
      </c>
      <c r="M38" s="25" t="n">
        <f aca="false">Supuestos!$D$67+Supuestos!$D$68</f>
        <v>650</v>
      </c>
      <c r="N38" s="25" t="n">
        <f aca="false">Supuestos!$D$67+Supuestos!$D$68</f>
        <v>650</v>
      </c>
      <c r="O38" s="25" t="n">
        <f aca="false">Supuestos!$D$67+Supuestos!$D$68</f>
        <v>650</v>
      </c>
      <c r="P38" s="25" t="n">
        <f aca="false">Supuestos!$D$67+Supuestos!$D$68</f>
        <v>650</v>
      </c>
      <c r="Q38" s="25" t="n">
        <f aca="false">Supuestos!$D$67+Supuestos!$D$68</f>
        <v>650</v>
      </c>
      <c r="R38" s="25" t="n">
        <f aca="false">Supuestos!$D$67+Supuestos!$D$68</f>
        <v>650</v>
      </c>
      <c r="S38" s="25" t="n">
        <f aca="false">Supuestos!$D$67+Supuestos!$D$68</f>
        <v>650</v>
      </c>
      <c r="T38" s="25" t="n">
        <f aca="false">Supuestos!$D$67+Supuestos!$D$68</f>
        <v>650</v>
      </c>
      <c r="U38" s="25" t="n">
        <f aca="false">Supuestos!$D$67+Supuestos!$D$68</f>
        <v>650</v>
      </c>
      <c r="V38" s="25" t="n">
        <f aca="false">Supuestos!$D$67+Supuestos!$D$68</f>
        <v>650</v>
      </c>
      <c r="W38" s="25" t="n">
        <f aca="false">Supuestos!$D$67+Supuestos!$D$68</f>
        <v>650</v>
      </c>
      <c r="X38" s="25" t="n">
        <f aca="false">Supuestos!$D$67+Supuestos!$D$68</f>
        <v>650</v>
      </c>
      <c r="Y38" s="25" t="n">
        <f aca="false">Supuestos!$D$67+Supuestos!$D$68</f>
        <v>650</v>
      </c>
      <c r="Z38" s="25" t="n">
        <f aca="false">Supuestos!$D$67+Supuestos!$D$68</f>
        <v>650</v>
      </c>
      <c r="AA38" s="25" t="n">
        <f aca="false">Supuestos!$D$67+Supuestos!$D$68</f>
        <v>650</v>
      </c>
      <c r="AB38" s="25" t="n">
        <f aca="false">Supuestos!$D$67+Supuestos!$D$68</f>
        <v>650</v>
      </c>
      <c r="AC38" s="25" t="n">
        <f aca="false">Supuestos!$D$67+Supuestos!$D$68</f>
        <v>650</v>
      </c>
      <c r="AD38" s="25" t="n">
        <f aca="false">Supuestos!$D$67+Supuestos!$D$68</f>
        <v>650</v>
      </c>
      <c r="AE38" s="25" t="n">
        <f aca="false">Supuestos!$D$67+Supuestos!$D$68</f>
        <v>650</v>
      </c>
      <c r="AF38" s="25" t="n">
        <f aca="false">Supuestos!$D$67+Supuestos!$D$68</f>
        <v>650</v>
      </c>
      <c r="AG38" s="25" t="n">
        <f aca="false">Supuestos!$D$67+Supuestos!$D$68</f>
        <v>650</v>
      </c>
      <c r="AH38" s="25" t="n">
        <f aca="false">Supuestos!$D$67+Supuestos!$D$68</f>
        <v>650</v>
      </c>
      <c r="AI38" s="25" t="n">
        <f aca="false">Supuestos!$D$67+Supuestos!$D$68</f>
        <v>650</v>
      </c>
      <c r="AJ38" s="25" t="n">
        <f aca="false">Supuestos!$D$67+Supuestos!$D$68</f>
        <v>650</v>
      </c>
      <c r="AK38" s="25" t="n">
        <f aca="false">Supuestos!$D$67+Supuestos!$D$68</f>
        <v>650</v>
      </c>
      <c r="AL38" s="25" t="n">
        <f aca="false">Supuestos!$D$67+Supuestos!$D$68</f>
        <v>650</v>
      </c>
      <c r="AM38" s="25" t="n">
        <f aca="false">Supuestos!$D$67+Supuestos!$D$68</f>
        <v>650</v>
      </c>
    </row>
    <row r="39" customFormat="false" ht="15" hidden="false" customHeight="false" outlineLevel="0" collapsed="false">
      <c r="B39" s="4" t="s">
        <v>416</v>
      </c>
      <c r="D39" s="25" t="n">
        <f aca="false">SUM(D30:D38)*Supuestos!$D$69</f>
        <v>377.874063133333</v>
      </c>
      <c r="E39" s="25" t="n">
        <f aca="false">SUM(E30:E38)*Supuestos!$D$69</f>
        <v>377.874063133333</v>
      </c>
      <c r="F39" s="25" t="n">
        <f aca="false">SUM(F30:F38)*Supuestos!$D$69</f>
        <v>377.874063133333</v>
      </c>
      <c r="G39" s="25" t="n">
        <f aca="false">SUM(G30:G38)*Supuestos!$D$69</f>
        <v>377.874063133333</v>
      </c>
      <c r="H39" s="25" t="n">
        <f aca="false">SUM(H30:H38)*Supuestos!$D$69</f>
        <v>377.874063133333</v>
      </c>
      <c r="I39" s="25" t="n">
        <f aca="false">SUM(I30:I38)*Supuestos!$D$69</f>
        <v>377.874063133333</v>
      </c>
      <c r="J39" s="25" t="n">
        <f aca="false">SUM(J30:J38)*Supuestos!$D$69</f>
        <v>377.874063133333</v>
      </c>
      <c r="K39" s="25" t="n">
        <f aca="false">SUM(K30:K38)*Supuestos!$D$69</f>
        <v>377.874063133333</v>
      </c>
      <c r="L39" s="25" t="n">
        <f aca="false">SUM(L30:L38)*Supuestos!$D$69</f>
        <v>377.874063133333</v>
      </c>
      <c r="M39" s="25" t="n">
        <f aca="false">SUM(M30:M38)*Supuestos!$D$69</f>
        <v>377.874063133333</v>
      </c>
      <c r="N39" s="25" t="n">
        <f aca="false">SUM(N30:N38)*Supuestos!$D$69</f>
        <v>377.874063133333</v>
      </c>
      <c r="O39" s="25" t="n">
        <f aca="false">SUM(O30:O38)*Supuestos!$D$69</f>
        <v>377.874063133333</v>
      </c>
      <c r="P39" s="25" t="n">
        <f aca="false">SUM(P30:P38)*Supuestos!$D$69</f>
        <v>377.874063133333</v>
      </c>
      <c r="Q39" s="25" t="n">
        <f aca="false">SUM(Q30:Q38)*Supuestos!$D$69</f>
        <v>377.874063133333</v>
      </c>
      <c r="R39" s="25" t="n">
        <f aca="false">SUM(R30:R38)*Supuestos!$D$69</f>
        <v>377.874063133333</v>
      </c>
      <c r="S39" s="25" t="n">
        <f aca="false">SUM(S30:S38)*Supuestos!$D$69</f>
        <v>377.874063133333</v>
      </c>
      <c r="T39" s="25" t="n">
        <f aca="false">SUM(T30:T38)*Supuestos!$D$69</f>
        <v>377.874063133333</v>
      </c>
      <c r="U39" s="25" t="n">
        <f aca="false">SUM(U30:U38)*Supuestos!$D$69</f>
        <v>377.874063133333</v>
      </c>
      <c r="V39" s="25" t="n">
        <f aca="false">SUM(V30:V38)*Supuestos!$D$69</f>
        <v>377.874063133333</v>
      </c>
      <c r="W39" s="25" t="n">
        <f aca="false">SUM(W30:W38)*Supuestos!$D$69</f>
        <v>377.874063133333</v>
      </c>
      <c r="X39" s="25" t="n">
        <f aca="false">SUM(X30:X38)*Supuestos!$D$69</f>
        <v>377.874063133333</v>
      </c>
      <c r="Y39" s="25" t="n">
        <f aca="false">SUM(Y30:Y38)*Supuestos!$D$69</f>
        <v>377.874063133333</v>
      </c>
      <c r="Z39" s="25" t="n">
        <f aca="false">SUM(Z30:Z38)*Supuestos!$D$69</f>
        <v>377.874063133333</v>
      </c>
      <c r="AA39" s="25" t="n">
        <f aca="false">SUM(AA30:AA38)*Supuestos!$D$69</f>
        <v>377.874063133333</v>
      </c>
      <c r="AB39" s="25" t="n">
        <f aca="false">SUM(AB30:AB38)*Supuestos!$D$69</f>
        <v>377.874063133333</v>
      </c>
      <c r="AC39" s="25" t="n">
        <f aca="false">SUM(AC30:AC38)*Supuestos!$D$69</f>
        <v>377.874063133333</v>
      </c>
      <c r="AD39" s="25" t="n">
        <f aca="false">SUM(AD30:AD38)*Supuestos!$D$69</f>
        <v>377.874063133333</v>
      </c>
      <c r="AE39" s="25" t="n">
        <f aca="false">SUM(AE30:AE38)*Supuestos!$D$69</f>
        <v>377.874063133333</v>
      </c>
      <c r="AF39" s="25" t="n">
        <f aca="false">SUM(AF30:AF38)*Supuestos!$D$69</f>
        <v>377.874063133333</v>
      </c>
      <c r="AG39" s="25" t="n">
        <f aca="false">SUM(AG30:AG38)*Supuestos!$D$69</f>
        <v>377.874063133333</v>
      </c>
      <c r="AH39" s="25" t="n">
        <f aca="false">SUM(AH30:AH38)*Supuestos!$D$69</f>
        <v>377.874063133333</v>
      </c>
      <c r="AI39" s="25" t="n">
        <f aca="false">SUM(AI30:AI38)*Supuestos!$D$69</f>
        <v>377.874063133333</v>
      </c>
      <c r="AJ39" s="25" t="n">
        <f aca="false">SUM(AJ30:AJ38)*Supuestos!$D$69</f>
        <v>377.874063133333</v>
      </c>
      <c r="AK39" s="25" t="n">
        <f aca="false">SUM(AK30:AK38)*Supuestos!$D$69</f>
        <v>377.874063133333</v>
      </c>
      <c r="AL39" s="25" t="n">
        <f aca="false">SUM(AL30:AL38)*Supuestos!$D$69</f>
        <v>377.874063133333</v>
      </c>
      <c r="AM39" s="25" t="n">
        <f aca="false">SUM(AM30:AM38)*Supuestos!$D$69</f>
        <v>377.874063133333</v>
      </c>
    </row>
    <row r="40" customFormat="false" ht="15" hidden="false" customHeight="false" outlineLevel="0" collapsed="false">
      <c r="B40" s="11" t="s">
        <v>417</v>
      </c>
      <c r="D40" s="25" t="n">
        <f aca="false">SUM(D30:D39)</f>
        <v>5101.2998523</v>
      </c>
      <c r="E40" s="25" t="n">
        <f aca="false">SUM(E30:E39)</f>
        <v>5101.2998523</v>
      </c>
      <c r="F40" s="25" t="n">
        <f aca="false">SUM(F30:F39)</f>
        <v>5101.2998523</v>
      </c>
      <c r="G40" s="25" t="n">
        <f aca="false">SUM(G30:G39)</f>
        <v>5101.2998523</v>
      </c>
      <c r="H40" s="25" t="n">
        <f aca="false">SUM(H30:H39)</f>
        <v>5101.2998523</v>
      </c>
      <c r="I40" s="25" t="n">
        <f aca="false">SUM(I30:I39)</f>
        <v>5101.2998523</v>
      </c>
      <c r="J40" s="25" t="n">
        <f aca="false">SUM(J30:J39)</f>
        <v>5101.2998523</v>
      </c>
      <c r="K40" s="25" t="n">
        <f aca="false">SUM(K30:K39)</f>
        <v>5101.2998523</v>
      </c>
      <c r="L40" s="25" t="n">
        <f aca="false">SUM(L30:L39)</f>
        <v>5101.2998523</v>
      </c>
      <c r="M40" s="25" t="n">
        <f aca="false">SUM(M30:M39)</f>
        <v>5101.2998523</v>
      </c>
      <c r="N40" s="25" t="n">
        <f aca="false">SUM(N30:N39)</f>
        <v>5101.2998523</v>
      </c>
      <c r="O40" s="25" t="n">
        <f aca="false">SUM(O30:O39)</f>
        <v>5101.2998523</v>
      </c>
      <c r="P40" s="25" t="n">
        <f aca="false">SUM(P30:P39)</f>
        <v>5101.2998523</v>
      </c>
      <c r="Q40" s="25" t="n">
        <f aca="false">SUM(Q30:Q39)</f>
        <v>5101.2998523</v>
      </c>
      <c r="R40" s="25" t="n">
        <f aca="false">SUM(R30:R39)</f>
        <v>5101.2998523</v>
      </c>
      <c r="S40" s="25" t="n">
        <f aca="false">SUM(S30:S39)</f>
        <v>5101.2998523</v>
      </c>
      <c r="T40" s="25" t="n">
        <f aca="false">SUM(T30:T39)</f>
        <v>5101.2998523</v>
      </c>
      <c r="U40" s="25" t="n">
        <f aca="false">SUM(U30:U39)</f>
        <v>5101.2998523</v>
      </c>
      <c r="V40" s="25" t="n">
        <f aca="false">SUM(V30:V39)</f>
        <v>5101.2998523</v>
      </c>
      <c r="W40" s="25" t="n">
        <f aca="false">SUM(W30:W39)</f>
        <v>5101.2998523</v>
      </c>
      <c r="X40" s="25" t="n">
        <f aca="false">SUM(X30:X39)</f>
        <v>5101.2998523</v>
      </c>
      <c r="Y40" s="25" t="n">
        <f aca="false">SUM(Y30:Y39)</f>
        <v>5101.2998523</v>
      </c>
      <c r="Z40" s="25" t="n">
        <f aca="false">SUM(Z30:Z39)</f>
        <v>5101.2998523</v>
      </c>
      <c r="AA40" s="25" t="n">
        <f aca="false">SUM(AA30:AA39)</f>
        <v>5101.2998523</v>
      </c>
      <c r="AB40" s="25" t="n">
        <f aca="false">SUM(AB30:AB39)</f>
        <v>5101.2998523</v>
      </c>
      <c r="AC40" s="25" t="n">
        <f aca="false">SUM(AC30:AC39)</f>
        <v>5101.2998523</v>
      </c>
      <c r="AD40" s="25" t="n">
        <f aca="false">SUM(AD30:AD39)</f>
        <v>5101.2998523</v>
      </c>
      <c r="AE40" s="25" t="n">
        <f aca="false">SUM(AE30:AE39)</f>
        <v>5101.2998523</v>
      </c>
      <c r="AF40" s="25" t="n">
        <f aca="false">SUM(AF30:AF39)</f>
        <v>5101.2998523</v>
      </c>
      <c r="AG40" s="25" t="n">
        <f aca="false">SUM(AG30:AG39)</f>
        <v>5101.2998523</v>
      </c>
      <c r="AH40" s="25" t="n">
        <f aca="false">SUM(AH30:AH39)</f>
        <v>5101.2998523</v>
      </c>
      <c r="AI40" s="25" t="n">
        <f aca="false">SUM(AI30:AI39)</f>
        <v>5101.2998523</v>
      </c>
      <c r="AJ40" s="25" t="n">
        <f aca="false">SUM(AJ30:AJ39)</f>
        <v>5101.2998523</v>
      </c>
      <c r="AK40" s="25" t="n">
        <f aca="false">SUM(AK30:AK39)</f>
        <v>5101.2998523</v>
      </c>
      <c r="AL40" s="25" t="n">
        <f aca="false">SUM(AL30:AL39)</f>
        <v>5101.2998523</v>
      </c>
      <c r="AM40" s="25" t="n">
        <f aca="false">SUM(AM30:AM39)</f>
        <v>5101.2998523</v>
      </c>
    </row>
    <row r="41" customFormat="false" ht="15" hidden="false" customHeight="false" outlineLevel="0" collapsed="false">
      <c r="B41" s="14" t="s">
        <v>418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customFormat="false" ht="15" hidden="false" customHeight="false" outlineLevel="0" collapsed="false">
      <c r="B42" s="11" t="s">
        <v>419</v>
      </c>
      <c r="D42" s="8" t="n">
        <f aca="false">D28-D40</f>
        <v>-5009.59929004274</v>
      </c>
      <c r="E42" s="8" t="n">
        <f aca="false">E28-E40</f>
        <v>-4922.10023086169</v>
      </c>
      <c r="F42" s="8" t="n">
        <f aca="false">F28-F40</f>
        <v>-4838.48381866784</v>
      </c>
      <c r="G42" s="8" t="n">
        <f aca="false">G28-G40</f>
        <v>-4758.45584265146</v>
      </c>
      <c r="H42" s="8" t="n">
        <f aca="false">H28-H40</f>
        <v>-4681.74480882013</v>
      </c>
      <c r="I42" s="8" t="n">
        <f aca="false">I28-I40</f>
        <v>-4608.10016365575</v>
      </c>
      <c r="J42" s="8" t="n">
        <f aca="false">J28-J40</f>
        <v>-4537.2906578288</v>
      </c>
      <c r="K42" s="8" t="n">
        <f aca="false">K28-K40</f>
        <v>-4469.10283886795</v>
      </c>
      <c r="L42" s="8" t="n">
        <f aca="false">L28-L40</f>
        <v>-4403.33966256581</v>
      </c>
      <c r="M42" s="8" t="n">
        <f aca="false">M28-M40</f>
        <v>-4340.10995610659</v>
      </c>
      <c r="N42" s="8" t="n">
        <f aca="false">N28-N40</f>
        <v>-4308.65972874485</v>
      </c>
      <c r="O42" s="8" t="n">
        <f aca="false">O28-O40</f>
        <v>-4278.78460745931</v>
      </c>
      <c r="P42" s="8" t="n">
        <f aca="false">P28-P40</f>
        <v>-4284.78268000429</v>
      </c>
      <c r="Q42" s="8" t="n">
        <f aca="false">Q28-Q40</f>
        <v>-4290.30090674567</v>
      </c>
      <c r="R42" s="8" t="n">
        <f aca="false">R28-R40</f>
        <v>-4295.37767534774</v>
      </c>
      <c r="S42" s="8" t="n">
        <f aca="false">S28-S40</f>
        <v>-4300.04830246165</v>
      </c>
      <c r="T42" s="8" t="n">
        <f aca="false">T28-T40</f>
        <v>-4304.34527940644</v>
      </c>
      <c r="U42" s="8" t="n">
        <f aca="false">U28-U40</f>
        <v>-4308.29849819565</v>
      </c>
      <c r="V42" s="8" t="n">
        <f aca="false">V28-V40</f>
        <v>-4311.93545948172</v>
      </c>
      <c r="W42" s="8" t="n">
        <f aca="false">W28-W40</f>
        <v>-4315.28146386491</v>
      </c>
      <c r="X42" s="8" t="n">
        <f aca="false">X28-X40</f>
        <v>-4318.35978789744</v>
      </c>
      <c r="Y42" s="8" t="n">
        <f aca="false">Y28-Y40</f>
        <v>-4321.19184600737</v>
      </c>
      <c r="Z42" s="8" t="n">
        <f aca="false">Z28-Z40</f>
        <v>-4323.7973394685</v>
      </c>
      <c r="AA42" s="8" t="n">
        <f aca="false">AA28-AA40</f>
        <v>-4326.19439345275</v>
      </c>
      <c r="AB42" s="8" t="n">
        <f aca="false">AB28-AB40</f>
        <v>-4328.39968311825</v>
      </c>
      <c r="AC42" s="8" t="n">
        <f aca="false">AC28-AC40</f>
        <v>-4330.42854961051</v>
      </c>
      <c r="AD42" s="8" t="n">
        <f aca="false">AD28-AD40</f>
        <v>-4332.2951067834</v>
      </c>
      <c r="AE42" s="8" t="n">
        <f aca="false">AE28-AE40</f>
        <v>-4334.01233938245</v>
      </c>
      <c r="AF42" s="8" t="n">
        <f aca="false">AF28-AF40</f>
        <v>-4335.59219337358</v>
      </c>
      <c r="AG42" s="8" t="n">
        <f aca="false">AG28-AG40</f>
        <v>-4337.04565904542</v>
      </c>
      <c r="AH42" s="8" t="n">
        <f aca="false">AH28-AH40</f>
        <v>-4338.38284746351</v>
      </c>
      <c r="AI42" s="8" t="n">
        <f aca="false">AI28-AI40</f>
        <v>-4339.61306080815</v>
      </c>
      <c r="AJ42" s="8" t="n">
        <f aca="false">AJ28-AJ40</f>
        <v>-4340.74485708522</v>
      </c>
      <c r="AK42" s="8" t="n">
        <f aca="false">AK28-AK40</f>
        <v>-4341.78610966013</v>
      </c>
      <c r="AL42" s="8" t="n">
        <f aca="false">AL28-AL40</f>
        <v>-4342.74406202904</v>
      </c>
      <c r="AM42" s="8" t="n">
        <f aca="false">AM28-AM40</f>
        <v>-4343.62537820844</v>
      </c>
    </row>
    <row r="43" customFormat="false" ht="15" hidden="false" customHeight="false" outlineLevel="0" collapsed="false">
      <c r="B43" s="4" t="s">
        <v>420</v>
      </c>
      <c r="C43" s="25" t="n">
        <f aca="false">-Inversion!D21</f>
        <v>-275790.1894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0</v>
      </c>
      <c r="Q43" s="25" t="n">
        <v>0</v>
      </c>
      <c r="R43" s="25" t="n">
        <v>0</v>
      </c>
      <c r="S43" s="25" t="n">
        <v>0</v>
      </c>
      <c r="T43" s="25" t="n">
        <v>0</v>
      </c>
      <c r="U43" s="25" t="n">
        <v>0</v>
      </c>
      <c r="V43" s="25" t="n">
        <v>0</v>
      </c>
      <c r="W43" s="25" t="n">
        <v>0</v>
      </c>
      <c r="X43" s="25" t="n">
        <v>0</v>
      </c>
      <c r="Y43" s="25" t="n">
        <v>0</v>
      </c>
      <c r="Z43" s="25" t="n">
        <v>0</v>
      </c>
      <c r="AA43" s="25" t="n">
        <v>0</v>
      </c>
      <c r="AB43" s="25" t="n">
        <v>0</v>
      </c>
      <c r="AC43" s="25" t="n">
        <v>0</v>
      </c>
      <c r="AD43" s="25" t="n">
        <v>0</v>
      </c>
      <c r="AE43" s="25" t="n">
        <v>0</v>
      </c>
      <c r="AF43" s="25" t="n">
        <v>0</v>
      </c>
      <c r="AG43" s="25" t="n">
        <v>0</v>
      </c>
      <c r="AH43" s="25" t="n">
        <v>0</v>
      </c>
      <c r="AI43" s="25" t="n">
        <v>0</v>
      </c>
      <c r="AJ43" s="25" t="n">
        <v>0</v>
      </c>
      <c r="AK43" s="25" t="n">
        <v>0</v>
      </c>
      <c r="AL43" s="25" t="n">
        <v>0</v>
      </c>
      <c r="AM43" s="25" t="n">
        <v>0</v>
      </c>
    </row>
    <row r="44" customFormat="false" ht="15" hidden="false" customHeight="false" outlineLevel="0" collapsed="false">
      <c r="B44" s="11" t="s">
        <v>421</v>
      </c>
      <c r="C44" s="25" t="n">
        <f aca="false">C43</f>
        <v>-275790.1894</v>
      </c>
      <c r="D44" s="8" t="n">
        <f aca="false">D42+D43</f>
        <v>-5009.59929004274</v>
      </c>
      <c r="E44" s="8" t="n">
        <f aca="false">E42+E43</f>
        <v>-4922.10023086169</v>
      </c>
      <c r="F44" s="8" t="n">
        <f aca="false">F42+F43</f>
        <v>-4838.48381866784</v>
      </c>
      <c r="G44" s="8" t="n">
        <f aca="false">G42+G43</f>
        <v>-4758.45584265146</v>
      </c>
      <c r="H44" s="8" t="n">
        <f aca="false">H42+H43</f>
        <v>-4681.74480882013</v>
      </c>
      <c r="I44" s="8" t="n">
        <f aca="false">I42+I43</f>
        <v>-4608.10016365575</v>
      </c>
      <c r="J44" s="8" t="n">
        <f aca="false">J42+J43</f>
        <v>-4537.2906578288</v>
      </c>
      <c r="K44" s="8" t="n">
        <f aca="false">K42+K43</f>
        <v>-4469.10283886795</v>
      </c>
      <c r="L44" s="8" t="n">
        <f aca="false">L42+L43</f>
        <v>-4403.33966256581</v>
      </c>
      <c r="M44" s="8" t="n">
        <f aca="false">M42+M43</f>
        <v>-4340.10995610659</v>
      </c>
      <c r="N44" s="8" t="n">
        <f aca="false">N42+N43</f>
        <v>-4308.65972874485</v>
      </c>
      <c r="O44" s="8" t="n">
        <f aca="false">O42+O43</f>
        <v>-4278.78460745931</v>
      </c>
      <c r="P44" s="8" t="n">
        <f aca="false">P42+P43</f>
        <v>-4284.78268000429</v>
      </c>
      <c r="Q44" s="8" t="n">
        <f aca="false">Q42+Q43</f>
        <v>-4290.30090674567</v>
      </c>
      <c r="R44" s="8" t="n">
        <f aca="false">R42+R43</f>
        <v>-4295.37767534774</v>
      </c>
      <c r="S44" s="8" t="n">
        <f aca="false">S42+S43</f>
        <v>-4300.04830246165</v>
      </c>
      <c r="T44" s="8" t="n">
        <f aca="false">T42+T43</f>
        <v>-4304.34527940644</v>
      </c>
      <c r="U44" s="8" t="n">
        <f aca="false">U42+U43</f>
        <v>-4308.29849819565</v>
      </c>
      <c r="V44" s="8" t="n">
        <f aca="false">V42+V43</f>
        <v>-4311.93545948172</v>
      </c>
      <c r="W44" s="8" t="n">
        <f aca="false">W42+W43</f>
        <v>-4315.28146386491</v>
      </c>
      <c r="X44" s="8" t="n">
        <f aca="false">X42+X43</f>
        <v>-4318.35978789744</v>
      </c>
      <c r="Y44" s="8" t="n">
        <f aca="false">Y42+Y43</f>
        <v>-4321.19184600737</v>
      </c>
      <c r="Z44" s="8" t="n">
        <f aca="false">Z42+Z43</f>
        <v>-4323.7973394685</v>
      </c>
      <c r="AA44" s="8" t="n">
        <f aca="false">AA42+AA43</f>
        <v>-4326.19439345275</v>
      </c>
      <c r="AB44" s="8" t="n">
        <f aca="false">AB42+AB43</f>
        <v>-4328.39968311825</v>
      </c>
      <c r="AC44" s="8" t="n">
        <f aca="false">AC42+AC43</f>
        <v>-4330.42854961051</v>
      </c>
      <c r="AD44" s="8" t="n">
        <f aca="false">AD42+AD43</f>
        <v>-4332.2951067834</v>
      </c>
      <c r="AE44" s="8" t="n">
        <f aca="false">AE42+AE43</f>
        <v>-4334.01233938245</v>
      </c>
      <c r="AF44" s="8" t="n">
        <f aca="false">AF42+AF43</f>
        <v>-4335.59219337358</v>
      </c>
      <c r="AG44" s="8" t="n">
        <f aca="false">AG42+AG43</f>
        <v>-4337.04565904542</v>
      </c>
      <c r="AH44" s="8" t="n">
        <f aca="false">AH42+AH43</f>
        <v>-4338.38284746351</v>
      </c>
      <c r="AI44" s="8" t="n">
        <f aca="false">AI42+AI43</f>
        <v>-4339.61306080815</v>
      </c>
      <c r="AJ44" s="8" t="n">
        <f aca="false">AJ42+AJ43</f>
        <v>-4340.74485708522</v>
      </c>
      <c r="AK44" s="8" t="n">
        <f aca="false">AK42+AK43</f>
        <v>-4341.78610966013</v>
      </c>
      <c r="AL44" s="8" t="n">
        <f aca="false">AL42+AL43</f>
        <v>-4342.74406202904</v>
      </c>
      <c r="AM44" s="8" t="n">
        <f aca="false">AM42+AM43</f>
        <v>-4343.62537820844</v>
      </c>
    </row>
    <row r="45" customFormat="false" ht="15" hidden="false" customHeight="false" outlineLevel="0" collapsed="false">
      <c r="B45" s="4" t="s">
        <v>422</v>
      </c>
      <c r="C45" s="25" t="n">
        <f aca="false">C44</f>
        <v>-275790.1894</v>
      </c>
      <c r="D45" s="25" t="n">
        <f aca="false">C45+D44</f>
        <v>-280799.788690043</v>
      </c>
      <c r="E45" s="25" t="n">
        <f aca="false">D45+E44</f>
        <v>-285721.888920905</v>
      </c>
      <c r="F45" s="25" t="n">
        <f aca="false">E45+F44</f>
        <v>-290560.372739572</v>
      </c>
      <c r="G45" s="25" t="n">
        <f aca="false">F45+G44</f>
        <v>-295318.828582224</v>
      </c>
      <c r="H45" s="25" t="n">
        <f aca="false">G45+H44</f>
        <v>-300000.573391044</v>
      </c>
      <c r="I45" s="25" t="n">
        <f aca="false">H45+I44</f>
        <v>-304608.6735547</v>
      </c>
      <c r="J45" s="25" t="n">
        <f aca="false">I45+J44</f>
        <v>-309145.964212529</v>
      </c>
      <c r="K45" s="25" t="n">
        <f aca="false">J45+K44</f>
        <v>-313615.067051396</v>
      </c>
      <c r="L45" s="25" t="n">
        <f aca="false">K45+L44</f>
        <v>-318018.406713962</v>
      </c>
      <c r="M45" s="25" t="n">
        <f aca="false">L45+M44</f>
        <v>-322358.516670069</v>
      </c>
      <c r="N45" s="25" t="n">
        <f aca="false">M45+N44</f>
        <v>-326667.176398814</v>
      </c>
      <c r="O45" s="25" t="n">
        <f aca="false">N45+O44</f>
        <v>-330945.961006273</v>
      </c>
      <c r="P45" s="25" t="n">
        <f aca="false">O45+P44</f>
        <v>-335230.743686277</v>
      </c>
      <c r="Q45" s="25" t="n">
        <f aca="false">P45+Q44</f>
        <v>-339521.044593023</v>
      </c>
      <c r="R45" s="25" t="n">
        <f aca="false">Q45+R44</f>
        <v>-343816.422268371</v>
      </c>
      <c r="S45" s="25" t="n">
        <f aca="false">R45+S44</f>
        <v>-348116.470570832</v>
      </c>
      <c r="T45" s="25" t="n">
        <f aca="false">S45+T44</f>
        <v>-352420.815850239</v>
      </c>
      <c r="U45" s="25" t="n">
        <f aca="false">T45+U44</f>
        <v>-356729.114348434</v>
      </c>
      <c r="V45" s="25" t="n">
        <f aca="false">U45+V44</f>
        <v>-361041.049807916</v>
      </c>
      <c r="W45" s="25" t="n">
        <f aca="false">V45+W44</f>
        <v>-365356.331271781</v>
      </c>
      <c r="X45" s="25" t="n">
        <f aca="false">W45+X44</f>
        <v>-369674.691059678</v>
      </c>
      <c r="Y45" s="25" t="n">
        <f aca="false">X45+Y44</f>
        <v>-373995.882905686</v>
      </c>
      <c r="Z45" s="25" t="n">
        <f aca="false">Y45+Z44</f>
        <v>-378319.680245154</v>
      </c>
      <c r="AA45" s="25" t="n">
        <f aca="false">Z45+AA44</f>
        <v>-382645.874638607</v>
      </c>
      <c r="AB45" s="25" t="n">
        <f aca="false">AA45+AB44</f>
        <v>-386974.274321725</v>
      </c>
      <c r="AC45" s="25" t="n">
        <f aca="false">AB45+AC44</f>
        <v>-391304.702871336</v>
      </c>
      <c r="AD45" s="25" t="n">
        <f aca="false">AC45+AD44</f>
        <v>-395636.997978119</v>
      </c>
      <c r="AE45" s="25" t="n">
        <f aca="false">AD45+AE44</f>
        <v>-399971.010317502</v>
      </c>
      <c r="AF45" s="25" t="n">
        <f aca="false">AE45+AF44</f>
        <v>-404306.602510875</v>
      </c>
      <c r="AG45" s="25" t="n">
        <f aca="false">AF45+AG44</f>
        <v>-408643.648169921</v>
      </c>
      <c r="AH45" s="25" t="n">
        <f aca="false">AG45+AH44</f>
        <v>-412982.031017384</v>
      </c>
      <c r="AI45" s="25" t="n">
        <f aca="false">AH45+AI44</f>
        <v>-417321.644078192</v>
      </c>
      <c r="AJ45" s="25" t="n">
        <f aca="false">AI45+AJ44</f>
        <v>-421662.388935278</v>
      </c>
      <c r="AK45" s="25" t="n">
        <f aca="false">AJ45+AK44</f>
        <v>-426004.175044938</v>
      </c>
      <c r="AL45" s="25" t="n">
        <f aca="false">AK45+AL44</f>
        <v>-430346.919106967</v>
      </c>
      <c r="AM45" s="25" t="n">
        <f aca="false">AL45+AM44</f>
        <v>-434690.544485175</v>
      </c>
    </row>
    <row r="46" customFormat="false" ht="15" hidden="false" customHeight="false" outlineLevel="0" collapsed="false">
      <c r="B46" s="4" t="s">
        <v>423</v>
      </c>
      <c r="C46" s="25" t="n">
        <f aca="false">-Supuestos!$D$91*Supuestos!$D$10</f>
        <v>-0</v>
      </c>
      <c r="D46" s="25" t="n">
        <f aca="false">-Supuestos!$D$91</f>
        <v>-0</v>
      </c>
      <c r="E46" s="25" t="n">
        <f aca="false">-Supuestos!$D$91</f>
        <v>-0</v>
      </c>
      <c r="F46" s="25" t="n">
        <f aca="false">-Supuestos!$D$91</f>
        <v>-0</v>
      </c>
      <c r="G46" s="25" t="n">
        <f aca="false">-Supuestos!$D$91</f>
        <v>-0</v>
      </c>
      <c r="H46" s="25" t="n">
        <f aca="false">-Supuestos!$D$91</f>
        <v>-0</v>
      </c>
      <c r="I46" s="25" t="n">
        <f aca="false">-Supuestos!$D$91</f>
        <v>-0</v>
      </c>
      <c r="J46" s="25" t="n">
        <f aca="false">-Supuestos!$D$91</f>
        <v>-0</v>
      </c>
      <c r="K46" s="25" t="n">
        <f aca="false">-Supuestos!$D$91</f>
        <v>-0</v>
      </c>
      <c r="L46" s="25" t="n">
        <f aca="false">-Supuestos!$D$91</f>
        <v>-0</v>
      </c>
      <c r="M46" s="25" t="n">
        <f aca="false">-Supuestos!$D$91</f>
        <v>-0</v>
      </c>
      <c r="N46" s="25" t="n">
        <f aca="false">-Supuestos!$D$91</f>
        <v>-0</v>
      </c>
      <c r="O46" s="25" t="n">
        <f aca="false">-Supuestos!$D$91</f>
        <v>-0</v>
      </c>
      <c r="P46" s="25" t="n">
        <f aca="false">-Supuestos!$D$91</f>
        <v>-0</v>
      </c>
      <c r="Q46" s="25" t="n">
        <f aca="false">-Supuestos!$D$91</f>
        <v>-0</v>
      </c>
      <c r="R46" s="25" t="n">
        <f aca="false">-Supuestos!$D$91</f>
        <v>-0</v>
      </c>
      <c r="S46" s="25" t="n">
        <f aca="false">-Supuestos!$D$91</f>
        <v>-0</v>
      </c>
      <c r="T46" s="25" t="n">
        <f aca="false">-Supuestos!$D$91</f>
        <v>-0</v>
      </c>
      <c r="U46" s="25" t="n">
        <f aca="false">-Supuestos!$D$91</f>
        <v>-0</v>
      </c>
      <c r="V46" s="25" t="n">
        <f aca="false">-Supuestos!$D$91</f>
        <v>-0</v>
      </c>
      <c r="W46" s="25" t="n">
        <f aca="false">-Supuestos!$D$91</f>
        <v>-0</v>
      </c>
      <c r="X46" s="25" t="n">
        <f aca="false">-Supuestos!$D$91</f>
        <v>-0</v>
      </c>
      <c r="Y46" s="25" t="n">
        <f aca="false">-Supuestos!$D$91</f>
        <v>-0</v>
      </c>
      <c r="Z46" s="25" t="n">
        <f aca="false">-Supuestos!$D$91</f>
        <v>-0</v>
      </c>
      <c r="AA46" s="25" t="n">
        <f aca="false">-Supuestos!$D$91</f>
        <v>-0</v>
      </c>
      <c r="AB46" s="25" t="n">
        <f aca="false">-Supuestos!$D$91</f>
        <v>-0</v>
      </c>
      <c r="AC46" s="25" t="n">
        <f aca="false">-Supuestos!$D$91</f>
        <v>-0</v>
      </c>
      <c r="AD46" s="25" t="n">
        <f aca="false">-Supuestos!$D$91</f>
        <v>-0</v>
      </c>
      <c r="AE46" s="25" t="n">
        <f aca="false">-Supuestos!$D$91</f>
        <v>-0</v>
      </c>
      <c r="AF46" s="25" t="n">
        <f aca="false">-Supuestos!$D$91</f>
        <v>-0</v>
      </c>
      <c r="AG46" s="25" t="n">
        <f aca="false">-Supuestos!$D$91</f>
        <v>-0</v>
      </c>
      <c r="AH46" s="25" t="n">
        <f aca="false">-Supuestos!$D$91</f>
        <v>-0</v>
      </c>
      <c r="AI46" s="25" t="n">
        <f aca="false">-Supuestos!$D$91</f>
        <v>-0</v>
      </c>
      <c r="AJ46" s="25" t="n">
        <f aca="false">-Supuestos!$D$91</f>
        <v>-0</v>
      </c>
      <c r="AK46" s="25" t="n">
        <f aca="false">-Supuestos!$D$91</f>
        <v>-0</v>
      </c>
      <c r="AL46" s="25" t="n">
        <f aca="false">-Supuestos!$D$91</f>
        <v>-0</v>
      </c>
      <c r="AM46" s="25" t="n">
        <f aca="false">-Supuestos!$D$91</f>
        <v>-0</v>
      </c>
    </row>
    <row r="47" customFormat="false" ht="15" hidden="false" customHeight="false" outlineLevel="0" collapsed="false">
      <c r="B47" s="11" t="s">
        <v>424</v>
      </c>
      <c r="C47" s="25" t="n">
        <f aca="false">C44+C46</f>
        <v>-275790.1894</v>
      </c>
      <c r="D47" s="8" t="n">
        <f aca="false">D44+D46</f>
        <v>-5009.59929004274</v>
      </c>
      <c r="E47" s="8" t="n">
        <f aca="false">E44+E46</f>
        <v>-4922.10023086169</v>
      </c>
      <c r="F47" s="8" t="n">
        <f aca="false">F44+F46</f>
        <v>-4838.48381866784</v>
      </c>
      <c r="G47" s="8" t="n">
        <f aca="false">G44+G46</f>
        <v>-4758.45584265146</v>
      </c>
      <c r="H47" s="8" t="n">
        <f aca="false">H44+H46</f>
        <v>-4681.74480882013</v>
      </c>
      <c r="I47" s="8" t="n">
        <f aca="false">I44+I46</f>
        <v>-4608.10016365575</v>
      </c>
      <c r="J47" s="8" t="n">
        <f aca="false">J44+J46</f>
        <v>-4537.2906578288</v>
      </c>
      <c r="K47" s="8" t="n">
        <f aca="false">K44+K46</f>
        <v>-4469.10283886795</v>
      </c>
      <c r="L47" s="8" t="n">
        <f aca="false">L44+L46</f>
        <v>-4403.33966256581</v>
      </c>
      <c r="M47" s="8" t="n">
        <f aca="false">M44+M46</f>
        <v>-4340.10995610659</v>
      </c>
      <c r="N47" s="8" t="n">
        <f aca="false">N44+N46</f>
        <v>-4308.65972874485</v>
      </c>
      <c r="O47" s="8" t="n">
        <f aca="false">O44+O46</f>
        <v>-4278.78460745931</v>
      </c>
      <c r="P47" s="8" t="n">
        <f aca="false">P44+P46</f>
        <v>-4284.78268000429</v>
      </c>
      <c r="Q47" s="8" t="n">
        <f aca="false">Q44+Q46</f>
        <v>-4290.30090674567</v>
      </c>
      <c r="R47" s="8" t="n">
        <f aca="false">R44+R46</f>
        <v>-4295.37767534774</v>
      </c>
      <c r="S47" s="8" t="n">
        <f aca="false">S44+S46</f>
        <v>-4300.04830246165</v>
      </c>
      <c r="T47" s="8" t="n">
        <f aca="false">T44+T46</f>
        <v>-4304.34527940644</v>
      </c>
      <c r="U47" s="8" t="n">
        <f aca="false">U44+U46</f>
        <v>-4308.29849819565</v>
      </c>
      <c r="V47" s="8" t="n">
        <f aca="false">V44+V46</f>
        <v>-4311.93545948172</v>
      </c>
      <c r="W47" s="8" t="n">
        <f aca="false">W44+W46</f>
        <v>-4315.28146386491</v>
      </c>
      <c r="X47" s="8" t="n">
        <f aca="false">X44+X46</f>
        <v>-4318.35978789744</v>
      </c>
      <c r="Y47" s="8" t="n">
        <f aca="false">Y44+Y46</f>
        <v>-4321.19184600737</v>
      </c>
      <c r="Z47" s="8" t="n">
        <f aca="false">Z44+Z46</f>
        <v>-4323.7973394685</v>
      </c>
      <c r="AA47" s="8" t="n">
        <f aca="false">AA44+AA46</f>
        <v>-4326.19439345275</v>
      </c>
      <c r="AB47" s="8" t="n">
        <f aca="false">AB44+AB46</f>
        <v>-4328.39968311825</v>
      </c>
      <c r="AC47" s="8" t="n">
        <f aca="false">AC44+AC46</f>
        <v>-4330.42854961051</v>
      </c>
      <c r="AD47" s="8" t="n">
        <f aca="false">AD44+AD46</f>
        <v>-4332.2951067834</v>
      </c>
      <c r="AE47" s="8" t="n">
        <f aca="false">AE44+AE46</f>
        <v>-4334.01233938245</v>
      </c>
      <c r="AF47" s="8" t="n">
        <f aca="false">AF44+AF46</f>
        <v>-4335.59219337358</v>
      </c>
      <c r="AG47" s="8" t="n">
        <f aca="false">AG44+AG46</f>
        <v>-4337.04565904542</v>
      </c>
      <c r="AH47" s="8" t="n">
        <f aca="false">AH44+AH46</f>
        <v>-4338.38284746351</v>
      </c>
      <c r="AI47" s="8" t="n">
        <f aca="false">AI44+AI46</f>
        <v>-4339.61306080815</v>
      </c>
      <c r="AJ47" s="8" t="n">
        <f aca="false">AJ44+AJ46</f>
        <v>-4340.74485708522</v>
      </c>
      <c r="AK47" s="8" t="n">
        <f aca="false">AK44+AK46</f>
        <v>-4341.78610966013</v>
      </c>
      <c r="AL47" s="8" t="n">
        <f aca="false">AL44+AL46</f>
        <v>-4342.74406202904</v>
      </c>
      <c r="AM47" s="8" t="n">
        <f aca="false">AM44+AM46</f>
        <v>-4343.62537820844</v>
      </c>
    </row>
    <row r="48" customFormat="false" ht="15" hidden="false" customHeight="false" outlineLevel="0" collapsed="false">
      <c r="B48" s="4" t="s">
        <v>425</v>
      </c>
      <c r="C48" s="25" t="n">
        <f aca="false">C47</f>
        <v>-275790.1894</v>
      </c>
      <c r="D48" s="25" t="n">
        <f aca="false">C48+D47</f>
        <v>-280799.788690043</v>
      </c>
      <c r="E48" s="25" t="n">
        <f aca="false">D48+E47</f>
        <v>-285721.888920905</v>
      </c>
      <c r="F48" s="25" t="n">
        <f aca="false">E48+F47</f>
        <v>-290560.372739572</v>
      </c>
      <c r="G48" s="25" t="n">
        <f aca="false">F48+G47</f>
        <v>-295318.828582224</v>
      </c>
      <c r="H48" s="25" t="n">
        <f aca="false">G48+H47</f>
        <v>-300000.573391044</v>
      </c>
      <c r="I48" s="25" t="n">
        <f aca="false">H48+I47</f>
        <v>-304608.6735547</v>
      </c>
      <c r="J48" s="25" t="n">
        <f aca="false">I48+J47</f>
        <v>-309145.964212529</v>
      </c>
      <c r="K48" s="25" t="n">
        <f aca="false">J48+K47</f>
        <v>-313615.067051396</v>
      </c>
      <c r="L48" s="25" t="n">
        <f aca="false">K48+L47</f>
        <v>-318018.406713962</v>
      </c>
      <c r="M48" s="25" t="n">
        <f aca="false">L48+M47</f>
        <v>-322358.516670069</v>
      </c>
      <c r="N48" s="25" t="n">
        <f aca="false">M48+N47</f>
        <v>-326667.176398814</v>
      </c>
      <c r="O48" s="25" t="n">
        <f aca="false">N48+O47</f>
        <v>-330945.961006273</v>
      </c>
      <c r="P48" s="25" t="n">
        <f aca="false">O48+P47</f>
        <v>-335230.743686277</v>
      </c>
      <c r="Q48" s="25" t="n">
        <f aca="false">P48+Q47</f>
        <v>-339521.044593023</v>
      </c>
      <c r="R48" s="25" t="n">
        <f aca="false">Q48+R47</f>
        <v>-343816.422268371</v>
      </c>
      <c r="S48" s="25" t="n">
        <f aca="false">R48+S47</f>
        <v>-348116.470570832</v>
      </c>
      <c r="T48" s="25" t="n">
        <f aca="false">S48+T47</f>
        <v>-352420.815850239</v>
      </c>
      <c r="U48" s="25" t="n">
        <f aca="false">T48+U47</f>
        <v>-356729.114348434</v>
      </c>
      <c r="V48" s="25" t="n">
        <f aca="false">U48+V47</f>
        <v>-361041.049807916</v>
      </c>
      <c r="W48" s="25" t="n">
        <f aca="false">V48+W47</f>
        <v>-365356.331271781</v>
      </c>
      <c r="X48" s="25" t="n">
        <f aca="false">W48+X47</f>
        <v>-369674.691059678</v>
      </c>
      <c r="Y48" s="25" t="n">
        <f aca="false">X48+Y47</f>
        <v>-373995.882905686</v>
      </c>
      <c r="Z48" s="25" t="n">
        <f aca="false">Y48+Z47</f>
        <v>-378319.680245154</v>
      </c>
      <c r="AA48" s="25" t="n">
        <f aca="false">Z48+AA47</f>
        <v>-382645.874638607</v>
      </c>
      <c r="AB48" s="25" t="n">
        <f aca="false">AA48+AB47</f>
        <v>-386974.274321725</v>
      </c>
      <c r="AC48" s="25" t="n">
        <f aca="false">AB48+AC47</f>
        <v>-391304.702871336</v>
      </c>
      <c r="AD48" s="25" t="n">
        <f aca="false">AC48+AD47</f>
        <v>-395636.997978119</v>
      </c>
      <c r="AE48" s="25" t="n">
        <f aca="false">AD48+AE47</f>
        <v>-399971.010317502</v>
      </c>
      <c r="AF48" s="25" t="n">
        <f aca="false">AE48+AF47</f>
        <v>-404306.602510875</v>
      </c>
      <c r="AG48" s="25" t="n">
        <f aca="false">AF48+AG47</f>
        <v>-408643.648169921</v>
      </c>
      <c r="AH48" s="25" t="n">
        <f aca="false">AG48+AH47</f>
        <v>-412982.031017384</v>
      </c>
      <c r="AI48" s="25" t="n">
        <f aca="false">AH48+AI47</f>
        <v>-417321.644078192</v>
      </c>
      <c r="AJ48" s="25" t="n">
        <f aca="false">AI48+AJ47</f>
        <v>-421662.388935278</v>
      </c>
      <c r="AK48" s="25" t="n">
        <f aca="false">AJ48+AK47</f>
        <v>-426004.175044938</v>
      </c>
      <c r="AL48" s="25" t="n">
        <f aca="false">AK48+AL47</f>
        <v>-430346.919106967</v>
      </c>
      <c r="AM48" s="25" t="n">
        <f aca="false">AL48+AM47</f>
        <v>-434690.544485175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9" min="3" style="0" width="11"/>
  </cols>
  <sheetData>
    <row r="1" customFormat="false" ht="17.35" hidden="false" customHeight="false" outlineLevel="0" collapsed="false">
      <c r="A1" s="1" t="s">
        <v>426</v>
      </c>
    </row>
    <row r="2" customFormat="false" ht="15" hidden="false" customHeight="false" outlineLevel="0" collapsed="false">
      <c r="A2" s="2" t="s">
        <v>385</v>
      </c>
    </row>
    <row r="3" customFormat="false" ht="15" hidden="false" customHeight="false" outlineLevel="0" collapsed="false">
      <c r="B3" s="33" t="s">
        <v>386</v>
      </c>
      <c r="C3" s="34" t="n">
        <v>0</v>
      </c>
      <c r="D3" s="34" t="n">
        <v>1</v>
      </c>
      <c r="E3" s="34" t="n">
        <v>2</v>
      </c>
      <c r="F3" s="34" t="n">
        <v>3</v>
      </c>
      <c r="G3" s="34" t="n">
        <v>4</v>
      </c>
      <c r="H3" s="34" t="n">
        <v>5</v>
      </c>
      <c r="I3" s="34" t="n">
        <v>6</v>
      </c>
      <c r="J3" s="34" t="n">
        <v>7</v>
      </c>
      <c r="K3" s="34" t="n">
        <v>8</v>
      </c>
      <c r="L3" s="34" t="n">
        <v>9</v>
      </c>
      <c r="M3" s="34" t="n">
        <v>10</v>
      </c>
      <c r="N3" s="34" t="n">
        <v>11</v>
      </c>
      <c r="O3" s="34" t="n">
        <v>12</v>
      </c>
      <c r="P3" s="34" t="n">
        <v>13</v>
      </c>
      <c r="Q3" s="34" t="n">
        <v>14</v>
      </c>
      <c r="R3" s="34" t="n">
        <v>15</v>
      </c>
      <c r="S3" s="34" t="n">
        <v>16</v>
      </c>
      <c r="T3" s="34" t="n">
        <v>17</v>
      </c>
      <c r="U3" s="34" t="n">
        <v>18</v>
      </c>
      <c r="V3" s="34" t="n">
        <v>19</v>
      </c>
      <c r="W3" s="34" t="n">
        <v>20</v>
      </c>
      <c r="X3" s="34" t="n">
        <v>21</v>
      </c>
      <c r="Y3" s="34" t="n">
        <v>22</v>
      </c>
      <c r="Z3" s="34" t="n">
        <v>23</v>
      </c>
      <c r="AA3" s="34" t="n">
        <v>24</v>
      </c>
      <c r="AB3" s="34" t="n">
        <v>25</v>
      </c>
      <c r="AC3" s="34" t="n">
        <v>26</v>
      </c>
      <c r="AD3" s="34" t="n">
        <v>27</v>
      </c>
      <c r="AE3" s="34" t="n">
        <v>28</v>
      </c>
      <c r="AF3" s="34" t="n">
        <v>29</v>
      </c>
      <c r="AG3" s="34" t="n">
        <v>30</v>
      </c>
      <c r="AH3" s="34" t="n">
        <v>31</v>
      </c>
      <c r="AI3" s="34" t="n">
        <v>32</v>
      </c>
      <c r="AJ3" s="34" t="n">
        <v>33</v>
      </c>
      <c r="AK3" s="34" t="n">
        <v>34</v>
      </c>
      <c r="AL3" s="34" t="n">
        <v>35</v>
      </c>
      <c r="AM3" s="34" t="n">
        <v>36</v>
      </c>
    </row>
    <row r="4" customFormat="false" ht="15" hidden="false" customHeight="false" outlineLevel="0" collapsed="false">
      <c r="B4" s="14" t="s">
        <v>387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customFormat="false" ht="15" hidden="false" customHeight="false" outlineLevel="0" collapsed="false">
      <c r="B5" s="4" t="s">
        <v>388</v>
      </c>
      <c r="D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E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F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G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H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I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J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K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L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M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N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O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P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Q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R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S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T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U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V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W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X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Y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Z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A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B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C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D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E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F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G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H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I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J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K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L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  <c r="AM5" s="28" t="n">
        <f aca="false">(Supuestos!$E$12*Supuestos!$E$9/((Supuestos!$E$29*Supuestos!$E$21+Supuestos!$E$30*Supuestos!$E$22+Supuestos!$E$31*Supuestos!$E$23+Supuestos!$E$32*Supuestos!$E$24)*Supuestos!$E$17*Supuestos!$E$18))</f>
        <v>60.3255665496329</v>
      </c>
    </row>
    <row r="6" customFormat="false" ht="15" hidden="false" customHeight="false" outlineLevel="0" collapsed="false">
      <c r="B6" s="4" t="s">
        <v>389</v>
      </c>
      <c r="D6" s="28" t="n">
        <f aca="false">IF(D$3&lt;=6,Supuestos!$E$46,IF(D$3&lt;=12,Supuestos!$E$47,Supuestos!$E$48))</f>
        <v>3</v>
      </c>
      <c r="E6" s="28" t="n">
        <f aca="false">IF(E$3&lt;=6,Supuestos!$E$46,IF(E$3&lt;=12,Supuestos!$E$47,Supuestos!$E$48))</f>
        <v>3</v>
      </c>
      <c r="F6" s="28" t="n">
        <f aca="false">IF(F$3&lt;=6,Supuestos!$E$46,IF(F$3&lt;=12,Supuestos!$E$47,Supuestos!$E$48))</f>
        <v>3</v>
      </c>
      <c r="G6" s="28" t="n">
        <f aca="false">IF(G$3&lt;=6,Supuestos!$E$46,IF(G$3&lt;=12,Supuestos!$E$47,Supuestos!$E$48))</f>
        <v>3</v>
      </c>
      <c r="H6" s="28" t="n">
        <f aca="false">IF(H$3&lt;=6,Supuestos!$E$46,IF(H$3&lt;=12,Supuestos!$E$47,Supuestos!$E$48))</f>
        <v>3</v>
      </c>
      <c r="I6" s="28" t="n">
        <f aca="false">IF(I$3&lt;=6,Supuestos!$E$46,IF(I$3&lt;=12,Supuestos!$E$47,Supuestos!$E$48))</f>
        <v>3</v>
      </c>
      <c r="J6" s="28" t="n">
        <f aca="false">IF(J$3&lt;=6,Supuestos!$E$46,IF(J$3&lt;=12,Supuestos!$E$47,Supuestos!$E$48))</f>
        <v>3</v>
      </c>
      <c r="K6" s="28" t="n">
        <f aca="false">IF(K$3&lt;=6,Supuestos!$E$46,IF(K$3&lt;=12,Supuestos!$E$47,Supuestos!$E$48))</f>
        <v>3</v>
      </c>
      <c r="L6" s="28" t="n">
        <f aca="false">IF(L$3&lt;=6,Supuestos!$E$46,IF(L$3&lt;=12,Supuestos!$E$47,Supuestos!$E$48))</f>
        <v>3</v>
      </c>
      <c r="M6" s="28" t="n">
        <f aca="false">IF(M$3&lt;=6,Supuestos!$E$46,IF(M$3&lt;=12,Supuestos!$E$47,Supuestos!$E$48))</f>
        <v>3</v>
      </c>
      <c r="N6" s="28" t="n">
        <f aca="false">IF(N$3&lt;=6,Supuestos!$E$46,IF(N$3&lt;=12,Supuestos!$E$47,Supuestos!$E$48))</f>
        <v>3</v>
      </c>
      <c r="O6" s="28" t="n">
        <f aca="false">IF(O$3&lt;=6,Supuestos!$E$46,IF(O$3&lt;=12,Supuestos!$E$47,Supuestos!$E$48))</f>
        <v>3</v>
      </c>
      <c r="P6" s="28" t="n">
        <f aca="false">IF(P$3&lt;=6,Supuestos!$E$46,IF(P$3&lt;=12,Supuestos!$E$47,Supuestos!$E$48))</f>
        <v>2</v>
      </c>
      <c r="Q6" s="28" t="n">
        <f aca="false">IF(Q$3&lt;=6,Supuestos!$E$46,IF(Q$3&lt;=12,Supuestos!$E$47,Supuestos!$E$48))</f>
        <v>2</v>
      </c>
      <c r="R6" s="28" t="n">
        <f aca="false">IF(R$3&lt;=6,Supuestos!$E$46,IF(R$3&lt;=12,Supuestos!$E$47,Supuestos!$E$48))</f>
        <v>2</v>
      </c>
      <c r="S6" s="28" t="n">
        <f aca="false">IF(S$3&lt;=6,Supuestos!$E$46,IF(S$3&lt;=12,Supuestos!$E$47,Supuestos!$E$48))</f>
        <v>2</v>
      </c>
      <c r="T6" s="28" t="n">
        <f aca="false">IF(T$3&lt;=6,Supuestos!$E$46,IF(T$3&lt;=12,Supuestos!$E$47,Supuestos!$E$48))</f>
        <v>2</v>
      </c>
      <c r="U6" s="28" t="n">
        <f aca="false">IF(U$3&lt;=6,Supuestos!$E$46,IF(U$3&lt;=12,Supuestos!$E$47,Supuestos!$E$48))</f>
        <v>2</v>
      </c>
      <c r="V6" s="28" t="n">
        <f aca="false">IF(V$3&lt;=6,Supuestos!$E$46,IF(V$3&lt;=12,Supuestos!$E$47,Supuestos!$E$48))</f>
        <v>2</v>
      </c>
      <c r="W6" s="28" t="n">
        <f aca="false">IF(W$3&lt;=6,Supuestos!$E$46,IF(W$3&lt;=12,Supuestos!$E$47,Supuestos!$E$48))</f>
        <v>2</v>
      </c>
      <c r="X6" s="28" t="n">
        <f aca="false">IF(X$3&lt;=6,Supuestos!$E$46,IF(X$3&lt;=12,Supuestos!$E$47,Supuestos!$E$48))</f>
        <v>2</v>
      </c>
      <c r="Y6" s="28" t="n">
        <f aca="false">IF(Y$3&lt;=6,Supuestos!$E$46,IF(Y$3&lt;=12,Supuestos!$E$47,Supuestos!$E$48))</f>
        <v>2</v>
      </c>
      <c r="Z6" s="28" t="n">
        <f aca="false">IF(Z$3&lt;=6,Supuestos!$E$46,IF(Z$3&lt;=12,Supuestos!$E$47,Supuestos!$E$48))</f>
        <v>2</v>
      </c>
      <c r="AA6" s="28" t="n">
        <f aca="false">IF(AA$3&lt;=6,Supuestos!$E$46,IF(AA$3&lt;=12,Supuestos!$E$47,Supuestos!$E$48))</f>
        <v>2</v>
      </c>
      <c r="AB6" s="28" t="n">
        <f aca="false">IF(AB$3&lt;=6,Supuestos!$E$46,IF(AB$3&lt;=12,Supuestos!$E$47,Supuestos!$E$48))</f>
        <v>2</v>
      </c>
      <c r="AC6" s="28" t="n">
        <f aca="false">IF(AC$3&lt;=6,Supuestos!$E$46,IF(AC$3&lt;=12,Supuestos!$E$47,Supuestos!$E$48))</f>
        <v>2</v>
      </c>
      <c r="AD6" s="28" t="n">
        <f aca="false">IF(AD$3&lt;=6,Supuestos!$E$46,IF(AD$3&lt;=12,Supuestos!$E$47,Supuestos!$E$48))</f>
        <v>2</v>
      </c>
      <c r="AE6" s="28" t="n">
        <f aca="false">IF(AE$3&lt;=6,Supuestos!$E$46,IF(AE$3&lt;=12,Supuestos!$E$47,Supuestos!$E$48))</f>
        <v>2</v>
      </c>
      <c r="AF6" s="28" t="n">
        <f aca="false">IF(AF$3&lt;=6,Supuestos!$E$46,IF(AF$3&lt;=12,Supuestos!$E$47,Supuestos!$E$48))</f>
        <v>2</v>
      </c>
      <c r="AG6" s="28" t="n">
        <f aca="false">IF(AG$3&lt;=6,Supuestos!$E$46,IF(AG$3&lt;=12,Supuestos!$E$47,Supuestos!$E$48))</f>
        <v>2</v>
      </c>
      <c r="AH6" s="28" t="n">
        <f aca="false">IF(AH$3&lt;=6,Supuestos!$E$46,IF(AH$3&lt;=12,Supuestos!$E$47,Supuestos!$E$48))</f>
        <v>2</v>
      </c>
      <c r="AI6" s="28" t="n">
        <f aca="false">IF(AI$3&lt;=6,Supuestos!$E$46,IF(AI$3&lt;=12,Supuestos!$E$47,Supuestos!$E$48))</f>
        <v>2</v>
      </c>
      <c r="AJ6" s="28" t="n">
        <f aca="false">IF(AJ$3&lt;=6,Supuestos!$E$46,IF(AJ$3&lt;=12,Supuestos!$E$47,Supuestos!$E$48))</f>
        <v>2</v>
      </c>
      <c r="AK6" s="28" t="n">
        <f aca="false">IF(AK$3&lt;=6,Supuestos!$E$46,IF(AK$3&lt;=12,Supuestos!$E$47,Supuestos!$E$48))</f>
        <v>2</v>
      </c>
      <c r="AL6" s="28" t="n">
        <f aca="false">IF(AL$3&lt;=6,Supuestos!$E$46,IF(AL$3&lt;=12,Supuestos!$E$47,Supuestos!$E$48))</f>
        <v>2</v>
      </c>
      <c r="AM6" s="28" t="n">
        <f aca="false">IF(AM$3&lt;=6,Supuestos!$E$46,IF(AM$3&lt;=12,Supuestos!$E$47,Supuestos!$E$48))</f>
        <v>2</v>
      </c>
    </row>
    <row r="7" customFormat="false" ht="15" hidden="false" customHeight="false" outlineLevel="0" collapsed="false">
      <c r="B7" s="4" t="s">
        <v>390</v>
      </c>
      <c r="D7" s="28" t="n">
        <f aca="false">MIN(D5,Supuestos!$E$45*(1-Supuestos!$E$49)+D6)</f>
        <v>7.7</v>
      </c>
      <c r="E7" s="28" t="n">
        <f aca="false">MIN(E5,D7*(1-Supuestos!$E$49)+E6)</f>
        <v>10.238</v>
      </c>
      <c r="F7" s="28" t="n">
        <f aca="false">MIN(F5,E7*(1-Supuestos!$E$49)+F6)</f>
        <v>12.62372</v>
      </c>
      <c r="G7" s="28" t="n">
        <f aca="false">MIN(G5,F7*(1-Supuestos!$E$49)+G6)</f>
        <v>14.8662968</v>
      </c>
      <c r="H7" s="28" t="n">
        <f aca="false">MIN(H5,G7*(1-Supuestos!$E$49)+H6)</f>
        <v>16.974318992</v>
      </c>
      <c r="I7" s="28" t="n">
        <f aca="false">MIN(I5,H7*(1-Supuestos!$E$49)+I6)</f>
        <v>18.95585985248</v>
      </c>
      <c r="J7" s="28" t="n">
        <f aca="false">MIN(J5,I7*(1-Supuestos!$E$49)+J6)</f>
        <v>20.8185082613312</v>
      </c>
      <c r="K7" s="28" t="n">
        <f aca="false">MIN(K5,J7*(1-Supuestos!$E$49)+K6)</f>
        <v>22.5693977656513</v>
      </c>
      <c r="L7" s="28" t="n">
        <f aca="false">MIN(L5,K7*(1-Supuestos!$E$49)+L6)</f>
        <v>24.2152338997122</v>
      </c>
      <c r="M7" s="28" t="n">
        <f aca="false">MIN(M5,L7*(1-Supuestos!$E$49)+M6)</f>
        <v>25.7623198657295</v>
      </c>
      <c r="N7" s="28" t="n">
        <f aca="false">MIN(N5,M7*(1-Supuestos!$E$49)+N6)</f>
        <v>27.2165806737857</v>
      </c>
      <c r="O7" s="28" t="n">
        <f aca="false">MIN(O5,N7*(1-Supuestos!$E$49)+O6)</f>
        <v>28.5835858333586</v>
      </c>
      <c r="P7" s="28" t="n">
        <f aca="false">MIN(P5,O7*(1-Supuestos!$E$49)+P6)</f>
        <v>28.8685706833571</v>
      </c>
      <c r="Q7" s="28" t="n">
        <f aca="false">MIN(Q5,P7*(1-Supuestos!$E$49)+Q6)</f>
        <v>29.1364564423557</v>
      </c>
      <c r="R7" s="28" t="n">
        <f aca="false">MIN(R5,Q7*(1-Supuestos!$E$49)+R6)</f>
        <v>29.3882690558143</v>
      </c>
      <c r="S7" s="28" t="n">
        <f aca="false">MIN(S5,R7*(1-Supuestos!$E$49)+S6)</f>
        <v>29.6249729124655</v>
      </c>
      <c r="T7" s="28" t="n">
        <f aca="false">MIN(T5,S7*(1-Supuestos!$E$49)+T6)</f>
        <v>29.8474745377175</v>
      </c>
      <c r="U7" s="28" t="n">
        <f aca="false">MIN(U5,T7*(1-Supuestos!$E$49)+U6)</f>
        <v>30.0566260654545</v>
      </c>
      <c r="V7" s="28" t="n">
        <f aca="false">MIN(V5,U7*(1-Supuestos!$E$49)+V6)</f>
        <v>30.2532285015272</v>
      </c>
      <c r="W7" s="28" t="n">
        <f aca="false">MIN(W5,V7*(1-Supuestos!$E$49)+W6)</f>
        <v>30.4380347914356</v>
      </c>
      <c r="X7" s="28" t="n">
        <f aca="false">MIN(X5,W7*(1-Supuestos!$E$49)+X6)</f>
        <v>30.6117527039494</v>
      </c>
      <c r="Y7" s="28" t="n">
        <f aca="false">MIN(Y5,X7*(1-Supuestos!$E$49)+Y6)</f>
        <v>30.7750475417125</v>
      </c>
      <c r="Z7" s="28" t="n">
        <f aca="false">MIN(Z5,Y7*(1-Supuestos!$E$49)+Z6)</f>
        <v>30.9285446892097</v>
      </c>
      <c r="AA7" s="28" t="n">
        <f aca="false">MIN(AA5,Z7*(1-Supuestos!$E$49)+AA6)</f>
        <v>31.0728320078571</v>
      </c>
      <c r="AB7" s="28" t="n">
        <f aca="false">MIN(AB5,AA7*(1-Supuestos!$E$49)+AB6)</f>
        <v>31.2084620873857</v>
      </c>
      <c r="AC7" s="28" t="n">
        <f aca="false">MIN(AC5,AB7*(1-Supuestos!$E$49)+AC6)</f>
        <v>31.3359543621426</v>
      </c>
      <c r="AD7" s="28" t="n">
        <f aca="false">MIN(AD5,AC7*(1-Supuestos!$E$49)+AD6)</f>
        <v>31.455797100414</v>
      </c>
      <c r="AE7" s="28" t="n">
        <f aca="false">MIN(AE5,AD7*(1-Supuestos!$E$49)+AE6)</f>
        <v>31.5684492743892</v>
      </c>
      <c r="AF7" s="28" t="n">
        <f aca="false">MIN(AF5,AE7*(1-Supuestos!$E$49)+AF6)</f>
        <v>31.6743423179258</v>
      </c>
      <c r="AG7" s="28" t="n">
        <f aca="false">MIN(AG5,AF7*(1-Supuestos!$E$49)+AG6)</f>
        <v>31.7738817788503</v>
      </c>
      <c r="AH7" s="28" t="n">
        <f aca="false">MIN(AH5,AG7*(1-Supuestos!$E$49)+AH6)</f>
        <v>31.8674488721192</v>
      </c>
      <c r="AI7" s="28" t="n">
        <f aca="false">MIN(AI5,AH7*(1-Supuestos!$E$49)+AI6)</f>
        <v>31.9554019397921</v>
      </c>
      <c r="AJ7" s="28" t="n">
        <f aca="false">MIN(AJ5,AI7*(1-Supuestos!$E$49)+AJ6)</f>
        <v>32.0380778234046</v>
      </c>
      <c r="AK7" s="28" t="n">
        <f aca="false">MIN(AK5,AJ7*(1-Supuestos!$E$49)+AK6)</f>
        <v>32.1157931540003</v>
      </c>
      <c r="AL7" s="28" t="n">
        <f aca="false">MIN(AL5,AK7*(1-Supuestos!$E$49)+AL6)</f>
        <v>32.1888455647603</v>
      </c>
      <c r="AM7" s="28" t="n">
        <f aca="false">MIN(AM5,AL7*(1-Supuestos!$E$49)+AM6)</f>
        <v>32.2575148308747</v>
      </c>
    </row>
    <row r="8" customFormat="false" ht="15" hidden="false" customHeight="false" outlineLevel="0" collapsed="false">
      <c r="B8" s="4" t="s">
        <v>391</v>
      </c>
      <c r="D8" s="28" t="n">
        <f aca="false">Supuestos!$E$45*Supuestos!$E$49</f>
        <v>0.3</v>
      </c>
      <c r="E8" s="28" t="n">
        <f aca="false">D7*Supuestos!$E$49</f>
        <v>0.462</v>
      </c>
      <c r="F8" s="28" t="n">
        <f aca="false">E7*Supuestos!$E$49</f>
        <v>0.61428</v>
      </c>
      <c r="G8" s="28" t="n">
        <f aca="false">F7*Supuestos!$E$49</f>
        <v>0.7574232</v>
      </c>
      <c r="H8" s="28" t="n">
        <f aca="false">G7*Supuestos!$E$49</f>
        <v>0.891977808</v>
      </c>
      <c r="I8" s="28" t="n">
        <f aca="false">H7*Supuestos!$E$49</f>
        <v>1.01845913952</v>
      </c>
      <c r="J8" s="28" t="n">
        <f aca="false">I7*Supuestos!$E$49</f>
        <v>1.1373515911488</v>
      </c>
      <c r="K8" s="28" t="n">
        <f aca="false">J7*Supuestos!$E$49</f>
        <v>1.24911049567987</v>
      </c>
      <c r="L8" s="28" t="n">
        <f aca="false">K7*Supuestos!$E$49</f>
        <v>1.35416386593908</v>
      </c>
      <c r="M8" s="28" t="n">
        <f aca="false">L7*Supuestos!$E$49</f>
        <v>1.45291403398273</v>
      </c>
      <c r="N8" s="28" t="n">
        <f aca="false">M7*Supuestos!$E$49</f>
        <v>1.54573919194377</v>
      </c>
      <c r="O8" s="28" t="n">
        <f aca="false">N7*Supuestos!$E$49</f>
        <v>1.63299484042714</v>
      </c>
      <c r="P8" s="28" t="n">
        <f aca="false">O7*Supuestos!$E$49</f>
        <v>1.71501515000152</v>
      </c>
      <c r="Q8" s="28" t="n">
        <f aca="false">P7*Supuestos!$E$49</f>
        <v>1.73211424100142</v>
      </c>
      <c r="R8" s="28" t="n">
        <f aca="false">Q7*Supuestos!$E$49</f>
        <v>1.74818738654134</v>
      </c>
      <c r="S8" s="28" t="n">
        <f aca="false">R7*Supuestos!$E$49</f>
        <v>1.76329614334886</v>
      </c>
      <c r="T8" s="28" t="n">
        <f aca="false">S7*Supuestos!$E$49</f>
        <v>1.77749837474793</v>
      </c>
      <c r="U8" s="28" t="n">
        <f aca="false">T7*Supuestos!$E$49</f>
        <v>1.79084847226305</v>
      </c>
      <c r="V8" s="28" t="n">
        <f aca="false">U7*Supuestos!$E$49</f>
        <v>1.80339756392727</v>
      </c>
      <c r="W8" s="28" t="n">
        <f aca="false">V7*Supuestos!$E$49</f>
        <v>1.81519371009163</v>
      </c>
      <c r="X8" s="28" t="n">
        <f aca="false">W7*Supuestos!$E$49</f>
        <v>1.82628208748613</v>
      </c>
      <c r="Y8" s="28" t="n">
        <f aca="false">X7*Supuestos!$E$49</f>
        <v>1.83670516223697</v>
      </c>
      <c r="Z8" s="28" t="n">
        <f aca="false">Y7*Supuestos!$E$49</f>
        <v>1.84650285250275</v>
      </c>
      <c r="AA8" s="28" t="n">
        <f aca="false">Z7*Supuestos!$E$49</f>
        <v>1.85571268135258</v>
      </c>
      <c r="AB8" s="28" t="n">
        <f aca="false">AA7*Supuestos!$E$49</f>
        <v>1.86436992047143</v>
      </c>
      <c r="AC8" s="28" t="n">
        <f aca="false">AB7*Supuestos!$E$49</f>
        <v>1.87250772524314</v>
      </c>
      <c r="AD8" s="28" t="n">
        <f aca="false">AC7*Supuestos!$E$49</f>
        <v>1.88015726172855</v>
      </c>
      <c r="AE8" s="28" t="n">
        <f aca="false">AD7*Supuestos!$E$49</f>
        <v>1.88734782602484</v>
      </c>
      <c r="AF8" s="28" t="n">
        <f aca="false">AE7*Supuestos!$E$49</f>
        <v>1.89410695646335</v>
      </c>
      <c r="AG8" s="28" t="n">
        <f aca="false">AF7*Supuestos!$E$49</f>
        <v>1.90046053907555</v>
      </c>
      <c r="AH8" s="28" t="n">
        <f aca="false">AG7*Supuestos!$E$49</f>
        <v>1.90643290673102</v>
      </c>
      <c r="AI8" s="28" t="n">
        <f aca="false">AH7*Supuestos!$E$49</f>
        <v>1.91204693232715</v>
      </c>
      <c r="AJ8" s="28" t="n">
        <f aca="false">AI7*Supuestos!$E$49</f>
        <v>1.91732411638753</v>
      </c>
      <c r="AK8" s="28" t="n">
        <f aca="false">AJ7*Supuestos!$E$49</f>
        <v>1.92228466940427</v>
      </c>
      <c r="AL8" s="28" t="n">
        <f aca="false">AK7*Supuestos!$E$49</f>
        <v>1.92694758924002</v>
      </c>
      <c r="AM8" s="28" t="n">
        <f aca="false">AL7*Supuestos!$E$49</f>
        <v>1.93133073388562</v>
      </c>
    </row>
    <row r="9" customFormat="false" ht="15" hidden="false" customHeight="false" outlineLevel="0" collapsed="false">
      <c r="B9" s="4" t="s">
        <v>392</v>
      </c>
      <c r="D9" s="28" t="n">
        <f aca="false">MIN(Supuestos!$E$13,Supuestos!$E$50)</f>
        <v>1</v>
      </c>
      <c r="E9" s="28" t="n">
        <f aca="false">MIN(Supuestos!$E$13,D9*(1-Supuestos!$E$51)+Supuestos!$E$50)</f>
        <v>1.96</v>
      </c>
      <c r="F9" s="28" t="n">
        <f aca="false">MIN(Supuestos!$E$13,E9*(1-Supuestos!$E$51)+Supuestos!$E$50)</f>
        <v>2.8816</v>
      </c>
      <c r="G9" s="28" t="n">
        <f aca="false">MIN(Supuestos!$E$13,F9*(1-Supuestos!$E$51)+Supuestos!$E$50)</f>
        <v>3.766336</v>
      </c>
      <c r="H9" s="28" t="n">
        <f aca="false">MIN(Supuestos!$E$13,G9*(1-Supuestos!$E$51)+Supuestos!$E$50)</f>
        <v>4.61568256</v>
      </c>
      <c r="I9" s="28" t="n">
        <f aca="false">MIN(Supuestos!$E$13,H9*(1-Supuestos!$E$51)+Supuestos!$E$50)</f>
        <v>5.4310552576</v>
      </c>
      <c r="J9" s="28" t="n">
        <f aca="false">MIN(Supuestos!$E$13,I9*(1-Supuestos!$E$51)+Supuestos!$E$50)</f>
        <v>6</v>
      </c>
      <c r="K9" s="28" t="n">
        <f aca="false">MIN(Supuestos!$E$13,J9*(1-Supuestos!$E$51)+Supuestos!$E$50)</f>
        <v>6</v>
      </c>
      <c r="L9" s="28" t="n">
        <f aca="false">MIN(Supuestos!$E$13,K9*(1-Supuestos!$E$51)+Supuestos!$E$50)</f>
        <v>6</v>
      </c>
      <c r="M9" s="28" t="n">
        <f aca="false">MIN(Supuestos!$E$13,L9*(1-Supuestos!$E$51)+Supuestos!$E$50)</f>
        <v>6</v>
      </c>
      <c r="N9" s="28" t="n">
        <f aca="false">MIN(Supuestos!$E$13,M9*(1-Supuestos!$E$51)+Supuestos!$E$50)</f>
        <v>6</v>
      </c>
      <c r="O9" s="28" t="n">
        <f aca="false">MIN(Supuestos!$E$13,N9*(1-Supuestos!$E$51)+Supuestos!$E$50)</f>
        <v>6</v>
      </c>
      <c r="P9" s="28" t="n">
        <f aca="false">MIN(Supuestos!$E$13,O9*(1-Supuestos!$E$51)+Supuestos!$E$50)</f>
        <v>6</v>
      </c>
      <c r="Q9" s="28" t="n">
        <f aca="false">MIN(Supuestos!$E$13,P9*(1-Supuestos!$E$51)+Supuestos!$E$50)</f>
        <v>6</v>
      </c>
      <c r="R9" s="28" t="n">
        <f aca="false">MIN(Supuestos!$E$13,Q9*(1-Supuestos!$E$51)+Supuestos!$E$50)</f>
        <v>6</v>
      </c>
      <c r="S9" s="28" t="n">
        <f aca="false">MIN(Supuestos!$E$13,R9*(1-Supuestos!$E$51)+Supuestos!$E$50)</f>
        <v>6</v>
      </c>
      <c r="T9" s="28" t="n">
        <f aca="false">MIN(Supuestos!$E$13,S9*(1-Supuestos!$E$51)+Supuestos!$E$50)</f>
        <v>6</v>
      </c>
      <c r="U9" s="28" t="n">
        <f aca="false">MIN(Supuestos!$E$13,T9*(1-Supuestos!$E$51)+Supuestos!$E$50)</f>
        <v>6</v>
      </c>
      <c r="V9" s="28" t="n">
        <f aca="false">MIN(Supuestos!$E$13,U9*(1-Supuestos!$E$51)+Supuestos!$E$50)</f>
        <v>6</v>
      </c>
      <c r="W9" s="28" t="n">
        <f aca="false">MIN(Supuestos!$E$13,V9*(1-Supuestos!$E$51)+Supuestos!$E$50)</f>
        <v>6</v>
      </c>
      <c r="X9" s="28" t="n">
        <f aca="false">MIN(Supuestos!$E$13,W9*(1-Supuestos!$E$51)+Supuestos!$E$50)</f>
        <v>6</v>
      </c>
      <c r="Y9" s="28" t="n">
        <f aca="false">MIN(Supuestos!$E$13,X9*(1-Supuestos!$E$51)+Supuestos!$E$50)</f>
        <v>6</v>
      </c>
      <c r="Z9" s="28" t="n">
        <f aca="false">MIN(Supuestos!$E$13,Y9*(1-Supuestos!$E$51)+Supuestos!$E$50)</f>
        <v>6</v>
      </c>
      <c r="AA9" s="28" t="n">
        <f aca="false">MIN(Supuestos!$E$13,Z9*(1-Supuestos!$E$51)+Supuestos!$E$50)</f>
        <v>6</v>
      </c>
      <c r="AB9" s="28" t="n">
        <f aca="false">MIN(Supuestos!$E$13,AA9*(1-Supuestos!$E$51)+Supuestos!$E$50)</f>
        <v>6</v>
      </c>
      <c r="AC9" s="28" t="n">
        <f aca="false">MIN(Supuestos!$E$13,AB9*(1-Supuestos!$E$51)+Supuestos!$E$50)</f>
        <v>6</v>
      </c>
      <c r="AD9" s="28" t="n">
        <f aca="false">MIN(Supuestos!$E$13,AC9*(1-Supuestos!$E$51)+Supuestos!$E$50)</f>
        <v>6</v>
      </c>
      <c r="AE9" s="28" t="n">
        <f aca="false">MIN(Supuestos!$E$13,AD9*(1-Supuestos!$E$51)+Supuestos!$E$50)</f>
        <v>6</v>
      </c>
      <c r="AF9" s="28" t="n">
        <f aca="false">MIN(Supuestos!$E$13,AE9*(1-Supuestos!$E$51)+Supuestos!$E$50)</f>
        <v>6</v>
      </c>
      <c r="AG9" s="28" t="n">
        <f aca="false">MIN(Supuestos!$E$13,AF9*(1-Supuestos!$E$51)+Supuestos!$E$50)</f>
        <v>6</v>
      </c>
      <c r="AH9" s="28" t="n">
        <f aca="false">MIN(Supuestos!$E$13,AG9*(1-Supuestos!$E$51)+Supuestos!$E$50)</f>
        <v>6</v>
      </c>
      <c r="AI9" s="28" t="n">
        <f aca="false">MIN(Supuestos!$E$13,AH9*(1-Supuestos!$E$51)+Supuestos!$E$50)</f>
        <v>6</v>
      </c>
      <c r="AJ9" s="28" t="n">
        <f aca="false">MIN(Supuestos!$E$13,AI9*(1-Supuestos!$E$51)+Supuestos!$E$50)</f>
        <v>6</v>
      </c>
      <c r="AK9" s="28" t="n">
        <f aca="false">MIN(Supuestos!$E$13,AJ9*(1-Supuestos!$E$51)+Supuestos!$E$50)</f>
        <v>6</v>
      </c>
      <c r="AL9" s="28" t="n">
        <f aca="false">MIN(Supuestos!$E$13,AK9*(1-Supuestos!$E$51)+Supuestos!$E$50)</f>
        <v>6</v>
      </c>
      <c r="AM9" s="28" t="n">
        <f aca="false">MIN(Supuestos!$E$13,AL9*(1-Supuestos!$E$51)+Supuestos!$E$50)</f>
        <v>6</v>
      </c>
    </row>
    <row r="10" customFormat="false" ht="15" hidden="false" customHeight="false" outlineLevel="0" collapsed="false">
      <c r="B10" s="4" t="s">
        <v>393</v>
      </c>
      <c r="D10" s="28" t="n">
        <f aca="false">Supuestos!$E$14*MIN(1,D$3/Supuestos!$E$43)</f>
        <v>0.333333333333333</v>
      </c>
      <c r="E10" s="28" t="n">
        <f aca="false">Supuestos!$E$14*MIN(1,E$3/Supuestos!$E$43)</f>
        <v>0.666666666666667</v>
      </c>
      <c r="F10" s="28" t="n">
        <f aca="false">Supuestos!$E$14*MIN(1,F$3/Supuestos!$E$43)</f>
        <v>1</v>
      </c>
      <c r="G10" s="28" t="n">
        <f aca="false">Supuestos!$E$14*MIN(1,G$3/Supuestos!$E$43)</f>
        <v>1.33333333333333</v>
      </c>
      <c r="H10" s="28" t="n">
        <f aca="false">Supuestos!$E$14*MIN(1,H$3/Supuestos!$E$43)</f>
        <v>1.66666666666667</v>
      </c>
      <c r="I10" s="28" t="n">
        <f aca="false">Supuestos!$E$14*MIN(1,I$3/Supuestos!$E$43)</f>
        <v>2</v>
      </c>
      <c r="J10" s="28" t="n">
        <f aca="false">Supuestos!$E$14*MIN(1,J$3/Supuestos!$E$43)</f>
        <v>2</v>
      </c>
      <c r="K10" s="28" t="n">
        <f aca="false">Supuestos!$E$14*MIN(1,K$3/Supuestos!$E$43)</f>
        <v>2</v>
      </c>
      <c r="L10" s="28" t="n">
        <f aca="false">Supuestos!$E$14*MIN(1,L$3/Supuestos!$E$43)</f>
        <v>2</v>
      </c>
      <c r="M10" s="28" t="n">
        <f aca="false">Supuestos!$E$14*MIN(1,M$3/Supuestos!$E$43)</f>
        <v>2</v>
      </c>
      <c r="N10" s="28" t="n">
        <f aca="false">Supuestos!$E$14*MIN(1,N$3/Supuestos!$E$43)</f>
        <v>2</v>
      </c>
      <c r="O10" s="28" t="n">
        <f aca="false">Supuestos!$E$14*MIN(1,O$3/Supuestos!$E$43)</f>
        <v>2</v>
      </c>
      <c r="P10" s="28" t="n">
        <f aca="false">Supuestos!$E$14*MIN(1,P$3/Supuestos!$E$43)</f>
        <v>2</v>
      </c>
      <c r="Q10" s="28" t="n">
        <f aca="false">Supuestos!$E$14*MIN(1,Q$3/Supuestos!$E$43)</f>
        <v>2</v>
      </c>
      <c r="R10" s="28" t="n">
        <f aca="false">Supuestos!$E$14*MIN(1,R$3/Supuestos!$E$43)</f>
        <v>2</v>
      </c>
      <c r="S10" s="28" t="n">
        <f aca="false">Supuestos!$E$14*MIN(1,S$3/Supuestos!$E$43)</f>
        <v>2</v>
      </c>
      <c r="T10" s="28" t="n">
        <f aca="false">Supuestos!$E$14*MIN(1,T$3/Supuestos!$E$43)</f>
        <v>2</v>
      </c>
      <c r="U10" s="28" t="n">
        <f aca="false">Supuestos!$E$14*MIN(1,U$3/Supuestos!$E$43)</f>
        <v>2</v>
      </c>
      <c r="V10" s="28" t="n">
        <f aca="false">Supuestos!$E$14*MIN(1,V$3/Supuestos!$E$43)</f>
        <v>2</v>
      </c>
      <c r="W10" s="28" t="n">
        <f aca="false">Supuestos!$E$14*MIN(1,W$3/Supuestos!$E$43)</f>
        <v>2</v>
      </c>
      <c r="X10" s="28" t="n">
        <f aca="false">Supuestos!$E$14*MIN(1,X$3/Supuestos!$E$43)</f>
        <v>2</v>
      </c>
      <c r="Y10" s="28" t="n">
        <f aca="false">Supuestos!$E$14*MIN(1,Y$3/Supuestos!$E$43)</f>
        <v>2</v>
      </c>
      <c r="Z10" s="28" t="n">
        <f aca="false">Supuestos!$E$14*MIN(1,Z$3/Supuestos!$E$43)</f>
        <v>2</v>
      </c>
      <c r="AA10" s="28" t="n">
        <f aca="false">Supuestos!$E$14*MIN(1,AA$3/Supuestos!$E$43)</f>
        <v>2</v>
      </c>
      <c r="AB10" s="28" t="n">
        <f aca="false">Supuestos!$E$14*MIN(1,AB$3/Supuestos!$E$43)</f>
        <v>2</v>
      </c>
      <c r="AC10" s="28" t="n">
        <f aca="false">Supuestos!$E$14*MIN(1,AC$3/Supuestos!$E$43)</f>
        <v>2</v>
      </c>
      <c r="AD10" s="28" t="n">
        <f aca="false">Supuestos!$E$14*MIN(1,AD$3/Supuestos!$E$43)</f>
        <v>2</v>
      </c>
      <c r="AE10" s="28" t="n">
        <f aca="false">Supuestos!$E$14*MIN(1,AE$3/Supuestos!$E$43)</f>
        <v>2</v>
      </c>
      <c r="AF10" s="28" t="n">
        <f aca="false">Supuestos!$E$14*MIN(1,AF$3/Supuestos!$E$43)</f>
        <v>2</v>
      </c>
      <c r="AG10" s="28" t="n">
        <f aca="false">Supuestos!$E$14*MIN(1,AG$3/Supuestos!$E$43)</f>
        <v>2</v>
      </c>
      <c r="AH10" s="28" t="n">
        <f aca="false">Supuestos!$E$14*MIN(1,AH$3/Supuestos!$E$43)</f>
        <v>2</v>
      </c>
      <c r="AI10" s="28" t="n">
        <f aca="false">Supuestos!$E$14*MIN(1,AI$3/Supuestos!$E$43)</f>
        <v>2</v>
      </c>
      <c r="AJ10" s="28" t="n">
        <f aca="false">Supuestos!$E$14*MIN(1,AJ$3/Supuestos!$E$43)</f>
        <v>2</v>
      </c>
      <c r="AK10" s="28" t="n">
        <f aca="false">Supuestos!$E$14*MIN(1,AK$3/Supuestos!$E$43)</f>
        <v>2</v>
      </c>
      <c r="AL10" s="28" t="n">
        <f aca="false">Supuestos!$E$14*MIN(1,AL$3/Supuestos!$E$43)</f>
        <v>2</v>
      </c>
      <c r="AM10" s="28" t="n">
        <f aca="false">Supuestos!$E$14*MIN(1,AM$3/Supuestos!$E$43)</f>
        <v>2</v>
      </c>
    </row>
    <row r="11" customFormat="false" ht="15" hidden="false" customHeight="false" outlineLevel="0" collapsed="false">
      <c r="B11" s="4" t="s">
        <v>394</v>
      </c>
      <c r="D11" s="35" t="n">
        <f aca="false">D7*(Supuestos!$E$29*Supuestos!$E$21+Supuestos!$E$30*Supuestos!$E$22+Supuestos!$E$31*Supuestos!$E$23+Supuestos!$E$32*Supuestos!$E$24)*Supuestos!$E$17</f>
        <v>74.228</v>
      </c>
      <c r="E11" s="35" t="n">
        <f aca="false">E7*(Supuestos!$E$29*Supuestos!$E$21+Supuestos!$E$30*Supuestos!$E$22+Supuestos!$E$31*Supuestos!$E$23+Supuestos!$E$32*Supuestos!$E$24)*Supuestos!$E$17</f>
        <v>98.69432</v>
      </c>
      <c r="F11" s="35" t="n">
        <f aca="false">F7*(Supuestos!$E$29*Supuestos!$E$21+Supuestos!$E$30*Supuestos!$E$22+Supuestos!$E$31*Supuestos!$E$23+Supuestos!$E$32*Supuestos!$E$24)*Supuestos!$E$17</f>
        <v>121.6926608</v>
      </c>
      <c r="G11" s="35" t="n">
        <f aca="false">G7*(Supuestos!$E$29*Supuestos!$E$21+Supuestos!$E$30*Supuestos!$E$22+Supuestos!$E$31*Supuestos!$E$23+Supuestos!$E$32*Supuestos!$E$24)*Supuestos!$E$17</f>
        <v>143.311101152</v>
      </c>
      <c r="H11" s="35" t="n">
        <f aca="false">H7*(Supuestos!$E$29*Supuestos!$E$21+Supuestos!$E$30*Supuestos!$E$22+Supuestos!$E$31*Supuestos!$E$23+Supuestos!$E$32*Supuestos!$E$24)*Supuestos!$E$17</f>
        <v>163.63243508288</v>
      </c>
      <c r="I11" s="35" t="n">
        <f aca="false">I7*(Supuestos!$E$29*Supuestos!$E$21+Supuestos!$E$30*Supuestos!$E$22+Supuestos!$E$31*Supuestos!$E$23+Supuestos!$E$32*Supuestos!$E$24)*Supuestos!$E$17</f>
        <v>182.734488977907</v>
      </c>
      <c r="J11" s="35" t="n">
        <f aca="false">J7*(Supuestos!$E$29*Supuestos!$E$21+Supuestos!$E$30*Supuestos!$E$22+Supuestos!$E$31*Supuestos!$E$23+Supuestos!$E$32*Supuestos!$E$24)*Supuestos!$E$17</f>
        <v>200.690419639233</v>
      </c>
      <c r="K11" s="35" t="n">
        <f aca="false">K7*(Supuestos!$E$29*Supuestos!$E$21+Supuestos!$E$30*Supuestos!$E$22+Supuestos!$E$31*Supuestos!$E$23+Supuestos!$E$32*Supuestos!$E$24)*Supuestos!$E$17</f>
        <v>217.568994460879</v>
      </c>
      <c r="L11" s="35" t="n">
        <f aca="false">L7*(Supuestos!$E$29*Supuestos!$E$21+Supuestos!$E$30*Supuestos!$E$22+Supuestos!$E$31*Supuestos!$E$23+Supuestos!$E$32*Supuestos!$E$24)*Supuestos!$E$17</f>
        <v>233.434854793226</v>
      </c>
      <c r="M11" s="35" t="n">
        <f aca="false">M7*(Supuestos!$E$29*Supuestos!$E$21+Supuestos!$E$30*Supuestos!$E$22+Supuestos!$E$31*Supuestos!$E$23+Supuestos!$E$32*Supuestos!$E$24)*Supuestos!$E$17</f>
        <v>248.348763505632</v>
      </c>
      <c r="N11" s="35" t="n">
        <f aca="false">N7*(Supuestos!$E$29*Supuestos!$E$21+Supuestos!$E$30*Supuestos!$E$22+Supuestos!$E$31*Supuestos!$E$23+Supuestos!$E$32*Supuestos!$E$24)*Supuestos!$E$17</f>
        <v>262.367837695295</v>
      </c>
      <c r="O11" s="35" t="n">
        <f aca="false">O7*(Supuestos!$E$29*Supuestos!$E$21+Supuestos!$E$30*Supuestos!$E$22+Supuestos!$E$31*Supuestos!$E$23+Supuestos!$E$32*Supuestos!$E$24)*Supuestos!$E$17</f>
        <v>275.545767433577</v>
      </c>
      <c r="P11" s="35" t="n">
        <f aca="false">P7*(Supuestos!$E$29*Supuestos!$E$21+Supuestos!$E$30*Supuestos!$E$22+Supuestos!$E$31*Supuestos!$E$23+Supuestos!$E$32*Supuestos!$E$24)*Supuestos!$E$17</f>
        <v>278.293021387562</v>
      </c>
      <c r="Q11" s="35" t="n">
        <f aca="false">Q7*(Supuestos!$E$29*Supuestos!$E$21+Supuestos!$E$30*Supuestos!$E$22+Supuestos!$E$31*Supuestos!$E$23+Supuestos!$E$32*Supuestos!$E$24)*Supuestos!$E$17</f>
        <v>280.875440104309</v>
      </c>
      <c r="R11" s="35" t="n">
        <f aca="false">R7*(Supuestos!$E$29*Supuestos!$E$21+Supuestos!$E$30*Supuestos!$E$22+Supuestos!$E$31*Supuestos!$E$23+Supuestos!$E$32*Supuestos!$E$24)*Supuestos!$E$17</f>
        <v>283.30291369805</v>
      </c>
      <c r="S11" s="35" t="n">
        <f aca="false">S7*(Supuestos!$E$29*Supuestos!$E$21+Supuestos!$E$30*Supuestos!$E$22+Supuestos!$E$31*Supuestos!$E$23+Supuestos!$E$32*Supuestos!$E$24)*Supuestos!$E$17</f>
        <v>285.584738876167</v>
      </c>
      <c r="T11" s="35" t="n">
        <f aca="false">T7*(Supuestos!$E$29*Supuestos!$E$21+Supuestos!$E$30*Supuestos!$E$22+Supuestos!$E$31*Supuestos!$E$23+Supuestos!$E$32*Supuestos!$E$24)*Supuestos!$E$17</f>
        <v>287.729654543597</v>
      </c>
      <c r="U11" s="35" t="n">
        <f aca="false">U7*(Supuestos!$E$29*Supuestos!$E$21+Supuestos!$E$30*Supuestos!$E$22+Supuestos!$E$31*Supuestos!$E$23+Supuestos!$E$32*Supuestos!$E$24)*Supuestos!$E$17</f>
        <v>289.745875270981</v>
      </c>
      <c r="V11" s="35" t="n">
        <f aca="false">V7*(Supuestos!$E$29*Supuestos!$E$21+Supuestos!$E$30*Supuestos!$E$22+Supuestos!$E$31*Supuestos!$E$23+Supuestos!$E$32*Supuestos!$E$24)*Supuestos!$E$17</f>
        <v>291.641122754722</v>
      </c>
      <c r="W11" s="35" t="n">
        <f aca="false">W7*(Supuestos!$E$29*Supuestos!$E$21+Supuestos!$E$30*Supuestos!$E$22+Supuestos!$E$31*Supuestos!$E$23+Supuestos!$E$32*Supuestos!$E$24)*Supuestos!$E$17</f>
        <v>293.422655389439</v>
      </c>
      <c r="X11" s="35" t="n">
        <f aca="false">X7*(Supuestos!$E$29*Supuestos!$E$21+Supuestos!$E$30*Supuestos!$E$22+Supuestos!$E$31*Supuestos!$E$23+Supuestos!$E$32*Supuestos!$E$24)*Supuestos!$E$17</f>
        <v>295.097296066073</v>
      </c>
      <c r="Y11" s="35" t="n">
        <f aca="false">Y7*(Supuestos!$E$29*Supuestos!$E$21+Supuestos!$E$30*Supuestos!$E$22+Supuestos!$E$31*Supuestos!$E$23+Supuestos!$E$32*Supuestos!$E$24)*Supuestos!$E$17</f>
        <v>296.671458302108</v>
      </c>
      <c r="Z11" s="35" t="n">
        <f aca="false">Z7*(Supuestos!$E$29*Supuestos!$E$21+Supuestos!$E$30*Supuestos!$E$22+Supuestos!$E$31*Supuestos!$E$23+Supuestos!$E$32*Supuestos!$E$24)*Supuestos!$E$17</f>
        <v>298.151170803982</v>
      </c>
      <c r="AA11" s="35" t="n">
        <f aca="false">AA7*(Supuestos!$E$29*Supuestos!$E$21+Supuestos!$E$30*Supuestos!$E$22+Supuestos!$E$31*Supuestos!$E$23+Supuestos!$E$32*Supuestos!$E$24)*Supuestos!$E$17</f>
        <v>299.542100555743</v>
      </c>
      <c r="AB11" s="35" t="n">
        <f aca="false">AB7*(Supuestos!$E$29*Supuestos!$E$21+Supuestos!$E$30*Supuestos!$E$22+Supuestos!$E$31*Supuestos!$E$23+Supuestos!$E$32*Supuestos!$E$24)*Supuestos!$E$17</f>
        <v>300.849574522398</v>
      </c>
      <c r="AC11" s="35" t="n">
        <f aca="false">AC7*(Supuestos!$E$29*Supuestos!$E$21+Supuestos!$E$30*Supuestos!$E$22+Supuestos!$E$31*Supuestos!$E$23+Supuestos!$E$32*Supuestos!$E$24)*Supuestos!$E$17</f>
        <v>302.078600051054</v>
      </c>
      <c r="AD11" s="35" t="n">
        <f aca="false">AD7*(Supuestos!$E$29*Supuestos!$E$21+Supuestos!$E$30*Supuestos!$E$22+Supuestos!$E$31*Supuestos!$E$23+Supuestos!$E$32*Supuestos!$E$24)*Supuestos!$E$17</f>
        <v>303.233884047991</v>
      </c>
      <c r="AE11" s="35" t="n">
        <f aca="false">AE7*(Supuestos!$E$29*Supuestos!$E$21+Supuestos!$E$30*Supuestos!$E$22+Supuestos!$E$31*Supuestos!$E$23+Supuestos!$E$32*Supuestos!$E$24)*Supuestos!$E$17</f>
        <v>304.319851005112</v>
      </c>
      <c r="AF11" s="35" t="n">
        <f aca="false">AF7*(Supuestos!$E$29*Supuestos!$E$21+Supuestos!$E$30*Supuestos!$E$22+Supuestos!$E$31*Supuestos!$E$23+Supuestos!$E$32*Supuestos!$E$24)*Supuestos!$E$17</f>
        <v>305.340659944805</v>
      </c>
      <c r="AG11" s="35" t="n">
        <f aca="false">AG7*(Supuestos!$E$29*Supuestos!$E$21+Supuestos!$E$30*Supuestos!$E$22+Supuestos!$E$31*Supuestos!$E$23+Supuestos!$E$32*Supuestos!$E$24)*Supuestos!$E$17</f>
        <v>306.300220348117</v>
      </c>
      <c r="AH11" s="35" t="n">
        <f aca="false">AH7*(Supuestos!$E$29*Supuestos!$E$21+Supuestos!$E$30*Supuestos!$E$22+Supuestos!$E$31*Supuestos!$E$23+Supuestos!$E$32*Supuestos!$E$24)*Supuestos!$E$17</f>
        <v>307.20220712723</v>
      </c>
      <c r="AI11" s="35" t="n">
        <f aca="false">AI7*(Supuestos!$E$29*Supuestos!$E$21+Supuestos!$E$30*Supuestos!$E$22+Supuestos!$E$31*Supuestos!$E$23+Supuestos!$E$32*Supuestos!$E$24)*Supuestos!$E$17</f>
        <v>308.050074699596</v>
      </c>
      <c r="AJ11" s="35" t="n">
        <f aca="false">AJ7*(Supuestos!$E$29*Supuestos!$E$21+Supuestos!$E$30*Supuestos!$E$22+Supuestos!$E$31*Supuestos!$E$23+Supuestos!$E$32*Supuestos!$E$24)*Supuestos!$E$17</f>
        <v>308.84707021762</v>
      </c>
      <c r="AK11" s="35" t="n">
        <f aca="false">AK7*(Supuestos!$E$29*Supuestos!$E$21+Supuestos!$E$30*Supuestos!$E$22+Supuestos!$E$31*Supuestos!$E$23+Supuestos!$E$32*Supuestos!$E$24)*Supuestos!$E$17</f>
        <v>309.596246004563</v>
      </c>
      <c r="AL11" s="35" t="n">
        <f aca="false">AL7*(Supuestos!$E$29*Supuestos!$E$21+Supuestos!$E$30*Supuestos!$E$22+Supuestos!$E$31*Supuestos!$E$23+Supuestos!$E$32*Supuestos!$E$24)*Supuestos!$E$17</f>
        <v>310.300471244289</v>
      </c>
      <c r="AM11" s="35" t="n">
        <f aca="false">AM7*(Supuestos!$E$29*Supuestos!$E$21+Supuestos!$E$30*Supuestos!$E$22+Supuestos!$E$31*Supuestos!$E$23+Supuestos!$E$32*Supuestos!$E$24)*Supuestos!$E$17</f>
        <v>310.962442969632</v>
      </c>
    </row>
    <row r="12" customFormat="false" ht="15" hidden="false" customHeight="false" outlineLevel="0" collapsed="false">
      <c r="B12" s="4" t="s">
        <v>395</v>
      </c>
      <c r="D12" s="30" t="n">
        <f aca="false">D11/(Supuestos!$E$12*Supuestos!$E$9)</f>
        <v>0.0981851851851852</v>
      </c>
      <c r="E12" s="30" t="n">
        <f aca="false">E11/(Supuestos!$E$12*Supuestos!$E$9)</f>
        <v>0.130548042328042</v>
      </c>
      <c r="F12" s="30" t="n">
        <f aca="false">F11/(Supuestos!$E$12*Supuestos!$E$9)</f>
        <v>0.160969128042328</v>
      </c>
      <c r="G12" s="30" t="n">
        <f aca="false">G11/(Supuestos!$E$12*Supuestos!$E$9)</f>
        <v>0.189564948613757</v>
      </c>
      <c r="H12" s="30" t="n">
        <f aca="false">H11/(Supuestos!$E$12*Supuestos!$E$9)</f>
        <v>0.216445019950899</v>
      </c>
      <c r="I12" s="30" t="n">
        <f aca="false">I11/(Supuestos!$E$12*Supuestos!$E$9)</f>
        <v>0.241712287007814</v>
      </c>
      <c r="J12" s="30" t="n">
        <f aca="false">J11/(Supuestos!$E$12*Supuestos!$E$9)</f>
        <v>0.265463518041313</v>
      </c>
      <c r="K12" s="30" t="n">
        <f aca="false">K11/(Supuestos!$E$12*Supuestos!$E$9)</f>
        <v>0.287789675212803</v>
      </c>
      <c r="L12" s="30" t="n">
        <f aca="false">L11/(Supuestos!$E$12*Supuestos!$E$9)</f>
        <v>0.308776262954003</v>
      </c>
      <c r="M12" s="30" t="n">
        <f aca="false">M11/(Supuestos!$E$12*Supuestos!$E$9)</f>
        <v>0.328503655430731</v>
      </c>
      <c r="N12" s="30" t="n">
        <f aca="false">N11/(Supuestos!$E$12*Supuestos!$E$9)</f>
        <v>0.347047404358855</v>
      </c>
      <c r="O12" s="30" t="n">
        <f aca="false">O11/(Supuestos!$E$12*Supuestos!$E$9)</f>
        <v>0.364478528351292</v>
      </c>
      <c r="P12" s="30" t="n">
        <f aca="false">P11/(Supuestos!$E$12*Supuestos!$E$9)</f>
        <v>0.36811246215286</v>
      </c>
      <c r="Q12" s="30" t="n">
        <f aca="false">Q11/(Supuestos!$E$12*Supuestos!$E$9)</f>
        <v>0.371528359926334</v>
      </c>
      <c r="R12" s="30" t="n">
        <f aca="false">R11/(Supuestos!$E$12*Supuestos!$E$9)</f>
        <v>0.374739303833399</v>
      </c>
      <c r="S12" s="30" t="n">
        <f aca="false">S11/(Supuestos!$E$12*Supuestos!$E$9)</f>
        <v>0.377757591106041</v>
      </c>
      <c r="T12" s="30" t="n">
        <f aca="false">T11/(Supuestos!$E$12*Supuestos!$E$9)</f>
        <v>0.380594781142324</v>
      </c>
      <c r="U12" s="30" t="n">
        <f aca="false">U11/(Supuestos!$E$12*Supuestos!$E$9)</f>
        <v>0.38326173977643</v>
      </c>
      <c r="V12" s="30" t="n">
        <f aca="false">V11/(Supuestos!$E$12*Supuestos!$E$9)</f>
        <v>0.38576868089249</v>
      </c>
      <c r="W12" s="30" t="n">
        <f aca="false">W11/(Supuestos!$E$12*Supuestos!$E$9)</f>
        <v>0.388125205541586</v>
      </c>
      <c r="X12" s="30" t="n">
        <f aca="false">X11/(Supuestos!$E$12*Supuestos!$E$9)</f>
        <v>0.390340338711736</v>
      </c>
      <c r="Y12" s="30" t="n">
        <f aca="false">Y11/(Supuestos!$E$12*Supuestos!$E$9)</f>
        <v>0.392422563891677</v>
      </c>
      <c r="Z12" s="30" t="n">
        <f aca="false">Z11/(Supuestos!$E$12*Supuestos!$E$9)</f>
        <v>0.394379855560822</v>
      </c>
      <c r="AA12" s="30" t="n">
        <f aca="false">AA11/(Supuestos!$E$12*Supuestos!$E$9)</f>
        <v>0.396219709729818</v>
      </c>
      <c r="AB12" s="30" t="n">
        <f aca="false">AB11/(Supuestos!$E$12*Supuestos!$E$9)</f>
        <v>0.397949172648675</v>
      </c>
      <c r="AC12" s="30" t="n">
        <f aca="false">AC11/(Supuestos!$E$12*Supuestos!$E$9)</f>
        <v>0.3995748677924</v>
      </c>
      <c r="AD12" s="30" t="n">
        <f aca="false">AD11/(Supuestos!$E$12*Supuestos!$E$9)</f>
        <v>0.401103021227501</v>
      </c>
      <c r="AE12" s="30" t="n">
        <f aca="false">AE11/(Supuestos!$E$12*Supuestos!$E$9)</f>
        <v>0.402539485456497</v>
      </c>
      <c r="AF12" s="30" t="n">
        <f aca="false">AF11/(Supuestos!$E$12*Supuestos!$E$9)</f>
        <v>0.403889761831752</v>
      </c>
      <c r="AG12" s="30" t="n">
        <f aca="false">AG11/(Supuestos!$E$12*Supuestos!$E$9)</f>
        <v>0.405159021624493</v>
      </c>
      <c r="AH12" s="30" t="n">
        <f aca="false">AH11/(Supuestos!$E$12*Supuestos!$E$9)</f>
        <v>0.406352125829669</v>
      </c>
      <c r="AI12" s="30" t="n">
        <f aca="false">AI11/(Supuestos!$E$12*Supuestos!$E$9)</f>
        <v>0.407473643782534</v>
      </c>
      <c r="AJ12" s="30" t="n">
        <f aca="false">AJ11/(Supuestos!$E$12*Supuestos!$E$9)</f>
        <v>0.408527870658228</v>
      </c>
      <c r="AK12" s="30" t="n">
        <f aca="false">AK11/(Supuestos!$E$12*Supuestos!$E$9)</f>
        <v>0.409518843921379</v>
      </c>
      <c r="AL12" s="30" t="n">
        <f aca="false">AL11/(Supuestos!$E$12*Supuestos!$E$9)</f>
        <v>0.410450358788742</v>
      </c>
      <c r="AM12" s="30" t="n">
        <f aca="false">AM11/(Supuestos!$E$12*Supuestos!$E$9)</f>
        <v>0.411325982764063</v>
      </c>
    </row>
    <row r="13" customFormat="false" ht="15" hidden="false" customHeight="false" outlineLevel="0" collapsed="false">
      <c r="B13" s="4" t="s">
        <v>396</v>
      </c>
      <c r="D13" s="28" t="n">
        <f aca="false">D11/Supuestos!$E$9*Supuestos!$E$18</f>
        <v>4.59506666666667</v>
      </c>
      <c r="E13" s="28" t="n">
        <f aca="false">E11/Supuestos!$E$9*Supuestos!$E$18</f>
        <v>6.10964838095238</v>
      </c>
      <c r="F13" s="28" t="n">
        <f aca="false">F11/Supuestos!$E$9*Supuestos!$E$18</f>
        <v>7.53335519238095</v>
      </c>
      <c r="G13" s="28" t="n">
        <f aca="false">G11/Supuestos!$E$9*Supuestos!$E$18</f>
        <v>8.87163959512381</v>
      </c>
      <c r="H13" s="28" t="n">
        <f aca="false">H11/Supuestos!$E$9*Supuestos!$E$18</f>
        <v>10.1296269337021</v>
      </c>
      <c r="I13" s="28" t="n">
        <f aca="false">I11/Supuestos!$E$9*Supuestos!$E$18</f>
        <v>11.3121350319657</v>
      </c>
      <c r="J13" s="28" t="n">
        <f aca="false">J11/Supuestos!$E$9*Supuestos!$E$18</f>
        <v>12.4236926443335</v>
      </c>
      <c r="K13" s="28" t="n">
        <f aca="false">K11/Supuestos!$E$9*Supuestos!$E$18</f>
        <v>13.4685567999592</v>
      </c>
      <c r="L13" s="28" t="n">
        <f aca="false">L11/Supuestos!$E$9*Supuestos!$E$18</f>
        <v>14.4507291062473</v>
      </c>
      <c r="M13" s="28" t="n">
        <f aca="false">M11/Supuestos!$E$9*Supuestos!$E$18</f>
        <v>15.3739710741582</v>
      </c>
      <c r="N13" s="28" t="n">
        <f aca="false">N11/Supuestos!$E$9*Supuestos!$E$18</f>
        <v>16.2418185239944</v>
      </c>
      <c r="O13" s="28" t="n">
        <f aca="false">O11/Supuestos!$E$9*Supuestos!$E$18</f>
        <v>17.0575951268405</v>
      </c>
      <c r="P13" s="28" t="n">
        <f aca="false">P11/Supuestos!$E$9*Supuestos!$E$18</f>
        <v>17.2276632287539</v>
      </c>
      <c r="Q13" s="28" t="n">
        <f aca="false">Q11/Supuestos!$E$9*Supuestos!$E$18</f>
        <v>17.3875272445524</v>
      </c>
      <c r="R13" s="28" t="n">
        <f aca="false">R11/Supuestos!$E$9*Supuestos!$E$18</f>
        <v>17.5377994194031</v>
      </c>
      <c r="S13" s="28" t="n">
        <f aca="false">S11/Supuestos!$E$9*Supuestos!$E$18</f>
        <v>17.6790552637627</v>
      </c>
      <c r="T13" s="28" t="n">
        <f aca="false">T11/Supuestos!$E$9*Supuestos!$E$18</f>
        <v>17.8118357574608</v>
      </c>
      <c r="U13" s="28" t="n">
        <f aca="false">U11/Supuestos!$E$9*Supuestos!$E$18</f>
        <v>17.9366494215369</v>
      </c>
      <c r="V13" s="28" t="n">
        <f aca="false">V11/Supuestos!$E$9*Supuestos!$E$18</f>
        <v>18.0539742657685</v>
      </c>
      <c r="W13" s="28" t="n">
        <f aca="false">W11/Supuestos!$E$9*Supuestos!$E$18</f>
        <v>18.1642596193462</v>
      </c>
      <c r="X13" s="28" t="n">
        <f aca="false">X11/Supuestos!$E$9*Supuestos!$E$18</f>
        <v>18.2679278517093</v>
      </c>
      <c r="Y13" s="28" t="n">
        <f aca="false">Y11/Supuestos!$E$9*Supuestos!$E$18</f>
        <v>18.3653759901305</v>
      </c>
      <c r="Z13" s="28" t="n">
        <f aca="false">Z11/Supuestos!$E$9*Supuestos!$E$18</f>
        <v>18.4569772402465</v>
      </c>
      <c r="AA13" s="28" t="n">
        <f aca="false">AA11/Supuestos!$E$9*Supuestos!$E$18</f>
        <v>18.5430824153555</v>
      </c>
      <c r="AB13" s="28" t="n">
        <f aca="false">AB11/Supuestos!$E$9*Supuestos!$E$18</f>
        <v>18.624021279958</v>
      </c>
      <c r="AC13" s="28" t="n">
        <f aca="false">AC11/Supuestos!$E$9*Supuestos!$E$18</f>
        <v>18.7001038126843</v>
      </c>
      <c r="AD13" s="28" t="n">
        <f aca="false">AD11/Supuestos!$E$9*Supuestos!$E$18</f>
        <v>18.7716213934471</v>
      </c>
      <c r="AE13" s="28" t="n">
        <f aca="false">AE11/Supuestos!$E$9*Supuestos!$E$18</f>
        <v>18.838847919364</v>
      </c>
      <c r="AF13" s="28" t="n">
        <f aca="false">AF11/Supuestos!$E$9*Supuestos!$E$18</f>
        <v>18.902040853726</v>
      </c>
      <c r="AG13" s="28" t="n">
        <f aca="false">AG11/Supuestos!$E$9*Supuestos!$E$18</f>
        <v>18.9614422120263</v>
      </c>
      <c r="AH13" s="28" t="n">
        <f aca="false">AH11/Supuestos!$E$9*Supuestos!$E$18</f>
        <v>19.0172794888285</v>
      </c>
      <c r="AI13" s="28" t="n">
        <f aca="false">AI11/Supuestos!$E$9*Supuestos!$E$18</f>
        <v>19.0697665290226</v>
      </c>
      <c r="AJ13" s="28" t="n">
        <f aca="false">AJ11/Supuestos!$E$9*Supuestos!$E$18</f>
        <v>19.1191043468051</v>
      </c>
      <c r="AK13" s="28" t="n">
        <f aca="false">AK11/Supuestos!$E$9*Supuestos!$E$18</f>
        <v>19.1654818955206</v>
      </c>
      <c r="AL13" s="28" t="n">
        <f aca="false">AL11/Supuestos!$E$9*Supuestos!$E$18</f>
        <v>19.2090767913131</v>
      </c>
      <c r="AM13" s="28" t="n">
        <f aca="false">AM11/Supuestos!$E$9*Supuestos!$E$18</f>
        <v>19.2500559933582</v>
      </c>
    </row>
    <row r="14" customFormat="false" ht="15" hidden="false" customHeight="false" outlineLevel="0" collapsed="false">
      <c r="B14" s="14" t="s">
        <v>397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customFormat="false" ht="15" hidden="false" customHeight="false" outlineLevel="0" collapsed="false">
      <c r="B15" s="4" t="s">
        <v>398</v>
      </c>
      <c r="D15" s="25" t="n">
        <f aca="false">D7*((Supuestos!$E$29*Supuestos!$E$25+Supuestos!$E$30*Supuestos!$E$26+Supuestos!$E$31*Supuestos!$E$27+Supuestos!$E$32*Supuestos!$E$28)*Supuestos!$E$37)*(1-Supuestos!$E$38)/(1+Supuestos!$E$7*Supuestos!$E$8)/Supuestos!$E$6</f>
        <v>361.691958041958</v>
      </c>
      <c r="E15" s="25" t="n">
        <f aca="false">E7*((Supuestos!$E$29*Supuestos!$E$25+Supuestos!$E$30*Supuestos!$E$26+Supuestos!$E$31*Supuestos!$E$27+Supuestos!$E$32*Supuestos!$E$28)*Supuestos!$E$37)*(1-Supuestos!$E$38)/(1+Supuestos!$E$7*Supuestos!$E$8)/Supuestos!$E$6</f>
        <v>480.909385251112</v>
      </c>
      <c r="F15" s="25" t="n">
        <f aca="false">F7*((Supuestos!$E$29*Supuestos!$E$25+Supuestos!$E$30*Supuestos!$E$26+Supuestos!$E$31*Supuestos!$E$27+Supuestos!$E$32*Supuestos!$E$28)*Supuestos!$E$37)*(1-Supuestos!$E$38)/(1+Supuestos!$E$7*Supuestos!$E$8)/Supuestos!$E$6</f>
        <v>592.973766827718</v>
      </c>
      <c r="G15" s="25" t="n">
        <f aca="false">G7*((Supuestos!$E$29*Supuestos!$E$25+Supuestos!$E$30*Supuestos!$E$26+Supuestos!$E$31*Supuestos!$E$27+Supuestos!$E$32*Supuestos!$E$28)*Supuestos!$E$37)*(1-Supuestos!$E$38)/(1+Supuestos!$E$7*Supuestos!$E$8)/Supuestos!$E$6</f>
        <v>698.314285509727</v>
      </c>
      <c r="H15" s="25" t="n">
        <f aca="false">H7*((Supuestos!$E$29*Supuestos!$E$25+Supuestos!$E$30*Supuestos!$E$26+Supuestos!$E$31*Supuestos!$E$27+Supuestos!$E$32*Supuestos!$E$28)*Supuestos!$E$37)*(1-Supuestos!$E$38)/(1+Supuestos!$E$7*Supuestos!$E$8)/Supuestos!$E$6</f>
        <v>797.334373070815</v>
      </c>
      <c r="I15" s="25" t="n">
        <f aca="false">I7*((Supuestos!$E$29*Supuestos!$E$25+Supuestos!$E$30*Supuestos!$E$26+Supuestos!$E$31*Supuestos!$E$27+Supuestos!$E$32*Supuestos!$E$28)*Supuestos!$E$37)*(1-Supuestos!$E$38)/(1+Supuestos!$E$7*Supuestos!$E$8)/Supuestos!$E$6</f>
        <v>890.413255378238</v>
      </c>
      <c r="J15" s="25" t="n">
        <f aca="false">J7*((Supuestos!$E$29*Supuestos!$E$25+Supuestos!$E$30*Supuestos!$E$26+Supuestos!$E$31*Supuestos!$E$27+Supuestos!$E$32*Supuestos!$E$28)*Supuestos!$E$37)*(1-Supuestos!$E$38)/(1+Supuestos!$E$7*Supuestos!$E$8)/Supuestos!$E$6</f>
        <v>977.907404747216</v>
      </c>
      <c r="K15" s="25" t="n">
        <f aca="false">K7*((Supuestos!$E$29*Supuestos!$E$25+Supuestos!$E$30*Supuestos!$E$26+Supuestos!$E$31*Supuestos!$E$27+Supuestos!$E$32*Supuestos!$E$28)*Supuestos!$E$37)*(1-Supuestos!$E$38)/(1+Supuestos!$E$7*Supuestos!$E$8)/Supuestos!$E$6</f>
        <v>1060.15190515405</v>
      </c>
      <c r="L15" s="25" t="n">
        <f aca="false">L7*((Supuestos!$E$29*Supuestos!$E$25+Supuestos!$E$30*Supuestos!$E$26+Supuestos!$E$31*Supuestos!$E$27+Supuestos!$E$32*Supuestos!$E$28)*Supuestos!$E$37)*(1-Supuestos!$E$38)/(1+Supuestos!$E$7*Supuestos!$E$8)/Supuestos!$E$6</f>
        <v>1137.46173553648</v>
      </c>
      <c r="M15" s="25" t="n">
        <f aca="false">M7*((Supuestos!$E$29*Supuestos!$E$25+Supuestos!$E$30*Supuestos!$E$26+Supuestos!$E$31*Supuestos!$E$27+Supuestos!$E$32*Supuestos!$E$28)*Supuestos!$E$37)*(1-Supuestos!$E$38)/(1+Supuestos!$E$7*Supuestos!$E$8)/Supuestos!$E$6</f>
        <v>1210.13297609597</v>
      </c>
      <c r="N15" s="25" t="n">
        <f aca="false">N7*((Supuestos!$E$29*Supuestos!$E$25+Supuestos!$E$30*Supuestos!$E$26+Supuestos!$E$31*Supuestos!$E$27+Supuestos!$E$32*Supuestos!$E$28)*Supuestos!$E$37)*(1-Supuestos!$E$38)/(1+Supuestos!$E$7*Supuestos!$E$8)/Supuestos!$E$6</f>
        <v>1278.44394222188</v>
      </c>
      <c r="O15" s="25" t="n">
        <f aca="false">O7*((Supuestos!$E$29*Supuestos!$E$25+Supuestos!$E$30*Supuestos!$E$26+Supuestos!$E$31*Supuestos!$E$27+Supuestos!$E$32*Supuestos!$E$28)*Supuestos!$E$37)*(1-Supuestos!$E$38)/(1+Supuestos!$E$7*Supuestos!$E$8)/Supuestos!$E$6</f>
        <v>1342.65625038024</v>
      </c>
      <c r="P15" s="25" t="n">
        <f aca="false">P7*((Supuestos!$E$29*Supuestos!$E$25+Supuestos!$E$30*Supuestos!$E$26+Supuestos!$E$31*Supuestos!$E$27+Supuestos!$E$32*Supuestos!$E$28)*Supuestos!$E$37)*(1-Supuestos!$E$38)/(1+Supuestos!$E$7*Supuestos!$E$8)/Supuestos!$E$6</f>
        <v>1356.04283848521</v>
      </c>
      <c r="Q15" s="25" t="n">
        <f aca="false">Q7*((Supuestos!$E$29*Supuestos!$E$25+Supuestos!$E$30*Supuestos!$E$26+Supuestos!$E$31*Supuestos!$E$27+Supuestos!$E$32*Supuestos!$E$28)*Supuestos!$E$37)*(1-Supuestos!$E$38)/(1+Supuestos!$E$7*Supuestos!$E$8)/Supuestos!$E$6</f>
        <v>1368.62623130387</v>
      </c>
      <c r="R15" s="25" t="n">
        <f aca="false">R7*((Supuestos!$E$29*Supuestos!$E$25+Supuestos!$E$30*Supuestos!$E$26+Supuestos!$E$31*Supuestos!$E$27+Supuestos!$E$32*Supuestos!$E$28)*Supuestos!$E$37)*(1-Supuestos!$E$38)/(1+Supuestos!$E$7*Supuestos!$E$8)/Supuestos!$E$6</f>
        <v>1380.45462055342</v>
      </c>
      <c r="S15" s="25" t="n">
        <f aca="false">S7*((Supuestos!$E$29*Supuestos!$E$25+Supuestos!$E$30*Supuestos!$E$26+Supuestos!$E$31*Supuestos!$E$27+Supuestos!$E$32*Supuestos!$E$28)*Supuestos!$E$37)*(1-Supuestos!$E$38)/(1+Supuestos!$E$7*Supuestos!$E$8)/Supuestos!$E$6</f>
        <v>1391.573306448</v>
      </c>
      <c r="T15" s="25" t="n">
        <f aca="false">T7*((Supuestos!$E$29*Supuestos!$E$25+Supuestos!$E$30*Supuestos!$E$26+Supuestos!$E$31*Supuestos!$E$27+Supuestos!$E$32*Supuestos!$E$28)*Supuestos!$E$37)*(1-Supuestos!$E$38)/(1+Supuestos!$E$7*Supuestos!$E$8)/Supuestos!$E$6</f>
        <v>1402.0248711889</v>
      </c>
      <c r="U15" s="25" t="n">
        <f aca="false">U7*((Supuestos!$E$29*Supuestos!$E$25+Supuestos!$E$30*Supuestos!$E$26+Supuestos!$E$31*Supuestos!$E$27+Supuestos!$E$32*Supuestos!$E$28)*Supuestos!$E$37)*(1-Supuestos!$E$38)/(1+Supuestos!$E$7*Supuestos!$E$8)/Supuestos!$E$6</f>
        <v>1411.84934204535</v>
      </c>
      <c r="V15" s="25" t="n">
        <f aca="false">V7*((Supuestos!$E$29*Supuestos!$E$25+Supuestos!$E$30*Supuestos!$E$26+Supuestos!$E$31*Supuestos!$E$27+Supuestos!$E$32*Supuestos!$E$28)*Supuestos!$E$37)*(1-Supuestos!$E$38)/(1+Supuestos!$E$7*Supuestos!$E$8)/Supuestos!$E$6</f>
        <v>1421.08434465041</v>
      </c>
      <c r="W15" s="25" t="n">
        <f aca="false">W7*((Supuestos!$E$29*Supuestos!$E$25+Supuestos!$E$30*Supuestos!$E$26+Supuestos!$E$31*Supuestos!$E$27+Supuestos!$E$32*Supuestos!$E$28)*Supuestos!$E$37)*(1-Supuestos!$E$38)/(1+Supuestos!$E$7*Supuestos!$E$8)/Supuestos!$E$6</f>
        <v>1429.76524709917</v>
      </c>
      <c r="X15" s="25" t="n">
        <f aca="false">X7*((Supuestos!$E$29*Supuestos!$E$25+Supuestos!$E$30*Supuestos!$E$26+Supuestos!$E$31*Supuestos!$E$27+Supuestos!$E$32*Supuestos!$E$28)*Supuestos!$E$37)*(1-Supuestos!$E$38)/(1+Supuestos!$E$7*Supuestos!$E$8)/Supuestos!$E$6</f>
        <v>1437.925295401</v>
      </c>
      <c r="Y15" s="25" t="n">
        <f aca="false">Y7*((Supuestos!$E$29*Supuestos!$E$25+Supuestos!$E$30*Supuestos!$E$26+Supuestos!$E$31*Supuestos!$E$27+Supuestos!$E$32*Supuestos!$E$28)*Supuestos!$E$37)*(1-Supuestos!$E$38)/(1+Supuestos!$E$7*Supuestos!$E$8)/Supuestos!$E$6</f>
        <v>1445.59574080472</v>
      </c>
      <c r="Z15" s="25" t="n">
        <f aca="false">Z7*((Supuestos!$E$29*Supuestos!$E$25+Supuestos!$E$30*Supuestos!$E$26+Supuestos!$E$31*Supuestos!$E$27+Supuestos!$E$32*Supuestos!$E$28)*Supuestos!$E$37)*(1-Supuestos!$E$38)/(1+Supuestos!$E$7*Supuestos!$E$8)/Supuestos!$E$6</f>
        <v>1452.80595948422</v>
      </c>
      <c r="AA15" s="25" t="n">
        <f aca="false">AA7*((Supuestos!$E$29*Supuestos!$E$25+Supuestos!$E$30*Supuestos!$E$26+Supuestos!$E$31*Supuestos!$E$27+Supuestos!$E$32*Supuestos!$E$28)*Supuestos!$E$37)*(1-Supuestos!$E$38)/(1+Supuestos!$E$7*Supuestos!$E$8)/Supuestos!$E$6</f>
        <v>1459.58356504294</v>
      </c>
      <c r="AB15" s="25" t="n">
        <f aca="false">AB7*((Supuestos!$E$29*Supuestos!$E$25+Supuestos!$E$30*Supuestos!$E$26+Supuestos!$E$31*Supuestos!$E$27+Supuestos!$E$32*Supuestos!$E$28)*Supuestos!$E$37)*(1-Supuestos!$E$38)/(1+Supuestos!$E$7*Supuestos!$E$8)/Supuestos!$E$6</f>
        <v>1465.95451426815</v>
      </c>
      <c r="AC15" s="25" t="n">
        <f aca="false">AC7*((Supuestos!$E$29*Supuestos!$E$25+Supuestos!$E$30*Supuestos!$E$26+Supuestos!$E$31*Supuestos!$E$27+Supuestos!$E$32*Supuestos!$E$28)*Supuestos!$E$37)*(1-Supuestos!$E$38)/(1+Supuestos!$E$7*Supuestos!$E$8)/Supuestos!$E$6</f>
        <v>1471.94320653984</v>
      </c>
      <c r="AD15" s="25" t="n">
        <f aca="false">AD7*((Supuestos!$E$29*Supuestos!$E$25+Supuestos!$E$30*Supuestos!$E$26+Supuestos!$E$31*Supuestos!$E$27+Supuestos!$E$32*Supuestos!$E$28)*Supuestos!$E$37)*(1-Supuestos!$E$38)/(1+Supuestos!$E$7*Supuestos!$E$8)/Supuestos!$E$6</f>
        <v>1477.57257727523</v>
      </c>
      <c r="AE15" s="25" t="n">
        <f aca="false">AE7*((Supuestos!$E$29*Supuestos!$E$25+Supuestos!$E$30*Supuestos!$E$26+Supuestos!$E$31*Supuestos!$E$27+Supuestos!$E$32*Supuestos!$E$28)*Supuestos!$E$37)*(1-Supuestos!$E$38)/(1+Supuestos!$E$7*Supuestos!$E$8)/Supuestos!$E$6</f>
        <v>1482.8641857665</v>
      </c>
      <c r="AF15" s="25" t="n">
        <f aca="false">AF7*((Supuestos!$E$29*Supuestos!$E$25+Supuestos!$E$30*Supuestos!$E$26+Supuestos!$E$31*Supuestos!$E$27+Supuestos!$E$32*Supuestos!$E$28)*Supuestos!$E$37)*(1-Supuestos!$E$38)/(1+Supuestos!$E$7*Supuestos!$E$8)/Supuestos!$E$6</f>
        <v>1487.83829774829</v>
      </c>
      <c r="AG15" s="25" t="n">
        <f aca="false">AG7*((Supuestos!$E$29*Supuestos!$E$25+Supuestos!$E$30*Supuestos!$E$26+Supuestos!$E$31*Supuestos!$E$27+Supuestos!$E$32*Supuestos!$E$28)*Supuestos!$E$37)*(1-Supuestos!$E$38)/(1+Supuestos!$E$7*Supuestos!$E$8)/Supuestos!$E$6</f>
        <v>1492.51396301117</v>
      </c>
      <c r="AH15" s="25" t="n">
        <f aca="false">AH7*((Supuestos!$E$29*Supuestos!$E$25+Supuestos!$E$30*Supuestos!$E$26+Supuestos!$E$31*Supuestos!$E$27+Supuestos!$E$32*Supuestos!$E$28)*Supuestos!$E$37)*(1-Supuestos!$E$38)/(1+Supuestos!$E$7*Supuestos!$E$8)/Supuestos!$E$6</f>
        <v>1496.90908835829</v>
      </c>
      <c r="AI15" s="25" t="n">
        <f aca="false">AI7*((Supuestos!$E$29*Supuestos!$E$25+Supuestos!$E$30*Supuestos!$E$26+Supuestos!$E$31*Supuestos!$E$27+Supuestos!$E$32*Supuestos!$E$28)*Supuestos!$E$37)*(1-Supuestos!$E$38)/(1+Supuestos!$E$7*Supuestos!$E$8)/Supuestos!$E$6</f>
        <v>1501.04050618457</v>
      </c>
      <c r="AJ15" s="25" t="n">
        <f aca="false">AJ7*((Supuestos!$E$29*Supuestos!$E$25+Supuestos!$E$30*Supuestos!$E$26+Supuestos!$E$31*Supuestos!$E$27+Supuestos!$E$32*Supuestos!$E$28)*Supuestos!$E$37)*(1-Supuestos!$E$38)/(1+Supuestos!$E$7*Supuestos!$E$8)/Supuestos!$E$6</f>
        <v>1504.92403894128</v>
      </c>
      <c r="AK15" s="25" t="n">
        <f aca="false">AK7*((Supuestos!$E$29*Supuestos!$E$25+Supuestos!$E$30*Supuestos!$E$26+Supuestos!$E$31*Supuestos!$E$27+Supuestos!$E$32*Supuestos!$E$28)*Supuestos!$E$37)*(1-Supuestos!$E$38)/(1+Supuestos!$E$7*Supuestos!$E$8)/Supuestos!$E$6</f>
        <v>1508.57455973258</v>
      </c>
      <c r="AL15" s="25" t="n">
        <f aca="false">AL7*((Supuestos!$E$29*Supuestos!$E$25+Supuestos!$E$30*Supuestos!$E$26+Supuestos!$E$31*Supuestos!$E$27+Supuestos!$E$32*Supuestos!$E$28)*Supuestos!$E$37)*(1-Supuestos!$E$38)/(1+Supuestos!$E$7*Supuestos!$E$8)/Supuestos!$E$6</f>
        <v>1512.00604927641</v>
      </c>
      <c r="AM15" s="25" t="n">
        <f aca="false">AM7*((Supuestos!$E$29*Supuestos!$E$25+Supuestos!$E$30*Supuestos!$E$26+Supuestos!$E$31*Supuestos!$E$27+Supuestos!$E$32*Supuestos!$E$28)*Supuestos!$E$37)*(1-Supuestos!$E$38)/(1+Supuestos!$E$7*Supuestos!$E$8)/Supuestos!$E$6</f>
        <v>1515.2316494476</v>
      </c>
    </row>
    <row r="16" customFormat="false" ht="15" hidden="false" customHeight="false" outlineLevel="0" collapsed="false">
      <c r="B16" s="4" t="s">
        <v>399</v>
      </c>
      <c r="D16" s="25" t="n">
        <f aca="false">D9*Supuestos!$E$33*Supuestos!$E$37*(1-Supuestos!$E$38)/(1+Supuestos!$E$7*Supuestos!$E$8)/Supuestos!$E$6</f>
        <v>58.1373172282263</v>
      </c>
      <c r="E16" s="25" t="n">
        <f aca="false">E9*Supuestos!$E$33*Supuestos!$E$37*(1-Supuestos!$E$38)/(1+Supuestos!$E$7*Supuestos!$E$8)/Supuestos!$E$6</f>
        <v>113.949141767324</v>
      </c>
      <c r="F16" s="25" t="n">
        <f aca="false">F9*Supuestos!$E$33*Supuestos!$E$37*(1-Supuestos!$E$38)/(1+Supuestos!$E$7*Supuestos!$E$8)/Supuestos!$E$6</f>
        <v>167.528493324857</v>
      </c>
      <c r="G16" s="25" t="n">
        <f aca="false">G9*Supuestos!$E$33*Supuestos!$E$37*(1-Supuestos!$E$38)/(1+Supuestos!$E$7*Supuestos!$E$8)/Supuestos!$E$6</f>
        <v>218.964670820089</v>
      </c>
      <c r="H16" s="25" t="n">
        <f aca="false">H9*Supuestos!$E$33*Supuestos!$E$37*(1-Supuestos!$E$38)/(1+Supuestos!$E$7*Supuestos!$E$8)/Supuestos!$E$6</f>
        <v>268.343401215512</v>
      </c>
      <c r="I16" s="25" t="n">
        <f aca="false">I9*Supuestos!$E$33*Supuestos!$E$37*(1-Supuestos!$E$38)/(1+Supuestos!$E$7*Supuestos!$E$8)/Supuestos!$E$6</f>
        <v>315.746982395118</v>
      </c>
      <c r="J16" s="25" t="n">
        <f aca="false">J9*Supuestos!$E$33*Supuestos!$E$37*(1-Supuestos!$E$38)/(1+Supuestos!$E$7*Supuestos!$E$8)/Supuestos!$E$6</f>
        <v>348.823903369358</v>
      </c>
      <c r="K16" s="25" t="n">
        <f aca="false">K9*Supuestos!$E$33*Supuestos!$E$37*(1-Supuestos!$E$38)/(1+Supuestos!$E$7*Supuestos!$E$8)/Supuestos!$E$6</f>
        <v>348.823903369358</v>
      </c>
      <c r="L16" s="25" t="n">
        <f aca="false">L9*Supuestos!$E$33*Supuestos!$E$37*(1-Supuestos!$E$38)/(1+Supuestos!$E$7*Supuestos!$E$8)/Supuestos!$E$6</f>
        <v>348.823903369358</v>
      </c>
      <c r="M16" s="25" t="n">
        <f aca="false">M9*Supuestos!$E$33*Supuestos!$E$37*(1-Supuestos!$E$38)/(1+Supuestos!$E$7*Supuestos!$E$8)/Supuestos!$E$6</f>
        <v>348.823903369358</v>
      </c>
      <c r="N16" s="25" t="n">
        <f aca="false">N9*Supuestos!$E$33*Supuestos!$E$37*(1-Supuestos!$E$38)/(1+Supuestos!$E$7*Supuestos!$E$8)/Supuestos!$E$6</f>
        <v>348.823903369358</v>
      </c>
      <c r="O16" s="25" t="n">
        <f aca="false">O9*Supuestos!$E$33*Supuestos!$E$37*(1-Supuestos!$E$38)/(1+Supuestos!$E$7*Supuestos!$E$8)/Supuestos!$E$6</f>
        <v>348.823903369358</v>
      </c>
      <c r="P16" s="25" t="n">
        <f aca="false">P9*Supuestos!$E$33*Supuestos!$E$37*(1-Supuestos!$E$38)/(1+Supuestos!$E$7*Supuestos!$E$8)/Supuestos!$E$6</f>
        <v>348.823903369358</v>
      </c>
      <c r="Q16" s="25" t="n">
        <f aca="false">Q9*Supuestos!$E$33*Supuestos!$E$37*(1-Supuestos!$E$38)/(1+Supuestos!$E$7*Supuestos!$E$8)/Supuestos!$E$6</f>
        <v>348.823903369358</v>
      </c>
      <c r="R16" s="25" t="n">
        <f aca="false">R9*Supuestos!$E$33*Supuestos!$E$37*(1-Supuestos!$E$38)/(1+Supuestos!$E$7*Supuestos!$E$8)/Supuestos!$E$6</f>
        <v>348.823903369358</v>
      </c>
      <c r="S16" s="25" t="n">
        <f aca="false">S9*Supuestos!$E$33*Supuestos!$E$37*(1-Supuestos!$E$38)/(1+Supuestos!$E$7*Supuestos!$E$8)/Supuestos!$E$6</f>
        <v>348.823903369358</v>
      </c>
      <c r="T16" s="25" t="n">
        <f aca="false">T9*Supuestos!$E$33*Supuestos!$E$37*(1-Supuestos!$E$38)/(1+Supuestos!$E$7*Supuestos!$E$8)/Supuestos!$E$6</f>
        <v>348.823903369358</v>
      </c>
      <c r="U16" s="25" t="n">
        <f aca="false">U9*Supuestos!$E$33*Supuestos!$E$37*(1-Supuestos!$E$38)/(1+Supuestos!$E$7*Supuestos!$E$8)/Supuestos!$E$6</f>
        <v>348.823903369358</v>
      </c>
      <c r="V16" s="25" t="n">
        <f aca="false">V9*Supuestos!$E$33*Supuestos!$E$37*(1-Supuestos!$E$38)/(1+Supuestos!$E$7*Supuestos!$E$8)/Supuestos!$E$6</f>
        <v>348.823903369358</v>
      </c>
      <c r="W16" s="25" t="n">
        <f aca="false">W9*Supuestos!$E$33*Supuestos!$E$37*(1-Supuestos!$E$38)/(1+Supuestos!$E$7*Supuestos!$E$8)/Supuestos!$E$6</f>
        <v>348.823903369358</v>
      </c>
      <c r="X16" s="25" t="n">
        <f aca="false">X9*Supuestos!$E$33*Supuestos!$E$37*(1-Supuestos!$E$38)/(1+Supuestos!$E$7*Supuestos!$E$8)/Supuestos!$E$6</f>
        <v>348.823903369358</v>
      </c>
      <c r="Y16" s="25" t="n">
        <f aca="false">Y9*Supuestos!$E$33*Supuestos!$E$37*(1-Supuestos!$E$38)/(1+Supuestos!$E$7*Supuestos!$E$8)/Supuestos!$E$6</f>
        <v>348.823903369358</v>
      </c>
      <c r="Z16" s="25" t="n">
        <f aca="false">Z9*Supuestos!$E$33*Supuestos!$E$37*(1-Supuestos!$E$38)/(1+Supuestos!$E$7*Supuestos!$E$8)/Supuestos!$E$6</f>
        <v>348.823903369358</v>
      </c>
      <c r="AA16" s="25" t="n">
        <f aca="false">AA9*Supuestos!$E$33*Supuestos!$E$37*(1-Supuestos!$E$38)/(1+Supuestos!$E$7*Supuestos!$E$8)/Supuestos!$E$6</f>
        <v>348.823903369358</v>
      </c>
      <c r="AB16" s="25" t="n">
        <f aca="false">AB9*Supuestos!$E$33*Supuestos!$E$37*(1-Supuestos!$E$38)/(1+Supuestos!$E$7*Supuestos!$E$8)/Supuestos!$E$6</f>
        <v>348.823903369358</v>
      </c>
      <c r="AC16" s="25" t="n">
        <f aca="false">AC9*Supuestos!$E$33*Supuestos!$E$37*(1-Supuestos!$E$38)/(1+Supuestos!$E$7*Supuestos!$E$8)/Supuestos!$E$6</f>
        <v>348.823903369358</v>
      </c>
      <c r="AD16" s="25" t="n">
        <f aca="false">AD9*Supuestos!$E$33*Supuestos!$E$37*(1-Supuestos!$E$38)/(1+Supuestos!$E$7*Supuestos!$E$8)/Supuestos!$E$6</f>
        <v>348.823903369358</v>
      </c>
      <c r="AE16" s="25" t="n">
        <f aca="false">AE9*Supuestos!$E$33*Supuestos!$E$37*(1-Supuestos!$E$38)/(1+Supuestos!$E$7*Supuestos!$E$8)/Supuestos!$E$6</f>
        <v>348.823903369358</v>
      </c>
      <c r="AF16" s="25" t="n">
        <f aca="false">AF9*Supuestos!$E$33*Supuestos!$E$37*(1-Supuestos!$E$38)/(1+Supuestos!$E$7*Supuestos!$E$8)/Supuestos!$E$6</f>
        <v>348.823903369358</v>
      </c>
      <c r="AG16" s="25" t="n">
        <f aca="false">AG9*Supuestos!$E$33*Supuestos!$E$37*(1-Supuestos!$E$38)/(1+Supuestos!$E$7*Supuestos!$E$8)/Supuestos!$E$6</f>
        <v>348.823903369358</v>
      </c>
      <c r="AH16" s="25" t="n">
        <f aca="false">AH9*Supuestos!$E$33*Supuestos!$E$37*(1-Supuestos!$E$38)/(1+Supuestos!$E$7*Supuestos!$E$8)/Supuestos!$E$6</f>
        <v>348.823903369358</v>
      </c>
      <c r="AI16" s="25" t="n">
        <f aca="false">AI9*Supuestos!$E$33*Supuestos!$E$37*(1-Supuestos!$E$38)/(1+Supuestos!$E$7*Supuestos!$E$8)/Supuestos!$E$6</f>
        <v>348.823903369358</v>
      </c>
      <c r="AJ16" s="25" t="n">
        <f aca="false">AJ9*Supuestos!$E$33*Supuestos!$E$37*(1-Supuestos!$E$38)/(1+Supuestos!$E$7*Supuestos!$E$8)/Supuestos!$E$6</f>
        <v>348.823903369358</v>
      </c>
      <c r="AK16" s="25" t="n">
        <f aca="false">AK9*Supuestos!$E$33*Supuestos!$E$37*(1-Supuestos!$E$38)/(1+Supuestos!$E$7*Supuestos!$E$8)/Supuestos!$E$6</f>
        <v>348.823903369358</v>
      </c>
      <c r="AL16" s="25" t="n">
        <f aca="false">AL9*Supuestos!$E$33*Supuestos!$E$37*(1-Supuestos!$E$38)/(1+Supuestos!$E$7*Supuestos!$E$8)/Supuestos!$E$6</f>
        <v>348.823903369358</v>
      </c>
      <c r="AM16" s="25" t="n">
        <f aca="false">AM9*Supuestos!$E$33*Supuestos!$E$37*(1-Supuestos!$E$38)/(1+Supuestos!$E$7*Supuestos!$E$8)/Supuestos!$E$6</f>
        <v>348.823903369358</v>
      </c>
    </row>
    <row r="17" customFormat="false" ht="15" hidden="false" customHeight="false" outlineLevel="0" collapsed="false">
      <c r="B17" s="4" t="s">
        <v>400</v>
      </c>
      <c r="D17" s="25" t="n">
        <f aca="false">D10*Supuestos!$E$34*Supuestos!$E$37*(1-Supuestos!$E$38)/(1+Supuestos!$E$7*Supuestos!$E$8)/Supuestos!$E$6</f>
        <v>78.8302606484425</v>
      </c>
      <c r="E17" s="25" t="n">
        <f aca="false">E10*Supuestos!$E$34*Supuestos!$E$37*(1-Supuestos!$E$38)/(1+Supuestos!$E$7*Supuestos!$E$8)/Supuestos!$E$6</f>
        <v>157.660521296885</v>
      </c>
      <c r="F17" s="25" t="n">
        <f aca="false">F10*Supuestos!$E$34*Supuestos!$E$37*(1-Supuestos!$E$38)/(1+Supuestos!$E$7*Supuestos!$E$8)/Supuestos!$E$6</f>
        <v>236.490781945327</v>
      </c>
      <c r="G17" s="25" t="n">
        <f aca="false">G10*Supuestos!$E$34*Supuestos!$E$37*(1-Supuestos!$E$38)/(1+Supuestos!$E$7*Supuestos!$E$8)/Supuestos!$E$6</f>
        <v>315.32104259377</v>
      </c>
      <c r="H17" s="25" t="n">
        <f aca="false">H10*Supuestos!$E$34*Supuestos!$E$37*(1-Supuestos!$E$38)/(1+Supuestos!$E$7*Supuestos!$E$8)/Supuestos!$E$6</f>
        <v>394.151303242212</v>
      </c>
      <c r="I17" s="25" t="n">
        <f aca="false">I10*Supuestos!$E$34*Supuestos!$E$37*(1-Supuestos!$E$38)/(1+Supuestos!$E$7*Supuestos!$E$8)/Supuestos!$E$6</f>
        <v>472.981563890655</v>
      </c>
      <c r="J17" s="25" t="n">
        <f aca="false">J10*Supuestos!$E$34*Supuestos!$E$37*(1-Supuestos!$E$38)/(1+Supuestos!$E$7*Supuestos!$E$8)/Supuestos!$E$6</f>
        <v>472.981563890655</v>
      </c>
      <c r="K17" s="25" t="n">
        <f aca="false">K10*Supuestos!$E$34*Supuestos!$E$37*(1-Supuestos!$E$38)/(1+Supuestos!$E$7*Supuestos!$E$8)/Supuestos!$E$6</f>
        <v>472.981563890655</v>
      </c>
      <c r="L17" s="25" t="n">
        <f aca="false">L10*Supuestos!$E$34*Supuestos!$E$37*(1-Supuestos!$E$38)/(1+Supuestos!$E$7*Supuestos!$E$8)/Supuestos!$E$6</f>
        <v>472.981563890655</v>
      </c>
      <c r="M17" s="25" t="n">
        <f aca="false">M10*Supuestos!$E$34*Supuestos!$E$37*(1-Supuestos!$E$38)/(1+Supuestos!$E$7*Supuestos!$E$8)/Supuestos!$E$6</f>
        <v>472.981563890655</v>
      </c>
      <c r="N17" s="25" t="n">
        <f aca="false">N10*Supuestos!$E$34*Supuestos!$E$37*(1-Supuestos!$E$38)/(1+Supuestos!$E$7*Supuestos!$E$8)/Supuestos!$E$6</f>
        <v>472.981563890655</v>
      </c>
      <c r="O17" s="25" t="n">
        <f aca="false">O10*Supuestos!$E$34*Supuestos!$E$37*(1-Supuestos!$E$38)/(1+Supuestos!$E$7*Supuestos!$E$8)/Supuestos!$E$6</f>
        <v>472.981563890655</v>
      </c>
      <c r="P17" s="25" t="n">
        <f aca="false">P10*Supuestos!$E$34*Supuestos!$E$37*(1-Supuestos!$E$38)/(1+Supuestos!$E$7*Supuestos!$E$8)/Supuestos!$E$6</f>
        <v>472.981563890655</v>
      </c>
      <c r="Q17" s="25" t="n">
        <f aca="false">Q10*Supuestos!$E$34*Supuestos!$E$37*(1-Supuestos!$E$38)/(1+Supuestos!$E$7*Supuestos!$E$8)/Supuestos!$E$6</f>
        <v>472.981563890655</v>
      </c>
      <c r="R17" s="25" t="n">
        <f aca="false">R10*Supuestos!$E$34*Supuestos!$E$37*(1-Supuestos!$E$38)/(1+Supuestos!$E$7*Supuestos!$E$8)/Supuestos!$E$6</f>
        <v>472.981563890655</v>
      </c>
      <c r="S17" s="25" t="n">
        <f aca="false">S10*Supuestos!$E$34*Supuestos!$E$37*(1-Supuestos!$E$38)/(1+Supuestos!$E$7*Supuestos!$E$8)/Supuestos!$E$6</f>
        <v>472.981563890655</v>
      </c>
      <c r="T17" s="25" t="n">
        <f aca="false">T10*Supuestos!$E$34*Supuestos!$E$37*(1-Supuestos!$E$38)/(1+Supuestos!$E$7*Supuestos!$E$8)/Supuestos!$E$6</f>
        <v>472.981563890655</v>
      </c>
      <c r="U17" s="25" t="n">
        <f aca="false">U10*Supuestos!$E$34*Supuestos!$E$37*(1-Supuestos!$E$38)/(1+Supuestos!$E$7*Supuestos!$E$8)/Supuestos!$E$6</f>
        <v>472.981563890655</v>
      </c>
      <c r="V17" s="25" t="n">
        <f aca="false">V10*Supuestos!$E$34*Supuestos!$E$37*(1-Supuestos!$E$38)/(1+Supuestos!$E$7*Supuestos!$E$8)/Supuestos!$E$6</f>
        <v>472.981563890655</v>
      </c>
      <c r="W17" s="25" t="n">
        <f aca="false">W10*Supuestos!$E$34*Supuestos!$E$37*(1-Supuestos!$E$38)/(1+Supuestos!$E$7*Supuestos!$E$8)/Supuestos!$E$6</f>
        <v>472.981563890655</v>
      </c>
      <c r="X17" s="25" t="n">
        <f aca="false">X10*Supuestos!$E$34*Supuestos!$E$37*(1-Supuestos!$E$38)/(1+Supuestos!$E$7*Supuestos!$E$8)/Supuestos!$E$6</f>
        <v>472.981563890655</v>
      </c>
      <c r="Y17" s="25" t="n">
        <f aca="false">Y10*Supuestos!$E$34*Supuestos!$E$37*(1-Supuestos!$E$38)/(1+Supuestos!$E$7*Supuestos!$E$8)/Supuestos!$E$6</f>
        <v>472.981563890655</v>
      </c>
      <c r="Z17" s="25" t="n">
        <f aca="false">Z10*Supuestos!$E$34*Supuestos!$E$37*(1-Supuestos!$E$38)/(1+Supuestos!$E$7*Supuestos!$E$8)/Supuestos!$E$6</f>
        <v>472.981563890655</v>
      </c>
      <c r="AA17" s="25" t="n">
        <f aca="false">AA10*Supuestos!$E$34*Supuestos!$E$37*(1-Supuestos!$E$38)/(1+Supuestos!$E$7*Supuestos!$E$8)/Supuestos!$E$6</f>
        <v>472.981563890655</v>
      </c>
      <c r="AB17" s="25" t="n">
        <f aca="false">AB10*Supuestos!$E$34*Supuestos!$E$37*(1-Supuestos!$E$38)/(1+Supuestos!$E$7*Supuestos!$E$8)/Supuestos!$E$6</f>
        <v>472.981563890655</v>
      </c>
      <c r="AC17" s="25" t="n">
        <f aca="false">AC10*Supuestos!$E$34*Supuestos!$E$37*(1-Supuestos!$E$38)/(1+Supuestos!$E$7*Supuestos!$E$8)/Supuestos!$E$6</f>
        <v>472.981563890655</v>
      </c>
      <c r="AD17" s="25" t="n">
        <f aca="false">AD10*Supuestos!$E$34*Supuestos!$E$37*(1-Supuestos!$E$38)/(1+Supuestos!$E$7*Supuestos!$E$8)/Supuestos!$E$6</f>
        <v>472.981563890655</v>
      </c>
      <c r="AE17" s="25" t="n">
        <f aca="false">AE10*Supuestos!$E$34*Supuestos!$E$37*(1-Supuestos!$E$38)/(1+Supuestos!$E$7*Supuestos!$E$8)/Supuestos!$E$6</f>
        <v>472.981563890655</v>
      </c>
      <c r="AF17" s="25" t="n">
        <f aca="false">AF10*Supuestos!$E$34*Supuestos!$E$37*(1-Supuestos!$E$38)/(1+Supuestos!$E$7*Supuestos!$E$8)/Supuestos!$E$6</f>
        <v>472.981563890655</v>
      </c>
      <c r="AG17" s="25" t="n">
        <f aca="false">AG10*Supuestos!$E$34*Supuestos!$E$37*(1-Supuestos!$E$38)/(1+Supuestos!$E$7*Supuestos!$E$8)/Supuestos!$E$6</f>
        <v>472.981563890655</v>
      </c>
      <c r="AH17" s="25" t="n">
        <f aca="false">AH10*Supuestos!$E$34*Supuestos!$E$37*(1-Supuestos!$E$38)/(1+Supuestos!$E$7*Supuestos!$E$8)/Supuestos!$E$6</f>
        <v>472.981563890655</v>
      </c>
      <c r="AI17" s="25" t="n">
        <f aca="false">AI10*Supuestos!$E$34*Supuestos!$E$37*(1-Supuestos!$E$38)/(1+Supuestos!$E$7*Supuestos!$E$8)/Supuestos!$E$6</f>
        <v>472.981563890655</v>
      </c>
      <c r="AJ17" s="25" t="n">
        <f aca="false">AJ10*Supuestos!$E$34*Supuestos!$E$37*(1-Supuestos!$E$38)/(1+Supuestos!$E$7*Supuestos!$E$8)/Supuestos!$E$6</f>
        <v>472.981563890655</v>
      </c>
      <c r="AK17" s="25" t="n">
        <f aca="false">AK10*Supuestos!$E$34*Supuestos!$E$37*(1-Supuestos!$E$38)/(1+Supuestos!$E$7*Supuestos!$E$8)/Supuestos!$E$6</f>
        <v>472.981563890655</v>
      </c>
      <c r="AL17" s="25" t="n">
        <f aca="false">AL10*Supuestos!$E$34*Supuestos!$E$37*(1-Supuestos!$E$38)/(1+Supuestos!$E$7*Supuestos!$E$8)/Supuestos!$E$6</f>
        <v>472.981563890655</v>
      </c>
      <c r="AM17" s="25" t="n">
        <f aca="false">AM10*Supuestos!$E$34*Supuestos!$E$37*(1-Supuestos!$E$38)/(1+Supuestos!$E$7*Supuestos!$E$8)/Supuestos!$E$6</f>
        <v>472.981563890655</v>
      </c>
    </row>
    <row r="18" customFormat="false" ht="15" hidden="false" customHeight="false" outlineLevel="0" collapsed="false">
      <c r="B18" s="4" t="s">
        <v>401</v>
      </c>
      <c r="D18" s="25" t="n">
        <f aca="false">Supuestos!$E$39*MIN(1,D$3/Supuestos!$E$42)*Supuestos!$E$35*Supuestos!$E$37/(1+Supuestos!$E$7*Supuestos!$E$8)/Supuestos!$E$6</f>
        <v>28.2251418615055</v>
      </c>
      <c r="E18" s="25" t="n">
        <f aca="false">Supuestos!$E$39*MIN(1,E$3/Supuestos!$E$42)*Supuestos!$E$35*Supuestos!$E$37/(1+Supuestos!$E$7*Supuestos!$E$8)/Supuestos!$E$6</f>
        <v>56.450283723011</v>
      </c>
      <c r="F18" s="25" t="n">
        <f aca="false">Supuestos!$E$39*MIN(1,F$3/Supuestos!$E$42)*Supuestos!$E$35*Supuestos!$E$37/(1+Supuestos!$E$7*Supuestos!$E$8)/Supuestos!$E$6</f>
        <v>84.6754255845165</v>
      </c>
      <c r="G18" s="25" t="n">
        <f aca="false">Supuestos!$E$39*MIN(1,G$3/Supuestos!$E$42)*Supuestos!$E$35*Supuestos!$E$37/(1+Supuestos!$E$7*Supuestos!$E$8)/Supuestos!$E$6</f>
        <v>112.900567446022</v>
      </c>
      <c r="H18" s="25" t="n">
        <f aca="false">Supuestos!$E$39*MIN(1,H$3/Supuestos!$E$42)*Supuestos!$E$35*Supuestos!$E$37/(1+Supuestos!$E$7*Supuestos!$E$8)/Supuestos!$E$6</f>
        <v>141.125709307528</v>
      </c>
      <c r="I18" s="25" t="n">
        <f aca="false">Supuestos!$E$39*MIN(1,I$3/Supuestos!$E$42)*Supuestos!$E$35*Supuestos!$E$37/(1+Supuestos!$E$7*Supuestos!$E$8)/Supuestos!$E$6</f>
        <v>169.350851169033</v>
      </c>
      <c r="J18" s="25" t="n">
        <f aca="false">Supuestos!$E$39*MIN(1,J$3/Supuestos!$E$42)*Supuestos!$E$35*Supuestos!$E$37/(1+Supuestos!$E$7*Supuestos!$E$8)/Supuestos!$E$6</f>
        <v>197.575993030538</v>
      </c>
      <c r="K18" s="25" t="n">
        <f aca="false">Supuestos!$E$39*MIN(1,K$3/Supuestos!$E$42)*Supuestos!$E$35*Supuestos!$E$37/(1+Supuestos!$E$7*Supuestos!$E$8)/Supuestos!$E$6</f>
        <v>225.801134892044</v>
      </c>
      <c r="L18" s="25" t="n">
        <f aca="false">Supuestos!$E$39*MIN(1,L$3/Supuestos!$E$42)*Supuestos!$E$35*Supuestos!$E$37/(1+Supuestos!$E$7*Supuestos!$E$8)/Supuestos!$E$6</f>
        <v>254.026276753549</v>
      </c>
      <c r="M18" s="25" t="n">
        <f aca="false">Supuestos!$E$39*MIN(1,M$3/Supuestos!$E$42)*Supuestos!$E$35*Supuestos!$E$37/(1+Supuestos!$E$7*Supuestos!$E$8)/Supuestos!$E$6</f>
        <v>254.026276753549</v>
      </c>
      <c r="N18" s="25" t="n">
        <f aca="false">Supuestos!$E$39*MIN(1,N$3/Supuestos!$E$42)*Supuestos!$E$35*Supuestos!$E$37/(1+Supuestos!$E$7*Supuestos!$E$8)/Supuestos!$E$6</f>
        <v>254.026276753549</v>
      </c>
      <c r="O18" s="25" t="n">
        <f aca="false">Supuestos!$E$39*MIN(1,O$3/Supuestos!$E$42)*Supuestos!$E$35*Supuestos!$E$37/(1+Supuestos!$E$7*Supuestos!$E$8)/Supuestos!$E$6</f>
        <v>254.026276753549</v>
      </c>
      <c r="P18" s="25" t="n">
        <f aca="false">Supuestos!$E$39*MIN(1,P$3/Supuestos!$E$42)*Supuestos!$E$35*Supuestos!$E$37/(1+Supuestos!$E$7*Supuestos!$E$8)/Supuestos!$E$6</f>
        <v>254.026276753549</v>
      </c>
      <c r="Q18" s="25" t="n">
        <f aca="false">Supuestos!$E$39*MIN(1,Q$3/Supuestos!$E$42)*Supuestos!$E$35*Supuestos!$E$37/(1+Supuestos!$E$7*Supuestos!$E$8)/Supuestos!$E$6</f>
        <v>254.026276753549</v>
      </c>
      <c r="R18" s="25" t="n">
        <f aca="false">Supuestos!$E$39*MIN(1,R$3/Supuestos!$E$42)*Supuestos!$E$35*Supuestos!$E$37/(1+Supuestos!$E$7*Supuestos!$E$8)/Supuestos!$E$6</f>
        <v>254.026276753549</v>
      </c>
      <c r="S18" s="25" t="n">
        <f aca="false">Supuestos!$E$39*MIN(1,S$3/Supuestos!$E$42)*Supuestos!$E$35*Supuestos!$E$37/(1+Supuestos!$E$7*Supuestos!$E$8)/Supuestos!$E$6</f>
        <v>254.026276753549</v>
      </c>
      <c r="T18" s="25" t="n">
        <f aca="false">Supuestos!$E$39*MIN(1,T$3/Supuestos!$E$42)*Supuestos!$E$35*Supuestos!$E$37/(1+Supuestos!$E$7*Supuestos!$E$8)/Supuestos!$E$6</f>
        <v>254.026276753549</v>
      </c>
      <c r="U18" s="25" t="n">
        <f aca="false">Supuestos!$E$39*MIN(1,U$3/Supuestos!$E$42)*Supuestos!$E$35*Supuestos!$E$37/(1+Supuestos!$E$7*Supuestos!$E$8)/Supuestos!$E$6</f>
        <v>254.026276753549</v>
      </c>
      <c r="V18" s="25" t="n">
        <f aca="false">Supuestos!$E$39*MIN(1,V$3/Supuestos!$E$42)*Supuestos!$E$35*Supuestos!$E$37/(1+Supuestos!$E$7*Supuestos!$E$8)/Supuestos!$E$6</f>
        <v>254.026276753549</v>
      </c>
      <c r="W18" s="25" t="n">
        <f aca="false">Supuestos!$E$39*MIN(1,W$3/Supuestos!$E$42)*Supuestos!$E$35*Supuestos!$E$37/(1+Supuestos!$E$7*Supuestos!$E$8)/Supuestos!$E$6</f>
        <v>254.026276753549</v>
      </c>
      <c r="X18" s="25" t="n">
        <f aca="false">Supuestos!$E$39*MIN(1,X$3/Supuestos!$E$42)*Supuestos!$E$35*Supuestos!$E$37/(1+Supuestos!$E$7*Supuestos!$E$8)/Supuestos!$E$6</f>
        <v>254.026276753549</v>
      </c>
      <c r="Y18" s="25" t="n">
        <f aca="false">Supuestos!$E$39*MIN(1,Y$3/Supuestos!$E$42)*Supuestos!$E$35*Supuestos!$E$37/(1+Supuestos!$E$7*Supuestos!$E$8)/Supuestos!$E$6</f>
        <v>254.026276753549</v>
      </c>
      <c r="Z18" s="25" t="n">
        <f aca="false">Supuestos!$E$39*MIN(1,Z$3/Supuestos!$E$42)*Supuestos!$E$35*Supuestos!$E$37/(1+Supuestos!$E$7*Supuestos!$E$8)/Supuestos!$E$6</f>
        <v>254.026276753549</v>
      </c>
      <c r="AA18" s="25" t="n">
        <f aca="false">Supuestos!$E$39*MIN(1,AA$3/Supuestos!$E$42)*Supuestos!$E$35*Supuestos!$E$37/(1+Supuestos!$E$7*Supuestos!$E$8)/Supuestos!$E$6</f>
        <v>254.026276753549</v>
      </c>
      <c r="AB18" s="25" t="n">
        <f aca="false">Supuestos!$E$39*MIN(1,AB$3/Supuestos!$E$42)*Supuestos!$E$35*Supuestos!$E$37/(1+Supuestos!$E$7*Supuestos!$E$8)/Supuestos!$E$6</f>
        <v>254.026276753549</v>
      </c>
      <c r="AC18" s="25" t="n">
        <f aca="false">Supuestos!$E$39*MIN(1,AC$3/Supuestos!$E$42)*Supuestos!$E$35*Supuestos!$E$37/(1+Supuestos!$E$7*Supuestos!$E$8)/Supuestos!$E$6</f>
        <v>254.026276753549</v>
      </c>
      <c r="AD18" s="25" t="n">
        <f aca="false">Supuestos!$E$39*MIN(1,AD$3/Supuestos!$E$42)*Supuestos!$E$35*Supuestos!$E$37/(1+Supuestos!$E$7*Supuestos!$E$8)/Supuestos!$E$6</f>
        <v>254.026276753549</v>
      </c>
      <c r="AE18" s="25" t="n">
        <f aca="false">Supuestos!$E$39*MIN(1,AE$3/Supuestos!$E$42)*Supuestos!$E$35*Supuestos!$E$37/(1+Supuestos!$E$7*Supuestos!$E$8)/Supuestos!$E$6</f>
        <v>254.026276753549</v>
      </c>
      <c r="AF18" s="25" t="n">
        <f aca="false">Supuestos!$E$39*MIN(1,AF$3/Supuestos!$E$42)*Supuestos!$E$35*Supuestos!$E$37/(1+Supuestos!$E$7*Supuestos!$E$8)/Supuestos!$E$6</f>
        <v>254.026276753549</v>
      </c>
      <c r="AG18" s="25" t="n">
        <f aca="false">Supuestos!$E$39*MIN(1,AG$3/Supuestos!$E$42)*Supuestos!$E$35*Supuestos!$E$37/(1+Supuestos!$E$7*Supuestos!$E$8)/Supuestos!$E$6</f>
        <v>254.026276753549</v>
      </c>
      <c r="AH18" s="25" t="n">
        <f aca="false">Supuestos!$E$39*MIN(1,AH$3/Supuestos!$E$42)*Supuestos!$E$35*Supuestos!$E$37/(1+Supuestos!$E$7*Supuestos!$E$8)/Supuestos!$E$6</f>
        <v>254.026276753549</v>
      </c>
      <c r="AI18" s="25" t="n">
        <f aca="false">Supuestos!$E$39*MIN(1,AI$3/Supuestos!$E$42)*Supuestos!$E$35*Supuestos!$E$37/(1+Supuestos!$E$7*Supuestos!$E$8)/Supuestos!$E$6</f>
        <v>254.026276753549</v>
      </c>
      <c r="AJ18" s="25" t="n">
        <f aca="false">Supuestos!$E$39*MIN(1,AJ$3/Supuestos!$E$42)*Supuestos!$E$35*Supuestos!$E$37/(1+Supuestos!$E$7*Supuestos!$E$8)/Supuestos!$E$6</f>
        <v>254.026276753549</v>
      </c>
      <c r="AK18" s="25" t="n">
        <f aca="false">Supuestos!$E$39*MIN(1,AK$3/Supuestos!$E$42)*Supuestos!$E$35*Supuestos!$E$37/(1+Supuestos!$E$7*Supuestos!$E$8)/Supuestos!$E$6</f>
        <v>254.026276753549</v>
      </c>
      <c r="AL18" s="25" t="n">
        <f aca="false">Supuestos!$E$39*MIN(1,AL$3/Supuestos!$E$42)*Supuestos!$E$35*Supuestos!$E$37/(1+Supuestos!$E$7*Supuestos!$E$8)/Supuestos!$E$6</f>
        <v>254.026276753549</v>
      </c>
      <c r="AM18" s="25" t="n">
        <f aca="false">Supuestos!$E$39*MIN(1,AM$3/Supuestos!$E$42)*Supuestos!$E$35*Supuestos!$E$37/(1+Supuestos!$E$7*Supuestos!$E$8)/Supuestos!$E$6</f>
        <v>254.026276753549</v>
      </c>
    </row>
    <row r="19" customFormat="false" ht="15" hidden="false" customHeight="false" outlineLevel="0" collapsed="false">
      <c r="B19" s="4" t="s">
        <v>402</v>
      </c>
      <c r="D19" s="25" t="n">
        <f aca="false">Supuestos!$E$40*MIN(1,D$3/Supuestos!$E$42)*Supuestos!$E$36*Supuestos!$E$37/(1+Supuestos!$E$7*Supuestos!$E$8)/Supuestos!$E$6</f>
        <v>15.3045607591062</v>
      </c>
      <c r="E19" s="25" t="n">
        <f aca="false">Supuestos!$E$40*MIN(1,E$3/Supuestos!$E$42)*Supuestos!$E$36*Supuestos!$E$37/(1+Supuestos!$E$7*Supuestos!$E$8)/Supuestos!$E$6</f>
        <v>30.6091215182124</v>
      </c>
      <c r="F19" s="25" t="n">
        <f aca="false">Supuestos!$E$40*MIN(1,F$3/Supuestos!$E$42)*Supuestos!$E$36*Supuestos!$E$37/(1+Supuestos!$E$7*Supuestos!$E$8)/Supuestos!$E$6</f>
        <v>45.9136822773186</v>
      </c>
      <c r="G19" s="25" t="n">
        <f aca="false">Supuestos!$E$40*MIN(1,G$3/Supuestos!$E$42)*Supuestos!$E$36*Supuestos!$E$37/(1+Supuestos!$E$7*Supuestos!$E$8)/Supuestos!$E$6</f>
        <v>61.2182430364249</v>
      </c>
      <c r="H19" s="25" t="n">
        <f aca="false">Supuestos!$E$40*MIN(1,H$3/Supuestos!$E$42)*Supuestos!$E$36*Supuestos!$E$37/(1+Supuestos!$E$7*Supuestos!$E$8)/Supuestos!$E$6</f>
        <v>76.5228037955311</v>
      </c>
      <c r="I19" s="25" t="n">
        <f aca="false">Supuestos!$E$40*MIN(1,I$3/Supuestos!$E$42)*Supuestos!$E$36*Supuestos!$E$37/(1+Supuestos!$E$7*Supuestos!$E$8)/Supuestos!$E$6</f>
        <v>91.8273645546373</v>
      </c>
      <c r="J19" s="25" t="n">
        <f aca="false">Supuestos!$E$40*MIN(1,J$3/Supuestos!$E$42)*Supuestos!$E$36*Supuestos!$E$37/(1+Supuestos!$E$7*Supuestos!$E$8)/Supuestos!$E$6</f>
        <v>107.131925313744</v>
      </c>
      <c r="K19" s="25" t="n">
        <f aca="false">Supuestos!$E$40*MIN(1,K$3/Supuestos!$E$42)*Supuestos!$E$36*Supuestos!$E$37/(1+Supuestos!$E$7*Supuestos!$E$8)/Supuestos!$E$6</f>
        <v>122.43648607285</v>
      </c>
      <c r="L19" s="25" t="n">
        <f aca="false">Supuestos!$E$40*MIN(1,L$3/Supuestos!$E$42)*Supuestos!$E$36*Supuestos!$E$37/(1+Supuestos!$E$7*Supuestos!$E$8)/Supuestos!$E$6</f>
        <v>137.741046831956</v>
      </c>
      <c r="M19" s="25" t="n">
        <f aca="false">Supuestos!$E$40*MIN(1,M$3/Supuestos!$E$42)*Supuestos!$E$36*Supuestos!$E$37/(1+Supuestos!$E$7*Supuestos!$E$8)/Supuestos!$E$6</f>
        <v>137.741046831956</v>
      </c>
      <c r="N19" s="25" t="n">
        <f aca="false">Supuestos!$E$40*MIN(1,N$3/Supuestos!$E$42)*Supuestos!$E$36*Supuestos!$E$37/(1+Supuestos!$E$7*Supuestos!$E$8)/Supuestos!$E$6</f>
        <v>137.741046831956</v>
      </c>
      <c r="O19" s="25" t="n">
        <f aca="false">Supuestos!$E$40*MIN(1,O$3/Supuestos!$E$42)*Supuestos!$E$36*Supuestos!$E$37/(1+Supuestos!$E$7*Supuestos!$E$8)/Supuestos!$E$6</f>
        <v>137.741046831956</v>
      </c>
      <c r="P19" s="25" t="n">
        <f aca="false">Supuestos!$E$40*MIN(1,P$3/Supuestos!$E$42)*Supuestos!$E$36*Supuestos!$E$37/(1+Supuestos!$E$7*Supuestos!$E$8)/Supuestos!$E$6</f>
        <v>137.741046831956</v>
      </c>
      <c r="Q19" s="25" t="n">
        <f aca="false">Supuestos!$E$40*MIN(1,Q$3/Supuestos!$E$42)*Supuestos!$E$36*Supuestos!$E$37/(1+Supuestos!$E$7*Supuestos!$E$8)/Supuestos!$E$6</f>
        <v>137.741046831956</v>
      </c>
      <c r="R19" s="25" t="n">
        <f aca="false">Supuestos!$E$40*MIN(1,R$3/Supuestos!$E$42)*Supuestos!$E$36*Supuestos!$E$37/(1+Supuestos!$E$7*Supuestos!$E$8)/Supuestos!$E$6</f>
        <v>137.741046831956</v>
      </c>
      <c r="S19" s="25" t="n">
        <f aca="false">Supuestos!$E$40*MIN(1,S$3/Supuestos!$E$42)*Supuestos!$E$36*Supuestos!$E$37/(1+Supuestos!$E$7*Supuestos!$E$8)/Supuestos!$E$6</f>
        <v>137.741046831956</v>
      </c>
      <c r="T19" s="25" t="n">
        <f aca="false">Supuestos!$E$40*MIN(1,T$3/Supuestos!$E$42)*Supuestos!$E$36*Supuestos!$E$37/(1+Supuestos!$E$7*Supuestos!$E$8)/Supuestos!$E$6</f>
        <v>137.741046831956</v>
      </c>
      <c r="U19" s="25" t="n">
        <f aca="false">Supuestos!$E$40*MIN(1,U$3/Supuestos!$E$42)*Supuestos!$E$36*Supuestos!$E$37/(1+Supuestos!$E$7*Supuestos!$E$8)/Supuestos!$E$6</f>
        <v>137.741046831956</v>
      </c>
      <c r="V19" s="25" t="n">
        <f aca="false">Supuestos!$E$40*MIN(1,V$3/Supuestos!$E$42)*Supuestos!$E$36*Supuestos!$E$37/(1+Supuestos!$E$7*Supuestos!$E$8)/Supuestos!$E$6</f>
        <v>137.741046831956</v>
      </c>
      <c r="W19" s="25" t="n">
        <f aca="false">Supuestos!$E$40*MIN(1,W$3/Supuestos!$E$42)*Supuestos!$E$36*Supuestos!$E$37/(1+Supuestos!$E$7*Supuestos!$E$8)/Supuestos!$E$6</f>
        <v>137.741046831956</v>
      </c>
      <c r="X19" s="25" t="n">
        <f aca="false">Supuestos!$E$40*MIN(1,X$3/Supuestos!$E$42)*Supuestos!$E$36*Supuestos!$E$37/(1+Supuestos!$E$7*Supuestos!$E$8)/Supuestos!$E$6</f>
        <v>137.741046831956</v>
      </c>
      <c r="Y19" s="25" t="n">
        <f aca="false">Supuestos!$E$40*MIN(1,Y$3/Supuestos!$E$42)*Supuestos!$E$36*Supuestos!$E$37/(1+Supuestos!$E$7*Supuestos!$E$8)/Supuestos!$E$6</f>
        <v>137.741046831956</v>
      </c>
      <c r="Z19" s="25" t="n">
        <f aca="false">Supuestos!$E$40*MIN(1,Z$3/Supuestos!$E$42)*Supuestos!$E$36*Supuestos!$E$37/(1+Supuestos!$E$7*Supuestos!$E$8)/Supuestos!$E$6</f>
        <v>137.741046831956</v>
      </c>
      <c r="AA19" s="25" t="n">
        <f aca="false">Supuestos!$E$40*MIN(1,AA$3/Supuestos!$E$42)*Supuestos!$E$36*Supuestos!$E$37/(1+Supuestos!$E$7*Supuestos!$E$8)/Supuestos!$E$6</f>
        <v>137.741046831956</v>
      </c>
      <c r="AB19" s="25" t="n">
        <f aca="false">Supuestos!$E$40*MIN(1,AB$3/Supuestos!$E$42)*Supuestos!$E$36*Supuestos!$E$37/(1+Supuestos!$E$7*Supuestos!$E$8)/Supuestos!$E$6</f>
        <v>137.741046831956</v>
      </c>
      <c r="AC19" s="25" t="n">
        <f aca="false">Supuestos!$E$40*MIN(1,AC$3/Supuestos!$E$42)*Supuestos!$E$36*Supuestos!$E$37/(1+Supuestos!$E$7*Supuestos!$E$8)/Supuestos!$E$6</f>
        <v>137.741046831956</v>
      </c>
      <c r="AD19" s="25" t="n">
        <f aca="false">Supuestos!$E$40*MIN(1,AD$3/Supuestos!$E$42)*Supuestos!$E$36*Supuestos!$E$37/(1+Supuestos!$E$7*Supuestos!$E$8)/Supuestos!$E$6</f>
        <v>137.741046831956</v>
      </c>
      <c r="AE19" s="25" t="n">
        <f aca="false">Supuestos!$E$40*MIN(1,AE$3/Supuestos!$E$42)*Supuestos!$E$36*Supuestos!$E$37/(1+Supuestos!$E$7*Supuestos!$E$8)/Supuestos!$E$6</f>
        <v>137.741046831956</v>
      </c>
      <c r="AF19" s="25" t="n">
        <f aca="false">Supuestos!$E$40*MIN(1,AF$3/Supuestos!$E$42)*Supuestos!$E$36*Supuestos!$E$37/(1+Supuestos!$E$7*Supuestos!$E$8)/Supuestos!$E$6</f>
        <v>137.741046831956</v>
      </c>
      <c r="AG19" s="25" t="n">
        <f aca="false">Supuestos!$E$40*MIN(1,AG$3/Supuestos!$E$42)*Supuestos!$E$36*Supuestos!$E$37/(1+Supuestos!$E$7*Supuestos!$E$8)/Supuestos!$E$6</f>
        <v>137.741046831956</v>
      </c>
      <c r="AH19" s="25" t="n">
        <f aca="false">Supuestos!$E$40*MIN(1,AH$3/Supuestos!$E$42)*Supuestos!$E$36*Supuestos!$E$37/(1+Supuestos!$E$7*Supuestos!$E$8)/Supuestos!$E$6</f>
        <v>137.741046831956</v>
      </c>
      <c r="AI19" s="25" t="n">
        <f aca="false">Supuestos!$E$40*MIN(1,AI$3/Supuestos!$E$42)*Supuestos!$E$36*Supuestos!$E$37/(1+Supuestos!$E$7*Supuestos!$E$8)/Supuestos!$E$6</f>
        <v>137.741046831956</v>
      </c>
      <c r="AJ19" s="25" t="n">
        <f aca="false">Supuestos!$E$40*MIN(1,AJ$3/Supuestos!$E$42)*Supuestos!$E$36*Supuestos!$E$37/(1+Supuestos!$E$7*Supuestos!$E$8)/Supuestos!$E$6</f>
        <v>137.741046831956</v>
      </c>
      <c r="AK19" s="25" t="n">
        <f aca="false">Supuestos!$E$40*MIN(1,AK$3/Supuestos!$E$42)*Supuestos!$E$36*Supuestos!$E$37/(1+Supuestos!$E$7*Supuestos!$E$8)/Supuestos!$E$6</f>
        <v>137.741046831956</v>
      </c>
      <c r="AL19" s="25" t="n">
        <f aca="false">Supuestos!$E$40*MIN(1,AL$3/Supuestos!$E$42)*Supuestos!$E$36*Supuestos!$E$37/(1+Supuestos!$E$7*Supuestos!$E$8)/Supuestos!$E$6</f>
        <v>137.741046831956</v>
      </c>
      <c r="AM19" s="25" t="n">
        <f aca="false">Supuestos!$E$40*MIN(1,AM$3/Supuestos!$E$42)*Supuestos!$E$36*Supuestos!$E$37/(1+Supuestos!$E$7*Supuestos!$E$8)/Supuestos!$E$6</f>
        <v>137.741046831956</v>
      </c>
    </row>
    <row r="20" customFormat="false" ht="15" hidden="false" customHeight="false" outlineLevel="0" collapsed="false">
      <c r="B20" s="4" t="s">
        <v>403</v>
      </c>
      <c r="D20" s="25" t="n">
        <f aca="false">Supuestos!$E$41*MIN(1,D$3/Supuestos!$E$42)</f>
        <v>11.1111111111111</v>
      </c>
      <c r="E20" s="25" t="n">
        <f aca="false">Supuestos!$E$41*MIN(1,E$3/Supuestos!$E$42)</f>
        <v>22.2222222222222</v>
      </c>
      <c r="F20" s="25" t="n">
        <f aca="false">Supuestos!$E$41*MIN(1,F$3/Supuestos!$E$42)</f>
        <v>33.3333333333333</v>
      </c>
      <c r="G20" s="25" t="n">
        <f aca="false">Supuestos!$E$41*MIN(1,G$3/Supuestos!$E$42)</f>
        <v>44.4444444444444</v>
      </c>
      <c r="H20" s="25" t="n">
        <f aca="false">Supuestos!$E$41*MIN(1,H$3/Supuestos!$E$42)</f>
        <v>55.5555555555556</v>
      </c>
      <c r="I20" s="25" t="n">
        <f aca="false">Supuestos!$E$41*MIN(1,I$3/Supuestos!$E$42)</f>
        <v>66.6666666666667</v>
      </c>
      <c r="J20" s="25" t="n">
        <f aca="false">Supuestos!$E$41*MIN(1,J$3/Supuestos!$E$42)</f>
        <v>77.7777777777778</v>
      </c>
      <c r="K20" s="25" t="n">
        <f aca="false">Supuestos!$E$41*MIN(1,K$3/Supuestos!$E$42)</f>
        <v>88.8888888888889</v>
      </c>
      <c r="L20" s="25" t="n">
        <f aca="false">Supuestos!$E$41*MIN(1,L$3/Supuestos!$E$42)</f>
        <v>100</v>
      </c>
      <c r="M20" s="25" t="n">
        <f aca="false">Supuestos!$E$41*MIN(1,M$3/Supuestos!$E$42)</f>
        <v>100</v>
      </c>
      <c r="N20" s="25" t="n">
        <f aca="false">Supuestos!$E$41*MIN(1,N$3/Supuestos!$E$42)</f>
        <v>100</v>
      </c>
      <c r="O20" s="25" t="n">
        <f aca="false">Supuestos!$E$41*MIN(1,O$3/Supuestos!$E$42)</f>
        <v>100</v>
      </c>
      <c r="P20" s="25" t="n">
        <f aca="false">Supuestos!$E$41*MIN(1,P$3/Supuestos!$E$42)</f>
        <v>100</v>
      </c>
      <c r="Q20" s="25" t="n">
        <f aca="false">Supuestos!$E$41*MIN(1,Q$3/Supuestos!$E$42)</f>
        <v>100</v>
      </c>
      <c r="R20" s="25" t="n">
        <f aca="false">Supuestos!$E$41*MIN(1,R$3/Supuestos!$E$42)</f>
        <v>100</v>
      </c>
      <c r="S20" s="25" t="n">
        <f aca="false">Supuestos!$E$41*MIN(1,S$3/Supuestos!$E$42)</f>
        <v>100</v>
      </c>
      <c r="T20" s="25" t="n">
        <f aca="false">Supuestos!$E$41*MIN(1,T$3/Supuestos!$E$42)</f>
        <v>100</v>
      </c>
      <c r="U20" s="25" t="n">
        <f aca="false">Supuestos!$E$41*MIN(1,U$3/Supuestos!$E$42)</f>
        <v>100</v>
      </c>
      <c r="V20" s="25" t="n">
        <f aca="false">Supuestos!$E$41*MIN(1,V$3/Supuestos!$E$42)</f>
        <v>100</v>
      </c>
      <c r="W20" s="25" t="n">
        <f aca="false">Supuestos!$E$41*MIN(1,W$3/Supuestos!$E$42)</f>
        <v>100</v>
      </c>
      <c r="X20" s="25" t="n">
        <f aca="false">Supuestos!$E$41*MIN(1,X$3/Supuestos!$E$42)</f>
        <v>100</v>
      </c>
      <c r="Y20" s="25" t="n">
        <f aca="false">Supuestos!$E$41*MIN(1,Y$3/Supuestos!$E$42)</f>
        <v>100</v>
      </c>
      <c r="Z20" s="25" t="n">
        <f aca="false">Supuestos!$E$41*MIN(1,Z$3/Supuestos!$E$42)</f>
        <v>100</v>
      </c>
      <c r="AA20" s="25" t="n">
        <f aca="false">Supuestos!$E$41*MIN(1,AA$3/Supuestos!$E$42)</f>
        <v>100</v>
      </c>
      <c r="AB20" s="25" t="n">
        <f aca="false">Supuestos!$E$41*MIN(1,AB$3/Supuestos!$E$42)</f>
        <v>100</v>
      </c>
      <c r="AC20" s="25" t="n">
        <f aca="false">Supuestos!$E$41*MIN(1,AC$3/Supuestos!$E$42)</f>
        <v>100</v>
      </c>
      <c r="AD20" s="25" t="n">
        <f aca="false">Supuestos!$E$41*MIN(1,AD$3/Supuestos!$E$42)</f>
        <v>100</v>
      </c>
      <c r="AE20" s="25" t="n">
        <f aca="false">Supuestos!$E$41*MIN(1,AE$3/Supuestos!$E$42)</f>
        <v>100</v>
      </c>
      <c r="AF20" s="25" t="n">
        <f aca="false">Supuestos!$E$41*MIN(1,AF$3/Supuestos!$E$42)</f>
        <v>100</v>
      </c>
      <c r="AG20" s="25" t="n">
        <f aca="false">Supuestos!$E$41*MIN(1,AG$3/Supuestos!$E$42)</f>
        <v>100</v>
      </c>
      <c r="AH20" s="25" t="n">
        <f aca="false">Supuestos!$E$41*MIN(1,AH$3/Supuestos!$E$42)</f>
        <v>100</v>
      </c>
      <c r="AI20" s="25" t="n">
        <f aca="false">Supuestos!$E$41*MIN(1,AI$3/Supuestos!$E$42)</f>
        <v>100</v>
      </c>
      <c r="AJ20" s="25" t="n">
        <f aca="false">Supuestos!$E$41*MIN(1,AJ$3/Supuestos!$E$42)</f>
        <v>100</v>
      </c>
      <c r="AK20" s="25" t="n">
        <f aca="false">Supuestos!$E$41*MIN(1,AK$3/Supuestos!$E$42)</f>
        <v>100</v>
      </c>
      <c r="AL20" s="25" t="n">
        <f aca="false">Supuestos!$E$41*MIN(1,AL$3/Supuestos!$E$42)</f>
        <v>100</v>
      </c>
      <c r="AM20" s="25" t="n">
        <f aca="false">Supuestos!$E$41*MIN(1,AM$3/Supuestos!$E$42)</f>
        <v>100</v>
      </c>
    </row>
    <row r="21" customFormat="false" ht="15" hidden="false" customHeight="false" outlineLevel="0" collapsed="false">
      <c r="B21" s="11" t="s">
        <v>404</v>
      </c>
      <c r="D21" s="25" t="n">
        <f aca="false">SUM(D15:D20)</f>
        <v>553.30034965035</v>
      </c>
      <c r="E21" s="25" t="n">
        <f aca="false">SUM(E15:E20)</f>
        <v>861.800675778767</v>
      </c>
      <c r="F21" s="25" t="n">
        <f aca="false">SUM(F15:F20)</f>
        <v>1160.91548329307</v>
      </c>
      <c r="G21" s="25" t="n">
        <f aca="false">SUM(G15:G20)</f>
        <v>1451.16325385048</v>
      </c>
      <c r="H21" s="25" t="n">
        <f aca="false">SUM(H15:H20)</f>
        <v>1733.03314618715</v>
      </c>
      <c r="I21" s="25" t="n">
        <f aca="false">SUM(I15:I20)</f>
        <v>2006.98668405435</v>
      </c>
      <c r="J21" s="25" t="n">
        <f aca="false">SUM(J15:J20)</f>
        <v>2182.19856812929</v>
      </c>
      <c r="K21" s="25" t="n">
        <f aca="false">SUM(K15:K20)</f>
        <v>2319.08388226785</v>
      </c>
      <c r="L21" s="25" t="n">
        <f aca="false">SUM(L15:L20)</f>
        <v>2451.034526382</v>
      </c>
      <c r="M21" s="25" t="n">
        <f aca="false">SUM(M15:M20)</f>
        <v>2523.70576694148</v>
      </c>
      <c r="N21" s="25" t="n">
        <f aca="false">SUM(N15:N20)</f>
        <v>2592.0167330674</v>
      </c>
      <c r="O21" s="25" t="n">
        <f aca="false">SUM(O15:O20)</f>
        <v>2656.22904122576</v>
      </c>
      <c r="P21" s="25" t="n">
        <f aca="false">SUM(P15:P20)</f>
        <v>2669.61562933072</v>
      </c>
      <c r="Q21" s="25" t="n">
        <f aca="false">SUM(Q15:Q20)</f>
        <v>2682.19902214939</v>
      </c>
      <c r="R21" s="25" t="n">
        <f aca="false">SUM(R15:R20)</f>
        <v>2694.02741139894</v>
      </c>
      <c r="S21" s="25" t="n">
        <f aca="false">SUM(S15:S20)</f>
        <v>2705.14609729352</v>
      </c>
      <c r="T21" s="25" t="n">
        <f aca="false">SUM(T15:T20)</f>
        <v>2715.59766203442</v>
      </c>
      <c r="U21" s="25" t="n">
        <f aca="false">SUM(U15:U20)</f>
        <v>2725.42213289087</v>
      </c>
      <c r="V21" s="25" t="n">
        <f aca="false">SUM(V15:V20)</f>
        <v>2734.65713549593</v>
      </c>
      <c r="W21" s="25" t="n">
        <f aca="false">SUM(W15:W20)</f>
        <v>2743.33803794468</v>
      </c>
      <c r="X21" s="25" t="n">
        <f aca="false">SUM(X15:X20)</f>
        <v>2751.49808624651</v>
      </c>
      <c r="Y21" s="25" t="n">
        <f aca="false">SUM(Y15:Y20)</f>
        <v>2759.16853165024</v>
      </c>
      <c r="Z21" s="25" t="n">
        <f aca="false">SUM(Z15:Z20)</f>
        <v>2766.37875032973</v>
      </c>
      <c r="AA21" s="25" t="n">
        <f aca="false">SUM(AA15:AA20)</f>
        <v>2773.15635588846</v>
      </c>
      <c r="AB21" s="25" t="n">
        <f aca="false">SUM(AB15:AB20)</f>
        <v>2779.52730511367</v>
      </c>
      <c r="AC21" s="25" t="n">
        <f aca="false">SUM(AC15:AC20)</f>
        <v>2785.51599738536</v>
      </c>
      <c r="AD21" s="25" t="n">
        <f aca="false">SUM(AD15:AD20)</f>
        <v>2791.14536812075</v>
      </c>
      <c r="AE21" s="25" t="n">
        <f aca="false">SUM(AE15:AE20)</f>
        <v>2796.43697661202</v>
      </c>
      <c r="AF21" s="25" t="n">
        <f aca="false">SUM(AF15:AF20)</f>
        <v>2801.41108859381</v>
      </c>
      <c r="AG21" s="25" t="n">
        <f aca="false">SUM(AG15:AG20)</f>
        <v>2806.08675385669</v>
      </c>
      <c r="AH21" s="25" t="n">
        <f aca="false">SUM(AH15:AH20)</f>
        <v>2810.4818792038</v>
      </c>
      <c r="AI21" s="25" t="n">
        <f aca="false">SUM(AI15:AI20)</f>
        <v>2814.61329703009</v>
      </c>
      <c r="AJ21" s="25" t="n">
        <f aca="false">SUM(AJ15:AJ20)</f>
        <v>2818.49682978679</v>
      </c>
      <c r="AK21" s="25" t="n">
        <f aca="false">SUM(AK15:AK20)</f>
        <v>2822.1473505781</v>
      </c>
      <c r="AL21" s="25" t="n">
        <f aca="false">SUM(AL15:AL20)</f>
        <v>2825.57884012193</v>
      </c>
      <c r="AM21" s="25" t="n">
        <f aca="false">SUM(AM15:AM20)</f>
        <v>2828.80444029312</v>
      </c>
    </row>
    <row r="22" customFormat="false" ht="15" hidden="false" customHeight="false" outlineLevel="0" collapsed="false">
      <c r="B22" s="14" t="s">
        <v>205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customFormat="false" ht="15" hidden="false" customHeight="false" outlineLevel="0" collapsed="false">
      <c r="B23" s="4" t="s">
        <v>405</v>
      </c>
      <c r="D23" s="25" t="n">
        <f aca="false">(D11+D9*Supuestos!$E$9*Supuestos!$E$19+(D10*Supuestos!$E$15*Supuestos!$E$9*Supuestos!$E$19)+Supuestos!$E$39*MIN(1,D$3/Supuestos!$E$42))*Supuestos!$E$53</f>
        <v>90.49068</v>
      </c>
      <c r="E23" s="25" t="n">
        <f aca="false">(E11+E9*Supuestos!$E$9*Supuestos!$E$19+(E10*Supuestos!$E$15*Supuestos!$E$9*Supuestos!$E$19)+Supuestos!$E$39*MIN(1,E$3/Supuestos!$E$42))*Supuestos!$E$53</f>
        <v>140.1300792</v>
      </c>
      <c r="F23" s="25" t="n">
        <f aca="false">(F11+F9*Supuestos!$E$9*Supuestos!$E$19+(F10*Supuestos!$E$15*Supuestos!$E$9*Supuestos!$E$19)+Supuestos!$E$39*MIN(1,F$3/Supuestos!$E$42))*Supuestos!$E$53</f>
        <v>188.057868048</v>
      </c>
      <c r="G23" s="25" t="n">
        <f aca="false">(G11+G9*Supuestos!$E$9*Supuestos!$E$19+(G10*Supuestos!$E$15*Supuestos!$E$9*Supuestos!$E$19)+Supuestos!$E$39*MIN(1,G$3/Supuestos!$E$42))*Supuestos!$E$53</f>
        <v>234.36629222112</v>
      </c>
      <c r="H23" s="25" t="n">
        <f aca="false">(H11+H9*Supuestos!$E$9*Supuestos!$E$19+(H10*Supuestos!$E$15*Supuestos!$E$9*Supuestos!$E$19)+Supuestos!$E$39*MIN(1,H$3/Supuestos!$E$42))*Supuestos!$E$53</f>
        <v>279.142480693613</v>
      </c>
      <c r="I23" s="25" t="n">
        <f aca="false">(I11+I9*Supuestos!$E$9*Supuestos!$E$19+(I10*Supuestos!$E$15*Supuestos!$E$9*Supuestos!$E$19)+Supuestos!$E$39*MIN(1,I$3/Supuestos!$E$42))*Supuestos!$E$53</f>
        <v>322.468736017526</v>
      </c>
      <c r="J23" s="25" t="n">
        <f aca="false">(J11+J9*Supuestos!$E$9*Supuestos!$E$19+(J10*Supuestos!$E$15*Supuestos!$E$9*Supuestos!$E$19)+Supuestos!$E$39*MIN(1,J$3/Supuestos!$E$42))*Supuestos!$E$53</f>
        <v>347.905239907779</v>
      </c>
      <c r="K23" s="25" t="n">
        <f aca="false">(K11+K9*Supuestos!$E$9*Supuestos!$E$19+(K10*Supuestos!$E$15*Supuestos!$E$9*Supuestos!$E$19)+Supuestos!$E$39*MIN(1,K$3/Supuestos!$E$42))*Supuestos!$E$53</f>
        <v>364.726885513312</v>
      </c>
      <c r="L23" s="25" t="n">
        <f aca="false">(L11+L9*Supuestos!$E$9*Supuestos!$E$19+(L10*Supuestos!$E$15*Supuestos!$E$9*Supuestos!$E$19)+Supuestos!$E$39*MIN(1,L$3/Supuestos!$E$42))*Supuestos!$E$53</f>
        <v>380.728232382513</v>
      </c>
      <c r="M23" s="25" t="n">
        <f aca="false">(M11+M9*Supuestos!$E$9*Supuestos!$E$19+(M10*Supuestos!$E$15*Supuestos!$E$9*Supuestos!$E$19)+Supuestos!$E$39*MIN(1,M$3/Supuestos!$E$42))*Supuestos!$E$53</f>
        <v>392.808498439562</v>
      </c>
      <c r="N23" s="25" t="n">
        <f aca="false">(N11+N9*Supuestos!$E$9*Supuestos!$E$19+(N10*Supuestos!$E$15*Supuestos!$E$9*Supuestos!$E$19)+Supuestos!$E$39*MIN(1,N$3/Supuestos!$E$42))*Supuestos!$E$53</f>
        <v>404.163948533189</v>
      </c>
      <c r="O23" s="25" t="n">
        <f aca="false">(O11+O9*Supuestos!$E$9*Supuestos!$E$19+(O10*Supuestos!$E$15*Supuestos!$E$9*Supuestos!$E$19)+Supuestos!$E$39*MIN(1,O$3/Supuestos!$E$42))*Supuestos!$E$53</f>
        <v>414.838071621197</v>
      </c>
      <c r="P23" s="25" t="n">
        <f aca="false">(P11+P9*Supuestos!$E$9*Supuestos!$E$19+(P10*Supuestos!$E$15*Supuestos!$E$9*Supuestos!$E$19)+Supuestos!$E$39*MIN(1,P$3/Supuestos!$E$42))*Supuestos!$E$53</f>
        <v>417.063347323925</v>
      </c>
      <c r="Q23" s="25" t="n">
        <f aca="false">(Q11+Q9*Supuestos!$E$9*Supuestos!$E$19+(Q10*Supuestos!$E$15*Supuestos!$E$9*Supuestos!$E$19)+Supuestos!$E$39*MIN(1,Q$3/Supuestos!$E$42))*Supuestos!$E$53</f>
        <v>419.15510648449</v>
      </c>
      <c r="R23" s="25" t="n">
        <f aca="false">(R11+R9*Supuestos!$E$9*Supuestos!$E$19+(R10*Supuestos!$E$15*Supuestos!$E$9*Supuestos!$E$19)+Supuestos!$E$39*MIN(1,R$3/Supuestos!$E$42))*Supuestos!$E$53</f>
        <v>421.121360095421</v>
      </c>
      <c r="S23" s="25" t="n">
        <f aca="false">(S11+S9*Supuestos!$E$9*Supuestos!$E$19+(S10*Supuestos!$E$15*Supuestos!$E$9*Supuestos!$E$19)+Supuestos!$E$39*MIN(1,S$3/Supuestos!$E$42))*Supuestos!$E$53</f>
        <v>422.969638489695</v>
      </c>
      <c r="T23" s="25" t="n">
        <f aca="false">(T11+T9*Supuestos!$E$9*Supuestos!$E$19+(T10*Supuestos!$E$15*Supuestos!$E$9*Supuestos!$E$19)+Supuestos!$E$39*MIN(1,T$3/Supuestos!$E$42))*Supuestos!$E$53</f>
        <v>424.707020180314</v>
      </c>
      <c r="U23" s="25" t="n">
        <f aca="false">(U11+U9*Supuestos!$E$9*Supuestos!$E$19+(U10*Supuestos!$E$15*Supuestos!$E$9*Supuestos!$E$19)+Supuestos!$E$39*MIN(1,U$3/Supuestos!$E$42))*Supuestos!$E$53</f>
        <v>426.340158969495</v>
      </c>
      <c r="V23" s="25" t="n">
        <f aca="false">(V11+V9*Supuestos!$E$9*Supuestos!$E$19+(V10*Supuestos!$E$15*Supuestos!$E$9*Supuestos!$E$19)+Supuestos!$E$39*MIN(1,V$3/Supuestos!$E$42))*Supuestos!$E$53</f>
        <v>427.875309431325</v>
      </c>
      <c r="W23" s="25" t="n">
        <f aca="false">(W11+W9*Supuestos!$E$9*Supuestos!$E$19+(W10*Supuestos!$E$15*Supuestos!$E$9*Supuestos!$E$19)+Supuestos!$E$39*MIN(1,W$3/Supuestos!$E$42))*Supuestos!$E$53</f>
        <v>429.318350865445</v>
      </c>
      <c r="X23" s="25" t="n">
        <f aca="false">(X11+X9*Supuestos!$E$9*Supuestos!$E$19+(X10*Supuestos!$E$15*Supuestos!$E$9*Supuestos!$E$19)+Supuestos!$E$39*MIN(1,X$3/Supuestos!$E$42))*Supuestos!$E$53</f>
        <v>430.674809813519</v>
      </c>
      <c r="Y23" s="25" t="n">
        <f aca="false">(Y11+Y9*Supuestos!$E$9*Supuestos!$E$19+(Y10*Supuestos!$E$15*Supuestos!$E$9*Supuestos!$E$19)+Supuestos!$E$39*MIN(1,Y$3/Supuestos!$E$42))*Supuestos!$E$53</f>
        <v>431.949881224708</v>
      </c>
      <c r="Z23" s="25" t="n">
        <f aca="false">(Z11+Z9*Supuestos!$E$9*Supuestos!$E$19+(Z10*Supuestos!$E$15*Supuestos!$E$9*Supuestos!$E$19)+Supuestos!$E$39*MIN(1,Z$3/Supuestos!$E$42))*Supuestos!$E$53</f>
        <v>433.148448351225</v>
      </c>
      <c r="AA23" s="25" t="n">
        <f aca="false">(AA11+AA9*Supuestos!$E$9*Supuestos!$E$19+(AA10*Supuestos!$E$15*Supuestos!$E$9*Supuestos!$E$19)+Supuestos!$E$39*MIN(1,AA$3/Supuestos!$E$42))*Supuestos!$E$53</f>
        <v>434.275101450152</v>
      </c>
      <c r="AB23" s="25" t="n">
        <f aca="false">(AB11+AB9*Supuestos!$E$9*Supuestos!$E$19+(AB10*Supuestos!$E$15*Supuestos!$E$9*Supuestos!$E$19)+Supuestos!$E$39*MIN(1,AB$3/Supuestos!$E$42))*Supuestos!$E$53</f>
        <v>435.334155363143</v>
      </c>
      <c r="AC23" s="25" t="n">
        <f aca="false">(AC11+AC9*Supuestos!$E$9*Supuestos!$E$19+(AC10*Supuestos!$E$15*Supuestos!$E$9*Supuestos!$E$19)+Supuestos!$E$39*MIN(1,AC$3/Supuestos!$E$42))*Supuestos!$E$53</f>
        <v>436.329666041354</v>
      </c>
      <c r="AD23" s="25" t="n">
        <f aca="false">(AD11+AD9*Supuestos!$E$9*Supuestos!$E$19+(AD10*Supuestos!$E$15*Supuestos!$E$9*Supuestos!$E$19)+Supuestos!$E$39*MIN(1,AD$3/Supuestos!$E$42))*Supuestos!$E$53</f>
        <v>437.265446078873</v>
      </c>
      <c r="AE23" s="25" t="n">
        <f aca="false">(AE11+AE9*Supuestos!$E$9*Supuestos!$E$19+(AE10*Supuestos!$E$15*Supuestos!$E$9*Supuestos!$E$19)+Supuestos!$E$39*MIN(1,AE$3/Supuestos!$E$42))*Supuestos!$E$53</f>
        <v>438.14507931414</v>
      </c>
      <c r="AF23" s="25" t="n">
        <f aca="false">(AF11+AF9*Supuestos!$E$9*Supuestos!$E$19+(AF10*Supuestos!$E$15*Supuestos!$E$9*Supuestos!$E$19)+Supuestos!$E$39*MIN(1,AF$3/Supuestos!$E$42))*Supuestos!$E$53</f>
        <v>438.971934555292</v>
      </c>
      <c r="AG23" s="25" t="n">
        <f aca="false">(AG11+AG9*Supuestos!$E$9*Supuestos!$E$19+(AG10*Supuestos!$E$15*Supuestos!$E$9*Supuestos!$E$19)+Supuestos!$E$39*MIN(1,AG$3/Supuestos!$E$42))*Supuestos!$E$53</f>
        <v>439.749178481974</v>
      </c>
      <c r="AH23" s="25" t="n">
        <f aca="false">(AH11+AH9*Supuestos!$E$9*Supuestos!$E$19+(AH10*Supuestos!$E$15*Supuestos!$E$9*Supuestos!$E$19)+Supuestos!$E$39*MIN(1,AH$3/Supuestos!$E$42))*Supuestos!$E$53</f>
        <v>440.479787773056</v>
      </c>
      <c r="AI23" s="25" t="n">
        <f aca="false">(AI11+AI9*Supuestos!$E$9*Supuestos!$E$19+(AI10*Supuestos!$E$15*Supuestos!$E$9*Supuestos!$E$19)+Supuestos!$E$39*MIN(1,AI$3/Supuestos!$E$42))*Supuestos!$E$53</f>
        <v>441.166560506673</v>
      </c>
      <c r="AJ23" s="25" t="n">
        <f aca="false">(AJ11+AJ9*Supuestos!$E$9*Supuestos!$E$19+(AJ10*Supuestos!$E$15*Supuestos!$E$9*Supuestos!$E$19)+Supuestos!$E$39*MIN(1,AJ$3/Supuestos!$E$42))*Supuestos!$E$53</f>
        <v>441.812126876272</v>
      </c>
      <c r="AK23" s="25" t="n">
        <f aca="false">(AK11+AK9*Supuestos!$E$9*Supuestos!$E$19+(AK10*Supuestos!$E$15*Supuestos!$E$9*Supuestos!$E$19)+Supuestos!$E$39*MIN(1,AK$3/Supuestos!$E$42))*Supuestos!$E$53</f>
        <v>442.418959263696</v>
      </c>
      <c r="AL23" s="25" t="n">
        <f aca="false">(AL11+AL9*Supuestos!$E$9*Supuestos!$E$19+(AL10*Supuestos!$E$15*Supuestos!$E$9*Supuestos!$E$19)+Supuestos!$E$39*MIN(1,AL$3/Supuestos!$E$42))*Supuestos!$E$53</f>
        <v>442.989381707874</v>
      </c>
      <c r="AM23" s="25" t="n">
        <f aca="false">(AM11+AM9*Supuestos!$E$9*Supuestos!$E$19+(AM10*Supuestos!$E$15*Supuestos!$E$9*Supuestos!$E$19)+Supuestos!$E$39*MIN(1,AM$3/Supuestos!$E$42))*Supuestos!$E$53</f>
        <v>443.525578805402</v>
      </c>
    </row>
    <row r="24" customFormat="false" ht="15" hidden="false" customHeight="false" outlineLevel="0" collapsed="false">
      <c r="B24" s="4" t="s">
        <v>406</v>
      </c>
      <c r="D24" s="25" t="n">
        <f aca="false">D21*(1+Supuestos!$E$7*Supuestos!$E$8)*Supuestos!$E$54</f>
        <v>23.0975230961538</v>
      </c>
      <c r="E24" s="25" t="n">
        <f aca="false">E21*(1+Supuestos!$E$7*Supuestos!$E$8)*Supuestos!$E$54</f>
        <v>35.9758692103846</v>
      </c>
      <c r="F24" s="25" t="n">
        <f aca="false">F21*(1+Supuestos!$E$7*Supuestos!$E$8)*Supuestos!$E$54</f>
        <v>48.4624168500692</v>
      </c>
      <c r="G24" s="25" t="n">
        <f aca="false">G21*(1+Supuestos!$E$7*Supuestos!$E$8)*Supuestos!$E$54</f>
        <v>60.5788100319881</v>
      </c>
      <c r="H24" s="25" t="n">
        <f aca="false">H21*(1+Supuestos!$E$7*Supuestos!$E$8)*Supuestos!$E$54</f>
        <v>72.3454686875827</v>
      </c>
      <c r="I24" s="25" t="n">
        <f aca="false">I21*(1+Supuestos!$E$7*Supuestos!$E$8)*Supuestos!$E$54</f>
        <v>83.7816591258487</v>
      </c>
      <c r="J24" s="25" t="n">
        <f aca="false">J21*(1+Supuestos!$E$7*Supuestos!$E$8)*Supuestos!$E$54</f>
        <v>91.0958792265571</v>
      </c>
      <c r="K24" s="25" t="n">
        <f aca="false">K21*(1+Supuestos!$E$7*Supuestos!$E$8)*Supuestos!$E$54</f>
        <v>96.8101566652714</v>
      </c>
      <c r="L24" s="25" t="n">
        <f aca="false">L21*(1+Supuestos!$E$7*Supuestos!$E$8)*Supuestos!$E$54</f>
        <v>102.318436303817</v>
      </c>
      <c r="M24" s="25" t="n">
        <f aca="false">M21*(1+Supuestos!$E$7*Supuestos!$E$8)*Supuestos!$E$54</f>
        <v>105.352097240972</v>
      </c>
      <c r="N24" s="25" t="n">
        <f aca="false">N21*(1+Supuestos!$E$7*Supuestos!$E$8)*Supuestos!$E$54</f>
        <v>108.203738521899</v>
      </c>
      <c r="O24" s="25" t="n">
        <f aca="false">O21*(1+Supuestos!$E$7*Supuestos!$E$8)*Supuestos!$E$54</f>
        <v>110.884281325969</v>
      </c>
      <c r="P24" s="25" t="n">
        <f aca="false">P21*(1+Supuestos!$E$7*Supuestos!$E$8)*Supuestos!$E$54</f>
        <v>111.443104446411</v>
      </c>
      <c r="Q24" s="25" t="n">
        <f aca="false">Q21*(1+Supuestos!$E$7*Supuestos!$E$8)*Supuestos!$E$54</f>
        <v>111.968398179626</v>
      </c>
      <c r="R24" s="25" t="n">
        <f aca="false">R21*(1+Supuestos!$E$7*Supuestos!$E$8)*Supuestos!$E$54</f>
        <v>112.462174288849</v>
      </c>
      <c r="S24" s="25" t="n">
        <f aca="false">S21*(1+Supuestos!$E$7*Supuestos!$E$8)*Supuestos!$E$54</f>
        <v>112.926323831518</v>
      </c>
      <c r="T24" s="25" t="n">
        <f aca="false">T21*(1+Supuestos!$E$7*Supuestos!$E$8)*Supuestos!$E$54</f>
        <v>113.362624401627</v>
      </c>
      <c r="U24" s="25" t="n">
        <f aca="false">U21*(1+Supuestos!$E$7*Supuestos!$E$8)*Supuestos!$E$54</f>
        <v>113.772746937529</v>
      </c>
      <c r="V24" s="25" t="n">
        <f aca="false">V21*(1+Supuestos!$E$7*Supuestos!$E$8)*Supuestos!$E$54</f>
        <v>114.158262121277</v>
      </c>
      <c r="W24" s="25" t="n">
        <f aca="false">W21*(1+Supuestos!$E$7*Supuestos!$E$8)*Supuestos!$E$54</f>
        <v>114.520646394001</v>
      </c>
      <c r="X24" s="25" t="n">
        <f aca="false">X21*(1+Supuestos!$E$7*Supuestos!$E$8)*Supuestos!$E$54</f>
        <v>114.861287610361</v>
      </c>
      <c r="Y24" s="25" t="n">
        <f aca="false">Y21*(1+Supuestos!$E$7*Supuestos!$E$8)*Supuestos!$E$54</f>
        <v>115.181490353739</v>
      </c>
      <c r="Z24" s="25" t="n">
        <f aca="false">Z21*(1+Supuestos!$E$7*Supuestos!$E$8)*Supuestos!$E$54</f>
        <v>115.482480932515</v>
      </c>
      <c r="AA24" s="25" t="n">
        <f aca="false">AA21*(1+Supuestos!$E$7*Supuestos!$E$8)*Supuestos!$E$54</f>
        <v>115.765412076564</v>
      </c>
      <c r="AB24" s="25" t="n">
        <f aca="false">AB21*(1+Supuestos!$E$7*Supuestos!$E$8)*Supuestos!$E$54</f>
        <v>116.03136735197</v>
      </c>
      <c r="AC24" s="25" t="n">
        <f aca="false">AC21*(1+Supuestos!$E$7*Supuestos!$E$8)*Supuestos!$E$54</f>
        <v>116.281365310852</v>
      </c>
      <c r="AD24" s="25" t="n">
        <f aca="false">AD21*(1+Supuestos!$E$7*Supuestos!$E$8)*Supuestos!$E$54</f>
        <v>116.516363392201</v>
      </c>
      <c r="AE24" s="25" t="n">
        <f aca="false">AE21*(1+Supuestos!$E$7*Supuestos!$E$8)*Supuestos!$E$54</f>
        <v>116.737261588669</v>
      </c>
      <c r="AF24" s="25" t="n">
        <f aca="false">AF21*(1+Supuestos!$E$7*Supuestos!$E$8)*Supuestos!$E$54</f>
        <v>116.944905893349</v>
      </c>
      <c r="AG24" s="25" t="n">
        <f aca="false">AG21*(1+Supuestos!$E$7*Supuestos!$E$8)*Supuestos!$E$54</f>
        <v>117.140091539748</v>
      </c>
      <c r="AH24" s="25" t="n">
        <f aca="false">AH21*(1+Supuestos!$E$7*Supuestos!$E$8)*Supuestos!$E$54</f>
        <v>117.323566047363</v>
      </c>
      <c r="AI24" s="25" t="n">
        <f aca="false">AI21*(1+Supuestos!$E$7*Supuestos!$E$8)*Supuestos!$E$54</f>
        <v>117.496032084521</v>
      </c>
      <c r="AJ24" s="25" t="n">
        <f aca="false">AJ21*(1+Supuestos!$E$7*Supuestos!$E$8)*Supuestos!$E$54</f>
        <v>117.65815015945</v>
      </c>
      <c r="AK24" s="25" t="n">
        <f aca="false">AK21*(1+Supuestos!$E$7*Supuestos!$E$8)*Supuestos!$E$54</f>
        <v>117.810541149883</v>
      </c>
      <c r="AL24" s="25" t="n">
        <f aca="false">AL21*(1+Supuestos!$E$7*Supuestos!$E$8)*Supuestos!$E$54</f>
        <v>117.95378868089</v>
      </c>
      <c r="AM24" s="25" t="n">
        <f aca="false">AM21*(1+Supuestos!$E$7*Supuestos!$E$8)*Supuestos!$E$54</f>
        <v>118.088441360036</v>
      </c>
    </row>
    <row r="25" customFormat="false" ht="15" hidden="false" customHeight="false" outlineLevel="0" collapsed="false">
      <c r="B25" s="4" t="s">
        <v>407</v>
      </c>
      <c r="D25" s="25" t="n">
        <f aca="false">D21*Supuestos!$E$55</f>
        <v>16.5990104895105</v>
      </c>
      <c r="E25" s="25" t="n">
        <f aca="false">E21*Supuestos!$E$55</f>
        <v>25.854020273363</v>
      </c>
      <c r="F25" s="25" t="n">
        <f aca="false">F21*Supuestos!$E$55</f>
        <v>34.8274644987921</v>
      </c>
      <c r="G25" s="25" t="n">
        <f aca="false">G21*Supuestos!$E$55</f>
        <v>43.5348976155143</v>
      </c>
      <c r="H25" s="25" t="n">
        <f aca="false">H21*Supuestos!$E$55</f>
        <v>51.9909943856146</v>
      </c>
      <c r="I25" s="25" t="n">
        <f aca="false">I21*Supuestos!$E$55</f>
        <v>60.2096005216304</v>
      </c>
      <c r="J25" s="25" t="n">
        <f aca="false">J21*Supuestos!$E$55</f>
        <v>65.4659570438787</v>
      </c>
      <c r="K25" s="25" t="n">
        <f aca="false">K21*Supuestos!$E$55</f>
        <v>69.5725164680355</v>
      </c>
      <c r="L25" s="25" t="n">
        <f aca="false">L21*Supuestos!$E$55</f>
        <v>73.53103579146</v>
      </c>
      <c r="M25" s="25" t="n">
        <f aca="false">M21*Supuestos!$E$55</f>
        <v>75.7111730082445</v>
      </c>
      <c r="N25" s="25" t="n">
        <f aca="false">N21*Supuestos!$E$55</f>
        <v>77.7605019920219</v>
      </c>
      <c r="O25" s="25" t="n">
        <f aca="false">O21*Supuestos!$E$55</f>
        <v>79.6868712367727</v>
      </c>
      <c r="P25" s="25" t="n">
        <f aca="false">P21*Supuestos!$E$55</f>
        <v>80.0884688799217</v>
      </c>
      <c r="Q25" s="25" t="n">
        <f aca="false">Q21*Supuestos!$E$55</f>
        <v>80.4659706644818</v>
      </c>
      <c r="R25" s="25" t="n">
        <f aca="false">R21*Supuestos!$E$55</f>
        <v>80.8208223419683</v>
      </c>
      <c r="S25" s="25" t="n">
        <f aca="false">S21*Supuestos!$E$55</f>
        <v>81.1543829188055</v>
      </c>
      <c r="T25" s="25" t="n">
        <f aca="false">T21*Supuestos!$E$55</f>
        <v>81.4679298610326</v>
      </c>
      <c r="U25" s="25" t="n">
        <f aca="false">U21*Supuestos!$E$55</f>
        <v>81.762663986726</v>
      </c>
      <c r="V25" s="25" t="n">
        <f aca="false">V21*Supuestos!$E$55</f>
        <v>82.0397140648778</v>
      </c>
      <c r="W25" s="25" t="n">
        <f aca="false">W21*Supuestos!$E$55</f>
        <v>82.3001411383405</v>
      </c>
      <c r="X25" s="25" t="n">
        <f aca="false">X21*Supuestos!$E$55</f>
        <v>82.5449425873954</v>
      </c>
      <c r="Y25" s="25" t="n">
        <f aca="false">Y21*Supuestos!$E$55</f>
        <v>82.7750559495071</v>
      </c>
      <c r="Z25" s="25" t="n">
        <f aca="false">Z21*Supuestos!$E$55</f>
        <v>82.991362509892</v>
      </c>
      <c r="AA25" s="25" t="n">
        <f aca="false">AA21*Supuestos!$E$55</f>
        <v>83.1946906766539</v>
      </c>
      <c r="AB25" s="25" t="n">
        <f aca="false">AB21*Supuestos!$E$55</f>
        <v>83.38581915341</v>
      </c>
      <c r="AC25" s="25" t="n">
        <f aca="false">AC21*Supuestos!$E$55</f>
        <v>83.5654799215608</v>
      </c>
      <c r="AD25" s="25" t="n">
        <f aca="false">AD21*Supuestos!$E$55</f>
        <v>83.7343610436225</v>
      </c>
      <c r="AE25" s="25" t="n">
        <f aca="false">AE21*Supuestos!$E$55</f>
        <v>83.8931092983605</v>
      </c>
      <c r="AF25" s="25" t="n">
        <f aca="false">AF21*Supuestos!$E$55</f>
        <v>84.0423326578143</v>
      </c>
      <c r="AG25" s="25" t="n">
        <f aca="false">AG21*Supuestos!$E$55</f>
        <v>84.1826026157008</v>
      </c>
      <c r="AH25" s="25" t="n">
        <f aca="false">AH21*Supuestos!$E$55</f>
        <v>84.3144563761141</v>
      </c>
      <c r="AI25" s="25" t="n">
        <f aca="false">AI21*Supuestos!$E$55</f>
        <v>84.4383989109026</v>
      </c>
      <c r="AJ25" s="25" t="n">
        <f aca="false">AJ21*Supuestos!$E$55</f>
        <v>84.5549048936038</v>
      </c>
      <c r="AK25" s="25" t="n">
        <f aca="false">AK21*Supuestos!$E$55</f>
        <v>84.664420517343</v>
      </c>
      <c r="AL25" s="25" t="n">
        <f aca="false">AL21*Supuestos!$E$55</f>
        <v>84.7673652036578</v>
      </c>
      <c r="AM25" s="25" t="n">
        <f aca="false">AM21*Supuestos!$E$55</f>
        <v>84.8641332087937</v>
      </c>
    </row>
    <row r="26" customFormat="false" ht="15" hidden="false" customHeight="false" outlineLevel="0" collapsed="false">
      <c r="B26" s="4" t="s">
        <v>408</v>
      </c>
      <c r="D26" s="25" t="n">
        <f aca="false">D21*(1+Supuestos!$E$7*Supuestos!$E$8)*Supuestos!$E$56</f>
        <v>8.03392107692308</v>
      </c>
      <c r="E26" s="25" t="n">
        <f aca="false">E21*(1+Supuestos!$E$7*Supuestos!$E$8)*Supuestos!$E$56</f>
        <v>12.5133458123077</v>
      </c>
      <c r="F26" s="25" t="n">
        <f aca="false">F21*(1+Supuestos!$E$7*Supuestos!$E$8)*Supuestos!$E$56</f>
        <v>16.8564928174154</v>
      </c>
      <c r="G26" s="25" t="n">
        <f aca="false">G21*(1+Supuestos!$E$7*Supuestos!$E$8)*Supuestos!$E$56</f>
        <v>21.0708904459089</v>
      </c>
      <c r="H26" s="25" t="n">
        <f aca="false">H21*(1+Supuestos!$E$7*Supuestos!$E$8)*Supuestos!$E$56</f>
        <v>25.1636412826375</v>
      </c>
      <c r="I26" s="25" t="n">
        <f aca="false">I21*(1+Supuestos!$E$7*Supuestos!$E$8)*Supuestos!$E$56</f>
        <v>29.1414466524691</v>
      </c>
      <c r="J26" s="25" t="n">
        <f aca="false">J21*(1+Supuestos!$E$7*Supuestos!$E$8)*Supuestos!$E$56</f>
        <v>31.6855232092373</v>
      </c>
      <c r="K26" s="25" t="n">
        <f aca="false">K21*(1+Supuestos!$E$7*Supuestos!$E$8)*Supuestos!$E$56</f>
        <v>33.6730979705292</v>
      </c>
      <c r="L26" s="25" t="n">
        <f aca="false">L21*(1+Supuestos!$E$7*Supuestos!$E$8)*Supuestos!$E$56</f>
        <v>35.5890213230667</v>
      </c>
      <c r="M26" s="25" t="n">
        <f aca="false">M21*(1+Supuestos!$E$7*Supuestos!$E$8)*Supuestos!$E$56</f>
        <v>36.6442077359904</v>
      </c>
      <c r="N26" s="25" t="n">
        <f aca="false">N21*(1+Supuestos!$E$7*Supuestos!$E$8)*Supuestos!$E$56</f>
        <v>37.6360829641386</v>
      </c>
      <c r="O26" s="25" t="n">
        <f aca="false">O21*(1+Supuestos!$E$7*Supuestos!$E$8)*Supuestos!$E$56</f>
        <v>38.568445678598</v>
      </c>
      <c r="P26" s="25" t="n">
        <f aca="false">P21*(1+Supuestos!$E$7*Supuestos!$E$8)*Supuestos!$E$56</f>
        <v>38.7628189378821</v>
      </c>
      <c r="Q26" s="25" t="n">
        <f aca="false">Q21*(1+Supuestos!$E$7*Supuestos!$E$8)*Supuestos!$E$56</f>
        <v>38.9455298016092</v>
      </c>
      <c r="R26" s="25" t="n">
        <f aca="false">R21*(1+Supuestos!$E$7*Supuestos!$E$8)*Supuestos!$E$56</f>
        <v>39.1172780135126</v>
      </c>
      <c r="S26" s="25" t="n">
        <f aca="false">S21*(1+Supuestos!$E$7*Supuestos!$E$8)*Supuestos!$E$56</f>
        <v>39.2787213327019</v>
      </c>
      <c r="T26" s="25" t="n">
        <f aca="false">T21*(1+Supuestos!$E$7*Supuestos!$E$8)*Supuestos!$E$56</f>
        <v>39.4304780527398</v>
      </c>
      <c r="U26" s="25" t="n">
        <f aca="false">U21*(1+Supuestos!$E$7*Supuestos!$E$8)*Supuestos!$E$56</f>
        <v>39.5731293695754</v>
      </c>
      <c r="V26" s="25" t="n">
        <f aca="false">V21*(1+Supuestos!$E$7*Supuestos!$E$8)*Supuestos!$E$56</f>
        <v>39.7072216074009</v>
      </c>
      <c r="W26" s="25" t="n">
        <f aca="false">W21*(1+Supuestos!$E$7*Supuestos!$E$8)*Supuestos!$E$56</f>
        <v>39.8332683109568</v>
      </c>
      <c r="X26" s="25" t="n">
        <f aca="false">X21*(1+Supuestos!$E$7*Supuestos!$E$8)*Supuestos!$E$56</f>
        <v>39.9517522122994</v>
      </c>
      <c r="Y26" s="25" t="n">
        <f aca="false">Y21*(1+Supuestos!$E$7*Supuestos!$E$8)*Supuestos!$E$56</f>
        <v>40.0631270795614</v>
      </c>
      <c r="Z26" s="25" t="n">
        <f aca="false">Z21*(1+Supuestos!$E$7*Supuestos!$E$8)*Supuestos!$E$56</f>
        <v>40.1678194547878</v>
      </c>
      <c r="AA26" s="25" t="n">
        <f aca="false">AA21*(1+Supuestos!$E$7*Supuestos!$E$8)*Supuestos!$E$56</f>
        <v>40.2662302875005</v>
      </c>
      <c r="AB26" s="25" t="n">
        <f aca="false">AB21*(1+Supuestos!$E$7*Supuestos!$E$8)*Supuestos!$E$56</f>
        <v>40.3587364702505</v>
      </c>
      <c r="AC26" s="25" t="n">
        <f aca="false">AC21*(1+Supuestos!$E$7*Supuestos!$E$8)*Supuestos!$E$56</f>
        <v>40.4456922820354</v>
      </c>
      <c r="AD26" s="25" t="n">
        <f aca="false">AD21*(1+Supuestos!$E$7*Supuestos!$E$8)*Supuestos!$E$56</f>
        <v>40.5274307451133</v>
      </c>
      <c r="AE26" s="25" t="n">
        <f aca="false">AE21*(1+Supuestos!$E$7*Supuestos!$E$8)*Supuestos!$E$56</f>
        <v>40.6042649004065</v>
      </c>
      <c r="AF26" s="25" t="n">
        <f aca="false">AF21*(1+Supuestos!$E$7*Supuestos!$E$8)*Supuestos!$E$56</f>
        <v>40.6764890063821</v>
      </c>
      <c r="AG26" s="25" t="n">
        <f aca="false">AG21*(1+Supuestos!$E$7*Supuestos!$E$8)*Supuestos!$E$56</f>
        <v>40.7443796659992</v>
      </c>
      <c r="AH26" s="25" t="n">
        <f aca="false">AH21*(1+Supuestos!$E$7*Supuestos!$E$8)*Supuestos!$E$56</f>
        <v>40.8081968860392</v>
      </c>
      <c r="AI26" s="25" t="n">
        <f aca="false">AI21*(1+Supuestos!$E$7*Supuestos!$E$8)*Supuestos!$E$56</f>
        <v>40.8681850728769</v>
      </c>
      <c r="AJ26" s="25" t="n">
        <f aca="false">AJ21*(1+Supuestos!$E$7*Supuestos!$E$8)*Supuestos!$E$56</f>
        <v>40.9245739685043</v>
      </c>
      <c r="AK26" s="25" t="n">
        <f aca="false">AK21*(1+Supuestos!$E$7*Supuestos!$E$8)*Supuestos!$E$56</f>
        <v>40.977579530394</v>
      </c>
      <c r="AL26" s="25" t="n">
        <f aca="false">AL21*(1+Supuestos!$E$7*Supuestos!$E$8)*Supuestos!$E$56</f>
        <v>41.0274047585704</v>
      </c>
      <c r="AM26" s="25" t="n">
        <f aca="false">AM21*(1+Supuestos!$E$7*Supuestos!$E$8)*Supuestos!$E$56</f>
        <v>41.0742404730561</v>
      </c>
    </row>
    <row r="27" customFormat="false" ht="15" hidden="false" customHeight="false" outlineLevel="0" collapsed="false">
      <c r="B27" s="4" t="s">
        <v>409</v>
      </c>
      <c r="D27" s="25" t="n">
        <f aca="false">SUM(D23:D26)</f>
        <v>138.221134662587</v>
      </c>
      <c r="E27" s="25" t="n">
        <f aca="false">SUM(E23:E26)</f>
        <v>214.473314496055</v>
      </c>
      <c r="F27" s="25" t="n">
        <f aca="false">SUM(F23:F26)</f>
        <v>288.204242214277</v>
      </c>
      <c r="G27" s="25" t="n">
        <f aca="false">SUM(G23:G26)</f>
        <v>359.550890314531</v>
      </c>
      <c r="H27" s="25" t="n">
        <f aca="false">SUM(H23:H26)</f>
        <v>428.642585049448</v>
      </c>
      <c r="I27" s="25" t="n">
        <f aca="false">SUM(I23:I26)</f>
        <v>495.601442317474</v>
      </c>
      <c r="J27" s="25" t="n">
        <f aca="false">SUM(J23:J26)</f>
        <v>536.152599387452</v>
      </c>
      <c r="K27" s="25" t="n">
        <f aca="false">SUM(K23:K26)</f>
        <v>564.782656617148</v>
      </c>
      <c r="L27" s="25" t="n">
        <f aca="false">SUM(L23:L26)</f>
        <v>592.166725800857</v>
      </c>
      <c r="M27" s="25" t="n">
        <f aca="false">SUM(M23:M26)</f>
        <v>610.51597642477</v>
      </c>
      <c r="N27" s="25" t="n">
        <f aca="false">SUM(N23:N26)</f>
        <v>627.764272011248</v>
      </c>
      <c r="O27" s="25" t="n">
        <f aca="false">SUM(O23:O26)</f>
        <v>643.977669862537</v>
      </c>
      <c r="P27" s="25" t="n">
        <f aca="false">SUM(P23:P26)</f>
        <v>647.35773958814</v>
      </c>
      <c r="Q27" s="25" t="n">
        <f aca="false">SUM(Q23:Q26)</f>
        <v>650.535005130207</v>
      </c>
      <c r="R27" s="25" t="n">
        <f aca="false">SUM(R23:R26)</f>
        <v>653.52163473975</v>
      </c>
      <c r="S27" s="25" t="n">
        <f aca="false">SUM(S23:S26)</f>
        <v>656.32906657272</v>
      </c>
      <c r="T27" s="25" t="n">
        <f aca="false">SUM(T23:T26)</f>
        <v>658.968052495713</v>
      </c>
      <c r="U27" s="25" t="n">
        <f aca="false">SUM(U23:U26)</f>
        <v>661.448699263325</v>
      </c>
      <c r="V27" s="25" t="n">
        <f aca="false">SUM(V23:V26)</f>
        <v>663.780507224881</v>
      </c>
      <c r="W27" s="25" t="n">
        <f aca="false">SUM(W23:W26)</f>
        <v>665.972406708744</v>
      </c>
      <c r="X27" s="25" t="n">
        <f aca="false">SUM(X23:X26)</f>
        <v>668.032792223575</v>
      </c>
      <c r="Y27" s="25" t="n">
        <f aca="false">SUM(Y23:Y26)</f>
        <v>669.969554607515</v>
      </c>
      <c r="Z27" s="25" t="n">
        <f aca="false">SUM(Z23:Z26)</f>
        <v>671.79011124842</v>
      </c>
      <c r="AA27" s="25" t="n">
        <f aca="false">SUM(AA23:AA26)</f>
        <v>673.50143449087</v>
      </c>
      <c r="AB27" s="25" t="n">
        <f aca="false">SUM(AB23:AB26)</f>
        <v>675.110078338773</v>
      </c>
      <c r="AC27" s="25" t="n">
        <f aca="false">SUM(AC23:AC26)</f>
        <v>676.622203555802</v>
      </c>
      <c r="AD27" s="25" t="n">
        <f aca="false">SUM(AD23:AD26)</f>
        <v>678.043601259809</v>
      </c>
      <c r="AE27" s="25" t="n">
        <f aca="false">SUM(AE23:AE26)</f>
        <v>679.379715101576</v>
      </c>
      <c r="AF27" s="25" t="n">
        <f aca="false">SUM(AF23:AF26)</f>
        <v>680.635662112837</v>
      </c>
      <c r="AG27" s="25" t="n">
        <f aca="false">SUM(AG23:AG26)</f>
        <v>681.816252303422</v>
      </c>
      <c r="AH27" s="25" t="n">
        <f aca="false">SUM(AH23:AH26)</f>
        <v>682.926007082572</v>
      </c>
      <c r="AI27" s="25" t="n">
        <f aca="false">SUM(AI23:AI26)</f>
        <v>683.969176574973</v>
      </c>
      <c r="AJ27" s="25" t="n">
        <f aca="false">SUM(AJ23:AJ26)</f>
        <v>684.94975589783</v>
      </c>
      <c r="AK27" s="25" t="n">
        <f aca="false">SUM(AK23:AK26)</f>
        <v>685.871500461316</v>
      </c>
      <c r="AL27" s="25" t="n">
        <f aca="false">SUM(AL23:AL26)</f>
        <v>686.737940350992</v>
      </c>
      <c r="AM27" s="25" t="n">
        <f aca="false">SUM(AM23:AM26)</f>
        <v>687.552393847288</v>
      </c>
    </row>
    <row r="28" customFormat="false" ht="15" hidden="false" customHeight="false" outlineLevel="0" collapsed="false">
      <c r="B28" s="11" t="s">
        <v>410</v>
      </c>
      <c r="D28" s="25" t="n">
        <f aca="false">D21-D27</f>
        <v>415.079214987762</v>
      </c>
      <c r="E28" s="25" t="n">
        <f aca="false">E21-E27</f>
        <v>647.327361282711</v>
      </c>
      <c r="F28" s="25" t="n">
        <f aca="false">F21-F27</f>
        <v>872.711241078794</v>
      </c>
      <c r="G28" s="25" t="n">
        <f aca="false">G21-G27</f>
        <v>1091.61236353595</v>
      </c>
      <c r="H28" s="25" t="n">
        <f aca="false">H21-H27</f>
        <v>1304.39056113771</v>
      </c>
      <c r="I28" s="25" t="n">
        <f aca="false">I21-I27</f>
        <v>1511.38524173687</v>
      </c>
      <c r="J28" s="25" t="n">
        <f aca="false">J21-J27</f>
        <v>1646.04596874184</v>
      </c>
      <c r="K28" s="25" t="n">
        <f aca="false">K21-K27</f>
        <v>1754.3012256507</v>
      </c>
      <c r="L28" s="25" t="n">
        <f aca="false">L21-L27</f>
        <v>1858.86780058114</v>
      </c>
      <c r="M28" s="25" t="n">
        <f aca="false">M21-M27</f>
        <v>1913.18979051671</v>
      </c>
      <c r="N28" s="25" t="n">
        <f aca="false">N21-N27</f>
        <v>1964.25246105615</v>
      </c>
      <c r="O28" s="25" t="n">
        <f aca="false">O21-O27</f>
        <v>2012.25137136322</v>
      </c>
      <c r="P28" s="25" t="n">
        <f aca="false">P21-P27</f>
        <v>2022.25788974258</v>
      </c>
      <c r="Q28" s="25" t="n">
        <f aca="false">Q21-Q27</f>
        <v>2031.66401701919</v>
      </c>
      <c r="R28" s="25" t="n">
        <f aca="false">R21-R27</f>
        <v>2040.50577665919</v>
      </c>
      <c r="S28" s="25" t="n">
        <f aca="false">S21-S27</f>
        <v>2048.8170307208</v>
      </c>
      <c r="T28" s="25" t="n">
        <f aca="false">T21-T27</f>
        <v>2056.62960953871</v>
      </c>
      <c r="U28" s="25" t="n">
        <f aca="false">U21-U27</f>
        <v>2063.97343362754</v>
      </c>
      <c r="V28" s="25" t="n">
        <f aca="false">V21-V27</f>
        <v>2070.87662827105</v>
      </c>
      <c r="W28" s="25" t="n">
        <f aca="false">W21-W27</f>
        <v>2077.36563123594</v>
      </c>
      <c r="X28" s="25" t="n">
        <f aca="false">X21-X27</f>
        <v>2083.46529402294</v>
      </c>
      <c r="Y28" s="25" t="n">
        <f aca="false">Y21-Y27</f>
        <v>2089.19897704272</v>
      </c>
      <c r="Z28" s="25" t="n">
        <f aca="false">Z21-Z27</f>
        <v>2094.58863908132</v>
      </c>
      <c r="AA28" s="25" t="n">
        <f aca="false">AA21-AA27</f>
        <v>2099.65492139759</v>
      </c>
      <c r="AB28" s="25" t="n">
        <f aca="false">AB21-AB27</f>
        <v>2104.41722677489</v>
      </c>
      <c r="AC28" s="25" t="n">
        <f aca="false">AC21-AC27</f>
        <v>2108.89379382956</v>
      </c>
      <c r="AD28" s="25" t="n">
        <f aca="false">AD21-AD27</f>
        <v>2113.10176686094</v>
      </c>
      <c r="AE28" s="25" t="n">
        <f aca="false">AE21-AE27</f>
        <v>2117.05726151044</v>
      </c>
      <c r="AF28" s="25" t="n">
        <f aca="false">AF21-AF27</f>
        <v>2120.77542648097</v>
      </c>
      <c r="AG28" s="25" t="n">
        <f aca="false">AG21-AG27</f>
        <v>2124.27050155327</v>
      </c>
      <c r="AH28" s="25" t="n">
        <f aca="false">AH21-AH27</f>
        <v>2127.55587212123</v>
      </c>
      <c r="AI28" s="25" t="n">
        <f aca="false">AI21-AI27</f>
        <v>2130.64412045511</v>
      </c>
      <c r="AJ28" s="25" t="n">
        <f aca="false">AJ21-AJ27</f>
        <v>2133.54707388896</v>
      </c>
      <c r="AK28" s="25" t="n">
        <f aca="false">AK21-AK27</f>
        <v>2136.27585011678</v>
      </c>
      <c r="AL28" s="25" t="n">
        <f aca="false">AL21-AL27</f>
        <v>2138.84089977093</v>
      </c>
      <c r="AM28" s="25" t="n">
        <f aca="false">AM21-AM27</f>
        <v>2141.25204644584</v>
      </c>
    </row>
    <row r="29" customFormat="false" ht="15" hidden="false" customHeight="false" outlineLevel="0" collapsed="false">
      <c r="B29" s="14" t="s">
        <v>411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customFormat="false" ht="15" hidden="false" customHeight="false" outlineLevel="0" collapsed="false">
      <c r="B30" s="4" t="s">
        <v>412</v>
      </c>
      <c r="D30" s="25" t="n">
        <f aca="false">Supuestos!$E$58*Supuestos!$E$59</f>
        <v>1657.2</v>
      </c>
      <c r="E30" s="25" t="n">
        <f aca="false">Supuestos!$E$58*Supuestos!$E$59</f>
        <v>1657.2</v>
      </c>
      <c r="F30" s="25" t="n">
        <f aca="false">Supuestos!$E$58*Supuestos!$E$59</f>
        <v>1657.2</v>
      </c>
      <c r="G30" s="25" t="n">
        <f aca="false">Supuestos!$E$58*Supuestos!$E$59</f>
        <v>1657.2</v>
      </c>
      <c r="H30" s="25" t="n">
        <f aca="false">Supuestos!$E$58*Supuestos!$E$59</f>
        <v>1657.2</v>
      </c>
      <c r="I30" s="25" t="n">
        <f aca="false">Supuestos!$E$58*Supuestos!$E$59</f>
        <v>1657.2</v>
      </c>
      <c r="J30" s="25" t="n">
        <f aca="false">Supuestos!$E$58*Supuestos!$E$59</f>
        <v>1657.2</v>
      </c>
      <c r="K30" s="25" t="n">
        <f aca="false">Supuestos!$E$58*Supuestos!$E$59</f>
        <v>1657.2</v>
      </c>
      <c r="L30" s="25" t="n">
        <f aca="false">Supuestos!$E$58*Supuestos!$E$59</f>
        <v>1657.2</v>
      </c>
      <c r="M30" s="25" t="n">
        <f aca="false">Supuestos!$E$58*Supuestos!$E$59</f>
        <v>1657.2</v>
      </c>
      <c r="N30" s="25" t="n">
        <f aca="false">Supuestos!$E$58*Supuestos!$E$59</f>
        <v>1657.2</v>
      </c>
      <c r="O30" s="25" t="n">
        <f aca="false">Supuestos!$E$58*Supuestos!$E$59</f>
        <v>1657.2</v>
      </c>
      <c r="P30" s="25" t="n">
        <f aca="false">Supuestos!$E$58*Supuestos!$E$59</f>
        <v>1657.2</v>
      </c>
      <c r="Q30" s="25" t="n">
        <f aca="false">Supuestos!$E$58*Supuestos!$E$59</f>
        <v>1657.2</v>
      </c>
      <c r="R30" s="25" t="n">
        <f aca="false">Supuestos!$E$58*Supuestos!$E$59</f>
        <v>1657.2</v>
      </c>
      <c r="S30" s="25" t="n">
        <f aca="false">Supuestos!$E$58*Supuestos!$E$59</f>
        <v>1657.2</v>
      </c>
      <c r="T30" s="25" t="n">
        <f aca="false">Supuestos!$E$58*Supuestos!$E$59</f>
        <v>1657.2</v>
      </c>
      <c r="U30" s="25" t="n">
        <f aca="false">Supuestos!$E$58*Supuestos!$E$59</f>
        <v>1657.2</v>
      </c>
      <c r="V30" s="25" t="n">
        <f aca="false">Supuestos!$E$58*Supuestos!$E$59</f>
        <v>1657.2</v>
      </c>
      <c r="W30" s="25" t="n">
        <f aca="false">Supuestos!$E$58*Supuestos!$E$59</f>
        <v>1657.2</v>
      </c>
      <c r="X30" s="25" t="n">
        <f aca="false">Supuestos!$E$58*Supuestos!$E$59</f>
        <v>1657.2</v>
      </c>
      <c r="Y30" s="25" t="n">
        <f aca="false">Supuestos!$E$58*Supuestos!$E$59</f>
        <v>1657.2</v>
      </c>
      <c r="Z30" s="25" t="n">
        <f aca="false">Supuestos!$E$58*Supuestos!$E$59</f>
        <v>1657.2</v>
      </c>
      <c r="AA30" s="25" t="n">
        <f aca="false">Supuestos!$E$58*Supuestos!$E$59</f>
        <v>1657.2</v>
      </c>
      <c r="AB30" s="25" t="n">
        <f aca="false">Supuestos!$E$58*Supuestos!$E$59</f>
        <v>1657.2</v>
      </c>
      <c r="AC30" s="25" t="n">
        <f aca="false">Supuestos!$E$58*Supuestos!$E$59</f>
        <v>1657.2</v>
      </c>
      <c r="AD30" s="25" t="n">
        <f aca="false">Supuestos!$E$58*Supuestos!$E$59</f>
        <v>1657.2</v>
      </c>
      <c r="AE30" s="25" t="n">
        <f aca="false">Supuestos!$E$58*Supuestos!$E$59</f>
        <v>1657.2</v>
      </c>
      <c r="AF30" s="25" t="n">
        <f aca="false">Supuestos!$E$58*Supuestos!$E$59</f>
        <v>1657.2</v>
      </c>
      <c r="AG30" s="25" t="n">
        <f aca="false">Supuestos!$E$58*Supuestos!$E$59</f>
        <v>1657.2</v>
      </c>
      <c r="AH30" s="25" t="n">
        <f aca="false">Supuestos!$E$58*Supuestos!$E$59</f>
        <v>1657.2</v>
      </c>
      <c r="AI30" s="25" t="n">
        <f aca="false">Supuestos!$E$58*Supuestos!$E$59</f>
        <v>1657.2</v>
      </c>
      <c r="AJ30" s="25" t="n">
        <f aca="false">Supuestos!$E$58*Supuestos!$E$59</f>
        <v>1657.2</v>
      </c>
      <c r="AK30" s="25" t="n">
        <f aca="false">Supuestos!$E$58*Supuestos!$E$59</f>
        <v>1657.2</v>
      </c>
      <c r="AL30" s="25" t="n">
        <f aca="false">Supuestos!$E$58*Supuestos!$E$59</f>
        <v>1657.2</v>
      </c>
      <c r="AM30" s="25" t="n">
        <f aca="false">Supuestos!$E$58*Supuestos!$E$59</f>
        <v>1657.2</v>
      </c>
    </row>
    <row r="31" customFormat="false" ht="15" hidden="false" customHeight="false" outlineLevel="0" collapsed="false">
      <c r="B31" s="4" t="s">
        <v>231</v>
      </c>
      <c r="D31" s="25" t="n">
        <f aca="false">Supuestos!$E$60</f>
        <v>376.9</v>
      </c>
      <c r="E31" s="25" t="n">
        <f aca="false">Supuestos!$E$60</f>
        <v>376.9</v>
      </c>
      <c r="F31" s="25" t="n">
        <f aca="false">Supuestos!$E$60</f>
        <v>376.9</v>
      </c>
      <c r="G31" s="25" t="n">
        <f aca="false">Supuestos!$E$60</f>
        <v>376.9</v>
      </c>
      <c r="H31" s="25" t="n">
        <f aca="false">Supuestos!$E$60</f>
        <v>376.9</v>
      </c>
      <c r="I31" s="25" t="n">
        <f aca="false">Supuestos!$E$60</f>
        <v>376.9</v>
      </c>
      <c r="J31" s="25" t="n">
        <f aca="false">Supuestos!$E$60</f>
        <v>376.9</v>
      </c>
      <c r="K31" s="25" t="n">
        <f aca="false">Supuestos!$E$60</f>
        <v>376.9</v>
      </c>
      <c r="L31" s="25" t="n">
        <f aca="false">Supuestos!$E$60</f>
        <v>376.9</v>
      </c>
      <c r="M31" s="25" t="n">
        <f aca="false">Supuestos!$E$60</f>
        <v>376.9</v>
      </c>
      <c r="N31" s="25" t="n">
        <f aca="false">Supuestos!$E$60</f>
        <v>376.9</v>
      </c>
      <c r="O31" s="25" t="n">
        <f aca="false">Supuestos!$E$60</f>
        <v>376.9</v>
      </c>
      <c r="P31" s="25" t="n">
        <f aca="false">Supuestos!$E$60</f>
        <v>376.9</v>
      </c>
      <c r="Q31" s="25" t="n">
        <f aca="false">Supuestos!$E$60</f>
        <v>376.9</v>
      </c>
      <c r="R31" s="25" t="n">
        <f aca="false">Supuestos!$E$60</f>
        <v>376.9</v>
      </c>
      <c r="S31" s="25" t="n">
        <f aca="false">Supuestos!$E$60</f>
        <v>376.9</v>
      </c>
      <c r="T31" s="25" t="n">
        <f aca="false">Supuestos!$E$60</f>
        <v>376.9</v>
      </c>
      <c r="U31" s="25" t="n">
        <f aca="false">Supuestos!$E$60</f>
        <v>376.9</v>
      </c>
      <c r="V31" s="25" t="n">
        <f aca="false">Supuestos!$E$60</f>
        <v>376.9</v>
      </c>
      <c r="W31" s="25" t="n">
        <f aca="false">Supuestos!$E$60</f>
        <v>376.9</v>
      </c>
      <c r="X31" s="25" t="n">
        <f aca="false">Supuestos!$E$60</f>
        <v>376.9</v>
      </c>
      <c r="Y31" s="25" t="n">
        <f aca="false">Supuestos!$E$60</f>
        <v>376.9</v>
      </c>
      <c r="Z31" s="25" t="n">
        <f aca="false">Supuestos!$E$60</f>
        <v>376.9</v>
      </c>
      <c r="AA31" s="25" t="n">
        <f aca="false">Supuestos!$E$60</f>
        <v>376.9</v>
      </c>
      <c r="AB31" s="25" t="n">
        <f aca="false">Supuestos!$E$60</f>
        <v>376.9</v>
      </c>
      <c r="AC31" s="25" t="n">
        <f aca="false">Supuestos!$E$60</f>
        <v>376.9</v>
      </c>
      <c r="AD31" s="25" t="n">
        <f aca="false">Supuestos!$E$60</f>
        <v>376.9</v>
      </c>
      <c r="AE31" s="25" t="n">
        <f aca="false">Supuestos!$E$60</f>
        <v>376.9</v>
      </c>
      <c r="AF31" s="25" t="n">
        <f aca="false">Supuestos!$E$60</f>
        <v>376.9</v>
      </c>
      <c r="AG31" s="25" t="n">
        <f aca="false">Supuestos!$E$60</f>
        <v>376.9</v>
      </c>
      <c r="AH31" s="25" t="n">
        <f aca="false">Supuestos!$E$60</f>
        <v>376.9</v>
      </c>
      <c r="AI31" s="25" t="n">
        <f aca="false">Supuestos!$E$60</f>
        <v>376.9</v>
      </c>
      <c r="AJ31" s="25" t="n">
        <f aca="false">Supuestos!$E$60</f>
        <v>376.9</v>
      </c>
      <c r="AK31" s="25" t="n">
        <f aca="false">Supuestos!$E$60</f>
        <v>376.9</v>
      </c>
      <c r="AL31" s="25" t="n">
        <f aca="false">Supuestos!$E$60</f>
        <v>376.9</v>
      </c>
      <c r="AM31" s="25" t="n">
        <f aca="false">Supuestos!$E$60</f>
        <v>376.9</v>
      </c>
    </row>
    <row r="32" customFormat="false" ht="15" hidden="false" customHeight="false" outlineLevel="0" collapsed="false">
      <c r="B32" s="4" t="s">
        <v>234</v>
      </c>
      <c r="D32" s="25" t="n">
        <f aca="false">Supuestos!$E$61</f>
        <v>55.8</v>
      </c>
      <c r="E32" s="25" t="n">
        <f aca="false">Supuestos!$E$61</f>
        <v>55.8</v>
      </c>
      <c r="F32" s="25" t="n">
        <f aca="false">Supuestos!$E$61</f>
        <v>55.8</v>
      </c>
      <c r="G32" s="25" t="n">
        <f aca="false">Supuestos!$E$61</f>
        <v>55.8</v>
      </c>
      <c r="H32" s="25" t="n">
        <f aca="false">Supuestos!$E$61</f>
        <v>55.8</v>
      </c>
      <c r="I32" s="25" t="n">
        <f aca="false">Supuestos!$E$61</f>
        <v>55.8</v>
      </c>
      <c r="J32" s="25" t="n">
        <f aca="false">Supuestos!$E$61</f>
        <v>55.8</v>
      </c>
      <c r="K32" s="25" t="n">
        <f aca="false">Supuestos!$E$61</f>
        <v>55.8</v>
      </c>
      <c r="L32" s="25" t="n">
        <f aca="false">Supuestos!$E$61</f>
        <v>55.8</v>
      </c>
      <c r="M32" s="25" t="n">
        <f aca="false">Supuestos!$E$61</f>
        <v>55.8</v>
      </c>
      <c r="N32" s="25" t="n">
        <f aca="false">Supuestos!$E$61</f>
        <v>55.8</v>
      </c>
      <c r="O32" s="25" t="n">
        <f aca="false">Supuestos!$E$61</f>
        <v>55.8</v>
      </c>
      <c r="P32" s="25" t="n">
        <f aca="false">Supuestos!$E$61</f>
        <v>55.8</v>
      </c>
      <c r="Q32" s="25" t="n">
        <f aca="false">Supuestos!$E$61</f>
        <v>55.8</v>
      </c>
      <c r="R32" s="25" t="n">
        <f aca="false">Supuestos!$E$61</f>
        <v>55.8</v>
      </c>
      <c r="S32" s="25" t="n">
        <f aca="false">Supuestos!$E$61</f>
        <v>55.8</v>
      </c>
      <c r="T32" s="25" t="n">
        <f aca="false">Supuestos!$E$61</f>
        <v>55.8</v>
      </c>
      <c r="U32" s="25" t="n">
        <f aca="false">Supuestos!$E$61</f>
        <v>55.8</v>
      </c>
      <c r="V32" s="25" t="n">
        <f aca="false">Supuestos!$E$61</f>
        <v>55.8</v>
      </c>
      <c r="W32" s="25" t="n">
        <f aca="false">Supuestos!$E$61</f>
        <v>55.8</v>
      </c>
      <c r="X32" s="25" t="n">
        <f aca="false">Supuestos!$E$61</f>
        <v>55.8</v>
      </c>
      <c r="Y32" s="25" t="n">
        <f aca="false">Supuestos!$E$61</f>
        <v>55.8</v>
      </c>
      <c r="Z32" s="25" t="n">
        <f aca="false">Supuestos!$E$61</f>
        <v>55.8</v>
      </c>
      <c r="AA32" s="25" t="n">
        <f aca="false">Supuestos!$E$61</f>
        <v>55.8</v>
      </c>
      <c r="AB32" s="25" t="n">
        <f aca="false">Supuestos!$E$61</f>
        <v>55.8</v>
      </c>
      <c r="AC32" s="25" t="n">
        <f aca="false">Supuestos!$E$61</f>
        <v>55.8</v>
      </c>
      <c r="AD32" s="25" t="n">
        <f aca="false">Supuestos!$E$61</f>
        <v>55.8</v>
      </c>
      <c r="AE32" s="25" t="n">
        <f aca="false">Supuestos!$E$61</f>
        <v>55.8</v>
      </c>
      <c r="AF32" s="25" t="n">
        <f aca="false">Supuestos!$E$61</f>
        <v>55.8</v>
      </c>
      <c r="AG32" s="25" t="n">
        <f aca="false">Supuestos!$E$61</f>
        <v>55.8</v>
      </c>
      <c r="AH32" s="25" t="n">
        <f aca="false">Supuestos!$E$61</f>
        <v>55.8</v>
      </c>
      <c r="AI32" s="25" t="n">
        <f aca="false">Supuestos!$E$61</f>
        <v>55.8</v>
      </c>
      <c r="AJ32" s="25" t="n">
        <f aca="false">Supuestos!$E$61</f>
        <v>55.8</v>
      </c>
      <c r="AK32" s="25" t="n">
        <f aca="false">Supuestos!$E$61</f>
        <v>55.8</v>
      </c>
      <c r="AL32" s="25" t="n">
        <f aca="false">Supuestos!$E$61</f>
        <v>55.8</v>
      </c>
      <c r="AM32" s="25" t="n">
        <f aca="false">Supuestos!$E$61</f>
        <v>55.8</v>
      </c>
    </row>
    <row r="33" customFormat="false" ht="15" hidden="false" customHeight="false" outlineLevel="0" collapsed="false">
      <c r="B33" s="4" t="s">
        <v>237</v>
      </c>
      <c r="D33" s="25" t="n">
        <f aca="false">Supuestos!$E$62</f>
        <v>27.1</v>
      </c>
      <c r="E33" s="25" t="n">
        <f aca="false">Supuestos!$E$62</f>
        <v>27.1</v>
      </c>
      <c r="F33" s="25" t="n">
        <f aca="false">Supuestos!$E$62</f>
        <v>27.1</v>
      </c>
      <c r="G33" s="25" t="n">
        <f aca="false">Supuestos!$E$62</f>
        <v>27.1</v>
      </c>
      <c r="H33" s="25" t="n">
        <f aca="false">Supuestos!$E$62</f>
        <v>27.1</v>
      </c>
      <c r="I33" s="25" t="n">
        <f aca="false">Supuestos!$E$62</f>
        <v>27.1</v>
      </c>
      <c r="J33" s="25" t="n">
        <f aca="false">Supuestos!$E$62</f>
        <v>27.1</v>
      </c>
      <c r="K33" s="25" t="n">
        <f aca="false">Supuestos!$E$62</f>
        <v>27.1</v>
      </c>
      <c r="L33" s="25" t="n">
        <f aca="false">Supuestos!$E$62</f>
        <v>27.1</v>
      </c>
      <c r="M33" s="25" t="n">
        <f aca="false">Supuestos!$E$62</f>
        <v>27.1</v>
      </c>
      <c r="N33" s="25" t="n">
        <f aca="false">Supuestos!$E$62</f>
        <v>27.1</v>
      </c>
      <c r="O33" s="25" t="n">
        <f aca="false">Supuestos!$E$62</f>
        <v>27.1</v>
      </c>
      <c r="P33" s="25" t="n">
        <f aca="false">Supuestos!$E$62</f>
        <v>27.1</v>
      </c>
      <c r="Q33" s="25" t="n">
        <f aca="false">Supuestos!$E$62</f>
        <v>27.1</v>
      </c>
      <c r="R33" s="25" t="n">
        <f aca="false">Supuestos!$E$62</f>
        <v>27.1</v>
      </c>
      <c r="S33" s="25" t="n">
        <f aca="false">Supuestos!$E$62</f>
        <v>27.1</v>
      </c>
      <c r="T33" s="25" t="n">
        <f aca="false">Supuestos!$E$62</f>
        <v>27.1</v>
      </c>
      <c r="U33" s="25" t="n">
        <f aca="false">Supuestos!$E$62</f>
        <v>27.1</v>
      </c>
      <c r="V33" s="25" t="n">
        <f aca="false">Supuestos!$E$62</f>
        <v>27.1</v>
      </c>
      <c r="W33" s="25" t="n">
        <f aca="false">Supuestos!$E$62</f>
        <v>27.1</v>
      </c>
      <c r="X33" s="25" t="n">
        <f aca="false">Supuestos!$E$62</f>
        <v>27.1</v>
      </c>
      <c r="Y33" s="25" t="n">
        <f aca="false">Supuestos!$E$62</f>
        <v>27.1</v>
      </c>
      <c r="Z33" s="25" t="n">
        <f aca="false">Supuestos!$E$62</f>
        <v>27.1</v>
      </c>
      <c r="AA33" s="25" t="n">
        <f aca="false">Supuestos!$E$62</f>
        <v>27.1</v>
      </c>
      <c r="AB33" s="25" t="n">
        <f aca="false">Supuestos!$E$62</f>
        <v>27.1</v>
      </c>
      <c r="AC33" s="25" t="n">
        <f aca="false">Supuestos!$E$62</f>
        <v>27.1</v>
      </c>
      <c r="AD33" s="25" t="n">
        <f aca="false">Supuestos!$E$62</f>
        <v>27.1</v>
      </c>
      <c r="AE33" s="25" t="n">
        <f aca="false">Supuestos!$E$62</f>
        <v>27.1</v>
      </c>
      <c r="AF33" s="25" t="n">
        <f aca="false">Supuestos!$E$62</f>
        <v>27.1</v>
      </c>
      <c r="AG33" s="25" t="n">
        <f aca="false">Supuestos!$E$62</f>
        <v>27.1</v>
      </c>
      <c r="AH33" s="25" t="n">
        <f aca="false">Supuestos!$E$62</f>
        <v>27.1</v>
      </c>
      <c r="AI33" s="25" t="n">
        <f aca="false">Supuestos!$E$62</f>
        <v>27.1</v>
      </c>
      <c r="AJ33" s="25" t="n">
        <f aca="false">Supuestos!$E$62</f>
        <v>27.1</v>
      </c>
      <c r="AK33" s="25" t="n">
        <f aca="false">Supuestos!$E$62</f>
        <v>27.1</v>
      </c>
      <c r="AL33" s="25" t="n">
        <f aca="false">Supuestos!$E$62</f>
        <v>27.1</v>
      </c>
      <c r="AM33" s="25" t="n">
        <f aca="false">Supuestos!$E$62</f>
        <v>27.1</v>
      </c>
    </row>
    <row r="34" customFormat="false" ht="15" hidden="false" customHeight="false" outlineLevel="0" collapsed="false">
      <c r="B34" s="4" t="s">
        <v>413</v>
      </c>
      <c r="D34" s="25" t="n">
        <f aca="false">Supuestos!$E$63</f>
        <v>112.2</v>
      </c>
      <c r="E34" s="25" t="n">
        <f aca="false">Supuestos!$E$63</f>
        <v>112.2</v>
      </c>
      <c r="F34" s="25" t="n">
        <f aca="false">Supuestos!$E$63</f>
        <v>112.2</v>
      </c>
      <c r="G34" s="25" t="n">
        <f aca="false">Supuestos!$E$63</f>
        <v>112.2</v>
      </c>
      <c r="H34" s="25" t="n">
        <f aca="false">Supuestos!$E$63</f>
        <v>112.2</v>
      </c>
      <c r="I34" s="25" t="n">
        <f aca="false">Supuestos!$E$63</f>
        <v>112.2</v>
      </c>
      <c r="J34" s="25" t="n">
        <f aca="false">Supuestos!$E$63</f>
        <v>112.2</v>
      </c>
      <c r="K34" s="25" t="n">
        <f aca="false">Supuestos!$E$63</f>
        <v>112.2</v>
      </c>
      <c r="L34" s="25" t="n">
        <f aca="false">Supuestos!$E$63</f>
        <v>112.2</v>
      </c>
      <c r="M34" s="25" t="n">
        <f aca="false">Supuestos!$E$63</f>
        <v>112.2</v>
      </c>
      <c r="N34" s="25" t="n">
        <f aca="false">Supuestos!$E$63</f>
        <v>112.2</v>
      </c>
      <c r="O34" s="25" t="n">
        <f aca="false">Supuestos!$E$63</f>
        <v>112.2</v>
      </c>
      <c r="P34" s="25" t="n">
        <f aca="false">Supuestos!$E$63</f>
        <v>112.2</v>
      </c>
      <c r="Q34" s="25" t="n">
        <f aca="false">Supuestos!$E$63</f>
        <v>112.2</v>
      </c>
      <c r="R34" s="25" t="n">
        <f aca="false">Supuestos!$E$63</f>
        <v>112.2</v>
      </c>
      <c r="S34" s="25" t="n">
        <f aca="false">Supuestos!$E$63</f>
        <v>112.2</v>
      </c>
      <c r="T34" s="25" t="n">
        <f aca="false">Supuestos!$E$63</f>
        <v>112.2</v>
      </c>
      <c r="U34" s="25" t="n">
        <f aca="false">Supuestos!$E$63</f>
        <v>112.2</v>
      </c>
      <c r="V34" s="25" t="n">
        <f aca="false">Supuestos!$E$63</f>
        <v>112.2</v>
      </c>
      <c r="W34" s="25" t="n">
        <f aca="false">Supuestos!$E$63</f>
        <v>112.2</v>
      </c>
      <c r="X34" s="25" t="n">
        <f aca="false">Supuestos!$E$63</f>
        <v>112.2</v>
      </c>
      <c r="Y34" s="25" t="n">
        <f aca="false">Supuestos!$E$63</f>
        <v>112.2</v>
      </c>
      <c r="Z34" s="25" t="n">
        <f aca="false">Supuestos!$E$63</f>
        <v>112.2</v>
      </c>
      <c r="AA34" s="25" t="n">
        <f aca="false">Supuestos!$E$63</f>
        <v>112.2</v>
      </c>
      <c r="AB34" s="25" t="n">
        <f aca="false">Supuestos!$E$63</f>
        <v>112.2</v>
      </c>
      <c r="AC34" s="25" t="n">
        <f aca="false">Supuestos!$E$63</f>
        <v>112.2</v>
      </c>
      <c r="AD34" s="25" t="n">
        <f aca="false">Supuestos!$E$63</f>
        <v>112.2</v>
      </c>
      <c r="AE34" s="25" t="n">
        <f aca="false">Supuestos!$E$63</f>
        <v>112.2</v>
      </c>
      <c r="AF34" s="25" t="n">
        <f aca="false">Supuestos!$E$63</f>
        <v>112.2</v>
      </c>
      <c r="AG34" s="25" t="n">
        <f aca="false">Supuestos!$E$63</f>
        <v>112.2</v>
      </c>
      <c r="AH34" s="25" t="n">
        <f aca="false">Supuestos!$E$63</f>
        <v>112.2</v>
      </c>
      <c r="AI34" s="25" t="n">
        <f aca="false">Supuestos!$E$63</f>
        <v>112.2</v>
      </c>
      <c r="AJ34" s="25" t="n">
        <f aca="false">Supuestos!$E$63</f>
        <v>112.2</v>
      </c>
      <c r="AK34" s="25" t="n">
        <f aca="false">Supuestos!$E$63</f>
        <v>112.2</v>
      </c>
      <c r="AL34" s="25" t="n">
        <f aca="false">Supuestos!$E$63</f>
        <v>112.2</v>
      </c>
      <c r="AM34" s="25" t="n">
        <f aca="false">Supuestos!$E$63</f>
        <v>112.2</v>
      </c>
    </row>
    <row r="35" customFormat="false" ht="15" hidden="false" customHeight="false" outlineLevel="0" collapsed="false">
      <c r="B35" s="4" t="s">
        <v>244</v>
      </c>
      <c r="D35" s="25" t="n">
        <f aca="false">Supuestos!$E$64</f>
        <v>129</v>
      </c>
      <c r="E35" s="25" t="n">
        <f aca="false">Supuestos!$E$64</f>
        <v>129</v>
      </c>
      <c r="F35" s="25" t="n">
        <f aca="false">Supuestos!$E$64</f>
        <v>129</v>
      </c>
      <c r="G35" s="25" t="n">
        <f aca="false">Supuestos!$E$64</f>
        <v>129</v>
      </c>
      <c r="H35" s="25" t="n">
        <f aca="false">Supuestos!$E$64</f>
        <v>129</v>
      </c>
      <c r="I35" s="25" t="n">
        <f aca="false">Supuestos!$E$64</f>
        <v>129</v>
      </c>
      <c r="J35" s="25" t="n">
        <f aca="false">Supuestos!$E$64</f>
        <v>129</v>
      </c>
      <c r="K35" s="25" t="n">
        <f aca="false">Supuestos!$E$64</f>
        <v>129</v>
      </c>
      <c r="L35" s="25" t="n">
        <f aca="false">Supuestos!$E$64</f>
        <v>129</v>
      </c>
      <c r="M35" s="25" t="n">
        <f aca="false">Supuestos!$E$64</f>
        <v>129</v>
      </c>
      <c r="N35" s="25" t="n">
        <f aca="false">Supuestos!$E$64</f>
        <v>129</v>
      </c>
      <c r="O35" s="25" t="n">
        <f aca="false">Supuestos!$E$64</f>
        <v>129</v>
      </c>
      <c r="P35" s="25" t="n">
        <f aca="false">Supuestos!$E$64</f>
        <v>129</v>
      </c>
      <c r="Q35" s="25" t="n">
        <f aca="false">Supuestos!$E$64</f>
        <v>129</v>
      </c>
      <c r="R35" s="25" t="n">
        <f aca="false">Supuestos!$E$64</f>
        <v>129</v>
      </c>
      <c r="S35" s="25" t="n">
        <f aca="false">Supuestos!$E$64</f>
        <v>129</v>
      </c>
      <c r="T35" s="25" t="n">
        <f aca="false">Supuestos!$E$64</f>
        <v>129</v>
      </c>
      <c r="U35" s="25" t="n">
        <f aca="false">Supuestos!$E$64</f>
        <v>129</v>
      </c>
      <c r="V35" s="25" t="n">
        <f aca="false">Supuestos!$E$64</f>
        <v>129</v>
      </c>
      <c r="W35" s="25" t="n">
        <f aca="false">Supuestos!$E$64</f>
        <v>129</v>
      </c>
      <c r="X35" s="25" t="n">
        <f aca="false">Supuestos!$E$64</f>
        <v>129</v>
      </c>
      <c r="Y35" s="25" t="n">
        <f aca="false">Supuestos!$E$64</f>
        <v>129</v>
      </c>
      <c r="Z35" s="25" t="n">
        <f aca="false">Supuestos!$E$64</f>
        <v>129</v>
      </c>
      <c r="AA35" s="25" t="n">
        <f aca="false">Supuestos!$E$64</f>
        <v>129</v>
      </c>
      <c r="AB35" s="25" t="n">
        <f aca="false">Supuestos!$E$64</f>
        <v>129</v>
      </c>
      <c r="AC35" s="25" t="n">
        <f aca="false">Supuestos!$E$64</f>
        <v>129</v>
      </c>
      <c r="AD35" s="25" t="n">
        <f aca="false">Supuestos!$E$64</f>
        <v>129</v>
      </c>
      <c r="AE35" s="25" t="n">
        <f aca="false">Supuestos!$E$64</f>
        <v>129</v>
      </c>
      <c r="AF35" s="25" t="n">
        <f aca="false">Supuestos!$E$64</f>
        <v>129</v>
      </c>
      <c r="AG35" s="25" t="n">
        <f aca="false">Supuestos!$E$64</f>
        <v>129</v>
      </c>
      <c r="AH35" s="25" t="n">
        <f aca="false">Supuestos!$E$64</f>
        <v>129</v>
      </c>
      <c r="AI35" s="25" t="n">
        <f aca="false">Supuestos!$E$64</f>
        <v>129</v>
      </c>
      <c r="AJ35" s="25" t="n">
        <f aca="false">Supuestos!$E$64</f>
        <v>129</v>
      </c>
      <c r="AK35" s="25" t="n">
        <f aca="false">Supuestos!$E$64</f>
        <v>129</v>
      </c>
      <c r="AL35" s="25" t="n">
        <f aca="false">Supuestos!$E$64</f>
        <v>129</v>
      </c>
      <c r="AM35" s="25" t="n">
        <f aca="false">Supuestos!$E$64</f>
        <v>129</v>
      </c>
    </row>
    <row r="36" customFormat="false" ht="15" hidden="false" customHeight="false" outlineLevel="0" collapsed="false">
      <c r="B36" s="4" t="s">
        <v>247</v>
      </c>
      <c r="D36" s="25" t="n">
        <f aca="false">Supuestos!$E$65</f>
        <v>0</v>
      </c>
      <c r="E36" s="25" t="n">
        <f aca="false">Supuestos!$E$65</f>
        <v>0</v>
      </c>
      <c r="F36" s="25" t="n">
        <f aca="false">Supuestos!$E$65</f>
        <v>0</v>
      </c>
      <c r="G36" s="25" t="n">
        <f aca="false">Supuestos!$E$65</f>
        <v>0</v>
      </c>
      <c r="H36" s="25" t="n">
        <f aca="false">Supuestos!$E$65</f>
        <v>0</v>
      </c>
      <c r="I36" s="25" t="n">
        <f aca="false">Supuestos!$E$65</f>
        <v>0</v>
      </c>
      <c r="J36" s="25" t="n">
        <f aca="false">Supuestos!$E$65</f>
        <v>0</v>
      </c>
      <c r="K36" s="25" t="n">
        <f aca="false">Supuestos!$E$65</f>
        <v>0</v>
      </c>
      <c r="L36" s="25" t="n">
        <f aca="false">Supuestos!$E$65</f>
        <v>0</v>
      </c>
      <c r="M36" s="25" t="n">
        <f aca="false">Supuestos!$E$65</f>
        <v>0</v>
      </c>
      <c r="N36" s="25" t="n">
        <f aca="false">Supuestos!$E$65</f>
        <v>0</v>
      </c>
      <c r="O36" s="25" t="n">
        <f aca="false">Supuestos!$E$65</f>
        <v>0</v>
      </c>
      <c r="P36" s="25" t="n">
        <f aca="false">Supuestos!$E$65</f>
        <v>0</v>
      </c>
      <c r="Q36" s="25" t="n">
        <f aca="false">Supuestos!$E$65</f>
        <v>0</v>
      </c>
      <c r="R36" s="25" t="n">
        <f aca="false">Supuestos!$E$65</f>
        <v>0</v>
      </c>
      <c r="S36" s="25" t="n">
        <f aca="false">Supuestos!$E$65</f>
        <v>0</v>
      </c>
      <c r="T36" s="25" t="n">
        <f aca="false">Supuestos!$E$65</f>
        <v>0</v>
      </c>
      <c r="U36" s="25" t="n">
        <f aca="false">Supuestos!$E$65</f>
        <v>0</v>
      </c>
      <c r="V36" s="25" t="n">
        <f aca="false">Supuestos!$E$65</f>
        <v>0</v>
      </c>
      <c r="W36" s="25" t="n">
        <f aca="false">Supuestos!$E$65</f>
        <v>0</v>
      </c>
      <c r="X36" s="25" t="n">
        <f aca="false">Supuestos!$E$65</f>
        <v>0</v>
      </c>
      <c r="Y36" s="25" t="n">
        <f aca="false">Supuestos!$E$65</f>
        <v>0</v>
      </c>
      <c r="Z36" s="25" t="n">
        <f aca="false">Supuestos!$E$65</f>
        <v>0</v>
      </c>
      <c r="AA36" s="25" t="n">
        <f aca="false">Supuestos!$E$65</f>
        <v>0</v>
      </c>
      <c r="AB36" s="25" t="n">
        <f aca="false">Supuestos!$E$65</f>
        <v>0</v>
      </c>
      <c r="AC36" s="25" t="n">
        <f aca="false">Supuestos!$E$65</f>
        <v>0</v>
      </c>
      <c r="AD36" s="25" t="n">
        <f aca="false">Supuestos!$E$65</f>
        <v>0</v>
      </c>
      <c r="AE36" s="25" t="n">
        <f aca="false">Supuestos!$E$65</f>
        <v>0</v>
      </c>
      <c r="AF36" s="25" t="n">
        <f aca="false">Supuestos!$E$65</f>
        <v>0</v>
      </c>
      <c r="AG36" s="25" t="n">
        <f aca="false">Supuestos!$E$65</f>
        <v>0</v>
      </c>
      <c r="AH36" s="25" t="n">
        <f aca="false">Supuestos!$E$65</f>
        <v>0</v>
      </c>
      <c r="AI36" s="25" t="n">
        <f aca="false">Supuestos!$E$65</f>
        <v>0</v>
      </c>
      <c r="AJ36" s="25" t="n">
        <f aca="false">Supuestos!$E$65</f>
        <v>0</v>
      </c>
      <c r="AK36" s="25" t="n">
        <f aca="false">Supuestos!$E$65</f>
        <v>0</v>
      </c>
      <c r="AL36" s="25" t="n">
        <f aca="false">Supuestos!$E$65</f>
        <v>0</v>
      </c>
      <c r="AM36" s="25" t="n">
        <f aca="false">Supuestos!$E$65</f>
        <v>0</v>
      </c>
    </row>
    <row r="37" customFormat="false" ht="15" hidden="false" customHeight="false" outlineLevel="0" collapsed="false">
      <c r="B37" s="4" t="s">
        <v>414</v>
      </c>
      <c r="D37" s="25" t="n">
        <f aca="false">Inversion!E21*Supuestos!$E$66/12</f>
        <v>658.416475733333</v>
      </c>
      <c r="E37" s="25" t="n">
        <f aca="false">Inversion!E21*Supuestos!$E$66/12</f>
        <v>658.416475733333</v>
      </c>
      <c r="F37" s="25" t="n">
        <f aca="false">Inversion!E21*Supuestos!$E$66/12</f>
        <v>658.416475733333</v>
      </c>
      <c r="G37" s="25" t="n">
        <f aca="false">Inversion!E21*Supuestos!$E$66/12</f>
        <v>658.416475733333</v>
      </c>
      <c r="H37" s="25" t="n">
        <f aca="false">Inversion!E21*Supuestos!$E$66/12</f>
        <v>658.416475733333</v>
      </c>
      <c r="I37" s="25" t="n">
        <f aca="false">Inversion!E21*Supuestos!$E$66/12</f>
        <v>658.416475733333</v>
      </c>
      <c r="J37" s="25" t="n">
        <f aca="false">Inversion!E21*Supuestos!$E$66/12</f>
        <v>658.416475733333</v>
      </c>
      <c r="K37" s="25" t="n">
        <f aca="false">Inversion!E21*Supuestos!$E$66/12</f>
        <v>658.416475733333</v>
      </c>
      <c r="L37" s="25" t="n">
        <f aca="false">Inversion!E21*Supuestos!$E$66/12</f>
        <v>658.416475733333</v>
      </c>
      <c r="M37" s="25" t="n">
        <f aca="false">Inversion!E21*Supuestos!$E$66/12</f>
        <v>658.416475733333</v>
      </c>
      <c r="N37" s="25" t="n">
        <f aca="false">Inversion!E21*Supuestos!$E$66/12</f>
        <v>658.416475733333</v>
      </c>
      <c r="O37" s="25" t="n">
        <f aca="false">Inversion!E21*Supuestos!$E$66/12</f>
        <v>658.416475733333</v>
      </c>
      <c r="P37" s="25" t="n">
        <f aca="false">Inversion!E21*Supuestos!$E$66/12</f>
        <v>658.416475733333</v>
      </c>
      <c r="Q37" s="25" t="n">
        <f aca="false">Inversion!E21*Supuestos!$E$66/12</f>
        <v>658.416475733333</v>
      </c>
      <c r="R37" s="25" t="n">
        <f aca="false">Inversion!E21*Supuestos!$E$66/12</f>
        <v>658.416475733333</v>
      </c>
      <c r="S37" s="25" t="n">
        <f aca="false">Inversion!E21*Supuestos!$E$66/12</f>
        <v>658.416475733333</v>
      </c>
      <c r="T37" s="25" t="n">
        <f aca="false">Inversion!E21*Supuestos!$E$66/12</f>
        <v>658.416475733333</v>
      </c>
      <c r="U37" s="25" t="n">
        <f aca="false">Inversion!E21*Supuestos!$E$66/12</f>
        <v>658.416475733333</v>
      </c>
      <c r="V37" s="25" t="n">
        <f aca="false">Inversion!E21*Supuestos!$E$66/12</f>
        <v>658.416475733333</v>
      </c>
      <c r="W37" s="25" t="n">
        <f aca="false">Inversion!E21*Supuestos!$E$66/12</f>
        <v>658.416475733333</v>
      </c>
      <c r="X37" s="25" t="n">
        <f aca="false">Inversion!E21*Supuestos!$E$66/12</f>
        <v>658.416475733333</v>
      </c>
      <c r="Y37" s="25" t="n">
        <f aca="false">Inversion!E21*Supuestos!$E$66/12</f>
        <v>658.416475733333</v>
      </c>
      <c r="Z37" s="25" t="n">
        <f aca="false">Inversion!E21*Supuestos!$E$66/12</f>
        <v>658.416475733333</v>
      </c>
      <c r="AA37" s="25" t="n">
        <f aca="false">Inversion!E21*Supuestos!$E$66/12</f>
        <v>658.416475733333</v>
      </c>
      <c r="AB37" s="25" t="n">
        <f aca="false">Inversion!E21*Supuestos!$E$66/12</f>
        <v>658.416475733333</v>
      </c>
      <c r="AC37" s="25" t="n">
        <f aca="false">Inversion!E21*Supuestos!$E$66/12</f>
        <v>658.416475733333</v>
      </c>
      <c r="AD37" s="25" t="n">
        <f aca="false">Inversion!E21*Supuestos!$E$66/12</f>
        <v>658.416475733333</v>
      </c>
      <c r="AE37" s="25" t="n">
        <f aca="false">Inversion!E21*Supuestos!$E$66/12</f>
        <v>658.416475733333</v>
      </c>
      <c r="AF37" s="25" t="n">
        <f aca="false">Inversion!E21*Supuestos!$E$66/12</f>
        <v>658.416475733333</v>
      </c>
      <c r="AG37" s="25" t="n">
        <f aca="false">Inversion!E21*Supuestos!$E$66/12</f>
        <v>658.416475733333</v>
      </c>
      <c r="AH37" s="25" t="n">
        <f aca="false">Inversion!E21*Supuestos!$E$66/12</f>
        <v>658.416475733333</v>
      </c>
      <c r="AI37" s="25" t="n">
        <f aca="false">Inversion!E21*Supuestos!$E$66/12</f>
        <v>658.416475733333</v>
      </c>
      <c r="AJ37" s="25" t="n">
        <f aca="false">Inversion!E21*Supuestos!$E$66/12</f>
        <v>658.416475733333</v>
      </c>
      <c r="AK37" s="25" t="n">
        <f aca="false">Inversion!E21*Supuestos!$E$66/12</f>
        <v>658.416475733333</v>
      </c>
      <c r="AL37" s="25" t="n">
        <f aca="false">Inversion!E21*Supuestos!$E$66/12</f>
        <v>658.416475733333</v>
      </c>
      <c r="AM37" s="25" t="n">
        <f aca="false">Inversion!E21*Supuestos!$E$66/12</f>
        <v>658.416475733333</v>
      </c>
    </row>
    <row r="38" customFormat="false" ht="15" hidden="false" customHeight="false" outlineLevel="0" collapsed="false">
      <c r="B38" s="4" t="s">
        <v>415</v>
      </c>
      <c r="D38" s="25" t="n">
        <f aca="false">Supuestos!$E$67+Supuestos!$E$68</f>
        <v>550</v>
      </c>
      <c r="E38" s="25" t="n">
        <f aca="false">Supuestos!$E$67+Supuestos!$E$68</f>
        <v>550</v>
      </c>
      <c r="F38" s="25" t="n">
        <f aca="false">Supuestos!$E$67+Supuestos!$E$68</f>
        <v>550</v>
      </c>
      <c r="G38" s="25" t="n">
        <f aca="false">Supuestos!$E$67+Supuestos!$E$68</f>
        <v>550</v>
      </c>
      <c r="H38" s="25" t="n">
        <f aca="false">Supuestos!$E$67+Supuestos!$E$68</f>
        <v>550</v>
      </c>
      <c r="I38" s="25" t="n">
        <f aca="false">Supuestos!$E$67+Supuestos!$E$68</f>
        <v>550</v>
      </c>
      <c r="J38" s="25" t="n">
        <f aca="false">Supuestos!$E$67+Supuestos!$E$68</f>
        <v>550</v>
      </c>
      <c r="K38" s="25" t="n">
        <f aca="false">Supuestos!$E$67+Supuestos!$E$68</f>
        <v>550</v>
      </c>
      <c r="L38" s="25" t="n">
        <f aca="false">Supuestos!$E$67+Supuestos!$E$68</f>
        <v>550</v>
      </c>
      <c r="M38" s="25" t="n">
        <f aca="false">Supuestos!$E$67+Supuestos!$E$68</f>
        <v>550</v>
      </c>
      <c r="N38" s="25" t="n">
        <f aca="false">Supuestos!$E$67+Supuestos!$E$68</f>
        <v>550</v>
      </c>
      <c r="O38" s="25" t="n">
        <f aca="false">Supuestos!$E$67+Supuestos!$E$68</f>
        <v>550</v>
      </c>
      <c r="P38" s="25" t="n">
        <f aca="false">Supuestos!$E$67+Supuestos!$E$68</f>
        <v>550</v>
      </c>
      <c r="Q38" s="25" t="n">
        <f aca="false">Supuestos!$E$67+Supuestos!$E$68</f>
        <v>550</v>
      </c>
      <c r="R38" s="25" t="n">
        <f aca="false">Supuestos!$E$67+Supuestos!$E$68</f>
        <v>550</v>
      </c>
      <c r="S38" s="25" t="n">
        <f aca="false">Supuestos!$E$67+Supuestos!$E$68</f>
        <v>550</v>
      </c>
      <c r="T38" s="25" t="n">
        <f aca="false">Supuestos!$E$67+Supuestos!$E$68</f>
        <v>550</v>
      </c>
      <c r="U38" s="25" t="n">
        <f aca="false">Supuestos!$E$67+Supuestos!$E$68</f>
        <v>550</v>
      </c>
      <c r="V38" s="25" t="n">
        <f aca="false">Supuestos!$E$67+Supuestos!$E$68</f>
        <v>550</v>
      </c>
      <c r="W38" s="25" t="n">
        <f aca="false">Supuestos!$E$67+Supuestos!$E$68</f>
        <v>550</v>
      </c>
      <c r="X38" s="25" t="n">
        <f aca="false">Supuestos!$E$67+Supuestos!$E$68</f>
        <v>550</v>
      </c>
      <c r="Y38" s="25" t="n">
        <f aca="false">Supuestos!$E$67+Supuestos!$E$68</f>
        <v>550</v>
      </c>
      <c r="Z38" s="25" t="n">
        <f aca="false">Supuestos!$E$67+Supuestos!$E$68</f>
        <v>550</v>
      </c>
      <c r="AA38" s="25" t="n">
        <f aca="false">Supuestos!$E$67+Supuestos!$E$68</f>
        <v>550</v>
      </c>
      <c r="AB38" s="25" t="n">
        <f aca="false">Supuestos!$E$67+Supuestos!$E$68</f>
        <v>550</v>
      </c>
      <c r="AC38" s="25" t="n">
        <f aca="false">Supuestos!$E$67+Supuestos!$E$68</f>
        <v>550</v>
      </c>
      <c r="AD38" s="25" t="n">
        <f aca="false">Supuestos!$E$67+Supuestos!$E$68</f>
        <v>550</v>
      </c>
      <c r="AE38" s="25" t="n">
        <f aca="false">Supuestos!$E$67+Supuestos!$E$68</f>
        <v>550</v>
      </c>
      <c r="AF38" s="25" t="n">
        <f aca="false">Supuestos!$E$67+Supuestos!$E$68</f>
        <v>550</v>
      </c>
      <c r="AG38" s="25" t="n">
        <f aca="false">Supuestos!$E$67+Supuestos!$E$68</f>
        <v>550</v>
      </c>
      <c r="AH38" s="25" t="n">
        <f aca="false">Supuestos!$E$67+Supuestos!$E$68</f>
        <v>550</v>
      </c>
      <c r="AI38" s="25" t="n">
        <f aca="false">Supuestos!$E$67+Supuestos!$E$68</f>
        <v>550</v>
      </c>
      <c r="AJ38" s="25" t="n">
        <f aca="false">Supuestos!$E$67+Supuestos!$E$68</f>
        <v>550</v>
      </c>
      <c r="AK38" s="25" t="n">
        <f aca="false">Supuestos!$E$67+Supuestos!$E$68</f>
        <v>550</v>
      </c>
      <c r="AL38" s="25" t="n">
        <f aca="false">Supuestos!$E$67+Supuestos!$E$68</f>
        <v>550</v>
      </c>
      <c r="AM38" s="25" t="n">
        <f aca="false">Supuestos!$E$67+Supuestos!$E$68</f>
        <v>550</v>
      </c>
    </row>
    <row r="39" customFormat="false" ht="15" hidden="false" customHeight="false" outlineLevel="0" collapsed="false">
      <c r="B39" s="4" t="s">
        <v>416</v>
      </c>
      <c r="D39" s="25" t="n">
        <f aca="false">SUM(D30:D38)*Supuestos!$E$69</f>
        <v>178.330823786667</v>
      </c>
      <c r="E39" s="25" t="n">
        <f aca="false">SUM(E30:E38)*Supuestos!$E$69</f>
        <v>178.330823786667</v>
      </c>
      <c r="F39" s="25" t="n">
        <f aca="false">SUM(F30:F38)*Supuestos!$E$69</f>
        <v>178.330823786667</v>
      </c>
      <c r="G39" s="25" t="n">
        <f aca="false">SUM(G30:G38)*Supuestos!$E$69</f>
        <v>178.330823786667</v>
      </c>
      <c r="H39" s="25" t="n">
        <f aca="false">SUM(H30:H38)*Supuestos!$E$69</f>
        <v>178.330823786667</v>
      </c>
      <c r="I39" s="25" t="n">
        <f aca="false">SUM(I30:I38)*Supuestos!$E$69</f>
        <v>178.330823786667</v>
      </c>
      <c r="J39" s="25" t="n">
        <f aca="false">SUM(J30:J38)*Supuestos!$E$69</f>
        <v>178.330823786667</v>
      </c>
      <c r="K39" s="25" t="n">
        <f aca="false">SUM(K30:K38)*Supuestos!$E$69</f>
        <v>178.330823786667</v>
      </c>
      <c r="L39" s="25" t="n">
        <f aca="false">SUM(L30:L38)*Supuestos!$E$69</f>
        <v>178.330823786667</v>
      </c>
      <c r="M39" s="25" t="n">
        <f aca="false">SUM(M30:M38)*Supuestos!$E$69</f>
        <v>178.330823786667</v>
      </c>
      <c r="N39" s="25" t="n">
        <f aca="false">SUM(N30:N38)*Supuestos!$E$69</f>
        <v>178.330823786667</v>
      </c>
      <c r="O39" s="25" t="n">
        <f aca="false">SUM(O30:O38)*Supuestos!$E$69</f>
        <v>178.330823786667</v>
      </c>
      <c r="P39" s="25" t="n">
        <f aca="false">SUM(P30:P38)*Supuestos!$E$69</f>
        <v>178.330823786667</v>
      </c>
      <c r="Q39" s="25" t="n">
        <f aca="false">SUM(Q30:Q38)*Supuestos!$E$69</f>
        <v>178.330823786667</v>
      </c>
      <c r="R39" s="25" t="n">
        <f aca="false">SUM(R30:R38)*Supuestos!$E$69</f>
        <v>178.330823786667</v>
      </c>
      <c r="S39" s="25" t="n">
        <f aca="false">SUM(S30:S38)*Supuestos!$E$69</f>
        <v>178.330823786667</v>
      </c>
      <c r="T39" s="25" t="n">
        <f aca="false">SUM(T30:T38)*Supuestos!$E$69</f>
        <v>178.330823786667</v>
      </c>
      <c r="U39" s="25" t="n">
        <f aca="false">SUM(U30:U38)*Supuestos!$E$69</f>
        <v>178.330823786667</v>
      </c>
      <c r="V39" s="25" t="n">
        <f aca="false">SUM(V30:V38)*Supuestos!$E$69</f>
        <v>178.330823786667</v>
      </c>
      <c r="W39" s="25" t="n">
        <f aca="false">SUM(W30:W38)*Supuestos!$E$69</f>
        <v>178.330823786667</v>
      </c>
      <c r="X39" s="25" t="n">
        <f aca="false">SUM(X30:X38)*Supuestos!$E$69</f>
        <v>178.330823786667</v>
      </c>
      <c r="Y39" s="25" t="n">
        <f aca="false">SUM(Y30:Y38)*Supuestos!$E$69</f>
        <v>178.330823786667</v>
      </c>
      <c r="Z39" s="25" t="n">
        <f aca="false">SUM(Z30:Z38)*Supuestos!$E$69</f>
        <v>178.330823786667</v>
      </c>
      <c r="AA39" s="25" t="n">
        <f aca="false">SUM(AA30:AA38)*Supuestos!$E$69</f>
        <v>178.330823786667</v>
      </c>
      <c r="AB39" s="25" t="n">
        <f aca="false">SUM(AB30:AB38)*Supuestos!$E$69</f>
        <v>178.330823786667</v>
      </c>
      <c r="AC39" s="25" t="n">
        <f aca="false">SUM(AC30:AC38)*Supuestos!$E$69</f>
        <v>178.330823786667</v>
      </c>
      <c r="AD39" s="25" t="n">
        <f aca="false">SUM(AD30:AD38)*Supuestos!$E$69</f>
        <v>178.330823786667</v>
      </c>
      <c r="AE39" s="25" t="n">
        <f aca="false">SUM(AE30:AE38)*Supuestos!$E$69</f>
        <v>178.330823786667</v>
      </c>
      <c r="AF39" s="25" t="n">
        <f aca="false">SUM(AF30:AF38)*Supuestos!$E$69</f>
        <v>178.330823786667</v>
      </c>
      <c r="AG39" s="25" t="n">
        <f aca="false">SUM(AG30:AG38)*Supuestos!$E$69</f>
        <v>178.330823786667</v>
      </c>
      <c r="AH39" s="25" t="n">
        <f aca="false">SUM(AH30:AH38)*Supuestos!$E$69</f>
        <v>178.330823786667</v>
      </c>
      <c r="AI39" s="25" t="n">
        <f aca="false">SUM(AI30:AI38)*Supuestos!$E$69</f>
        <v>178.330823786667</v>
      </c>
      <c r="AJ39" s="25" t="n">
        <f aca="false">SUM(AJ30:AJ38)*Supuestos!$E$69</f>
        <v>178.330823786667</v>
      </c>
      <c r="AK39" s="25" t="n">
        <f aca="false">SUM(AK30:AK38)*Supuestos!$E$69</f>
        <v>178.330823786667</v>
      </c>
      <c r="AL39" s="25" t="n">
        <f aca="false">SUM(AL30:AL38)*Supuestos!$E$69</f>
        <v>178.330823786667</v>
      </c>
      <c r="AM39" s="25" t="n">
        <f aca="false">SUM(AM30:AM38)*Supuestos!$E$69</f>
        <v>178.330823786667</v>
      </c>
    </row>
    <row r="40" customFormat="false" ht="15" hidden="false" customHeight="false" outlineLevel="0" collapsed="false">
      <c r="B40" s="11" t="s">
        <v>417</v>
      </c>
      <c r="D40" s="25" t="n">
        <f aca="false">SUM(D30:D39)</f>
        <v>3744.94729952</v>
      </c>
      <c r="E40" s="25" t="n">
        <f aca="false">SUM(E30:E39)</f>
        <v>3744.94729952</v>
      </c>
      <c r="F40" s="25" t="n">
        <f aca="false">SUM(F30:F39)</f>
        <v>3744.94729952</v>
      </c>
      <c r="G40" s="25" t="n">
        <f aca="false">SUM(G30:G39)</f>
        <v>3744.94729952</v>
      </c>
      <c r="H40" s="25" t="n">
        <f aca="false">SUM(H30:H39)</f>
        <v>3744.94729952</v>
      </c>
      <c r="I40" s="25" t="n">
        <f aca="false">SUM(I30:I39)</f>
        <v>3744.94729952</v>
      </c>
      <c r="J40" s="25" t="n">
        <f aca="false">SUM(J30:J39)</f>
        <v>3744.94729952</v>
      </c>
      <c r="K40" s="25" t="n">
        <f aca="false">SUM(K30:K39)</f>
        <v>3744.94729952</v>
      </c>
      <c r="L40" s="25" t="n">
        <f aca="false">SUM(L30:L39)</f>
        <v>3744.94729952</v>
      </c>
      <c r="M40" s="25" t="n">
        <f aca="false">SUM(M30:M39)</f>
        <v>3744.94729952</v>
      </c>
      <c r="N40" s="25" t="n">
        <f aca="false">SUM(N30:N39)</f>
        <v>3744.94729952</v>
      </c>
      <c r="O40" s="25" t="n">
        <f aca="false">SUM(O30:O39)</f>
        <v>3744.94729952</v>
      </c>
      <c r="P40" s="25" t="n">
        <f aca="false">SUM(P30:P39)</f>
        <v>3744.94729952</v>
      </c>
      <c r="Q40" s="25" t="n">
        <f aca="false">SUM(Q30:Q39)</f>
        <v>3744.94729952</v>
      </c>
      <c r="R40" s="25" t="n">
        <f aca="false">SUM(R30:R39)</f>
        <v>3744.94729952</v>
      </c>
      <c r="S40" s="25" t="n">
        <f aca="false">SUM(S30:S39)</f>
        <v>3744.94729952</v>
      </c>
      <c r="T40" s="25" t="n">
        <f aca="false">SUM(T30:T39)</f>
        <v>3744.94729952</v>
      </c>
      <c r="U40" s="25" t="n">
        <f aca="false">SUM(U30:U39)</f>
        <v>3744.94729952</v>
      </c>
      <c r="V40" s="25" t="n">
        <f aca="false">SUM(V30:V39)</f>
        <v>3744.94729952</v>
      </c>
      <c r="W40" s="25" t="n">
        <f aca="false">SUM(W30:W39)</f>
        <v>3744.94729952</v>
      </c>
      <c r="X40" s="25" t="n">
        <f aca="false">SUM(X30:X39)</f>
        <v>3744.94729952</v>
      </c>
      <c r="Y40" s="25" t="n">
        <f aca="false">SUM(Y30:Y39)</f>
        <v>3744.94729952</v>
      </c>
      <c r="Z40" s="25" t="n">
        <f aca="false">SUM(Z30:Z39)</f>
        <v>3744.94729952</v>
      </c>
      <c r="AA40" s="25" t="n">
        <f aca="false">SUM(AA30:AA39)</f>
        <v>3744.94729952</v>
      </c>
      <c r="AB40" s="25" t="n">
        <f aca="false">SUM(AB30:AB39)</f>
        <v>3744.94729952</v>
      </c>
      <c r="AC40" s="25" t="n">
        <f aca="false">SUM(AC30:AC39)</f>
        <v>3744.94729952</v>
      </c>
      <c r="AD40" s="25" t="n">
        <f aca="false">SUM(AD30:AD39)</f>
        <v>3744.94729952</v>
      </c>
      <c r="AE40" s="25" t="n">
        <f aca="false">SUM(AE30:AE39)</f>
        <v>3744.94729952</v>
      </c>
      <c r="AF40" s="25" t="n">
        <f aca="false">SUM(AF30:AF39)</f>
        <v>3744.94729952</v>
      </c>
      <c r="AG40" s="25" t="n">
        <f aca="false">SUM(AG30:AG39)</f>
        <v>3744.94729952</v>
      </c>
      <c r="AH40" s="25" t="n">
        <f aca="false">SUM(AH30:AH39)</f>
        <v>3744.94729952</v>
      </c>
      <c r="AI40" s="25" t="n">
        <f aca="false">SUM(AI30:AI39)</f>
        <v>3744.94729952</v>
      </c>
      <c r="AJ40" s="25" t="n">
        <f aca="false">SUM(AJ30:AJ39)</f>
        <v>3744.94729952</v>
      </c>
      <c r="AK40" s="25" t="n">
        <f aca="false">SUM(AK30:AK39)</f>
        <v>3744.94729952</v>
      </c>
      <c r="AL40" s="25" t="n">
        <f aca="false">SUM(AL30:AL39)</f>
        <v>3744.94729952</v>
      </c>
      <c r="AM40" s="25" t="n">
        <f aca="false">SUM(AM30:AM39)</f>
        <v>3744.94729952</v>
      </c>
    </row>
    <row r="41" customFormat="false" ht="15" hidden="false" customHeight="false" outlineLevel="0" collapsed="false">
      <c r="B41" s="14" t="s">
        <v>418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customFormat="false" ht="15" hidden="false" customHeight="false" outlineLevel="0" collapsed="false">
      <c r="B42" s="11" t="s">
        <v>419</v>
      </c>
      <c r="D42" s="8" t="n">
        <f aca="false">D28-D40</f>
        <v>-3329.86808453224</v>
      </c>
      <c r="E42" s="8" t="n">
        <f aca="false">E28-E40</f>
        <v>-3097.61993823729</v>
      </c>
      <c r="F42" s="8" t="n">
        <f aca="false">F28-F40</f>
        <v>-2872.23605844121</v>
      </c>
      <c r="G42" s="8" t="n">
        <f aca="false">G28-G40</f>
        <v>-2653.33493598406</v>
      </c>
      <c r="H42" s="8" t="n">
        <f aca="false">H28-H40</f>
        <v>-2440.55673838229</v>
      </c>
      <c r="I42" s="8" t="n">
        <f aca="false">I28-I40</f>
        <v>-2233.56205778313</v>
      </c>
      <c r="J42" s="8" t="n">
        <f aca="false">J28-J40</f>
        <v>-2098.90133077816</v>
      </c>
      <c r="K42" s="8" t="n">
        <f aca="false">K28-K40</f>
        <v>-1990.6460738693</v>
      </c>
      <c r="L42" s="8" t="n">
        <f aca="false">L28-L40</f>
        <v>-1886.07949893886</v>
      </c>
      <c r="M42" s="8" t="n">
        <f aca="false">M28-M40</f>
        <v>-1831.75750900329</v>
      </c>
      <c r="N42" s="8" t="n">
        <f aca="false">N28-N40</f>
        <v>-1780.69483846385</v>
      </c>
      <c r="O42" s="8" t="n">
        <f aca="false">O28-O40</f>
        <v>-1732.69592815678</v>
      </c>
      <c r="P42" s="8" t="n">
        <f aca="false">P28-P40</f>
        <v>-1722.68940977742</v>
      </c>
      <c r="Q42" s="8" t="n">
        <f aca="false">Q28-Q40</f>
        <v>-1713.28328250081</v>
      </c>
      <c r="R42" s="8" t="n">
        <f aca="false">R28-R40</f>
        <v>-1704.44152286081</v>
      </c>
      <c r="S42" s="8" t="n">
        <f aca="false">S28-S40</f>
        <v>-1696.1302687992</v>
      </c>
      <c r="T42" s="8" t="n">
        <f aca="false">T28-T40</f>
        <v>-1688.31768998129</v>
      </c>
      <c r="U42" s="8" t="n">
        <f aca="false">U28-U40</f>
        <v>-1680.97386589246</v>
      </c>
      <c r="V42" s="8" t="n">
        <f aca="false">V28-V40</f>
        <v>-1674.07067124895</v>
      </c>
      <c r="W42" s="8" t="n">
        <f aca="false">W28-W40</f>
        <v>-1667.58166828406</v>
      </c>
      <c r="X42" s="8" t="n">
        <f aca="false">X28-X40</f>
        <v>-1661.48200549706</v>
      </c>
      <c r="Y42" s="8" t="n">
        <f aca="false">Y28-Y40</f>
        <v>-1655.74832247728</v>
      </c>
      <c r="Z42" s="8" t="n">
        <f aca="false">Z28-Z40</f>
        <v>-1650.35866043869</v>
      </c>
      <c r="AA42" s="8" t="n">
        <f aca="false">AA28-AA40</f>
        <v>-1645.29237812241</v>
      </c>
      <c r="AB42" s="8" t="n">
        <f aca="false">AB28-AB40</f>
        <v>-1640.53007274511</v>
      </c>
      <c r="AC42" s="8" t="n">
        <f aca="false">AC28-AC40</f>
        <v>-1636.05350569044</v>
      </c>
      <c r="AD42" s="8" t="n">
        <f aca="false">AD28-AD40</f>
        <v>-1631.84553265906</v>
      </c>
      <c r="AE42" s="8" t="n">
        <f aca="false">AE28-AE40</f>
        <v>-1627.89003800956</v>
      </c>
      <c r="AF42" s="8" t="n">
        <f aca="false">AF28-AF40</f>
        <v>-1624.17187303903</v>
      </c>
      <c r="AG42" s="8" t="n">
        <f aca="false">AG28-AG40</f>
        <v>-1620.67679796673</v>
      </c>
      <c r="AH42" s="8" t="n">
        <f aca="false">AH28-AH40</f>
        <v>-1617.39142739877</v>
      </c>
      <c r="AI42" s="8" t="n">
        <f aca="false">AI28-AI40</f>
        <v>-1614.30317906489</v>
      </c>
      <c r="AJ42" s="8" t="n">
        <f aca="false">AJ28-AJ40</f>
        <v>-1611.40022563104</v>
      </c>
      <c r="AK42" s="8" t="n">
        <f aca="false">AK28-AK40</f>
        <v>-1608.67144940322</v>
      </c>
      <c r="AL42" s="8" t="n">
        <f aca="false">AL28-AL40</f>
        <v>-1606.10639974907</v>
      </c>
      <c r="AM42" s="8" t="n">
        <f aca="false">AM28-AM40</f>
        <v>-1603.69525307417</v>
      </c>
    </row>
    <row r="43" customFormat="false" ht="15" hidden="false" customHeight="false" outlineLevel="0" collapsed="false">
      <c r="B43" s="4" t="s">
        <v>420</v>
      </c>
      <c r="C43" s="25" t="n">
        <f aca="false">-Inversion!E21</f>
        <v>-197524.94272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0</v>
      </c>
      <c r="Q43" s="25" t="n">
        <v>0</v>
      </c>
      <c r="R43" s="25" t="n">
        <v>0</v>
      </c>
      <c r="S43" s="25" t="n">
        <v>0</v>
      </c>
      <c r="T43" s="25" t="n">
        <v>0</v>
      </c>
      <c r="U43" s="25" t="n">
        <v>0</v>
      </c>
      <c r="V43" s="25" t="n">
        <v>0</v>
      </c>
      <c r="W43" s="25" t="n">
        <v>0</v>
      </c>
      <c r="X43" s="25" t="n">
        <v>0</v>
      </c>
      <c r="Y43" s="25" t="n">
        <v>0</v>
      </c>
      <c r="Z43" s="25" t="n">
        <v>0</v>
      </c>
      <c r="AA43" s="25" t="n">
        <v>0</v>
      </c>
      <c r="AB43" s="25" t="n">
        <v>0</v>
      </c>
      <c r="AC43" s="25" t="n">
        <v>0</v>
      </c>
      <c r="AD43" s="25" t="n">
        <v>0</v>
      </c>
      <c r="AE43" s="25" t="n">
        <v>0</v>
      </c>
      <c r="AF43" s="25" t="n">
        <v>0</v>
      </c>
      <c r="AG43" s="25" t="n">
        <v>0</v>
      </c>
      <c r="AH43" s="25" t="n">
        <v>0</v>
      </c>
      <c r="AI43" s="25" t="n">
        <v>0</v>
      </c>
      <c r="AJ43" s="25" t="n">
        <v>0</v>
      </c>
      <c r="AK43" s="25" t="n">
        <v>0</v>
      </c>
      <c r="AL43" s="25" t="n">
        <v>0</v>
      </c>
      <c r="AM43" s="25" t="n">
        <v>0</v>
      </c>
    </row>
    <row r="44" customFormat="false" ht="15" hidden="false" customHeight="false" outlineLevel="0" collapsed="false">
      <c r="B44" s="11" t="s">
        <v>421</v>
      </c>
      <c r="C44" s="25" t="n">
        <f aca="false">C43</f>
        <v>-197524.94272</v>
      </c>
      <c r="D44" s="8" t="n">
        <f aca="false">D42+D43</f>
        <v>-3329.86808453224</v>
      </c>
      <c r="E44" s="8" t="n">
        <f aca="false">E42+E43</f>
        <v>-3097.61993823729</v>
      </c>
      <c r="F44" s="8" t="n">
        <f aca="false">F42+F43</f>
        <v>-2872.23605844121</v>
      </c>
      <c r="G44" s="8" t="n">
        <f aca="false">G42+G43</f>
        <v>-2653.33493598406</v>
      </c>
      <c r="H44" s="8" t="n">
        <f aca="false">H42+H43</f>
        <v>-2440.55673838229</v>
      </c>
      <c r="I44" s="8" t="n">
        <f aca="false">I42+I43</f>
        <v>-2233.56205778313</v>
      </c>
      <c r="J44" s="8" t="n">
        <f aca="false">J42+J43</f>
        <v>-2098.90133077816</v>
      </c>
      <c r="K44" s="8" t="n">
        <f aca="false">K42+K43</f>
        <v>-1990.6460738693</v>
      </c>
      <c r="L44" s="8" t="n">
        <f aca="false">L42+L43</f>
        <v>-1886.07949893886</v>
      </c>
      <c r="M44" s="8" t="n">
        <f aca="false">M42+M43</f>
        <v>-1831.75750900329</v>
      </c>
      <c r="N44" s="8" t="n">
        <f aca="false">N42+N43</f>
        <v>-1780.69483846385</v>
      </c>
      <c r="O44" s="8" t="n">
        <f aca="false">O42+O43</f>
        <v>-1732.69592815678</v>
      </c>
      <c r="P44" s="8" t="n">
        <f aca="false">P42+P43</f>
        <v>-1722.68940977742</v>
      </c>
      <c r="Q44" s="8" t="n">
        <f aca="false">Q42+Q43</f>
        <v>-1713.28328250081</v>
      </c>
      <c r="R44" s="8" t="n">
        <f aca="false">R42+R43</f>
        <v>-1704.44152286081</v>
      </c>
      <c r="S44" s="8" t="n">
        <f aca="false">S42+S43</f>
        <v>-1696.1302687992</v>
      </c>
      <c r="T44" s="8" t="n">
        <f aca="false">T42+T43</f>
        <v>-1688.31768998129</v>
      </c>
      <c r="U44" s="8" t="n">
        <f aca="false">U42+U43</f>
        <v>-1680.97386589246</v>
      </c>
      <c r="V44" s="8" t="n">
        <f aca="false">V42+V43</f>
        <v>-1674.07067124895</v>
      </c>
      <c r="W44" s="8" t="n">
        <f aca="false">W42+W43</f>
        <v>-1667.58166828406</v>
      </c>
      <c r="X44" s="8" t="n">
        <f aca="false">X42+X43</f>
        <v>-1661.48200549706</v>
      </c>
      <c r="Y44" s="8" t="n">
        <f aca="false">Y42+Y43</f>
        <v>-1655.74832247728</v>
      </c>
      <c r="Z44" s="8" t="n">
        <f aca="false">Z42+Z43</f>
        <v>-1650.35866043869</v>
      </c>
      <c r="AA44" s="8" t="n">
        <f aca="false">AA42+AA43</f>
        <v>-1645.29237812241</v>
      </c>
      <c r="AB44" s="8" t="n">
        <f aca="false">AB42+AB43</f>
        <v>-1640.53007274511</v>
      </c>
      <c r="AC44" s="8" t="n">
        <f aca="false">AC42+AC43</f>
        <v>-1636.05350569044</v>
      </c>
      <c r="AD44" s="8" t="n">
        <f aca="false">AD42+AD43</f>
        <v>-1631.84553265906</v>
      </c>
      <c r="AE44" s="8" t="n">
        <f aca="false">AE42+AE43</f>
        <v>-1627.89003800956</v>
      </c>
      <c r="AF44" s="8" t="n">
        <f aca="false">AF42+AF43</f>
        <v>-1624.17187303903</v>
      </c>
      <c r="AG44" s="8" t="n">
        <f aca="false">AG42+AG43</f>
        <v>-1620.67679796673</v>
      </c>
      <c r="AH44" s="8" t="n">
        <f aca="false">AH42+AH43</f>
        <v>-1617.39142739877</v>
      </c>
      <c r="AI44" s="8" t="n">
        <f aca="false">AI42+AI43</f>
        <v>-1614.30317906489</v>
      </c>
      <c r="AJ44" s="8" t="n">
        <f aca="false">AJ42+AJ43</f>
        <v>-1611.40022563104</v>
      </c>
      <c r="AK44" s="8" t="n">
        <f aca="false">AK42+AK43</f>
        <v>-1608.67144940322</v>
      </c>
      <c r="AL44" s="8" t="n">
        <f aca="false">AL42+AL43</f>
        <v>-1606.10639974907</v>
      </c>
      <c r="AM44" s="8" t="n">
        <f aca="false">AM42+AM43</f>
        <v>-1603.69525307417</v>
      </c>
    </row>
    <row r="45" customFormat="false" ht="15" hidden="false" customHeight="false" outlineLevel="0" collapsed="false">
      <c r="B45" s="4" t="s">
        <v>422</v>
      </c>
      <c r="C45" s="25" t="n">
        <f aca="false">C44</f>
        <v>-197524.94272</v>
      </c>
      <c r="D45" s="25" t="n">
        <f aca="false">C45+D44</f>
        <v>-200854.810804532</v>
      </c>
      <c r="E45" s="25" t="n">
        <f aca="false">D45+E44</f>
        <v>-203952.43074277</v>
      </c>
      <c r="F45" s="25" t="n">
        <f aca="false">E45+F44</f>
        <v>-206824.666801211</v>
      </c>
      <c r="G45" s="25" t="n">
        <f aca="false">F45+G44</f>
        <v>-209478.001737195</v>
      </c>
      <c r="H45" s="25" t="n">
        <f aca="false">G45+H44</f>
        <v>-211918.558475577</v>
      </c>
      <c r="I45" s="25" t="n">
        <f aca="false">H45+I44</f>
        <v>-214152.12053336</v>
      </c>
      <c r="J45" s="25" t="n">
        <f aca="false">I45+J44</f>
        <v>-216251.021864138</v>
      </c>
      <c r="K45" s="25" t="n">
        <f aca="false">J45+K44</f>
        <v>-218241.667938008</v>
      </c>
      <c r="L45" s="25" t="n">
        <f aca="false">K45+L44</f>
        <v>-220127.747436947</v>
      </c>
      <c r="M45" s="25" t="n">
        <f aca="false">L45+M44</f>
        <v>-221959.50494595</v>
      </c>
      <c r="N45" s="25" t="n">
        <f aca="false">M45+N44</f>
        <v>-223740.199784414</v>
      </c>
      <c r="O45" s="25" t="n">
        <f aca="false">N45+O44</f>
        <v>-225472.89571257</v>
      </c>
      <c r="P45" s="25" t="n">
        <f aca="false">O45+P44</f>
        <v>-227195.585122348</v>
      </c>
      <c r="Q45" s="25" t="n">
        <f aca="false">P45+Q44</f>
        <v>-228908.868404849</v>
      </c>
      <c r="R45" s="25" t="n">
        <f aca="false">Q45+R44</f>
        <v>-230613.30992771</v>
      </c>
      <c r="S45" s="25" t="n">
        <f aca="false">R45+S44</f>
        <v>-232309.440196509</v>
      </c>
      <c r="T45" s="25" t="n">
        <f aca="false">S45+T44</f>
        <v>-233997.75788649</v>
      </c>
      <c r="U45" s="25" t="n">
        <f aca="false">T45+U44</f>
        <v>-235678.731752382</v>
      </c>
      <c r="V45" s="25" t="n">
        <f aca="false">U45+V44</f>
        <v>-237352.802423631</v>
      </c>
      <c r="W45" s="25" t="n">
        <f aca="false">V45+W44</f>
        <v>-239020.384091915</v>
      </c>
      <c r="X45" s="25" t="n">
        <f aca="false">W45+X44</f>
        <v>-240681.866097412</v>
      </c>
      <c r="Y45" s="25" t="n">
        <f aca="false">X45+Y44</f>
        <v>-242337.61441989</v>
      </c>
      <c r="Z45" s="25" t="n">
        <f aca="false">Y45+Z44</f>
        <v>-243987.973080328</v>
      </c>
      <c r="AA45" s="25" t="n">
        <f aca="false">Z45+AA44</f>
        <v>-245633.265458451</v>
      </c>
      <c r="AB45" s="25" t="n">
        <f aca="false">AA45+AB44</f>
        <v>-247273.795531196</v>
      </c>
      <c r="AC45" s="25" t="n">
        <f aca="false">AB45+AC44</f>
        <v>-248909.849036886</v>
      </c>
      <c r="AD45" s="25" t="n">
        <f aca="false">AC45+AD44</f>
        <v>-250541.694569545</v>
      </c>
      <c r="AE45" s="25" t="n">
        <f aca="false">AD45+AE44</f>
        <v>-252169.584607555</v>
      </c>
      <c r="AF45" s="25" t="n">
        <f aca="false">AE45+AF44</f>
        <v>-253793.756480594</v>
      </c>
      <c r="AG45" s="25" t="n">
        <f aca="false">AF45+AG44</f>
        <v>-255414.433278561</v>
      </c>
      <c r="AH45" s="25" t="n">
        <f aca="false">AG45+AH44</f>
        <v>-257031.82470596</v>
      </c>
      <c r="AI45" s="25" t="n">
        <f aca="false">AH45+AI44</f>
        <v>-258646.127885024</v>
      </c>
      <c r="AJ45" s="25" t="n">
        <f aca="false">AI45+AJ44</f>
        <v>-260257.528110656</v>
      </c>
      <c r="AK45" s="25" t="n">
        <f aca="false">AJ45+AK44</f>
        <v>-261866.199560059</v>
      </c>
      <c r="AL45" s="25" t="n">
        <f aca="false">AK45+AL44</f>
        <v>-263472.305959808</v>
      </c>
      <c r="AM45" s="25" t="n">
        <f aca="false">AL45+AM44</f>
        <v>-265076.001212882</v>
      </c>
    </row>
    <row r="46" customFormat="false" ht="15" hidden="false" customHeight="false" outlineLevel="0" collapsed="false">
      <c r="B46" s="4" t="s">
        <v>423</v>
      </c>
      <c r="C46" s="25" t="n">
        <f aca="false">-Supuestos!$E$91*Supuestos!$E$10</f>
        <v>-0</v>
      </c>
      <c r="D46" s="25" t="n">
        <f aca="false">-Supuestos!$E$91</f>
        <v>-0</v>
      </c>
      <c r="E46" s="25" t="n">
        <f aca="false">-Supuestos!$E$91</f>
        <v>-0</v>
      </c>
      <c r="F46" s="25" t="n">
        <f aca="false">-Supuestos!$E$91</f>
        <v>-0</v>
      </c>
      <c r="G46" s="25" t="n">
        <f aca="false">-Supuestos!$E$91</f>
        <v>-0</v>
      </c>
      <c r="H46" s="25" t="n">
        <f aca="false">-Supuestos!$E$91</f>
        <v>-0</v>
      </c>
      <c r="I46" s="25" t="n">
        <f aca="false">-Supuestos!$E$91</f>
        <v>-0</v>
      </c>
      <c r="J46" s="25" t="n">
        <f aca="false">-Supuestos!$E$91</f>
        <v>-0</v>
      </c>
      <c r="K46" s="25" t="n">
        <f aca="false">-Supuestos!$E$91</f>
        <v>-0</v>
      </c>
      <c r="L46" s="25" t="n">
        <f aca="false">-Supuestos!$E$91</f>
        <v>-0</v>
      </c>
      <c r="M46" s="25" t="n">
        <f aca="false">-Supuestos!$E$91</f>
        <v>-0</v>
      </c>
      <c r="N46" s="25" t="n">
        <f aca="false">-Supuestos!$E$91</f>
        <v>-0</v>
      </c>
      <c r="O46" s="25" t="n">
        <f aca="false">-Supuestos!$E$91</f>
        <v>-0</v>
      </c>
      <c r="P46" s="25" t="n">
        <f aca="false">-Supuestos!$E$91</f>
        <v>-0</v>
      </c>
      <c r="Q46" s="25" t="n">
        <f aca="false">-Supuestos!$E$91</f>
        <v>-0</v>
      </c>
      <c r="R46" s="25" t="n">
        <f aca="false">-Supuestos!$E$91</f>
        <v>-0</v>
      </c>
      <c r="S46" s="25" t="n">
        <f aca="false">-Supuestos!$E$91</f>
        <v>-0</v>
      </c>
      <c r="T46" s="25" t="n">
        <f aca="false">-Supuestos!$E$91</f>
        <v>-0</v>
      </c>
      <c r="U46" s="25" t="n">
        <f aca="false">-Supuestos!$E$91</f>
        <v>-0</v>
      </c>
      <c r="V46" s="25" t="n">
        <f aca="false">-Supuestos!$E$91</f>
        <v>-0</v>
      </c>
      <c r="W46" s="25" t="n">
        <f aca="false">-Supuestos!$E$91</f>
        <v>-0</v>
      </c>
      <c r="X46" s="25" t="n">
        <f aca="false">-Supuestos!$E$91</f>
        <v>-0</v>
      </c>
      <c r="Y46" s="25" t="n">
        <f aca="false">-Supuestos!$E$91</f>
        <v>-0</v>
      </c>
      <c r="Z46" s="25" t="n">
        <f aca="false">-Supuestos!$E$91</f>
        <v>-0</v>
      </c>
      <c r="AA46" s="25" t="n">
        <f aca="false">-Supuestos!$E$91</f>
        <v>-0</v>
      </c>
      <c r="AB46" s="25" t="n">
        <f aca="false">-Supuestos!$E$91</f>
        <v>-0</v>
      </c>
      <c r="AC46" s="25" t="n">
        <f aca="false">-Supuestos!$E$91</f>
        <v>-0</v>
      </c>
      <c r="AD46" s="25" t="n">
        <f aca="false">-Supuestos!$E$91</f>
        <v>-0</v>
      </c>
      <c r="AE46" s="25" t="n">
        <f aca="false">-Supuestos!$E$91</f>
        <v>-0</v>
      </c>
      <c r="AF46" s="25" t="n">
        <f aca="false">-Supuestos!$E$91</f>
        <v>-0</v>
      </c>
      <c r="AG46" s="25" t="n">
        <f aca="false">-Supuestos!$E$91</f>
        <v>-0</v>
      </c>
      <c r="AH46" s="25" t="n">
        <f aca="false">-Supuestos!$E$91</f>
        <v>-0</v>
      </c>
      <c r="AI46" s="25" t="n">
        <f aca="false">-Supuestos!$E$91</f>
        <v>-0</v>
      </c>
      <c r="AJ46" s="25" t="n">
        <f aca="false">-Supuestos!$E$91</f>
        <v>-0</v>
      </c>
      <c r="AK46" s="25" t="n">
        <f aca="false">-Supuestos!$E$91</f>
        <v>-0</v>
      </c>
      <c r="AL46" s="25" t="n">
        <f aca="false">-Supuestos!$E$91</f>
        <v>-0</v>
      </c>
      <c r="AM46" s="25" t="n">
        <f aca="false">-Supuestos!$E$91</f>
        <v>-0</v>
      </c>
    </row>
    <row r="47" customFormat="false" ht="15" hidden="false" customHeight="false" outlineLevel="0" collapsed="false">
      <c r="B47" s="11" t="s">
        <v>424</v>
      </c>
      <c r="C47" s="25" t="n">
        <f aca="false">C44+C46</f>
        <v>-197524.94272</v>
      </c>
      <c r="D47" s="8" t="n">
        <f aca="false">D44+D46</f>
        <v>-3329.86808453224</v>
      </c>
      <c r="E47" s="8" t="n">
        <f aca="false">E44+E46</f>
        <v>-3097.61993823729</v>
      </c>
      <c r="F47" s="8" t="n">
        <f aca="false">F44+F46</f>
        <v>-2872.23605844121</v>
      </c>
      <c r="G47" s="8" t="n">
        <f aca="false">G44+G46</f>
        <v>-2653.33493598406</v>
      </c>
      <c r="H47" s="8" t="n">
        <f aca="false">H44+H46</f>
        <v>-2440.55673838229</v>
      </c>
      <c r="I47" s="8" t="n">
        <f aca="false">I44+I46</f>
        <v>-2233.56205778313</v>
      </c>
      <c r="J47" s="8" t="n">
        <f aca="false">J44+J46</f>
        <v>-2098.90133077816</v>
      </c>
      <c r="K47" s="8" t="n">
        <f aca="false">K44+K46</f>
        <v>-1990.6460738693</v>
      </c>
      <c r="L47" s="8" t="n">
        <f aca="false">L44+L46</f>
        <v>-1886.07949893886</v>
      </c>
      <c r="M47" s="8" t="n">
        <f aca="false">M44+M46</f>
        <v>-1831.75750900329</v>
      </c>
      <c r="N47" s="8" t="n">
        <f aca="false">N44+N46</f>
        <v>-1780.69483846385</v>
      </c>
      <c r="O47" s="8" t="n">
        <f aca="false">O44+O46</f>
        <v>-1732.69592815678</v>
      </c>
      <c r="P47" s="8" t="n">
        <f aca="false">P44+P46</f>
        <v>-1722.68940977742</v>
      </c>
      <c r="Q47" s="8" t="n">
        <f aca="false">Q44+Q46</f>
        <v>-1713.28328250081</v>
      </c>
      <c r="R47" s="8" t="n">
        <f aca="false">R44+R46</f>
        <v>-1704.44152286081</v>
      </c>
      <c r="S47" s="8" t="n">
        <f aca="false">S44+S46</f>
        <v>-1696.1302687992</v>
      </c>
      <c r="T47" s="8" t="n">
        <f aca="false">T44+T46</f>
        <v>-1688.31768998129</v>
      </c>
      <c r="U47" s="8" t="n">
        <f aca="false">U44+U46</f>
        <v>-1680.97386589246</v>
      </c>
      <c r="V47" s="8" t="n">
        <f aca="false">V44+V46</f>
        <v>-1674.07067124895</v>
      </c>
      <c r="W47" s="8" t="n">
        <f aca="false">W44+W46</f>
        <v>-1667.58166828406</v>
      </c>
      <c r="X47" s="8" t="n">
        <f aca="false">X44+X46</f>
        <v>-1661.48200549706</v>
      </c>
      <c r="Y47" s="8" t="n">
        <f aca="false">Y44+Y46</f>
        <v>-1655.74832247728</v>
      </c>
      <c r="Z47" s="8" t="n">
        <f aca="false">Z44+Z46</f>
        <v>-1650.35866043869</v>
      </c>
      <c r="AA47" s="8" t="n">
        <f aca="false">AA44+AA46</f>
        <v>-1645.29237812241</v>
      </c>
      <c r="AB47" s="8" t="n">
        <f aca="false">AB44+AB46</f>
        <v>-1640.53007274511</v>
      </c>
      <c r="AC47" s="8" t="n">
        <f aca="false">AC44+AC46</f>
        <v>-1636.05350569044</v>
      </c>
      <c r="AD47" s="8" t="n">
        <f aca="false">AD44+AD46</f>
        <v>-1631.84553265906</v>
      </c>
      <c r="AE47" s="8" t="n">
        <f aca="false">AE44+AE46</f>
        <v>-1627.89003800956</v>
      </c>
      <c r="AF47" s="8" t="n">
        <f aca="false">AF44+AF46</f>
        <v>-1624.17187303903</v>
      </c>
      <c r="AG47" s="8" t="n">
        <f aca="false">AG44+AG46</f>
        <v>-1620.67679796673</v>
      </c>
      <c r="AH47" s="8" t="n">
        <f aca="false">AH44+AH46</f>
        <v>-1617.39142739877</v>
      </c>
      <c r="AI47" s="8" t="n">
        <f aca="false">AI44+AI46</f>
        <v>-1614.30317906489</v>
      </c>
      <c r="AJ47" s="8" t="n">
        <f aca="false">AJ44+AJ46</f>
        <v>-1611.40022563104</v>
      </c>
      <c r="AK47" s="8" t="n">
        <f aca="false">AK44+AK46</f>
        <v>-1608.67144940322</v>
      </c>
      <c r="AL47" s="8" t="n">
        <f aca="false">AL44+AL46</f>
        <v>-1606.10639974907</v>
      </c>
      <c r="AM47" s="8" t="n">
        <f aca="false">AM44+AM46</f>
        <v>-1603.69525307417</v>
      </c>
    </row>
    <row r="48" customFormat="false" ht="15" hidden="false" customHeight="false" outlineLevel="0" collapsed="false">
      <c r="B48" s="4" t="s">
        <v>425</v>
      </c>
      <c r="C48" s="25" t="n">
        <f aca="false">C47</f>
        <v>-197524.94272</v>
      </c>
      <c r="D48" s="25" t="n">
        <f aca="false">C48+D47</f>
        <v>-200854.810804532</v>
      </c>
      <c r="E48" s="25" t="n">
        <f aca="false">D48+E47</f>
        <v>-203952.43074277</v>
      </c>
      <c r="F48" s="25" t="n">
        <f aca="false">E48+F47</f>
        <v>-206824.666801211</v>
      </c>
      <c r="G48" s="25" t="n">
        <f aca="false">F48+G47</f>
        <v>-209478.001737195</v>
      </c>
      <c r="H48" s="25" t="n">
        <f aca="false">G48+H47</f>
        <v>-211918.558475577</v>
      </c>
      <c r="I48" s="25" t="n">
        <f aca="false">H48+I47</f>
        <v>-214152.12053336</v>
      </c>
      <c r="J48" s="25" t="n">
        <f aca="false">I48+J47</f>
        <v>-216251.021864138</v>
      </c>
      <c r="K48" s="25" t="n">
        <f aca="false">J48+K47</f>
        <v>-218241.667938008</v>
      </c>
      <c r="L48" s="25" t="n">
        <f aca="false">K48+L47</f>
        <v>-220127.747436947</v>
      </c>
      <c r="M48" s="25" t="n">
        <f aca="false">L48+M47</f>
        <v>-221959.50494595</v>
      </c>
      <c r="N48" s="25" t="n">
        <f aca="false">M48+N47</f>
        <v>-223740.199784414</v>
      </c>
      <c r="O48" s="25" t="n">
        <f aca="false">N48+O47</f>
        <v>-225472.89571257</v>
      </c>
      <c r="P48" s="25" t="n">
        <f aca="false">O48+P47</f>
        <v>-227195.585122348</v>
      </c>
      <c r="Q48" s="25" t="n">
        <f aca="false">P48+Q47</f>
        <v>-228908.868404849</v>
      </c>
      <c r="R48" s="25" t="n">
        <f aca="false">Q48+R47</f>
        <v>-230613.30992771</v>
      </c>
      <c r="S48" s="25" t="n">
        <f aca="false">R48+S47</f>
        <v>-232309.440196509</v>
      </c>
      <c r="T48" s="25" t="n">
        <f aca="false">S48+T47</f>
        <v>-233997.75788649</v>
      </c>
      <c r="U48" s="25" t="n">
        <f aca="false">T48+U47</f>
        <v>-235678.731752382</v>
      </c>
      <c r="V48" s="25" t="n">
        <f aca="false">U48+V47</f>
        <v>-237352.802423631</v>
      </c>
      <c r="W48" s="25" t="n">
        <f aca="false">V48+W47</f>
        <v>-239020.384091915</v>
      </c>
      <c r="X48" s="25" t="n">
        <f aca="false">W48+X47</f>
        <v>-240681.866097412</v>
      </c>
      <c r="Y48" s="25" t="n">
        <f aca="false">X48+Y47</f>
        <v>-242337.61441989</v>
      </c>
      <c r="Z48" s="25" t="n">
        <f aca="false">Y48+Z47</f>
        <v>-243987.973080328</v>
      </c>
      <c r="AA48" s="25" t="n">
        <f aca="false">Z48+AA47</f>
        <v>-245633.265458451</v>
      </c>
      <c r="AB48" s="25" t="n">
        <f aca="false">AA48+AB47</f>
        <v>-247273.795531196</v>
      </c>
      <c r="AC48" s="25" t="n">
        <f aca="false">AB48+AC47</f>
        <v>-248909.849036886</v>
      </c>
      <c r="AD48" s="25" t="n">
        <f aca="false">AC48+AD47</f>
        <v>-250541.694569545</v>
      </c>
      <c r="AE48" s="25" t="n">
        <f aca="false">AD48+AE47</f>
        <v>-252169.584607555</v>
      </c>
      <c r="AF48" s="25" t="n">
        <f aca="false">AE48+AF47</f>
        <v>-253793.756480594</v>
      </c>
      <c r="AG48" s="25" t="n">
        <f aca="false">AF48+AG47</f>
        <v>-255414.433278561</v>
      </c>
      <c r="AH48" s="25" t="n">
        <f aca="false">AG48+AH47</f>
        <v>-257031.82470596</v>
      </c>
      <c r="AI48" s="25" t="n">
        <f aca="false">AH48+AI47</f>
        <v>-258646.127885024</v>
      </c>
      <c r="AJ48" s="25" t="n">
        <f aca="false">AI48+AJ47</f>
        <v>-260257.528110656</v>
      </c>
      <c r="AK48" s="25" t="n">
        <f aca="false">AJ48+AK47</f>
        <v>-261866.199560059</v>
      </c>
      <c r="AL48" s="25" t="n">
        <f aca="false">AK48+AL47</f>
        <v>-263472.305959808</v>
      </c>
      <c r="AM48" s="25" t="n">
        <f aca="false">AL48+AM47</f>
        <v>-265076.001212882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9" min="3" style="0" width="11"/>
  </cols>
  <sheetData>
    <row r="1" customFormat="false" ht="17.35" hidden="false" customHeight="false" outlineLevel="0" collapsed="false">
      <c r="A1" s="1" t="s">
        <v>427</v>
      </c>
    </row>
    <row r="2" customFormat="false" ht="15" hidden="false" customHeight="false" outlineLevel="0" collapsed="false">
      <c r="A2" s="2" t="s">
        <v>385</v>
      </c>
    </row>
    <row r="3" customFormat="false" ht="15" hidden="false" customHeight="false" outlineLevel="0" collapsed="false">
      <c r="B3" s="33" t="s">
        <v>386</v>
      </c>
      <c r="C3" s="34" t="n">
        <v>0</v>
      </c>
      <c r="D3" s="34" t="n">
        <v>1</v>
      </c>
      <c r="E3" s="34" t="n">
        <v>2</v>
      </c>
      <c r="F3" s="34" t="n">
        <v>3</v>
      </c>
      <c r="G3" s="34" t="n">
        <v>4</v>
      </c>
      <c r="H3" s="34" t="n">
        <v>5</v>
      </c>
      <c r="I3" s="34" t="n">
        <v>6</v>
      </c>
      <c r="J3" s="34" t="n">
        <v>7</v>
      </c>
      <c r="K3" s="34" t="n">
        <v>8</v>
      </c>
      <c r="L3" s="34" t="n">
        <v>9</v>
      </c>
      <c r="M3" s="34" t="n">
        <v>10</v>
      </c>
      <c r="N3" s="34" t="n">
        <v>11</v>
      </c>
      <c r="O3" s="34" t="n">
        <v>12</v>
      </c>
      <c r="P3" s="34" t="n">
        <v>13</v>
      </c>
      <c r="Q3" s="34" t="n">
        <v>14</v>
      </c>
      <c r="R3" s="34" t="n">
        <v>15</v>
      </c>
      <c r="S3" s="34" t="n">
        <v>16</v>
      </c>
      <c r="T3" s="34" t="n">
        <v>17</v>
      </c>
      <c r="U3" s="34" t="n">
        <v>18</v>
      </c>
      <c r="V3" s="34" t="n">
        <v>19</v>
      </c>
      <c r="W3" s="34" t="n">
        <v>20</v>
      </c>
      <c r="X3" s="34" t="n">
        <v>21</v>
      </c>
      <c r="Y3" s="34" t="n">
        <v>22</v>
      </c>
      <c r="Z3" s="34" t="n">
        <v>23</v>
      </c>
      <c r="AA3" s="34" t="n">
        <v>24</v>
      </c>
      <c r="AB3" s="34" t="n">
        <v>25</v>
      </c>
      <c r="AC3" s="34" t="n">
        <v>26</v>
      </c>
      <c r="AD3" s="34" t="n">
        <v>27</v>
      </c>
      <c r="AE3" s="34" t="n">
        <v>28</v>
      </c>
      <c r="AF3" s="34" t="n">
        <v>29</v>
      </c>
      <c r="AG3" s="34" t="n">
        <v>30</v>
      </c>
      <c r="AH3" s="34" t="n">
        <v>31</v>
      </c>
      <c r="AI3" s="34" t="n">
        <v>32</v>
      </c>
      <c r="AJ3" s="34" t="n">
        <v>33</v>
      </c>
      <c r="AK3" s="34" t="n">
        <v>34</v>
      </c>
      <c r="AL3" s="34" t="n">
        <v>35</v>
      </c>
      <c r="AM3" s="34" t="n">
        <v>36</v>
      </c>
    </row>
    <row r="4" customFormat="false" ht="15" hidden="false" customHeight="false" outlineLevel="0" collapsed="false">
      <c r="B4" s="14" t="s">
        <v>387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 customFormat="false" ht="15" hidden="false" customHeight="false" outlineLevel="0" collapsed="false">
      <c r="B5" s="4" t="s">
        <v>388</v>
      </c>
      <c r="D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E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F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G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H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I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J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K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L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M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N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O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P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Q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R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S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T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U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V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W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X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Y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Z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A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B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C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D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E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F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G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H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I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J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K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L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  <c r="AM5" s="28" t="n">
        <f aca="false">(Supuestos!$F$12*Supuestos!$F$9/((Supuestos!$F$29*Supuestos!$F$21+Supuestos!$F$30*Supuestos!$F$22+Supuestos!$F$31*Supuestos!$F$23+Supuestos!$F$32*Supuestos!$F$24)*Supuestos!$F$17*Supuestos!$F$18))</f>
        <v>78.0746887966805</v>
      </c>
    </row>
    <row r="6" customFormat="false" ht="15" hidden="false" customHeight="false" outlineLevel="0" collapsed="false">
      <c r="B6" s="4" t="s">
        <v>389</v>
      </c>
      <c r="D6" s="28" t="n">
        <f aca="false">IF(D$3&lt;=6,Supuestos!$F$46,IF(D$3&lt;=12,Supuestos!$F$47,Supuestos!$F$48))</f>
        <v>5</v>
      </c>
      <c r="E6" s="28" t="n">
        <f aca="false">IF(E$3&lt;=6,Supuestos!$F$46,IF(E$3&lt;=12,Supuestos!$F$47,Supuestos!$F$48))</f>
        <v>5</v>
      </c>
      <c r="F6" s="28" t="n">
        <f aca="false">IF(F$3&lt;=6,Supuestos!$F$46,IF(F$3&lt;=12,Supuestos!$F$47,Supuestos!$F$48))</f>
        <v>5</v>
      </c>
      <c r="G6" s="28" t="n">
        <f aca="false">IF(G$3&lt;=6,Supuestos!$F$46,IF(G$3&lt;=12,Supuestos!$F$47,Supuestos!$F$48))</f>
        <v>5</v>
      </c>
      <c r="H6" s="28" t="n">
        <f aca="false">IF(H$3&lt;=6,Supuestos!$F$46,IF(H$3&lt;=12,Supuestos!$F$47,Supuestos!$F$48))</f>
        <v>5</v>
      </c>
      <c r="I6" s="28" t="n">
        <f aca="false">IF(I$3&lt;=6,Supuestos!$F$46,IF(I$3&lt;=12,Supuestos!$F$47,Supuestos!$F$48))</f>
        <v>5</v>
      </c>
      <c r="J6" s="28" t="n">
        <f aca="false">IF(J$3&lt;=6,Supuestos!$F$46,IF(J$3&lt;=12,Supuestos!$F$47,Supuestos!$F$48))</f>
        <v>4</v>
      </c>
      <c r="K6" s="28" t="n">
        <f aca="false">IF(K$3&lt;=6,Supuestos!$F$46,IF(K$3&lt;=12,Supuestos!$F$47,Supuestos!$F$48))</f>
        <v>4</v>
      </c>
      <c r="L6" s="28" t="n">
        <f aca="false">IF(L$3&lt;=6,Supuestos!$F$46,IF(L$3&lt;=12,Supuestos!$F$47,Supuestos!$F$48))</f>
        <v>4</v>
      </c>
      <c r="M6" s="28" t="n">
        <f aca="false">IF(M$3&lt;=6,Supuestos!$F$46,IF(M$3&lt;=12,Supuestos!$F$47,Supuestos!$F$48))</f>
        <v>4</v>
      </c>
      <c r="N6" s="28" t="n">
        <f aca="false">IF(N$3&lt;=6,Supuestos!$F$46,IF(N$3&lt;=12,Supuestos!$F$47,Supuestos!$F$48))</f>
        <v>4</v>
      </c>
      <c r="O6" s="28" t="n">
        <f aca="false">IF(O$3&lt;=6,Supuestos!$F$46,IF(O$3&lt;=12,Supuestos!$F$47,Supuestos!$F$48))</f>
        <v>4</v>
      </c>
      <c r="P6" s="28" t="n">
        <f aca="false">IF(P$3&lt;=6,Supuestos!$F$46,IF(P$3&lt;=12,Supuestos!$F$47,Supuestos!$F$48))</f>
        <v>3</v>
      </c>
      <c r="Q6" s="28" t="n">
        <f aca="false">IF(Q$3&lt;=6,Supuestos!$F$46,IF(Q$3&lt;=12,Supuestos!$F$47,Supuestos!$F$48))</f>
        <v>3</v>
      </c>
      <c r="R6" s="28" t="n">
        <f aca="false">IF(R$3&lt;=6,Supuestos!$F$46,IF(R$3&lt;=12,Supuestos!$F$47,Supuestos!$F$48))</f>
        <v>3</v>
      </c>
      <c r="S6" s="28" t="n">
        <f aca="false">IF(S$3&lt;=6,Supuestos!$F$46,IF(S$3&lt;=12,Supuestos!$F$47,Supuestos!$F$48))</f>
        <v>3</v>
      </c>
      <c r="T6" s="28" t="n">
        <f aca="false">IF(T$3&lt;=6,Supuestos!$F$46,IF(T$3&lt;=12,Supuestos!$F$47,Supuestos!$F$48))</f>
        <v>3</v>
      </c>
      <c r="U6" s="28" t="n">
        <f aca="false">IF(U$3&lt;=6,Supuestos!$F$46,IF(U$3&lt;=12,Supuestos!$F$47,Supuestos!$F$48))</f>
        <v>3</v>
      </c>
      <c r="V6" s="28" t="n">
        <f aca="false">IF(V$3&lt;=6,Supuestos!$F$46,IF(V$3&lt;=12,Supuestos!$F$47,Supuestos!$F$48))</f>
        <v>3</v>
      </c>
      <c r="W6" s="28" t="n">
        <f aca="false">IF(W$3&lt;=6,Supuestos!$F$46,IF(W$3&lt;=12,Supuestos!$F$47,Supuestos!$F$48))</f>
        <v>3</v>
      </c>
      <c r="X6" s="28" t="n">
        <f aca="false">IF(X$3&lt;=6,Supuestos!$F$46,IF(X$3&lt;=12,Supuestos!$F$47,Supuestos!$F$48))</f>
        <v>3</v>
      </c>
      <c r="Y6" s="28" t="n">
        <f aca="false">IF(Y$3&lt;=6,Supuestos!$F$46,IF(Y$3&lt;=12,Supuestos!$F$47,Supuestos!$F$48))</f>
        <v>3</v>
      </c>
      <c r="Z6" s="28" t="n">
        <f aca="false">IF(Z$3&lt;=6,Supuestos!$F$46,IF(Z$3&lt;=12,Supuestos!$F$47,Supuestos!$F$48))</f>
        <v>3</v>
      </c>
      <c r="AA6" s="28" t="n">
        <f aca="false">IF(AA$3&lt;=6,Supuestos!$F$46,IF(AA$3&lt;=12,Supuestos!$F$47,Supuestos!$F$48))</f>
        <v>3</v>
      </c>
      <c r="AB6" s="28" t="n">
        <f aca="false">IF(AB$3&lt;=6,Supuestos!$F$46,IF(AB$3&lt;=12,Supuestos!$F$47,Supuestos!$F$48))</f>
        <v>3</v>
      </c>
      <c r="AC6" s="28" t="n">
        <f aca="false">IF(AC$3&lt;=6,Supuestos!$F$46,IF(AC$3&lt;=12,Supuestos!$F$47,Supuestos!$F$48))</f>
        <v>3</v>
      </c>
      <c r="AD6" s="28" t="n">
        <f aca="false">IF(AD$3&lt;=6,Supuestos!$F$46,IF(AD$3&lt;=12,Supuestos!$F$47,Supuestos!$F$48))</f>
        <v>3</v>
      </c>
      <c r="AE6" s="28" t="n">
        <f aca="false">IF(AE$3&lt;=6,Supuestos!$F$46,IF(AE$3&lt;=12,Supuestos!$F$47,Supuestos!$F$48))</f>
        <v>3</v>
      </c>
      <c r="AF6" s="28" t="n">
        <f aca="false">IF(AF$3&lt;=6,Supuestos!$F$46,IF(AF$3&lt;=12,Supuestos!$F$47,Supuestos!$F$48))</f>
        <v>3</v>
      </c>
      <c r="AG6" s="28" t="n">
        <f aca="false">IF(AG$3&lt;=6,Supuestos!$F$46,IF(AG$3&lt;=12,Supuestos!$F$47,Supuestos!$F$48))</f>
        <v>3</v>
      </c>
      <c r="AH6" s="28" t="n">
        <f aca="false">IF(AH$3&lt;=6,Supuestos!$F$46,IF(AH$3&lt;=12,Supuestos!$F$47,Supuestos!$F$48))</f>
        <v>3</v>
      </c>
      <c r="AI6" s="28" t="n">
        <f aca="false">IF(AI$3&lt;=6,Supuestos!$F$46,IF(AI$3&lt;=12,Supuestos!$F$47,Supuestos!$F$48))</f>
        <v>3</v>
      </c>
      <c r="AJ6" s="28" t="n">
        <f aca="false">IF(AJ$3&lt;=6,Supuestos!$F$46,IF(AJ$3&lt;=12,Supuestos!$F$47,Supuestos!$F$48))</f>
        <v>3</v>
      </c>
      <c r="AK6" s="28" t="n">
        <f aca="false">IF(AK$3&lt;=6,Supuestos!$F$46,IF(AK$3&lt;=12,Supuestos!$F$47,Supuestos!$F$48))</f>
        <v>3</v>
      </c>
      <c r="AL6" s="28" t="n">
        <f aca="false">IF(AL$3&lt;=6,Supuestos!$F$46,IF(AL$3&lt;=12,Supuestos!$F$47,Supuestos!$F$48))</f>
        <v>3</v>
      </c>
      <c r="AM6" s="28" t="n">
        <f aca="false">IF(AM$3&lt;=6,Supuestos!$F$46,IF(AM$3&lt;=12,Supuestos!$F$47,Supuestos!$F$48))</f>
        <v>3</v>
      </c>
    </row>
    <row r="7" customFormat="false" ht="15" hidden="false" customHeight="false" outlineLevel="0" collapsed="false">
      <c r="B7" s="4" t="s">
        <v>390</v>
      </c>
      <c r="D7" s="28" t="n">
        <f aca="false">MIN(D5,Supuestos!$F$45*(1-Supuestos!$F$49)+D6)</f>
        <v>14.5</v>
      </c>
      <c r="E7" s="28" t="n">
        <f aca="false">MIN(E5,D7*(1-Supuestos!$F$49)+E6)</f>
        <v>18.775</v>
      </c>
      <c r="F7" s="28" t="n">
        <f aca="false">MIN(F5,E7*(1-Supuestos!$F$49)+F6)</f>
        <v>22.83625</v>
      </c>
      <c r="G7" s="28" t="n">
        <f aca="false">MIN(G5,F7*(1-Supuestos!$F$49)+G6)</f>
        <v>26.6944375</v>
      </c>
      <c r="H7" s="28" t="n">
        <f aca="false">MIN(H5,G7*(1-Supuestos!$F$49)+H6)</f>
        <v>30.359715625</v>
      </c>
      <c r="I7" s="28" t="n">
        <f aca="false">MIN(I5,H7*(1-Supuestos!$F$49)+I6)</f>
        <v>33.84172984375</v>
      </c>
      <c r="J7" s="28" t="n">
        <f aca="false">MIN(J5,I7*(1-Supuestos!$F$49)+J6)</f>
        <v>36.1496433515625</v>
      </c>
      <c r="K7" s="28" t="n">
        <f aca="false">MIN(K5,J7*(1-Supuestos!$F$49)+K6)</f>
        <v>38.3421611839844</v>
      </c>
      <c r="L7" s="28" t="n">
        <f aca="false">MIN(L5,K7*(1-Supuestos!$F$49)+L6)</f>
        <v>40.4250531247851</v>
      </c>
      <c r="M7" s="28" t="n">
        <f aca="false">MIN(M5,L7*(1-Supuestos!$F$49)+M6)</f>
        <v>42.4038004685459</v>
      </c>
      <c r="N7" s="28" t="n">
        <f aca="false">MIN(N5,M7*(1-Supuestos!$F$49)+N6)</f>
        <v>44.2836104451186</v>
      </c>
      <c r="O7" s="28" t="n">
        <f aca="false">MIN(O5,N7*(1-Supuestos!$F$49)+O6)</f>
        <v>46.0694299228627</v>
      </c>
      <c r="P7" s="28" t="n">
        <f aca="false">MIN(P5,O7*(1-Supuestos!$F$49)+P6)</f>
        <v>46.7659584267195</v>
      </c>
      <c r="Q7" s="28" t="n">
        <f aca="false">MIN(Q5,P7*(1-Supuestos!$F$49)+Q6)</f>
        <v>47.4276605053835</v>
      </c>
      <c r="R7" s="28" t="n">
        <f aca="false">MIN(R5,Q7*(1-Supuestos!$F$49)+R6)</f>
        <v>48.0562774801144</v>
      </c>
      <c r="S7" s="28" t="n">
        <f aca="false">MIN(S5,R7*(1-Supuestos!$F$49)+S6)</f>
        <v>48.6534636061086</v>
      </c>
      <c r="T7" s="28" t="n">
        <f aca="false">MIN(T5,S7*(1-Supuestos!$F$49)+T6)</f>
        <v>49.2207904258032</v>
      </c>
      <c r="U7" s="28" t="n">
        <f aca="false">MIN(U5,T7*(1-Supuestos!$F$49)+U6)</f>
        <v>49.759750904513</v>
      </c>
      <c r="V7" s="28" t="n">
        <f aca="false">MIN(V5,U7*(1-Supuestos!$F$49)+V6)</f>
        <v>50.2717633592874</v>
      </c>
      <c r="W7" s="28" t="n">
        <f aca="false">MIN(W5,V7*(1-Supuestos!$F$49)+W6)</f>
        <v>50.758175191323</v>
      </c>
      <c r="X7" s="28" t="n">
        <f aca="false">MIN(X5,W7*(1-Supuestos!$F$49)+X6)</f>
        <v>51.2202664317569</v>
      </c>
      <c r="Y7" s="28" t="n">
        <f aca="false">MIN(Y5,X7*(1-Supuestos!$F$49)+Y6)</f>
        <v>51.659253110169</v>
      </c>
      <c r="Z7" s="28" t="n">
        <f aca="false">MIN(Z5,Y7*(1-Supuestos!$F$49)+Z6)</f>
        <v>52.0762904546606</v>
      </c>
      <c r="AA7" s="28" t="n">
        <f aca="false">MIN(AA5,Z7*(1-Supuestos!$F$49)+AA6)</f>
        <v>52.4724759319275</v>
      </c>
      <c r="AB7" s="28" t="n">
        <f aca="false">MIN(AB5,AA7*(1-Supuestos!$F$49)+AB6)</f>
        <v>52.8488521353312</v>
      </c>
      <c r="AC7" s="28" t="n">
        <f aca="false">MIN(AC5,AB7*(1-Supuestos!$F$49)+AC6)</f>
        <v>53.2064095285646</v>
      </c>
      <c r="AD7" s="28" t="n">
        <f aca="false">MIN(AD5,AC7*(1-Supuestos!$F$49)+AD6)</f>
        <v>53.5460890521364</v>
      </c>
      <c r="AE7" s="28" t="n">
        <f aca="false">MIN(AE5,AD7*(1-Supuestos!$F$49)+AE6)</f>
        <v>53.8687845995296</v>
      </c>
      <c r="AF7" s="28" t="n">
        <f aca="false">MIN(AF5,AE7*(1-Supuestos!$F$49)+AF6)</f>
        <v>54.1753453695531</v>
      </c>
      <c r="AG7" s="28" t="n">
        <f aca="false">MIN(AG5,AF7*(1-Supuestos!$F$49)+AG6)</f>
        <v>54.4665781010754</v>
      </c>
      <c r="AH7" s="28" t="n">
        <f aca="false">MIN(AH5,AG7*(1-Supuestos!$F$49)+AH6)</f>
        <v>54.7432491960216</v>
      </c>
      <c r="AI7" s="28" t="n">
        <f aca="false">MIN(AI5,AH7*(1-Supuestos!$F$49)+AI6)</f>
        <v>55.0060867362206</v>
      </c>
      <c r="AJ7" s="28" t="n">
        <f aca="false">MIN(AJ5,AI7*(1-Supuestos!$F$49)+AJ6)</f>
        <v>55.2557823994095</v>
      </c>
      <c r="AK7" s="28" t="n">
        <f aca="false">MIN(AK5,AJ7*(1-Supuestos!$F$49)+AK6)</f>
        <v>55.4929932794391</v>
      </c>
      <c r="AL7" s="28" t="n">
        <f aca="false">MIN(AL5,AK7*(1-Supuestos!$F$49)+AL6)</f>
        <v>55.7183436154671</v>
      </c>
      <c r="AM7" s="28" t="n">
        <f aca="false">MIN(AM5,AL7*(1-Supuestos!$F$49)+AM6)</f>
        <v>55.9324264346937</v>
      </c>
    </row>
    <row r="8" customFormat="false" ht="15" hidden="false" customHeight="false" outlineLevel="0" collapsed="false">
      <c r="B8" s="4" t="s">
        <v>391</v>
      </c>
      <c r="D8" s="28" t="n">
        <f aca="false">Supuestos!$F$45*Supuestos!$F$49</f>
        <v>0.5</v>
      </c>
      <c r="E8" s="28" t="n">
        <f aca="false">D7*Supuestos!$F$49</f>
        <v>0.725</v>
      </c>
      <c r="F8" s="28" t="n">
        <f aca="false">E7*Supuestos!$F$49</f>
        <v>0.93875</v>
      </c>
      <c r="G8" s="28" t="n">
        <f aca="false">F7*Supuestos!$F$49</f>
        <v>1.1418125</v>
      </c>
      <c r="H8" s="28" t="n">
        <f aca="false">G7*Supuestos!$F$49</f>
        <v>1.334721875</v>
      </c>
      <c r="I8" s="28" t="n">
        <f aca="false">H7*Supuestos!$F$49</f>
        <v>1.51798578125</v>
      </c>
      <c r="J8" s="28" t="n">
        <f aca="false">I7*Supuestos!$F$49</f>
        <v>1.6920864921875</v>
      </c>
      <c r="K8" s="28" t="n">
        <f aca="false">J7*Supuestos!$F$49</f>
        <v>1.80748216757813</v>
      </c>
      <c r="L8" s="28" t="n">
        <f aca="false">K7*Supuestos!$F$49</f>
        <v>1.91710805919922</v>
      </c>
      <c r="M8" s="28" t="n">
        <f aca="false">L7*Supuestos!$F$49</f>
        <v>2.02125265623926</v>
      </c>
      <c r="N8" s="28" t="n">
        <f aca="false">M7*Supuestos!$F$49</f>
        <v>2.12019002342729</v>
      </c>
      <c r="O8" s="28" t="n">
        <f aca="false">N7*Supuestos!$F$49</f>
        <v>2.21418052225593</v>
      </c>
      <c r="P8" s="28" t="n">
        <f aca="false">O7*Supuestos!$F$49</f>
        <v>2.30347149614313</v>
      </c>
      <c r="Q8" s="28" t="n">
        <f aca="false">P7*Supuestos!$F$49</f>
        <v>2.33829792133598</v>
      </c>
      <c r="R8" s="28" t="n">
        <f aca="false">Q7*Supuestos!$F$49</f>
        <v>2.37138302526918</v>
      </c>
      <c r="S8" s="28" t="n">
        <f aca="false">R7*Supuestos!$F$49</f>
        <v>2.40281387400572</v>
      </c>
      <c r="T8" s="28" t="n">
        <f aca="false">S7*Supuestos!$F$49</f>
        <v>2.43267318030543</v>
      </c>
      <c r="U8" s="28" t="n">
        <f aca="false">T7*Supuestos!$F$49</f>
        <v>2.46103952129016</v>
      </c>
      <c r="V8" s="28" t="n">
        <f aca="false">U7*Supuestos!$F$49</f>
        <v>2.48798754522565</v>
      </c>
      <c r="W8" s="28" t="n">
        <f aca="false">V7*Supuestos!$F$49</f>
        <v>2.51358816796437</v>
      </c>
      <c r="X8" s="28" t="n">
        <f aca="false">W7*Supuestos!$F$49</f>
        <v>2.53790875956615</v>
      </c>
      <c r="Y8" s="28" t="n">
        <f aca="false">X7*Supuestos!$F$49</f>
        <v>2.56101332158784</v>
      </c>
      <c r="Z8" s="28" t="n">
        <f aca="false">Y7*Supuestos!$F$49</f>
        <v>2.58296265550845</v>
      </c>
      <c r="AA8" s="28" t="n">
        <f aca="false">Z7*Supuestos!$F$49</f>
        <v>2.60381452273303</v>
      </c>
      <c r="AB8" s="28" t="n">
        <f aca="false">AA7*Supuestos!$F$49</f>
        <v>2.62362379659638</v>
      </c>
      <c r="AC8" s="28" t="n">
        <f aca="false">AB7*Supuestos!$F$49</f>
        <v>2.64244260676656</v>
      </c>
      <c r="AD8" s="28" t="n">
        <f aca="false">AC7*Supuestos!$F$49</f>
        <v>2.66032047642823</v>
      </c>
      <c r="AE8" s="28" t="n">
        <f aca="false">AD7*Supuestos!$F$49</f>
        <v>2.67730445260682</v>
      </c>
      <c r="AF8" s="28" t="n">
        <f aca="false">AE7*Supuestos!$F$49</f>
        <v>2.69343922997648</v>
      </c>
      <c r="AG8" s="28" t="n">
        <f aca="false">AF7*Supuestos!$F$49</f>
        <v>2.70876726847765</v>
      </c>
      <c r="AH8" s="28" t="n">
        <f aca="false">AG7*Supuestos!$F$49</f>
        <v>2.72332890505377</v>
      </c>
      <c r="AI8" s="28" t="n">
        <f aca="false">AH7*Supuestos!$F$49</f>
        <v>2.73716245980108</v>
      </c>
      <c r="AJ8" s="28" t="n">
        <f aca="false">AI7*Supuestos!$F$49</f>
        <v>2.75030433681103</v>
      </c>
      <c r="AK8" s="28" t="n">
        <f aca="false">AJ7*Supuestos!$F$49</f>
        <v>2.76278911997048</v>
      </c>
      <c r="AL8" s="28" t="n">
        <f aca="false">AK7*Supuestos!$F$49</f>
        <v>2.77464966397195</v>
      </c>
      <c r="AM8" s="28" t="n">
        <f aca="false">AL7*Supuestos!$F$49</f>
        <v>2.78591718077336</v>
      </c>
    </row>
    <row r="9" customFormat="false" ht="15" hidden="false" customHeight="false" outlineLevel="0" collapsed="false">
      <c r="B9" s="4" t="s">
        <v>392</v>
      </c>
      <c r="D9" s="28" t="n">
        <f aca="false">MIN(Supuestos!$F$13,Supuestos!$F$50)</f>
        <v>1.5</v>
      </c>
      <c r="E9" s="28" t="n">
        <f aca="false">MIN(Supuestos!$F$13,D9*(1-Supuestos!$F$51)+Supuestos!$F$50)</f>
        <v>2.955</v>
      </c>
      <c r="F9" s="28" t="n">
        <f aca="false">MIN(Supuestos!$F$13,E9*(1-Supuestos!$F$51)+Supuestos!$F$50)</f>
        <v>4.36635</v>
      </c>
      <c r="G9" s="28" t="n">
        <f aca="false">MIN(Supuestos!$F$13,F9*(1-Supuestos!$F$51)+Supuestos!$F$50)</f>
        <v>5.7353595</v>
      </c>
      <c r="H9" s="28" t="n">
        <f aca="false">MIN(Supuestos!$F$13,G9*(1-Supuestos!$F$51)+Supuestos!$F$50)</f>
        <v>7.063298715</v>
      </c>
      <c r="I9" s="28" t="n">
        <f aca="false">MIN(Supuestos!$F$13,H9*(1-Supuestos!$F$51)+Supuestos!$F$50)</f>
        <v>8</v>
      </c>
      <c r="J9" s="28" t="n">
        <f aca="false">MIN(Supuestos!$F$13,I9*(1-Supuestos!$F$51)+Supuestos!$F$50)</f>
        <v>8</v>
      </c>
      <c r="K9" s="28" t="n">
        <f aca="false">MIN(Supuestos!$F$13,J9*(1-Supuestos!$F$51)+Supuestos!$F$50)</f>
        <v>8</v>
      </c>
      <c r="L9" s="28" t="n">
        <f aca="false">MIN(Supuestos!$F$13,K9*(1-Supuestos!$F$51)+Supuestos!$F$50)</f>
        <v>8</v>
      </c>
      <c r="M9" s="28" t="n">
        <f aca="false">MIN(Supuestos!$F$13,L9*(1-Supuestos!$F$51)+Supuestos!$F$50)</f>
        <v>8</v>
      </c>
      <c r="N9" s="28" t="n">
        <f aca="false">MIN(Supuestos!$F$13,M9*(1-Supuestos!$F$51)+Supuestos!$F$50)</f>
        <v>8</v>
      </c>
      <c r="O9" s="28" t="n">
        <f aca="false">MIN(Supuestos!$F$13,N9*(1-Supuestos!$F$51)+Supuestos!$F$50)</f>
        <v>8</v>
      </c>
      <c r="P9" s="28" t="n">
        <f aca="false">MIN(Supuestos!$F$13,O9*(1-Supuestos!$F$51)+Supuestos!$F$50)</f>
        <v>8</v>
      </c>
      <c r="Q9" s="28" t="n">
        <f aca="false">MIN(Supuestos!$F$13,P9*(1-Supuestos!$F$51)+Supuestos!$F$50)</f>
        <v>8</v>
      </c>
      <c r="R9" s="28" t="n">
        <f aca="false">MIN(Supuestos!$F$13,Q9*(1-Supuestos!$F$51)+Supuestos!$F$50)</f>
        <v>8</v>
      </c>
      <c r="S9" s="28" t="n">
        <f aca="false">MIN(Supuestos!$F$13,R9*(1-Supuestos!$F$51)+Supuestos!$F$50)</f>
        <v>8</v>
      </c>
      <c r="T9" s="28" t="n">
        <f aca="false">MIN(Supuestos!$F$13,S9*(1-Supuestos!$F$51)+Supuestos!$F$50)</f>
        <v>8</v>
      </c>
      <c r="U9" s="28" t="n">
        <f aca="false">MIN(Supuestos!$F$13,T9*(1-Supuestos!$F$51)+Supuestos!$F$50)</f>
        <v>8</v>
      </c>
      <c r="V9" s="28" t="n">
        <f aca="false">MIN(Supuestos!$F$13,U9*(1-Supuestos!$F$51)+Supuestos!$F$50)</f>
        <v>8</v>
      </c>
      <c r="W9" s="28" t="n">
        <f aca="false">MIN(Supuestos!$F$13,V9*(1-Supuestos!$F$51)+Supuestos!$F$50)</f>
        <v>8</v>
      </c>
      <c r="X9" s="28" t="n">
        <f aca="false">MIN(Supuestos!$F$13,W9*(1-Supuestos!$F$51)+Supuestos!$F$50)</f>
        <v>8</v>
      </c>
      <c r="Y9" s="28" t="n">
        <f aca="false">MIN(Supuestos!$F$13,X9*(1-Supuestos!$F$51)+Supuestos!$F$50)</f>
        <v>8</v>
      </c>
      <c r="Z9" s="28" t="n">
        <f aca="false">MIN(Supuestos!$F$13,Y9*(1-Supuestos!$F$51)+Supuestos!$F$50)</f>
        <v>8</v>
      </c>
      <c r="AA9" s="28" t="n">
        <f aca="false">MIN(Supuestos!$F$13,Z9*(1-Supuestos!$F$51)+Supuestos!$F$50)</f>
        <v>8</v>
      </c>
      <c r="AB9" s="28" t="n">
        <f aca="false">MIN(Supuestos!$F$13,AA9*(1-Supuestos!$F$51)+Supuestos!$F$50)</f>
        <v>8</v>
      </c>
      <c r="AC9" s="28" t="n">
        <f aca="false">MIN(Supuestos!$F$13,AB9*(1-Supuestos!$F$51)+Supuestos!$F$50)</f>
        <v>8</v>
      </c>
      <c r="AD9" s="28" t="n">
        <f aca="false">MIN(Supuestos!$F$13,AC9*(1-Supuestos!$F$51)+Supuestos!$F$50)</f>
        <v>8</v>
      </c>
      <c r="AE9" s="28" t="n">
        <f aca="false">MIN(Supuestos!$F$13,AD9*(1-Supuestos!$F$51)+Supuestos!$F$50)</f>
        <v>8</v>
      </c>
      <c r="AF9" s="28" t="n">
        <f aca="false">MIN(Supuestos!$F$13,AE9*(1-Supuestos!$F$51)+Supuestos!$F$50)</f>
        <v>8</v>
      </c>
      <c r="AG9" s="28" t="n">
        <f aca="false">MIN(Supuestos!$F$13,AF9*(1-Supuestos!$F$51)+Supuestos!$F$50)</f>
        <v>8</v>
      </c>
      <c r="AH9" s="28" t="n">
        <f aca="false">MIN(Supuestos!$F$13,AG9*(1-Supuestos!$F$51)+Supuestos!$F$50)</f>
        <v>8</v>
      </c>
      <c r="AI9" s="28" t="n">
        <f aca="false">MIN(Supuestos!$F$13,AH9*(1-Supuestos!$F$51)+Supuestos!$F$50)</f>
        <v>8</v>
      </c>
      <c r="AJ9" s="28" t="n">
        <f aca="false">MIN(Supuestos!$F$13,AI9*(1-Supuestos!$F$51)+Supuestos!$F$50)</f>
        <v>8</v>
      </c>
      <c r="AK9" s="28" t="n">
        <f aca="false">MIN(Supuestos!$F$13,AJ9*(1-Supuestos!$F$51)+Supuestos!$F$50)</f>
        <v>8</v>
      </c>
      <c r="AL9" s="28" t="n">
        <f aca="false">MIN(Supuestos!$F$13,AK9*(1-Supuestos!$F$51)+Supuestos!$F$50)</f>
        <v>8</v>
      </c>
      <c r="AM9" s="28" t="n">
        <f aca="false">MIN(Supuestos!$F$13,AL9*(1-Supuestos!$F$51)+Supuestos!$F$50)</f>
        <v>8</v>
      </c>
    </row>
    <row r="10" customFormat="false" ht="15" hidden="false" customHeight="false" outlineLevel="0" collapsed="false">
      <c r="B10" s="4" t="s">
        <v>393</v>
      </c>
      <c r="D10" s="28" t="n">
        <f aca="false">Supuestos!$F$14*MIN(1,D$3/Supuestos!$F$43)</f>
        <v>0.75</v>
      </c>
      <c r="E10" s="28" t="n">
        <f aca="false">Supuestos!$F$14*MIN(1,E$3/Supuestos!$F$43)</f>
        <v>1.5</v>
      </c>
      <c r="F10" s="28" t="n">
        <f aca="false">Supuestos!$F$14*MIN(1,F$3/Supuestos!$F$43)</f>
        <v>2.25</v>
      </c>
      <c r="G10" s="28" t="n">
        <f aca="false">Supuestos!$F$14*MIN(1,G$3/Supuestos!$F$43)</f>
        <v>3</v>
      </c>
      <c r="H10" s="28" t="n">
        <f aca="false">Supuestos!$F$14*MIN(1,H$3/Supuestos!$F$43)</f>
        <v>3</v>
      </c>
      <c r="I10" s="28" t="n">
        <f aca="false">Supuestos!$F$14*MIN(1,I$3/Supuestos!$F$43)</f>
        <v>3</v>
      </c>
      <c r="J10" s="28" t="n">
        <f aca="false">Supuestos!$F$14*MIN(1,J$3/Supuestos!$F$43)</f>
        <v>3</v>
      </c>
      <c r="K10" s="28" t="n">
        <f aca="false">Supuestos!$F$14*MIN(1,K$3/Supuestos!$F$43)</f>
        <v>3</v>
      </c>
      <c r="L10" s="28" t="n">
        <f aca="false">Supuestos!$F$14*MIN(1,L$3/Supuestos!$F$43)</f>
        <v>3</v>
      </c>
      <c r="M10" s="28" t="n">
        <f aca="false">Supuestos!$F$14*MIN(1,M$3/Supuestos!$F$43)</f>
        <v>3</v>
      </c>
      <c r="N10" s="28" t="n">
        <f aca="false">Supuestos!$F$14*MIN(1,N$3/Supuestos!$F$43)</f>
        <v>3</v>
      </c>
      <c r="O10" s="28" t="n">
        <f aca="false">Supuestos!$F$14*MIN(1,O$3/Supuestos!$F$43)</f>
        <v>3</v>
      </c>
      <c r="P10" s="28" t="n">
        <f aca="false">Supuestos!$F$14*MIN(1,P$3/Supuestos!$F$43)</f>
        <v>3</v>
      </c>
      <c r="Q10" s="28" t="n">
        <f aca="false">Supuestos!$F$14*MIN(1,Q$3/Supuestos!$F$43)</f>
        <v>3</v>
      </c>
      <c r="R10" s="28" t="n">
        <f aca="false">Supuestos!$F$14*MIN(1,R$3/Supuestos!$F$43)</f>
        <v>3</v>
      </c>
      <c r="S10" s="28" t="n">
        <f aca="false">Supuestos!$F$14*MIN(1,S$3/Supuestos!$F$43)</f>
        <v>3</v>
      </c>
      <c r="T10" s="28" t="n">
        <f aca="false">Supuestos!$F$14*MIN(1,T$3/Supuestos!$F$43)</f>
        <v>3</v>
      </c>
      <c r="U10" s="28" t="n">
        <f aca="false">Supuestos!$F$14*MIN(1,U$3/Supuestos!$F$43)</f>
        <v>3</v>
      </c>
      <c r="V10" s="28" t="n">
        <f aca="false">Supuestos!$F$14*MIN(1,V$3/Supuestos!$F$43)</f>
        <v>3</v>
      </c>
      <c r="W10" s="28" t="n">
        <f aca="false">Supuestos!$F$14*MIN(1,W$3/Supuestos!$F$43)</f>
        <v>3</v>
      </c>
      <c r="X10" s="28" t="n">
        <f aca="false">Supuestos!$F$14*MIN(1,X$3/Supuestos!$F$43)</f>
        <v>3</v>
      </c>
      <c r="Y10" s="28" t="n">
        <f aca="false">Supuestos!$F$14*MIN(1,Y$3/Supuestos!$F$43)</f>
        <v>3</v>
      </c>
      <c r="Z10" s="28" t="n">
        <f aca="false">Supuestos!$F$14*MIN(1,Z$3/Supuestos!$F$43)</f>
        <v>3</v>
      </c>
      <c r="AA10" s="28" t="n">
        <f aca="false">Supuestos!$F$14*MIN(1,AA$3/Supuestos!$F$43)</f>
        <v>3</v>
      </c>
      <c r="AB10" s="28" t="n">
        <f aca="false">Supuestos!$F$14*MIN(1,AB$3/Supuestos!$F$43)</f>
        <v>3</v>
      </c>
      <c r="AC10" s="28" t="n">
        <f aca="false">Supuestos!$F$14*MIN(1,AC$3/Supuestos!$F$43)</f>
        <v>3</v>
      </c>
      <c r="AD10" s="28" t="n">
        <f aca="false">Supuestos!$F$14*MIN(1,AD$3/Supuestos!$F$43)</f>
        <v>3</v>
      </c>
      <c r="AE10" s="28" t="n">
        <f aca="false">Supuestos!$F$14*MIN(1,AE$3/Supuestos!$F$43)</f>
        <v>3</v>
      </c>
      <c r="AF10" s="28" t="n">
        <f aca="false">Supuestos!$F$14*MIN(1,AF$3/Supuestos!$F$43)</f>
        <v>3</v>
      </c>
      <c r="AG10" s="28" t="n">
        <f aca="false">Supuestos!$F$14*MIN(1,AG$3/Supuestos!$F$43)</f>
        <v>3</v>
      </c>
      <c r="AH10" s="28" t="n">
        <f aca="false">Supuestos!$F$14*MIN(1,AH$3/Supuestos!$F$43)</f>
        <v>3</v>
      </c>
      <c r="AI10" s="28" t="n">
        <f aca="false">Supuestos!$F$14*MIN(1,AI$3/Supuestos!$F$43)</f>
        <v>3</v>
      </c>
      <c r="AJ10" s="28" t="n">
        <f aca="false">Supuestos!$F$14*MIN(1,AJ$3/Supuestos!$F$43)</f>
        <v>3</v>
      </c>
      <c r="AK10" s="28" t="n">
        <f aca="false">Supuestos!$F$14*MIN(1,AK$3/Supuestos!$F$43)</f>
        <v>3</v>
      </c>
      <c r="AL10" s="28" t="n">
        <f aca="false">Supuestos!$F$14*MIN(1,AL$3/Supuestos!$F$43)</f>
        <v>3</v>
      </c>
      <c r="AM10" s="28" t="n">
        <f aca="false">Supuestos!$F$14*MIN(1,AM$3/Supuestos!$F$43)</f>
        <v>3</v>
      </c>
    </row>
    <row r="11" customFormat="false" ht="15" hidden="false" customHeight="false" outlineLevel="0" collapsed="false">
      <c r="B11" s="4" t="s">
        <v>394</v>
      </c>
      <c r="D11" s="35" t="n">
        <f aca="false">D7*(Supuestos!$F$29*Supuestos!$F$21+Supuestos!$F$30*Supuestos!$F$22+Supuestos!$F$31*Supuestos!$F$23+Supuestos!$F$32*Supuestos!$F$24)*Supuestos!$F$17</f>
        <v>131.04375</v>
      </c>
      <c r="E11" s="35" t="n">
        <f aca="false">E7*(Supuestos!$F$29*Supuestos!$F$21+Supuestos!$F$30*Supuestos!$F$22+Supuestos!$F$31*Supuestos!$F$23+Supuestos!$F$32*Supuestos!$F$24)*Supuestos!$F$17</f>
        <v>169.6790625</v>
      </c>
      <c r="F11" s="35" t="n">
        <f aca="false">F7*(Supuestos!$F$29*Supuestos!$F$21+Supuestos!$F$30*Supuestos!$F$22+Supuestos!$F$31*Supuestos!$F$23+Supuestos!$F$32*Supuestos!$F$24)*Supuestos!$F$17</f>
        <v>206.382609375</v>
      </c>
      <c r="G11" s="35" t="n">
        <f aca="false">G7*(Supuestos!$F$29*Supuestos!$F$21+Supuestos!$F$30*Supuestos!$F$22+Supuestos!$F$31*Supuestos!$F$23+Supuestos!$F$32*Supuestos!$F$24)*Supuestos!$F$17</f>
        <v>241.25097890625</v>
      </c>
      <c r="H11" s="35" t="n">
        <f aca="false">H7*(Supuestos!$F$29*Supuestos!$F$21+Supuestos!$F$30*Supuestos!$F$22+Supuestos!$F$31*Supuestos!$F$23+Supuestos!$F$32*Supuestos!$F$24)*Supuestos!$F$17</f>
        <v>274.375929960937</v>
      </c>
      <c r="I11" s="35" t="n">
        <f aca="false">I7*(Supuestos!$F$29*Supuestos!$F$21+Supuestos!$F$30*Supuestos!$F$22+Supuestos!$F$31*Supuestos!$F$23+Supuestos!$F$32*Supuestos!$F$24)*Supuestos!$F$17</f>
        <v>305.844633462891</v>
      </c>
      <c r="J11" s="35" t="n">
        <f aca="false">J7*(Supuestos!$F$29*Supuestos!$F$21+Supuestos!$F$30*Supuestos!$F$22+Supuestos!$F$31*Supuestos!$F$23+Supuestos!$F$32*Supuestos!$F$24)*Supuestos!$F$17</f>
        <v>326.702401789746</v>
      </c>
      <c r="K11" s="35" t="n">
        <f aca="false">K7*(Supuestos!$F$29*Supuestos!$F$21+Supuestos!$F$30*Supuestos!$F$22+Supuestos!$F$31*Supuestos!$F$23+Supuestos!$F$32*Supuestos!$F$24)*Supuestos!$F$17</f>
        <v>346.517281700259</v>
      </c>
      <c r="L11" s="35" t="n">
        <f aca="false">L7*(Supuestos!$F$29*Supuestos!$F$21+Supuestos!$F$30*Supuestos!$F$22+Supuestos!$F$31*Supuestos!$F$23+Supuestos!$F$32*Supuestos!$F$24)*Supuestos!$F$17</f>
        <v>365.341417615246</v>
      </c>
      <c r="M11" s="35" t="n">
        <f aca="false">M7*(Supuestos!$F$29*Supuestos!$F$21+Supuestos!$F$30*Supuestos!$F$22+Supuestos!$F$31*Supuestos!$F$23+Supuestos!$F$32*Supuestos!$F$24)*Supuestos!$F$17</f>
        <v>383.224346734483</v>
      </c>
      <c r="N11" s="35" t="n">
        <f aca="false">N7*(Supuestos!$F$29*Supuestos!$F$21+Supuestos!$F$30*Supuestos!$F$22+Supuestos!$F$31*Supuestos!$F$23+Supuestos!$F$32*Supuestos!$F$24)*Supuestos!$F$17</f>
        <v>400.213129397759</v>
      </c>
      <c r="O11" s="35" t="n">
        <f aca="false">O7*(Supuestos!$F$29*Supuestos!$F$21+Supuestos!$F$30*Supuestos!$F$22+Supuestos!$F$31*Supuestos!$F$23+Supuestos!$F$32*Supuestos!$F$24)*Supuestos!$F$17</f>
        <v>416.352472927871</v>
      </c>
      <c r="P11" s="35" t="n">
        <f aca="false">P7*(Supuestos!$F$29*Supuestos!$F$21+Supuestos!$F$30*Supuestos!$F$22+Supuestos!$F$31*Supuestos!$F$23+Supuestos!$F$32*Supuestos!$F$24)*Supuestos!$F$17</f>
        <v>422.647349281478</v>
      </c>
      <c r="Q11" s="35" t="n">
        <f aca="false">Q7*(Supuestos!$F$29*Supuestos!$F$21+Supuestos!$F$30*Supuestos!$F$22+Supuestos!$F$31*Supuestos!$F$23+Supuestos!$F$32*Supuestos!$F$24)*Supuestos!$F$17</f>
        <v>428.627481817404</v>
      </c>
      <c r="R11" s="35" t="n">
        <f aca="false">R7*(Supuestos!$F$29*Supuestos!$F$21+Supuestos!$F$30*Supuestos!$F$22+Supuestos!$F$31*Supuestos!$F$23+Supuestos!$F$32*Supuestos!$F$24)*Supuestos!$F$17</f>
        <v>434.308607726533</v>
      </c>
      <c r="S11" s="35" t="n">
        <f aca="false">S7*(Supuestos!$F$29*Supuestos!$F$21+Supuestos!$F$30*Supuestos!$F$22+Supuestos!$F$31*Supuestos!$F$23+Supuestos!$F$32*Supuestos!$F$24)*Supuestos!$F$17</f>
        <v>439.705677340207</v>
      </c>
      <c r="T11" s="35" t="n">
        <f aca="false">T7*(Supuestos!$F$29*Supuestos!$F$21+Supuestos!$F$30*Supuestos!$F$22+Supuestos!$F$31*Supuestos!$F$23+Supuestos!$F$32*Supuestos!$F$24)*Supuestos!$F$17</f>
        <v>444.832893473196</v>
      </c>
      <c r="U11" s="35" t="n">
        <f aca="false">U7*(Supuestos!$F$29*Supuestos!$F$21+Supuestos!$F$30*Supuestos!$F$22+Supuestos!$F$31*Supuestos!$F$23+Supuestos!$F$32*Supuestos!$F$24)*Supuestos!$F$17</f>
        <v>449.703748799537</v>
      </c>
      <c r="V11" s="35" t="n">
        <f aca="false">V7*(Supuestos!$F$29*Supuestos!$F$21+Supuestos!$F$30*Supuestos!$F$22+Supuestos!$F$31*Supuestos!$F$23+Supuestos!$F$32*Supuestos!$F$24)*Supuestos!$F$17</f>
        <v>454.33106135956</v>
      </c>
      <c r="W11" s="35" t="n">
        <f aca="false">W7*(Supuestos!$F$29*Supuestos!$F$21+Supuestos!$F$30*Supuestos!$F$22+Supuestos!$F$31*Supuestos!$F$23+Supuestos!$F$32*Supuestos!$F$24)*Supuestos!$F$17</f>
        <v>458.727008291582</v>
      </c>
      <c r="X11" s="35" t="n">
        <f aca="false">X7*(Supuestos!$F$29*Supuestos!$F$21+Supuestos!$F$30*Supuestos!$F$22+Supuestos!$F$31*Supuestos!$F$23+Supuestos!$F$32*Supuestos!$F$24)*Supuestos!$F$17</f>
        <v>462.903157877003</v>
      </c>
      <c r="Y11" s="35" t="n">
        <f aca="false">Y7*(Supuestos!$F$29*Supuestos!$F$21+Supuestos!$F$30*Supuestos!$F$22+Supuestos!$F$31*Supuestos!$F$23+Supuestos!$F$32*Supuestos!$F$24)*Supuestos!$F$17</f>
        <v>466.870499983153</v>
      </c>
      <c r="Z11" s="35" t="n">
        <f aca="false">Z7*(Supuestos!$F$29*Supuestos!$F$21+Supuestos!$F$30*Supuestos!$F$22+Supuestos!$F$31*Supuestos!$F$23+Supuestos!$F$32*Supuestos!$F$24)*Supuestos!$F$17</f>
        <v>470.639474983995</v>
      </c>
      <c r="AA11" s="35" t="n">
        <f aca="false">AA7*(Supuestos!$F$29*Supuestos!$F$21+Supuestos!$F$30*Supuestos!$F$22+Supuestos!$F$31*Supuestos!$F$23+Supuestos!$F$32*Supuestos!$F$24)*Supuestos!$F$17</f>
        <v>474.220001234795</v>
      </c>
      <c r="AB11" s="35" t="n">
        <f aca="false">AB7*(Supuestos!$F$29*Supuestos!$F$21+Supuestos!$F$30*Supuestos!$F$22+Supuestos!$F$31*Supuestos!$F$23+Supuestos!$F$32*Supuestos!$F$24)*Supuestos!$F$17</f>
        <v>477.621501173055</v>
      </c>
      <c r="AC11" s="35" t="n">
        <f aca="false">AC7*(Supuestos!$F$29*Supuestos!$F$21+Supuestos!$F$30*Supuestos!$F$22+Supuestos!$F$31*Supuestos!$F$23+Supuestos!$F$32*Supuestos!$F$24)*Supuestos!$F$17</f>
        <v>480.852926114403</v>
      </c>
      <c r="AD11" s="35" t="n">
        <f aca="false">AD7*(Supuestos!$F$29*Supuestos!$F$21+Supuestos!$F$30*Supuestos!$F$22+Supuestos!$F$31*Supuestos!$F$23+Supuestos!$F$32*Supuestos!$F$24)*Supuestos!$F$17</f>
        <v>483.922779808682</v>
      </c>
      <c r="AE11" s="35" t="n">
        <f aca="false">AE7*(Supuestos!$F$29*Supuestos!$F$21+Supuestos!$F$30*Supuestos!$F$22+Supuestos!$F$31*Supuestos!$F$23+Supuestos!$F$32*Supuestos!$F$24)*Supuestos!$F$17</f>
        <v>486.839140818248</v>
      </c>
      <c r="AF11" s="35" t="n">
        <f aca="false">AF7*(Supuestos!$F$29*Supuestos!$F$21+Supuestos!$F$30*Supuestos!$F$22+Supuestos!$F$31*Supuestos!$F$23+Supuestos!$F$32*Supuestos!$F$24)*Supuestos!$F$17</f>
        <v>489.609683777336</v>
      </c>
      <c r="AG11" s="35" t="n">
        <f aca="false">AG7*(Supuestos!$F$29*Supuestos!$F$21+Supuestos!$F$30*Supuestos!$F$22+Supuestos!$F$31*Supuestos!$F$23+Supuestos!$F$32*Supuestos!$F$24)*Supuestos!$F$17</f>
        <v>492.241699588469</v>
      </c>
      <c r="AH11" s="35" t="n">
        <f aca="false">AH7*(Supuestos!$F$29*Supuestos!$F$21+Supuestos!$F$30*Supuestos!$F$22+Supuestos!$F$31*Supuestos!$F$23+Supuestos!$F$32*Supuestos!$F$24)*Supuestos!$F$17</f>
        <v>494.742114609046</v>
      </c>
      <c r="AI11" s="35" t="n">
        <f aca="false">AI7*(Supuestos!$F$29*Supuestos!$F$21+Supuestos!$F$30*Supuestos!$F$22+Supuestos!$F$31*Supuestos!$F$23+Supuestos!$F$32*Supuestos!$F$24)*Supuestos!$F$17</f>
        <v>497.117508878593</v>
      </c>
      <c r="AJ11" s="35" t="n">
        <f aca="false">AJ7*(Supuestos!$F$29*Supuestos!$F$21+Supuestos!$F$30*Supuestos!$F$22+Supuestos!$F$31*Supuestos!$F$23+Supuestos!$F$32*Supuestos!$F$24)*Supuestos!$F$17</f>
        <v>499.374133434664</v>
      </c>
      <c r="AK11" s="35" t="n">
        <f aca="false">AK7*(Supuestos!$F$29*Supuestos!$F$21+Supuestos!$F$30*Supuestos!$F$22+Supuestos!$F$31*Supuestos!$F$23+Supuestos!$F$32*Supuestos!$F$24)*Supuestos!$F$17</f>
        <v>501.51792676293</v>
      </c>
      <c r="AL11" s="35" t="n">
        <f aca="false">AL7*(Supuestos!$F$29*Supuestos!$F$21+Supuestos!$F$30*Supuestos!$F$22+Supuestos!$F$31*Supuestos!$F$23+Supuestos!$F$32*Supuestos!$F$24)*Supuestos!$F$17</f>
        <v>503.554530424784</v>
      </c>
      <c r="AM11" s="35" t="n">
        <f aca="false">AM7*(Supuestos!$F$29*Supuestos!$F$21+Supuestos!$F$30*Supuestos!$F$22+Supuestos!$F$31*Supuestos!$F$23+Supuestos!$F$32*Supuestos!$F$24)*Supuestos!$F$17</f>
        <v>505.489303903545</v>
      </c>
    </row>
    <row r="12" customFormat="false" ht="15" hidden="false" customHeight="false" outlineLevel="0" collapsed="false">
      <c r="B12" s="4" t="s">
        <v>395</v>
      </c>
      <c r="D12" s="30" t="n">
        <f aca="false">D11/(Supuestos!$F$12*Supuestos!$F$9)</f>
        <v>0.148575680272109</v>
      </c>
      <c r="E12" s="30" t="n">
        <f aca="false">E11/(Supuestos!$F$12*Supuestos!$F$9)</f>
        <v>0.192379889455782</v>
      </c>
      <c r="F12" s="30" t="n">
        <f aca="false">F11/(Supuestos!$F$12*Supuestos!$F$9)</f>
        <v>0.233993888180272</v>
      </c>
      <c r="G12" s="30" t="n">
        <f aca="false">G11/(Supuestos!$F$12*Supuestos!$F$9)</f>
        <v>0.273527186968537</v>
      </c>
      <c r="H12" s="30" t="n">
        <f aca="false">H11/(Supuestos!$F$12*Supuestos!$F$9)</f>
        <v>0.311083820817389</v>
      </c>
      <c r="I12" s="30" t="n">
        <f aca="false">I11/(Supuestos!$F$12*Supuestos!$F$9)</f>
        <v>0.346762622973799</v>
      </c>
      <c r="J12" s="30" t="n">
        <f aca="false">J11/(Supuestos!$F$12*Supuestos!$F$9)</f>
        <v>0.370410886382932</v>
      </c>
      <c r="K12" s="30" t="n">
        <f aca="false">K11/(Supuestos!$F$12*Supuestos!$F$9)</f>
        <v>0.392876736621609</v>
      </c>
      <c r="L12" s="30" t="n">
        <f aca="false">L11/(Supuestos!$F$12*Supuestos!$F$9)</f>
        <v>0.414219294348351</v>
      </c>
      <c r="M12" s="30" t="n">
        <f aca="false">M11/(Supuestos!$F$12*Supuestos!$F$9)</f>
        <v>0.434494724188757</v>
      </c>
      <c r="N12" s="30" t="n">
        <f aca="false">N11/(Supuestos!$F$12*Supuestos!$F$9)</f>
        <v>0.453756382537142</v>
      </c>
      <c r="O12" s="30" t="n">
        <f aca="false">O11/(Supuestos!$F$12*Supuestos!$F$9)</f>
        <v>0.472054957968108</v>
      </c>
      <c r="P12" s="30" t="n">
        <f aca="false">P11/(Supuestos!$F$12*Supuestos!$F$9)</f>
        <v>0.47919200598807</v>
      </c>
      <c r="Q12" s="30" t="n">
        <f aca="false">Q11/(Supuestos!$F$12*Supuestos!$F$9)</f>
        <v>0.485972201607034</v>
      </c>
      <c r="R12" s="30" t="n">
        <f aca="false">R11/(Supuestos!$F$12*Supuestos!$F$9)</f>
        <v>0.492413387445049</v>
      </c>
      <c r="S12" s="30" t="n">
        <f aca="false">S11/(Supuestos!$F$12*Supuestos!$F$9)</f>
        <v>0.498532513991164</v>
      </c>
      <c r="T12" s="30" t="n">
        <f aca="false">T11/(Supuestos!$F$12*Supuestos!$F$9)</f>
        <v>0.504345684209973</v>
      </c>
      <c r="U12" s="30" t="n">
        <f aca="false">U11/(Supuestos!$F$12*Supuestos!$F$9)</f>
        <v>0.509868195917842</v>
      </c>
      <c r="V12" s="30" t="n">
        <f aca="false">V11/(Supuestos!$F$12*Supuestos!$F$9)</f>
        <v>0.515114582040317</v>
      </c>
      <c r="W12" s="30" t="n">
        <f aca="false">W11/(Supuestos!$F$12*Supuestos!$F$9)</f>
        <v>0.520098648856669</v>
      </c>
      <c r="X12" s="30" t="n">
        <f aca="false">X11/(Supuestos!$F$12*Supuestos!$F$9)</f>
        <v>0.524833512332202</v>
      </c>
      <c r="Y12" s="30" t="n">
        <f aca="false">Y11/(Supuestos!$F$12*Supuestos!$F$9)</f>
        <v>0.52933163263396</v>
      </c>
      <c r="Z12" s="30" t="n">
        <f aca="false">Z11/(Supuestos!$F$12*Supuestos!$F$9)</f>
        <v>0.533604846920629</v>
      </c>
      <c r="AA12" s="30" t="n">
        <f aca="false">AA11/(Supuestos!$F$12*Supuestos!$F$9)</f>
        <v>0.537664400492965</v>
      </c>
      <c r="AB12" s="30" t="n">
        <f aca="false">AB11/(Supuestos!$F$12*Supuestos!$F$9)</f>
        <v>0.541520976386684</v>
      </c>
      <c r="AC12" s="30" t="n">
        <f aca="false">AC11/(Supuestos!$F$12*Supuestos!$F$9)</f>
        <v>0.545184723485717</v>
      </c>
      <c r="AD12" s="30" t="n">
        <f aca="false">AD11/(Supuestos!$F$12*Supuestos!$F$9)</f>
        <v>0.548665283229799</v>
      </c>
      <c r="AE12" s="30" t="n">
        <f aca="false">AE11/(Supuestos!$F$12*Supuestos!$F$9)</f>
        <v>0.551971814986676</v>
      </c>
      <c r="AF12" s="30" t="n">
        <f aca="false">AF11/(Supuestos!$F$12*Supuestos!$F$9)</f>
        <v>0.55511302015571</v>
      </c>
      <c r="AG12" s="30" t="n">
        <f aca="false">AG11/(Supuestos!$F$12*Supuestos!$F$9)</f>
        <v>0.558097165066291</v>
      </c>
      <c r="AH12" s="30" t="n">
        <f aca="false">AH11/(Supuestos!$F$12*Supuestos!$F$9)</f>
        <v>0.560932102731344</v>
      </c>
      <c r="AI12" s="30" t="n">
        <f aca="false">AI11/(Supuestos!$F$12*Supuestos!$F$9)</f>
        <v>0.563625293513144</v>
      </c>
      <c r="AJ12" s="30" t="n">
        <f aca="false">AJ11/(Supuestos!$F$12*Supuestos!$F$9)</f>
        <v>0.566183824755854</v>
      </c>
      <c r="AK12" s="30" t="n">
        <f aca="false">AK11/(Supuestos!$F$12*Supuestos!$F$9)</f>
        <v>0.568614429436429</v>
      </c>
      <c r="AL12" s="30" t="n">
        <f aca="false">AL11/(Supuestos!$F$12*Supuestos!$F$9)</f>
        <v>0.570923503882975</v>
      </c>
      <c r="AM12" s="30" t="n">
        <f aca="false">AM11/(Supuestos!$F$12*Supuestos!$F$9)</f>
        <v>0.573117124607193</v>
      </c>
    </row>
    <row r="13" customFormat="false" ht="15" hidden="false" customHeight="false" outlineLevel="0" collapsed="false">
      <c r="B13" s="4" t="s">
        <v>396</v>
      </c>
      <c r="D13" s="28" t="n">
        <f aca="false">D11/Supuestos!$F$9*Supuestos!$F$18</f>
        <v>7.80022321428571</v>
      </c>
      <c r="E13" s="28" t="n">
        <f aca="false">E11/Supuestos!$F$9*Supuestos!$F$18</f>
        <v>10.0999441964286</v>
      </c>
      <c r="F13" s="28" t="n">
        <f aca="false">F11/Supuestos!$F$9*Supuestos!$F$18</f>
        <v>12.2846791294643</v>
      </c>
      <c r="G13" s="28" t="n">
        <f aca="false">G11/Supuestos!$F$9*Supuestos!$F$18</f>
        <v>14.3601773158482</v>
      </c>
      <c r="H13" s="28" t="n">
        <f aca="false">H11/Supuestos!$F$9*Supuestos!$F$18</f>
        <v>16.3319005929129</v>
      </c>
      <c r="I13" s="28" t="n">
        <f aca="false">I11/Supuestos!$F$9*Supuestos!$F$18</f>
        <v>18.2050377061244</v>
      </c>
      <c r="J13" s="28" t="n">
        <f aca="false">J11/Supuestos!$F$9*Supuestos!$F$18</f>
        <v>19.4465715351039</v>
      </c>
      <c r="K13" s="28" t="n">
        <f aca="false">K11/Supuestos!$F$9*Supuestos!$F$18</f>
        <v>20.6260286726344</v>
      </c>
      <c r="L13" s="28" t="n">
        <f aca="false">L11/Supuestos!$F$9*Supuestos!$F$18</f>
        <v>21.7465129532884</v>
      </c>
      <c r="M13" s="28" t="n">
        <f aca="false">M11/Supuestos!$F$9*Supuestos!$F$18</f>
        <v>22.8109730199097</v>
      </c>
      <c r="N13" s="28" t="n">
        <f aca="false">N11/Supuestos!$F$9*Supuestos!$F$18</f>
        <v>23.8222100832</v>
      </c>
      <c r="O13" s="28" t="n">
        <f aca="false">O11/Supuestos!$F$9*Supuestos!$F$18</f>
        <v>24.7828852933257</v>
      </c>
      <c r="P13" s="28" t="n">
        <f aca="false">P11/Supuestos!$F$9*Supuestos!$F$18</f>
        <v>25.1575803143737</v>
      </c>
      <c r="Q13" s="28" t="n">
        <f aca="false">Q11/Supuestos!$F$9*Supuestos!$F$18</f>
        <v>25.5135405843693</v>
      </c>
      <c r="R13" s="28" t="n">
        <f aca="false">R11/Supuestos!$F$9*Supuestos!$F$18</f>
        <v>25.8517028408651</v>
      </c>
      <c r="S13" s="28" t="n">
        <f aca="false">S11/Supuestos!$F$9*Supuestos!$F$18</f>
        <v>26.1729569845361</v>
      </c>
      <c r="T13" s="28" t="n">
        <f aca="false">T11/Supuestos!$F$9*Supuestos!$F$18</f>
        <v>26.4781484210236</v>
      </c>
      <c r="U13" s="28" t="n">
        <f aca="false">U11/Supuestos!$F$9*Supuestos!$F$18</f>
        <v>26.7680802856867</v>
      </c>
      <c r="V13" s="28" t="n">
        <f aca="false">V11/Supuestos!$F$9*Supuestos!$F$18</f>
        <v>27.0435155571166</v>
      </c>
      <c r="W13" s="28" t="n">
        <f aca="false">W11/Supuestos!$F$9*Supuestos!$F$18</f>
        <v>27.3051790649751</v>
      </c>
      <c r="X13" s="28" t="n">
        <f aca="false">X11/Supuestos!$F$9*Supuestos!$F$18</f>
        <v>27.5537593974406</v>
      </c>
      <c r="Y13" s="28" t="n">
        <f aca="false">Y11/Supuestos!$F$9*Supuestos!$F$18</f>
        <v>27.7899107132829</v>
      </c>
      <c r="Z13" s="28" t="n">
        <f aca="false">Z11/Supuestos!$F$9*Supuestos!$F$18</f>
        <v>28.014254463333</v>
      </c>
      <c r="AA13" s="28" t="n">
        <f aca="false">AA11/Supuestos!$F$9*Supuestos!$F$18</f>
        <v>28.2273810258807</v>
      </c>
      <c r="AB13" s="28" t="n">
        <f aca="false">AB11/Supuestos!$F$9*Supuestos!$F$18</f>
        <v>28.4298512603009</v>
      </c>
      <c r="AC13" s="28" t="n">
        <f aca="false">AC11/Supuestos!$F$9*Supuestos!$F$18</f>
        <v>28.6221979830002</v>
      </c>
      <c r="AD13" s="28" t="n">
        <f aca="false">AD11/Supuestos!$F$9*Supuestos!$F$18</f>
        <v>28.8049273695644</v>
      </c>
      <c r="AE13" s="28" t="n">
        <f aca="false">AE11/Supuestos!$F$9*Supuestos!$F$18</f>
        <v>28.9785202868005</v>
      </c>
      <c r="AF13" s="28" t="n">
        <f aca="false">AF11/Supuestos!$F$9*Supuestos!$F$18</f>
        <v>29.1434335581748</v>
      </c>
      <c r="AG13" s="28" t="n">
        <f aca="false">AG11/Supuestos!$F$9*Supuestos!$F$18</f>
        <v>29.3001011659803</v>
      </c>
      <c r="AH13" s="28" t="n">
        <f aca="false">AH11/Supuestos!$F$9*Supuestos!$F$18</f>
        <v>29.4489353933956</v>
      </c>
      <c r="AI13" s="28" t="n">
        <f aca="false">AI11/Supuestos!$F$9*Supuestos!$F$18</f>
        <v>29.5903279094401</v>
      </c>
      <c r="AJ13" s="28" t="n">
        <f aca="false">AJ11/Supuestos!$F$9*Supuestos!$F$18</f>
        <v>29.7246507996824</v>
      </c>
      <c r="AK13" s="28" t="n">
        <f aca="false">AK11/Supuestos!$F$9*Supuestos!$F$18</f>
        <v>29.8522575454125</v>
      </c>
      <c r="AL13" s="28" t="n">
        <f aca="false">AL11/Supuestos!$F$9*Supuestos!$F$18</f>
        <v>29.9734839538562</v>
      </c>
      <c r="AM13" s="28" t="n">
        <f aca="false">AM11/Supuestos!$F$9*Supuestos!$F$18</f>
        <v>30.0886490418777</v>
      </c>
    </row>
    <row r="14" customFormat="false" ht="15" hidden="false" customHeight="false" outlineLevel="0" collapsed="false">
      <c r="B14" s="14" t="s">
        <v>397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customFormat="false" ht="15" hidden="false" customHeight="false" outlineLevel="0" collapsed="false">
      <c r="B15" s="4" t="s">
        <v>398</v>
      </c>
      <c r="D15" s="25" t="n">
        <f aca="false">D7*((Supuestos!$F$29*Supuestos!$F$25+Supuestos!$F$30*Supuestos!$F$26+Supuestos!$F$31*Supuestos!$F$27+Supuestos!$F$32*Supuestos!$F$28)*Supuestos!$F$37)*(1-Supuestos!$F$38)/(1+Supuestos!$F$7*Supuestos!$F$8)/Supuestos!$F$6</f>
        <v>730.543507628735</v>
      </c>
      <c r="E15" s="25" t="n">
        <f aca="false">E7*((Supuestos!$F$29*Supuestos!$F$25+Supuestos!$F$30*Supuestos!$F$26+Supuestos!$F$31*Supuestos!$F$27+Supuestos!$F$32*Supuestos!$F$28)*Supuestos!$F$37)*(1-Supuestos!$F$38)/(1+Supuestos!$F$7*Supuestos!$F$8)/Supuestos!$F$6</f>
        <v>945.927886602034</v>
      </c>
      <c r="F15" s="25" t="n">
        <f aca="false">F7*((Supuestos!$F$29*Supuestos!$F$25+Supuestos!$F$30*Supuestos!$F$26+Supuestos!$F$31*Supuestos!$F$27+Supuestos!$F$32*Supuestos!$F$28)*Supuestos!$F$37)*(1-Supuestos!$F$38)/(1+Supuestos!$F$7*Supuestos!$F$8)/Supuestos!$F$6</f>
        <v>1150.54304662667</v>
      </c>
      <c r="G15" s="25" t="n">
        <f aca="false">G7*((Supuestos!$F$29*Supuestos!$F$25+Supuestos!$F$30*Supuestos!$F$26+Supuestos!$F$31*Supuestos!$F$27+Supuestos!$F$32*Supuestos!$F$28)*Supuestos!$F$37)*(1-Supuestos!$F$38)/(1+Supuestos!$F$7*Supuestos!$F$8)/Supuestos!$F$6</f>
        <v>1344.92744865007</v>
      </c>
      <c r="H15" s="25" t="n">
        <f aca="false">H7*((Supuestos!$F$29*Supuestos!$F$25+Supuestos!$F$30*Supuestos!$F$26+Supuestos!$F$31*Supuestos!$F$27+Supuestos!$F$32*Supuestos!$F$28)*Supuestos!$F$37)*(1-Supuestos!$F$38)/(1+Supuestos!$F$7*Supuestos!$F$8)/Supuestos!$F$6</f>
        <v>1529.5926305723</v>
      </c>
      <c r="I15" s="25" t="n">
        <f aca="false">I7*((Supuestos!$F$29*Supuestos!$F$25+Supuestos!$F$30*Supuestos!$F$26+Supuestos!$F$31*Supuestos!$F$27+Supuestos!$F$32*Supuestos!$F$28)*Supuestos!$F$37)*(1-Supuestos!$F$38)/(1+Supuestos!$F$7*Supuestos!$F$8)/Supuestos!$F$6</f>
        <v>1705.02455339842</v>
      </c>
      <c r="J15" s="25" t="n">
        <f aca="false">J7*((Supuestos!$F$29*Supuestos!$F$25+Supuestos!$F$30*Supuestos!$F$26+Supuestos!$F$31*Supuestos!$F$27+Supuestos!$F$32*Supuestos!$F$28)*Supuestos!$F$37)*(1-Supuestos!$F$38)/(1+Supuestos!$F$7*Supuestos!$F$8)/Supuestos!$F$6</f>
        <v>1821.30256921229</v>
      </c>
      <c r="K15" s="25" t="n">
        <f aca="false">K7*((Supuestos!$F$29*Supuestos!$F$25+Supuestos!$F$30*Supuestos!$F$26+Supuestos!$F$31*Supuestos!$F$27+Supuestos!$F$32*Supuestos!$F$28)*Supuestos!$F$37)*(1-Supuestos!$F$38)/(1+Supuestos!$F$7*Supuestos!$F$8)/Supuestos!$F$6</f>
        <v>1931.76668423547</v>
      </c>
      <c r="L15" s="25" t="n">
        <f aca="false">L7*((Supuestos!$F$29*Supuestos!$F$25+Supuestos!$F$30*Supuestos!$F$26+Supuestos!$F$31*Supuestos!$F$27+Supuestos!$F$32*Supuestos!$F$28)*Supuestos!$F$37)*(1-Supuestos!$F$38)/(1+Supuestos!$F$7*Supuestos!$F$8)/Supuestos!$F$6</f>
        <v>2036.70759350748</v>
      </c>
      <c r="M15" s="25" t="n">
        <f aca="false">M7*((Supuestos!$F$29*Supuestos!$F$25+Supuestos!$F$30*Supuestos!$F$26+Supuestos!$F$31*Supuestos!$F$27+Supuestos!$F$32*Supuestos!$F$28)*Supuestos!$F$37)*(1-Supuestos!$F$38)/(1+Supuestos!$F$7*Supuestos!$F$8)/Supuestos!$F$6</f>
        <v>2136.4014573159</v>
      </c>
      <c r="N15" s="25" t="n">
        <f aca="false">N7*((Supuestos!$F$29*Supuestos!$F$25+Supuestos!$F$30*Supuestos!$F$26+Supuestos!$F$31*Supuestos!$F$27+Supuestos!$F$32*Supuestos!$F$28)*Supuestos!$F$37)*(1-Supuestos!$F$38)/(1+Supuestos!$F$7*Supuestos!$F$8)/Supuestos!$F$6</f>
        <v>2231.11062793389</v>
      </c>
      <c r="O15" s="25" t="n">
        <f aca="false">O7*((Supuestos!$F$29*Supuestos!$F$25+Supuestos!$F$30*Supuestos!$F$26+Supuestos!$F$31*Supuestos!$F$27+Supuestos!$F$32*Supuestos!$F$28)*Supuestos!$F$37)*(1-Supuestos!$F$38)/(1+Supuestos!$F$7*Supuestos!$F$8)/Supuestos!$F$6</f>
        <v>2321.08434002098</v>
      </c>
      <c r="P15" s="25" t="n">
        <f aca="false">P7*((Supuestos!$F$29*Supuestos!$F$25+Supuestos!$F$30*Supuestos!$F$26+Supuestos!$F$31*Supuestos!$F$27+Supuestos!$F$32*Supuestos!$F$28)*Supuestos!$F$37)*(1-Supuestos!$F$38)/(1+Supuestos!$F$7*Supuestos!$F$8)/Supuestos!$F$6</f>
        <v>2356.17705563278</v>
      </c>
      <c r="Q15" s="25" t="n">
        <f aca="false">Q7*((Supuestos!$F$29*Supuestos!$F$25+Supuestos!$F$30*Supuestos!$F$26+Supuestos!$F$31*Supuestos!$F$27+Supuestos!$F$32*Supuestos!$F$28)*Supuestos!$F$37)*(1-Supuestos!$F$38)/(1+Supuestos!$F$7*Supuestos!$F$8)/Supuestos!$F$6</f>
        <v>2389.51513546398</v>
      </c>
      <c r="R15" s="25" t="n">
        <f aca="false">R7*((Supuestos!$F$29*Supuestos!$F$25+Supuestos!$F$30*Supuestos!$F$26+Supuestos!$F$31*Supuestos!$F$27+Supuestos!$F$32*Supuestos!$F$28)*Supuestos!$F$37)*(1-Supuestos!$F$38)/(1+Supuestos!$F$7*Supuestos!$F$8)/Supuestos!$F$6</f>
        <v>2421.18631130362</v>
      </c>
      <c r="S15" s="25" t="n">
        <f aca="false">S7*((Supuestos!$F$29*Supuestos!$F$25+Supuestos!$F$30*Supuestos!$F$26+Supuestos!$F$31*Supuestos!$F$27+Supuestos!$F$32*Supuestos!$F$28)*Supuestos!$F$37)*(1-Supuestos!$F$38)/(1+Supuestos!$F$7*Supuestos!$F$8)/Supuestos!$F$6</f>
        <v>2451.27392835128</v>
      </c>
      <c r="T15" s="25" t="n">
        <f aca="false">T7*((Supuestos!$F$29*Supuestos!$F$25+Supuestos!$F$30*Supuestos!$F$26+Supuestos!$F$31*Supuestos!$F$27+Supuestos!$F$32*Supuestos!$F$28)*Supuestos!$F$37)*(1-Supuestos!$F$38)/(1+Supuestos!$F$7*Supuestos!$F$8)/Supuestos!$F$6</f>
        <v>2479.85716454656</v>
      </c>
      <c r="U15" s="25" t="n">
        <f aca="false">U7*((Supuestos!$F$29*Supuestos!$F$25+Supuestos!$F$30*Supuestos!$F$26+Supuestos!$F$31*Supuestos!$F$27+Supuestos!$F$32*Supuestos!$F$28)*Supuestos!$F$37)*(1-Supuestos!$F$38)/(1+Supuestos!$F$7*Supuestos!$F$8)/Supuestos!$F$6</f>
        <v>2507.01123893207</v>
      </c>
      <c r="V15" s="25" t="n">
        <f aca="false">V7*((Supuestos!$F$29*Supuestos!$F$25+Supuestos!$F$30*Supuestos!$F$26+Supuestos!$F$31*Supuestos!$F$27+Supuestos!$F$32*Supuestos!$F$28)*Supuestos!$F$37)*(1-Supuestos!$F$38)/(1+Supuestos!$F$7*Supuestos!$F$8)/Supuestos!$F$6</f>
        <v>2532.80760959831</v>
      </c>
      <c r="W15" s="25" t="n">
        <f aca="false">W7*((Supuestos!$F$29*Supuestos!$F$25+Supuestos!$F$30*Supuestos!$F$26+Supuestos!$F$31*Supuestos!$F$27+Supuestos!$F$32*Supuestos!$F$28)*Supuestos!$F$37)*(1-Supuestos!$F$38)/(1+Supuestos!$F$7*Supuestos!$F$8)/Supuestos!$F$6</f>
        <v>2557.31416173124</v>
      </c>
      <c r="X15" s="25" t="n">
        <f aca="false">X7*((Supuestos!$F$29*Supuestos!$F$25+Supuestos!$F$30*Supuestos!$F$26+Supuestos!$F$31*Supuestos!$F$27+Supuestos!$F$32*Supuestos!$F$28)*Supuestos!$F$37)*(1-Supuestos!$F$38)/(1+Supuestos!$F$7*Supuestos!$F$8)/Supuestos!$F$6</f>
        <v>2580.59538625752</v>
      </c>
      <c r="Y15" s="25" t="n">
        <f aca="false">Y7*((Supuestos!$F$29*Supuestos!$F$25+Supuestos!$F$30*Supuestos!$F$26+Supuestos!$F$31*Supuestos!$F$27+Supuestos!$F$32*Supuestos!$F$28)*Supuestos!$F$37)*(1-Supuestos!$F$38)/(1+Supuestos!$F$7*Supuestos!$F$8)/Supuestos!$F$6</f>
        <v>2602.71254955748</v>
      </c>
      <c r="Z15" s="25" t="n">
        <f aca="false">Z7*((Supuestos!$F$29*Supuestos!$F$25+Supuestos!$F$30*Supuestos!$F$26+Supuestos!$F$31*Supuestos!$F$27+Supuestos!$F$32*Supuestos!$F$28)*Supuestos!$F$37)*(1-Supuestos!$F$38)/(1+Supuestos!$F$7*Supuestos!$F$8)/Supuestos!$F$6</f>
        <v>2623.72385469245</v>
      </c>
      <c r="AA15" s="25" t="n">
        <f aca="false">AA7*((Supuestos!$F$29*Supuestos!$F$25+Supuestos!$F$30*Supuestos!$F$26+Supuestos!$F$31*Supuestos!$F$27+Supuestos!$F$32*Supuestos!$F$28)*Supuestos!$F$37)*(1-Supuestos!$F$38)/(1+Supuestos!$F$7*Supuestos!$F$8)/Supuestos!$F$6</f>
        <v>2643.68459457067</v>
      </c>
      <c r="AB15" s="25" t="n">
        <f aca="false">AB7*((Supuestos!$F$29*Supuestos!$F$25+Supuestos!$F$30*Supuestos!$F$26+Supuestos!$F$31*Supuestos!$F$27+Supuestos!$F$32*Supuestos!$F$28)*Supuestos!$F$37)*(1-Supuestos!$F$38)/(1+Supuestos!$F$7*Supuestos!$F$8)/Supuestos!$F$6</f>
        <v>2662.64729745498</v>
      </c>
      <c r="AC15" s="25" t="n">
        <f aca="false">AC7*((Supuestos!$F$29*Supuestos!$F$25+Supuestos!$F$30*Supuestos!$F$26+Supuestos!$F$31*Supuestos!$F$27+Supuestos!$F$32*Supuestos!$F$28)*Supuestos!$F$37)*(1-Supuestos!$F$38)/(1+Supuestos!$F$7*Supuestos!$F$8)/Supuestos!$F$6</f>
        <v>2680.66186519507</v>
      </c>
      <c r="AD15" s="25" t="n">
        <f aca="false">AD7*((Supuestos!$F$29*Supuestos!$F$25+Supuestos!$F$30*Supuestos!$F$26+Supuestos!$F$31*Supuestos!$F$27+Supuestos!$F$32*Supuestos!$F$28)*Supuestos!$F$37)*(1-Supuestos!$F$38)/(1+Supuestos!$F$7*Supuestos!$F$8)/Supuestos!$F$6</f>
        <v>2697.77570454816</v>
      </c>
      <c r="AE15" s="25" t="n">
        <f aca="false">AE7*((Supuestos!$F$29*Supuestos!$F$25+Supuestos!$F$30*Supuestos!$F$26+Supuestos!$F$31*Supuestos!$F$27+Supuestos!$F$32*Supuestos!$F$28)*Supuestos!$F$37)*(1-Supuestos!$F$38)/(1+Supuestos!$F$7*Supuestos!$F$8)/Supuestos!$F$6</f>
        <v>2714.03385193359</v>
      </c>
      <c r="AF15" s="25" t="n">
        <f aca="false">AF7*((Supuestos!$F$29*Supuestos!$F$25+Supuestos!$F$30*Supuestos!$F$26+Supuestos!$F$31*Supuestos!$F$27+Supuestos!$F$32*Supuestos!$F$28)*Supuestos!$F$37)*(1-Supuestos!$F$38)/(1+Supuestos!$F$7*Supuestos!$F$8)/Supuestos!$F$6</f>
        <v>2729.47909194975</v>
      </c>
      <c r="AG15" s="25" t="n">
        <f aca="false">AG7*((Supuestos!$F$29*Supuestos!$F$25+Supuestos!$F$30*Supuestos!$F$26+Supuestos!$F$31*Supuestos!$F$27+Supuestos!$F$32*Supuestos!$F$28)*Supuestos!$F$37)*(1-Supuestos!$F$38)/(1+Supuestos!$F$7*Supuestos!$F$8)/Supuestos!$F$6</f>
        <v>2744.15206996511</v>
      </c>
      <c r="AH15" s="25" t="n">
        <f aca="false">AH7*((Supuestos!$F$29*Supuestos!$F$25+Supuestos!$F$30*Supuestos!$F$26+Supuestos!$F$31*Supuestos!$F$27+Supuestos!$F$32*Supuestos!$F$28)*Supuestos!$F$37)*(1-Supuestos!$F$38)/(1+Supuestos!$F$7*Supuestos!$F$8)/Supuestos!$F$6</f>
        <v>2758.09139907969</v>
      </c>
      <c r="AI15" s="25" t="n">
        <f aca="false">AI7*((Supuestos!$F$29*Supuestos!$F$25+Supuestos!$F$30*Supuestos!$F$26+Supuestos!$F$31*Supuestos!$F$27+Supuestos!$F$32*Supuestos!$F$28)*Supuestos!$F$37)*(1-Supuestos!$F$38)/(1+Supuestos!$F$7*Supuestos!$F$8)/Supuestos!$F$6</f>
        <v>2771.33376173855</v>
      </c>
      <c r="AJ15" s="25" t="n">
        <f aca="false">AJ7*((Supuestos!$F$29*Supuestos!$F$25+Supuestos!$F$30*Supuestos!$F$26+Supuestos!$F$31*Supuestos!$F$27+Supuestos!$F$32*Supuestos!$F$28)*Supuestos!$F$37)*(1-Supuestos!$F$38)/(1+Supuestos!$F$7*Supuestos!$F$8)/Supuestos!$F$6</f>
        <v>2783.91400626447</v>
      </c>
      <c r="AK15" s="25" t="n">
        <f aca="false">AK7*((Supuestos!$F$29*Supuestos!$F$25+Supuestos!$F$30*Supuestos!$F$26+Supuestos!$F$31*Supuestos!$F$27+Supuestos!$F$32*Supuestos!$F$28)*Supuestos!$F$37)*(1-Supuestos!$F$38)/(1+Supuestos!$F$7*Supuestos!$F$8)/Supuestos!$F$6</f>
        <v>2795.86523856408</v>
      </c>
      <c r="AL15" s="25" t="n">
        <f aca="false">AL7*((Supuestos!$F$29*Supuestos!$F$25+Supuestos!$F$30*Supuestos!$F$26+Supuestos!$F$31*Supuestos!$F$27+Supuestos!$F$32*Supuestos!$F$28)*Supuestos!$F$37)*(1-Supuestos!$F$38)/(1+Supuestos!$F$7*Supuestos!$F$8)/Supuestos!$F$6</f>
        <v>2807.21890924872</v>
      </c>
      <c r="AM15" s="25" t="n">
        <f aca="false">AM7*((Supuestos!$F$29*Supuestos!$F$25+Supuestos!$F$30*Supuestos!$F$26+Supuestos!$F$31*Supuestos!$F$27+Supuestos!$F$32*Supuestos!$F$28)*Supuestos!$F$37)*(1-Supuestos!$F$38)/(1+Supuestos!$F$7*Supuestos!$F$8)/Supuestos!$F$6</f>
        <v>2818.00489639913</v>
      </c>
    </row>
    <row r="16" customFormat="false" ht="15" hidden="false" customHeight="false" outlineLevel="0" collapsed="false">
      <c r="B16" s="4" t="s">
        <v>399</v>
      </c>
      <c r="D16" s="25" t="n">
        <f aca="false">D9*Supuestos!$F$33*Supuestos!$F$37*(1-Supuestos!$F$38)/(1+Supuestos!$F$7*Supuestos!$F$8)/Supuestos!$F$6</f>
        <v>93.5354418308964</v>
      </c>
      <c r="E16" s="25" t="n">
        <f aca="false">E9*Supuestos!$F$33*Supuestos!$F$37*(1-Supuestos!$F$38)/(1+Supuestos!$F$7*Supuestos!$F$8)/Supuestos!$F$6</f>
        <v>184.264820406866</v>
      </c>
      <c r="F16" s="25" t="n">
        <f aca="false">F9*Supuestos!$F$33*Supuestos!$F$37*(1-Supuestos!$F$38)/(1+Supuestos!$F$7*Supuestos!$F$8)/Supuestos!$F$6</f>
        <v>272.272317625556</v>
      </c>
      <c r="G16" s="25" t="n">
        <f aca="false">G9*Supuestos!$F$33*Supuestos!$F$37*(1-Supuestos!$F$38)/(1+Supuestos!$F$7*Supuestos!$F$8)/Supuestos!$F$6</f>
        <v>357.639589927686</v>
      </c>
      <c r="H16" s="25" t="n">
        <f aca="false">H9*Supuestos!$F$33*Supuestos!$F$37*(1-Supuestos!$F$38)/(1+Supuestos!$F$7*Supuestos!$F$8)/Supuestos!$F$6</f>
        <v>440.445844060752</v>
      </c>
      <c r="I16" s="25" t="n">
        <f aca="false">I9*Supuestos!$F$33*Supuestos!$F$37*(1-Supuestos!$F$38)/(1+Supuestos!$F$7*Supuestos!$F$8)/Supuestos!$F$6</f>
        <v>498.855689764781</v>
      </c>
      <c r="J16" s="25" t="n">
        <f aca="false">J9*Supuestos!$F$33*Supuestos!$F$37*(1-Supuestos!$F$38)/(1+Supuestos!$F$7*Supuestos!$F$8)/Supuestos!$F$6</f>
        <v>498.855689764781</v>
      </c>
      <c r="K16" s="25" t="n">
        <f aca="false">K9*Supuestos!$F$33*Supuestos!$F$37*(1-Supuestos!$F$38)/(1+Supuestos!$F$7*Supuestos!$F$8)/Supuestos!$F$6</f>
        <v>498.855689764781</v>
      </c>
      <c r="L16" s="25" t="n">
        <f aca="false">L9*Supuestos!$F$33*Supuestos!$F$37*(1-Supuestos!$F$38)/(1+Supuestos!$F$7*Supuestos!$F$8)/Supuestos!$F$6</f>
        <v>498.855689764781</v>
      </c>
      <c r="M16" s="25" t="n">
        <f aca="false">M9*Supuestos!$F$33*Supuestos!$F$37*(1-Supuestos!$F$38)/(1+Supuestos!$F$7*Supuestos!$F$8)/Supuestos!$F$6</f>
        <v>498.855689764781</v>
      </c>
      <c r="N16" s="25" t="n">
        <f aca="false">N9*Supuestos!$F$33*Supuestos!$F$37*(1-Supuestos!$F$38)/(1+Supuestos!$F$7*Supuestos!$F$8)/Supuestos!$F$6</f>
        <v>498.855689764781</v>
      </c>
      <c r="O16" s="25" t="n">
        <f aca="false">O9*Supuestos!$F$33*Supuestos!$F$37*(1-Supuestos!$F$38)/(1+Supuestos!$F$7*Supuestos!$F$8)/Supuestos!$F$6</f>
        <v>498.855689764781</v>
      </c>
      <c r="P16" s="25" t="n">
        <f aca="false">P9*Supuestos!$F$33*Supuestos!$F$37*(1-Supuestos!$F$38)/(1+Supuestos!$F$7*Supuestos!$F$8)/Supuestos!$F$6</f>
        <v>498.855689764781</v>
      </c>
      <c r="Q16" s="25" t="n">
        <f aca="false">Q9*Supuestos!$F$33*Supuestos!$F$37*(1-Supuestos!$F$38)/(1+Supuestos!$F$7*Supuestos!$F$8)/Supuestos!$F$6</f>
        <v>498.855689764781</v>
      </c>
      <c r="R16" s="25" t="n">
        <f aca="false">R9*Supuestos!$F$33*Supuestos!$F$37*(1-Supuestos!$F$38)/(1+Supuestos!$F$7*Supuestos!$F$8)/Supuestos!$F$6</f>
        <v>498.855689764781</v>
      </c>
      <c r="S16" s="25" t="n">
        <f aca="false">S9*Supuestos!$F$33*Supuestos!$F$37*(1-Supuestos!$F$38)/(1+Supuestos!$F$7*Supuestos!$F$8)/Supuestos!$F$6</f>
        <v>498.855689764781</v>
      </c>
      <c r="T16" s="25" t="n">
        <f aca="false">T9*Supuestos!$F$33*Supuestos!$F$37*(1-Supuestos!$F$38)/(1+Supuestos!$F$7*Supuestos!$F$8)/Supuestos!$F$6</f>
        <v>498.855689764781</v>
      </c>
      <c r="U16" s="25" t="n">
        <f aca="false">U9*Supuestos!$F$33*Supuestos!$F$37*(1-Supuestos!$F$38)/(1+Supuestos!$F$7*Supuestos!$F$8)/Supuestos!$F$6</f>
        <v>498.855689764781</v>
      </c>
      <c r="V16" s="25" t="n">
        <f aca="false">V9*Supuestos!$F$33*Supuestos!$F$37*(1-Supuestos!$F$38)/(1+Supuestos!$F$7*Supuestos!$F$8)/Supuestos!$F$6</f>
        <v>498.855689764781</v>
      </c>
      <c r="W16" s="25" t="n">
        <f aca="false">W9*Supuestos!$F$33*Supuestos!$F$37*(1-Supuestos!$F$38)/(1+Supuestos!$F$7*Supuestos!$F$8)/Supuestos!$F$6</f>
        <v>498.855689764781</v>
      </c>
      <c r="X16" s="25" t="n">
        <f aca="false">X9*Supuestos!$F$33*Supuestos!$F$37*(1-Supuestos!$F$38)/(1+Supuestos!$F$7*Supuestos!$F$8)/Supuestos!$F$6</f>
        <v>498.855689764781</v>
      </c>
      <c r="Y16" s="25" t="n">
        <f aca="false">Y9*Supuestos!$F$33*Supuestos!$F$37*(1-Supuestos!$F$38)/(1+Supuestos!$F$7*Supuestos!$F$8)/Supuestos!$F$6</f>
        <v>498.855689764781</v>
      </c>
      <c r="Z16" s="25" t="n">
        <f aca="false">Z9*Supuestos!$F$33*Supuestos!$F$37*(1-Supuestos!$F$38)/(1+Supuestos!$F$7*Supuestos!$F$8)/Supuestos!$F$6</f>
        <v>498.855689764781</v>
      </c>
      <c r="AA16" s="25" t="n">
        <f aca="false">AA9*Supuestos!$F$33*Supuestos!$F$37*(1-Supuestos!$F$38)/(1+Supuestos!$F$7*Supuestos!$F$8)/Supuestos!$F$6</f>
        <v>498.855689764781</v>
      </c>
      <c r="AB16" s="25" t="n">
        <f aca="false">AB9*Supuestos!$F$33*Supuestos!$F$37*(1-Supuestos!$F$38)/(1+Supuestos!$F$7*Supuestos!$F$8)/Supuestos!$F$6</f>
        <v>498.855689764781</v>
      </c>
      <c r="AC16" s="25" t="n">
        <f aca="false">AC9*Supuestos!$F$33*Supuestos!$F$37*(1-Supuestos!$F$38)/(1+Supuestos!$F$7*Supuestos!$F$8)/Supuestos!$F$6</f>
        <v>498.855689764781</v>
      </c>
      <c r="AD16" s="25" t="n">
        <f aca="false">AD9*Supuestos!$F$33*Supuestos!$F$37*(1-Supuestos!$F$38)/(1+Supuestos!$F$7*Supuestos!$F$8)/Supuestos!$F$6</f>
        <v>498.855689764781</v>
      </c>
      <c r="AE16" s="25" t="n">
        <f aca="false">AE9*Supuestos!$F$33*Supuestos!$F$37*(1-Supuestos!$F$38)/(1+Supuestos!$F$7*Supuestos!$F$8)/Supuestos!$F$6</f>
        <v>498.855689764781</v>
      </c>
      <c r="AF16" s="25" t="n">
        <f aca="false">AF9*Supuestos!$F$33*Supuestos!$F$37*(1-Supuestos!$F$38)/(1+Supuestos!$F$7*Supuestos!$F$8)/Supuestos!$F$6</f>
        <v>498.855689764781</v>
      </c>
      <c r="AG16" s="25" t="n">
        <f aca="false">AG9*Supuestos!$F$33*Supuestos!$F$37*(1-Supuestos!$F$38)/(1+Supuestos!$F$7*Supuestos!$F$8)/Supuestos!$F$6</f>
        <v>498.855689764781</v>
      </c>
      <c r="AH16" s="25" t="n">
        <f aca="false">AH9*Supuestos!$F$33*Supuestos!$F$37*(1-Supuestos!$F$38)/(1+Supuestos!$F$7*Supuestos!$F$8)/Supuestos!$F$6</f>
        <v>498.855689764781</v>
      </c>
      <c r="AI16" s="25" t="n">
        <f aca="false">AI9*Supuestos!$F$33*Supuestos!$F$37*(1-Supuestos!$F$38)/(1+Supuestos!$F$7*Supuestos!$F$8)/Supuestos!$F$6</f>
        <v>498.855689764781</v>
      </c>
      <c r="AJ16" s="25" t="n">
        <f aca="false">AJ9*Supuestos!$F$33*Supuestos!$F$37*(1-Supuestos!$F$38)/(1+Supuestos!$F$7*Supuestos!$F$8)/Supuestos!$F$6</f>
        <v>498.855689764781</v>
      </c>
      <c r="AK16" s="25" t="n">
        <f aca="false">AK9*Supuestos!$F$33*Supuestos!$F$37*(1-Supuestos!$F$38)/(1+Supuestos!$F$7*Supuestos!$F$8)/Supuestos!$F$6</f>
        <v>498.855689764781</v>
      </c>
      <c r="AL16" s="25" t="n">
        <f aca="false">AL9*Supuestos!$F$33*Supuestos!$F$37*(1-Supuestos!$F$38)/(1+Supuestos!$F$7*Supuestos!$F$8)/Supuestos!$F$6</f>
        <v>498.855689764781</v>
      </c>
      <c r="AM16" s="25" t="n">
        <f aca="false">AM9*Supuestos!$F$33*Supuestos!$F$37*(1-Supuestos!$F$38)/(1+Supuestos!$F$7*Supuestos!$F$8)/Supuestos!$F$6</f>
        <v>498.855689764781</v>
      </c>
    </row>
    <row r="17" customFormat="false" ht="15" hidden="false" customHeight="false" outlineLevel="0" collapsed="false">
      <c r="B17" s="4" t="s">
        <v>400</v>
      </c>
      <c r="D17" s="25" t="n">
        <f aca="false">D10*Supuestos!$F$34*Supuestos!$F$37*(1-Supuestos!$F$38)/(1+Supuestos!$F$7*Supuestos!$F$8)/Supuestos!$F$6</f>
        <v>190.241576605213</v>
      </c>
      <c r="E17" s="25" t="n">
        <f aca="false">E10*Supuestos!$F$34*Supuestos!$F$37*(1-Supuestos!$F$38)/(1+Supuestos!$F$7*Supuestos!$F$8)/Supuestos!$F$6</f>
        <v>380.483153210426</v>
      </c>
      <c r="F17" s="25" t="n">
        <f aca="false">F10*Supuestos!$F$34*Supuestos!$F$37*(1-Supuestos!$F$38)/(1+Supuestos!$F$7*Supuestos!$F$8)/Supuestos!$F$6</f>
        <v>570.724729815639</v>
      </c>
      <c r="G17" s="25" t="n">
        <f aca="false">G10*Supuestos!$F$34*Supuestos!$F$37*(1-Supuestos!$F$38)/(1+Supuestos!$F$7*Supuestos!$F$8)/Supuestos!$F$6</f>
        <v>760.966306420852</v>
      </c>
      <c r="H17" s="25" t="n">
        <f aca="false">H10*Supuestos!$F$34*Supuestos!$F$37*(1-Supuestos!$F$38)/(1+Supuestos!$F$7*Supuestos!$F$8)/Supuestos!$F$6</f>
        <v>760.966306420852</v>
      </c>
      <c r="I17" s="25" t="n">
        <f aca="false">I10*Supuestos!$F$34*Supuestos!$F$37*(1-Supuestos!$F$38)/(1+Supuestos!$F$7*Supuestos!$F$8)/Supuestos!$F$6</f>
        <v>760.966306420852</v>
      </c>
      <c r="J17" s="25" t="n">
        <f aca="false">J10*Supuestos!$F$34*Supuestos!$F$37*(1-Supuestos!$F$38)/(1+Supuestos!$F$7*Supuestos!$F$8)/Supuestos!$F$6</f>
        <v>760.966306420852</v>
      </c>
      <c r="K17" s="25" t="n">
        <f aca="false">K10*Supuestos!$F$34*Supuestos!$F$37*(1-Supuestos!$F$38)/(1+Supuestos!$F$7*Supuestos!$F$8)/Supuestos!$F$6</f>
        <v>760.966306420852</v>
      </c>
      <c r="L17" s="25" t="n">
        <f aca="false">L10*Supuestos!$F$34*Supuestos!$F$37*(1-Supuestos!$F$38)/(1+Supuestos!$F$7*Supuestos!$F$8)/Supuestos!$F$6</f>
        <v>760.966306420852</v>
      </c>
      <c r="M17" s="25" t="n">
        <f aca="false">M10*Supuestos!$F$34*Supuestos!$F$37*(1-Supuestos!$F$38)/(1+Supuestos!$F$7*Supuestos!$F$8)/Supuestos!$F$6</f>
        <v>760.966306420852</v>
      </c>
      <c r="N17" s="25" t="n">
        <f aca="false">N10*Supuestos!$F$34*Supuestos!$F$37*(1-Supuestos!$F$38)/(1+Supuestos!$F$7*Supuestos!$F$8)/Supuestos!$F$6</f>
        <v>760.966306420852</v>
      </c>
      <c r="O17" s="25" t="n">
        <f aca="false">O10*Supuestos!$F$34*Supuestos!$F$37*(1-Supuestos!$F$38)/(1+Supuestos!$F$7*Supuestos!$F$8)/Supuestos!$F$6</f>
        <v>760.966306420852</v>
      </c>
      <c r="P17" s="25" t="n">
        <f aca="false">P10*Supuestos!$F$34*Supuestos!$F$37*(1-Supuestos!$F$38)/(1+Supuestos!$F$7*Supuestos!$F$8)/Supuestos!$F$6</f>
        <v>760.966306420852</v>
      </c>
      <c r="Q17" s="25" t="n">
        <f aca="false">Q10*Supuestos!$F$34*Supuestos!$F$37*(1-Supuestos!$F$38)/(1+Supuestos!$F$7*Supuestos!$F$8)/Supuestos!$F$6</f>
        <v>760.966306420852</v>
      </c>
      <c r="R17" s="25" t="n">
        <f aca="false">R10*Supuestos!$F$34*Supuestos!$F$37*(1-Supuestos!$F$38)/(1+Supuestos!$F$7*Supuestos!$F$8)/Supuestos!$F$6</f>
        <v>760.966306420852</v>
      </c>
      <c r="S17" s="25" t="n">
        <f aca="false">S10*Supuestos!$F$34*Supuestos!$F$37*(1-Supuestos!$F$38)/(1+Supuestos!$F$7*Supuestos!$F$8)/Supuestos!$F$6</f>
        <v>760.966306420852</v>
      </c>
      <c r="T17" s="25" t="n">
        <f aca="false">T10*Supuestos!$F$34*Supuestos!$F$37*(1-Supuestos!$F$38)/(1+Supuestos!$F$7*Supuestos!$F$8)/Supuestos!$F$6</f>
        <v>760.966306420852</v>
      </c>
      <c r="U17" s="25" t="n">
        <f aca="false">U10*Supuestos!$F$34*Supuestos!$F$37*(1-Supuestos!$F$38)/(1+Supuestos!$F$7*Supuestos!$F$8)/Supuestos!$F$6</f>
        <v>760.966306420852</v>
      </c>
      <c r="V17" s="25" t="n">
        <f aca="false">V10*Supuestos!$F$34*Supuestos!$F$37*(1-Supuestos!$F$38)/(1+Supuestos!$F$7*Supuestos!$F$8)/Supuestos!$F$6</f>
        <v>760.966306420852</v>
      </c>
      <c r="W17" s="25" t="n">
        <f aca="false">W10*Supuestos!$F$34*Supuestos!$F$37*(1-Supuestos!$F$38)/(1+Supuestos!$F$7*Supuestos!$F$8)/Supuestos!$F$6</f>
        <v>760.966306420852</v>
      </c>
      <c r="X17" s="25" t="n">
        <f aca="false">X10*Supuestos!$F$34*Supuestos!$F$37*(1-Supuestos!$F$38)/(1+Supuestos!$F$7*Supuestos!$F$8)/Supuestos!$F$6</f>
        <v>760.966306420852</v>
      </c>
      <c r="Y17" s="25" t="n">
        <f aca="false">Y10*Supuestos!$F$34*Supuestos!$F$37*(1-Supuestos!$F$38)/(1+Supuestos!$F$7*Supuestos!$F$8)/Supuestos!$F$6</f>
        <v>760.966306420852</v>
      </c>
      <c r="Z17" s="25" t="n">
        <f aca="false">Z10*Supuestos!$F$34*Supuestos!$F$37*(1-Supuestos!$F$38)/(1+Supuestos!$F$7*Supuestos!$F$8)/Supuestos!$F$6</f>
        <v>760.966306420852</v>
      </c>
      <c r="AA17" s="25" t="n">
        <f aca="false">AA10*Supuestos!$F$34*Supuestos!$F$37*(1-Supuestos!$F$38)/(1+Supuestos!$F$7*Supuestos!$F$8)/Supuestos!$F$6</f>
        <v>760.966306420852</v>
      </c>
      <c r="AB17" s="25" t="n">
        <f aca="false">AB10*Supuestos!$F$34*Supuestos!$F$37*(1-Supuestos!$F$38)/(1+Supuestos!$F$7*Supuestos!$F$8)/Supuestos!$F$6</f>
        <v>760.966306420852</v>
      </c>
      <c r="AC17" s="25" t="n">
        <f aca="false">AC10*Supuestos!$F$34*Supuestos!$F$37*(1-Supuestos!$F$38)/(1+Supuestos!$F$7*Supuestos!$F$8)/Supuestos!$F$6</f>
        <v>760.966306420852</v>
      </c>
      <c r="AD17" s="25" t="n">
        <f aca="false">AD10*Supuestos!$F$34*Supuestos!$F$37*(1-Supuestos!$F$38)/(1+Supuestos!$F$7*Supuestos!$F$8)/Supuestos!$F$6</f>
        <v>760.966306420852</v>
      </c>
      <c r="AE17" s="25" t="n">
        <f aca="false">AE10*Supuestos!$F$34*Supuestos!$F$37*(1-Supuestos!$F$38)/(1+Supuestos!$F$7*Supuestos!$F$8)/Supuestos!$F$6</f>
        <v>760.966306420852</v>
      </c>
      <c r="AF17" s="25" t="n">
        <f aca="false">AF10*Supuestos!$F$34*Supuestos!$F$37*(1-Supuestos!$F$38)/(1+Supuestos!$F$7*Supuestos!$F$8)/Supuestos!$F$6</f>
        <v>760.966306420852</v>
      </c>
      <c r="AG17" s="25" t="n">
        <f aca="false">AG10*Supuestos!$F$34*Supuestos!$F$37*(1-Supuestos!$F$38)/(1+Supuestos!$F$7*Supuestos!$F$8)/Supuestos!$F$6</f>
        <v>760.966306420852</v>
      </c>
      <c r="AH17" s="25" t="n">
        <f aca="false">AH10*Supuestos!$F$34*Supuestos!$F$37*(1-Supuestos!$F$38)/(1+Supuestos!$F$7*Supuestos!$F$8)/Supuestos!$F$6</f>
        <v>760.966306420852</v>
      </c>
      <c r="AI17" s="25" t="n">
        <f aca="false">AI10*Supuestos!$F$34*Supuestos!$F$37*(1-Supuestos!$F$38)/(1+Supuestos!$F$7*Supuestos!$F$8)/Supuestos!$F$6</f>
        <v>760.966306420852</v>
      </c>
      <c r="AJ17" s="25" t="n">
        <f aca="false">AJ10*Supuestos!$F$34*Supuestos!$F$37*(1-Supuestos!$F$38)/(1+Supuestos!$F$7*Supuestos!$F$8)/Supuestos!$F$6</f>
        <v>760.966306420852</v>
      </c>
      <c r="AK17" s="25" t="n">
        <f aca="false">AK10*Supuestos!$F$34*Supuestos!$F$37*(1-Supuestos!$F$38)/(1+Supuestos!$F$7*Supuestos!$F$8)/Supuestos!$F$6</f>
        <v>760.966306420852</v>
      </c>
      <c r="AL17" s="25" t="n">
        <f aca="false">AL10*Supuestos!$F$34*Supuestos!$F$37*(1-Supuestos!$F$38)/(1+Supuestos!$F$7*Supuestos!$F$8)/Supuestos!$F$6</f>
        <v>760.966306420852</v>
      </c>
      <c r="AM17" s="25" t="n">
        <f aca="false">AM10*Supuestos!$F$34*Supuestos!$F$37*(1-Supuestos!$F$38)/(1+Supuestos!$F$7*Supuestos!$F$8)/Supuestos!$F$6</f>
        <v>760.966306420852</v>
      </c>
    </row>
    <row r="18" customFormat="false" ht="15" hidden="false" customHeight="false" outlineLevel="0" collapsed="false">
      <c r="B18" s="4" t="s">
        <v>401</v>
      </c>
      <c r="D18" s="25" t="n">
        <f aca="false">Supuestos!$F$39*MIN(1,D$3/Supuestos!$F$42)*Supuestos!$F$35*Supuestos!$F$37/(1+Supuestos!$F$7*Supuestos!$F$8)/Supuestos!$F$6</f>
        <v>63.5065691883874</v>
      </c>
      <c r="E18" s="25" t="n">
        <f aca="false">Supuestos!$F$39*MIN(1,E$3/Supuestos!$F$42)*Supuestos!$F$35*Supuestos!$F$37/(1+Supuestos!$F$7*Supuestos!$F$8)/Supuestos!$F$6</f>
        <v>127.013138376775</v>
      </c>
      <c r="F18" s="25" t="n">
        <f aca="false">Supuestos!$F$39*MIN(1,F$3/Supuestos!$F$42)*Supuestos!$F$35*Supuestos!$F$37/(1+Supuestos!$F$7*Supuestos!$F$8)/Supuestos!$F$6</f>
        <v>190.519707565162</v>
      </c>
      <c r="G18" s="25" t="n">
        <f aca="false">Supuestos!$F$39*MIN(1,G$3/Supuestos!$F$42)*Supuestos!$F$35*Supuestos!$F$37/(1+Supuestos!$F$7*Supuestos!$F$8)/Supuestos!$F$6</f>
        <v>254.026276753549</v>
      </c>
      <c r="H18" s="25" t="n">
        <f aca="false">Supuestos!$F$39*MIN(1,H$3/Supuestos!$F$42)*Supuestos!$F$35*Supuestos!$F$37/(1+Supuestos!$F$7*Supuestos!$F$8)/Supuestos!$F$6</f>
        <v>317.532845941937</v>
      </c>
      <c r="I18" s="25" t="n">
        <f aca="false">Supuestos!$F$39*MIN(1,I$3/Supuestos!$F$42)*Supuestos!$F$35*Supuestos!$F$37/(1+Supuestos!$F$7*Supuestos!$F$8)/Supuestos!$F$6</f>
        <v>381.039415130324</v>
      </c>
      <c r="J18" s="25" t="n">
        <f aca="false">Supuestos!$F$39*MIN(1,J$3/Supuestos!$F$42)*Supuestos!$F$35*Supuestos!$F$37/(1+Supuestos!$F$7*Supuestos!$F$8)/Supuestos!$F$6</f>
        <v>381.039415130324</v>
      </c>
      <c r="K18" s="25" t="n">
        <f aca="false">Supuestos!$F$39*MIN(1,K$3/Supuestos!$F$42)*Supuestos!$F$35*Supuestos!$F$37/(1+Supuestos!$F$7*Supuestos!$F$8)/Supuestos!$F$6</f>
        <v>381.039415130324</v>
      </c>
      <c r="L18" s="25" t="n">
        <f aca="false">Supuestos!$F$39*MIN(1,L$3/Supuestos!$F$42)*Supuestos!$F$35*Supuestos!$F$37/(1+Supuestos!$F$7*Supuestos!$F$8)/Supuestos!$F$6</f>
        <v>381.039415130324</v>
      </c>
      <c r="M18" s="25" t="n">
        <f aca="false">Supuestos!$F$39*MIN(1,M$3/Supuestos!$F$42)*Supuestos!$F$35*Supuestos!$F$37/(1+Supuestos!$F$7*Supuestos!$F$8)/Supuestos!$F$6</f>
        <v>381.039415130324</v>
      </c>
      <c r="N18" s="25" t="n">
        <f aca="false">Supuestos!$F$39*MIN(1,N$3/Supuestos!$F$42)*Supuestos!$F$35*Supuestos!$F$37/(1+Supuestos!$F$7*Supuestos!$F$8)/Supuestos!$F$6</f>
        <v>381.039415130324</v>
      </c>
      <c r="O18" s="25" t="n">
        <f aca="false">Supuestos!$F$39*MIN(1,O$3/Supuestos!$F$42)*Supuestos!$F$35*Supuestos!$F$37/(1+Supuestos!$F$7*Supuestos!$F$8)/Supuestos!$F$6</f>
        <v>381.039415130324</v>
      </c>
      <c r="P18" s="25" t="n">
        <f aca="false">Supuestos!$F$39*MIN(1,P$3/Supuestos!$F$42)*Supuestos!$F$35*Supuestos!$F$37/(1+Supuestos!$F$7*Supuestos!$F$8)/Supuestos!$F$6</f>
        <v>381.039415130324</v>
      </c>
      <c r="Q18" s="25" t="n">
        <f aca="false">Supuestos!$F$39*MIN(1,Q$3/Supuestos!$F$42)*Supuestos!$F$35*Supuestos!$F$37/(1+Supuestos!$F$7*Supuestos!$F$8)/Supuestos!$F$6</f>
        <v>381.039415130324</v>
      </c>
      <c r="R18" s="25" t="n">
        <f aca="false">Supuestos!$F$39*MIN(1,R$3/Supuestos!$F$42)*Supuestos!$F$35*Supuestos!$F$37/(1+Supuestos!$F$7*Supuestos!$F$8)/Supuestos!$F$6</f>
        <v>381.039415130324</v>
      </c>
      <c r="S18" s="25" t="n">
        <f aca="false">Supuestos!$F$39*MIN(1,S$3/Supuestos!$F$42)*Supuestos!$F$35*Supuestos!$F$37/(1+Supuestos!$F$7*Supuestos!$F$8)/Supuestos!$F$6</f>
        <v>381.039415130324</v>
      </c>
      <c r="T18" s="25" t="n">
        <f aca="false">Supuestos!$F$39*MIN(1,T$3/Supuestos!$F$42)*Supuestos!$F$35*Supuestos!$F$37/(1+Supuestos!$F$7*Supuestos!$F$8)/Supuestos!$F$6</f>
        <v>381.039415130324</v>
      </c>
      <c r="U18" s="25" t="n">
        <f aca="false">Supuestos!$F$39*MIN(1,U$3/Supuestos!$F$42)*Supuestos!$F$35*Supuestos!$F$37/(1+Supuestos!$F$7*Supuestos!$F$8)/Supuestos!$F$6</f>
        <v>381.039415130324</v>
      </c>
      <c r="V18" s="25" t="n">
        <f aca="false">Supuestos!$F$39*MIN(1,V$3/Supuestos!$F$42)*Supuestos!$F$35*Supuestos!$F$37/(1+Supuestos!$F$7*Supuestos!$F$8)/Supuestos!$F$6</f>
        <v>381.039415130324</v>
      </c>
      <c r="W18" s="25" t="n">
        <f aca="false">Supuestos!$F$39*MIN(1,W$3/Supuestos!$F$42)*Supuestos!$F$35*Supuestos!$F$37/(1+Supuestos!$F$7*Supuestos!$F$8)/Supuestos!$F$6</f>
        <v>381.039415130324</v>
      </c>
      <c r="X18" s="25" t="n">
        <f aca="false">Supuestos!$F$39*MIN(1,X$3/Supuestos!$F$42)*Supuestos!$F$35*Supuestos!$F$37/(1+Supuestos!$F$7*Supuestos!$F$8)/Supuestos!$F$6</f>
        <v>381.039415130324</v>
      </c>
      <c r="Y18" s="25" t="n">
        <f aca="false">Supuestos!$F$39*MIN(1,Y$3/Supuestos!$F$42)*Supuestos!$F$35*Supuestos!$F$37/(1+Supuestos!$F$7*Supuestos!$F$8)/Supuestos!$F$6</f>
        <v>381.039415130324</v>
      </c>
      <c r="Z18" s="25" t="n">
        <f aca="false">Supuestos!$F$39*MIN(1,Z$3/Supuestos!$F$42)*Supuestos!$F$35*Supuestos!$F$37/(1+Supuestos!$F$7*Supuestos!$F$8)/Supuestos!$F$6</f>
        <v>381.039415130324</v>
      </c>
      <c r="AA18" s="25" t="n">
        <f aca="false">Supuestos!$F$39*MIN(1,AA$3/Supuestos!$F$42)*Supuestos!$F$35*Supuestos!$F$37/(1+Supuestos!$F$7*Supuestos!$F$8)/Supuestos!$F$6</f>
        <v>381.039415130324</v>
      </c>
      <c r="AB18" s="25" t="n">
        <f aca="false">Supuestos!$F$39*MIN(1,AB$3/Supuestos!$F$42)*Supuestos!$F$35*Supuestos!$F$37/(1+Supuestos!$F$7*Supuestos!$F$8)/Supuestos!$F$6</f>
        <v>381.039415130324</v>
      </c>
      <c r="AC18" s="25" t="n">
        <f aca="false">Supuestos!$F$39*MIN(1,AC$3/Supuestos!$F$42)*Supuestos!$F$35*Supuestos!$F$37/(1+Supuestos!$F$7*Supuestos!$F$8)/Supuestos!$F$6</f>
        <v>381.039415130324</v>
      </c>
      <c r="AD18" s="25" t="n">
        <f aca="false">Supuestos!$F$39*MIN(1,AD$3/Supuestos!$F$42)*Supuestos!$F$35*Supuestos!$F$37/(1+Supuestos!$F$7*Supuestos!$F$8)/Supuestos!$F$6</f>
        <v>381.039415130324</v>
      </c>
      <c r="AE18" s="25" t="n">
        <f aca="false">Supuestos!$F$39*MIN(1,AE$3/Supuestos!$F$42)*Supuestos!$F$35*Supuestos!$F$37/(1+Supuestos!$F$7*Supuestos!$F$8)/Supuestos!$F$6</f>
        <v>381.039415130324</v>
      </c>
      <c r="AF18" s="25" t="n">
        <f aca="false">Supuestos!$F$39*MIN(1,AF$3/Supuestos!$F$42)*Supuestos!$F$35*Supuestos!$F$37/(1+Supuestos!$F$7*Supuestos!$F$8)/Supuestos!$F$6</f>
        <v>381.039415130324</v>
      </c>
      <c r="AG18" s="25" t="n">
        <f aca="false">Supuestos!$F$39*MIN(1,AG$3/Supuestos!$F$42)*Supuestos!$F$35*Supuestos!$F$37/(1+Supuestos!$F$7*Supuestos!$F$8)/Supuestos!$F$6</f>
        <v>381.039415130324</v>
      </c>
      <c r="AH18" s="25" t="n">
        <f aca="false">Supuestos!$F$39*MIN(1,AH$3/Supuestos!$F$42)*Supuestos!$F$35*Supuestos!$F$37/(1+Supuestos!$F$7*Supuestos!$F$8)/Supuestos!$F$6</f>
        <v>381.039415130324</v>
      </c>
      <c r="AI18" s="25" t="n">
        <f aca="false">Supuestos!$F$39*MIN(1,AI$3/Supuestos!$F$42)*Supuestos!$F$35*Supuestos!$F$37/(1+Supuestos!$F$7*Supuestos!$F$8)/Supuestos!$F$6</f>
        <v>381.039415130324</v>
      </c>
      <c r="AJ18" s="25" t="n">
        <f aca="false">Supuestos!$F$39*MIN(1,AJ$3/Supuestos!$F$42)*Supuestos!$F$35*Supuestos!$F$37/(1+Supuestos!$F$7*Supuestos!$F$8)/Supuestos!$F$6</f>
        <v>381.039415130324</v>
      </c>
      <c r="AK18" s="25" t="n">
        <f aca="false">Supuestos!$F$39*MIN(1,AK$3/Supuestos!$F$42)*Supuestos!$F$35*Supuestos!$F$37/(1+Supuestos!$F$7*Supuestos!$F$8)/Supuestos!$F$6</f>
        <v>381.039415130324</v>
      </c>
      <c r="AL18" s="25" t="n">
        <f aca="false">Supuestos!$F$39*MIN(1,AL$3/Supuestos!$F$42)*Supuestos!$F$35*Supuestos!$F$37/(1+Supuestos!$F$7*Supuestos!$F$8)/Supuestos!$F$6</f>
        <v>381.039415130324</v>
      </c>
      <c r="AM18" s="25" t="n">
        <f aca="false">Supuestos!$F$39*MIN(1,AM$3/Supuestos!$F$42)*Supuestos!$F$35*Supuestos!$F$37/(1+Supuestos!$F$7*Supuestos!$F$8)/Supuestos!$F$6</f>
        <v>381.039415130324</v>
      </c>
    </row>
    <row r="19" customFormat="false" ht="15" hidden="false" customHeight="false" outlineLevel="0" collapsed="false">
      <c r="B19" s="4" t="s">
        <v>402</v>
      </c>
      <c r="D19" s="25" t="n">
        <f aca="false">Supuestos!$F$40*MIN(1,D$3/Supuestos!$F$42)*Supuestos!$F$36*Supuestos!$F$37/(1+Supuestos!$F$7*Supuestos!$F$8)/Supuestos!$F$6</f>
        <v>36.1570247933884</v>
      </c>
      <c r="E19" s="25" t="n">
        <f aca="false">Supuestos!$F$40*MIN(1,E$3/Supuestos!$F$42)*Supuestos!$F$36*Supuestos!$F$37/(1+Supuestos!$F$7*Supuestos!$F$8)/Supuestos!$F$6</f>
        <v>72.3140495867769</v>
      </c>
      <c r="F19" s="25" t="n">
        <f aca="false">Supuestos!$F$40*MIN(1,F$3/Supuestos!$F$42)*Supuestos!$F$36*Supuestos!$F$37/(1+Supuestos!$F$7*Supuestos!$F$8)/Supuestos!$F$6</f>
        <v>108.471074380165</v>
      </c>
      <c r="G19" s="25" t="n">
        <f aca="false">Supuestos!$F$40*MIN(1,G$3/Supuestos!$F$42)*Supuestos!$F$36*Supuestos!$F$37/(1+Supuestos!$F$7*Supuestos!$F$8)/Supuestos!$F$6</f>
        <v>144.628099173554</v>
      </c>
      <c r="H19" s="25" t="n">
        <f aca="false">Supuestos!$F$40*MIN(1,H$3/Supuestos!$F$42)*Supuestos!$F$36*Supuestos!$F$37/(1+Supuestos!$F$7*Supuestos!$F$8)/Supuestos!$F$6</f>
        <v>180.785123966942</v>
      </c>
      <c r="I19" s="25" t="n">
        <f aca="false">Supuestos!$F$40*MIN(1,I$3/Supuestos!$F$42)*Supuestos!$F$36*Supuestos!$F$37/(1+Supuestos!$F$7*Supuestos!$F$8)/Supuestos!$F$6</f>
        <v>216.942148760331</v>
      </c>
      <c r="J19" s="25" t="n">
        <f aca="false">Supuestos!$F$40*MIN(1,J$3/Supuestos!$F$42)*Supuestos!$F$36*Supuestos!$F$37/(1+Supuestos!$F$7*Supuestos!$F$8)/Supuestos!$F$6</f>
        <v>216.942148760331</v>
      </c>
      <c r="K19" s="25" t="n">
        <f aca="false">Supuestos!$F$40*MIN(1,K$3/Supuestos!$F$42)*Supuestos!$F$36*Supuestos!$F$37/(1+Supuestos!$F$7*Supuestos!$F$8)/Supuestos!$F$6</f>
        <v>216.942148760331</v>
      </c>
      <c r="L19" s="25" t="n">
        <f aca="false">Supuestos!$F$40*MIN(1,L$3/Supuestos!$F$42)*Supuestos!$F$36*Supuestos!$F$37/(1+Supuestos!$F$7*Supuestos!$F$8)/Supuestos!$F$6</f>
        <v>216.942148760331</v>
      </c>
      <c r="M19" s="25" t="n">
        <f aca="false">Supuestos!$F$40*MIN(1,M$3/Supuestos!$F$42)*Supuestos!$F$36*Supuestos!$F$37/(1+Supuestos!$F$7*Supuestos!$F$8)/Supuestos!$F$6</f>
        <v>216.942148760331</v>
      </c>
      <c r="N19" s="25" t="n">
        <f aca="false">Supuestos!$F$40*MIN(1,N$3/Supuestos!$F$42)*Supuestos!$F$36*Supuestos!$F$37/(1+Supuestos!$F$7*Supuestos!$F$8)/Supuestos!$F$6</f>
        <v>216.942148760331</v>
      </c>
      <c r="O19" s="25" t="n">
        <f aca="false">Supuestos!$F$40*MIN(1,O$3/Supuestos!$F$42)*Supuestos!$F$36*Supuestos!$F$37/(1+Supuestos!$F$7*Supuestos!$F$8)/Supuestos!$F$6</f>
        <v>216.942148760331</v>
      </c>
      <c r="P19" s="25" t="n">
        <f aca="false">Supuestos!$F$40*MIN(1,P$3/Supuestos!$F$42)*Supuestos!$F$36*Supuestos!$F$37/(1+Supuestos!$F$7*Supuestos!$F$8)/Supuestos!$F$6</f>
        <v>216.942148760331</v>
      </c>
      <c r="Q19" s="25" t="n">
        <f aca="false">Supuestos!$F$40*MIN(1,Q$3/Supuestos!$F$42)*Supuestos!$F$36*Supuestos!$F$37/(1+Supuestos!$F$7*Supuestos!$F$8)/Supuestos!$F$6</f>
        <v>216.942148760331</v>
      </c>
      <c r="R19" s="25" t="n">
        <f aca="false">Supuestos!$F$40*MIN(1,R$3/Supuestos!$F$42)*Supuestos!$F$36*Supuestos!$F$37/(1+Supuestos!$F$7*Supuestos!$F$8)/Supuestos!$F$6</f>
        <v>216.942148760331</v>
      </c>
      <c r="S19" s="25" t="n">
        <f aca="false">Supuestos!$F$40*MIN(1,S$3/Supuestos!$F$42)*Supuestos!$F$36*Supuestos!$F$37/(1+Supuestos!$F$7*Supuestos!$F$8)/Supuestos!$F$6</f>
        <v>216.942148760331</v>
      </c>
      <c r="T19" s="25" t="n">
        <f aca="false">Supuestos!$F$40*MIN(1,T$3/Supuestos!$F$42)*Supuestos!$F$36*Supuestos!$F$37/(1+Supuestos!$F$7*Supuestos!$F$8)/Supuestos!$F$6</f>
        <v>216.942148760331</v>
      </c>
      <c r="U19" s="25" t="n">
        <f aca="false">Supuestos!$F$40*MIN(1,U$3/Supuestos!$F$42)*Supuestos!$F$36*Supuestos!$F$37/(1+Supuestos!$F$7*Supuestos!$F$8)/Supuestos!$F$6</f>
        <v>216.942148760331</v>
      </c>
      <c r="V19" s="25" t="n">
        <f aca="false">Supuestos!$F$40*MIN(1,V$3/Supuestos!$F$42)*Supuestos!$F$36*Supuestos!$F$37/(1+Supuestos!$F$7*Supuestos!$F$8)/Supuestos!$F$6</f>
        <v>216.942148760331</v>
      </c>
      <c r="W19" s="25" t="n">
        <f aca="false">Supuestos!$F$40*MIN(1,W$3/Supuestos!$F$42)*Supuestos!$F$36*Supuestos!$F$37/(1+Supuestos!$F$7*Supuestos!$F$8)/Supuestos!$F$6</f>
        <v>216.942148760331</v>
      </c>
      <c r="X19" s="25" t="n">
        <f aca="false">Supuestos!$F$40*MIN(1,X$3/Supuestos!$F$42)*Supuestos!$F$36*Supuestos!$F$37/(1+Supuestos!$F$7*Supuestos!$F$8)/Supuestos!$F$6</f>
        <v>216.942148760331</v>
      </c>
      <c r="Y19" s="25" t="n">
        <f aca="false">Supuestos!$F$40*MIN(1,Y$3/Supuestos!$F$42)*Supuestos!$F$36*Supuestos!$F$37/(1+Supuestos!$F$7*Supuestos!$F$8)/Supuestos!$F$6</f>
        <v>216.942148760331</v>
      </c>
      <c r="Z19" s="25" t="n">
        <f aca="false">Supuestos!$F$40*MIN(1,Z$3/Supuestos!$F$42)*Supuestos!$F$36*Supuestos!$F$37/(1+Supuestos!$F$7*Supuestos!$F$8)/Supuestos!$F$6</f>
        <v>216.942148760331</v>
      </c>
      <c r="AA19" s="25" t="n">
        <f aca="false">Supuestos!$F$40*MIN(1,AA$3/Supuestos!$F$42)*Supuestos!$F$36*Supuestos!$F$37/(1+Supuestos!$F$7*Supuestos!$F$8)/Supuestos!$F$6</f>
        <v>216.942148760331</v>
      </c>
      <c r="AB19" s="25" t="n">
        <f aca="false">Supuestos!$F$40*MIN(1,AB$3/Supuestos!$F$42)*Supuestos!$F$36*Supuestos!$F$37/(1+Supuestos!$F$7*Supuestos!$F$8)/Supuestos!$F$6</f>
        <v>216.942148760331</v>
      </c>
      <c r="AC19" s="25" t="n">
        <f aca="false">Supuestos!$F$40*MIN(1,AC$3/Supuestos!$F$42)*Supuestos!$F$36*Supuestos!$F$37/(1+Supuestos!$F$7*Supuestos!$F$8)/Supuestos!$F$6</f>
        <v>216.942148760331</v>
      </c>
      <c r="AD19" s="25" t="n">
        <f aca="false">Supuestos!$F$40*MIN(1,AD$3/Supuestos!$F$42)*Supuestos!$F$36*Supuestos!$F$37/(1+Supuestos!$F$7*Supuestos!$F$8)/Supuestos!$F$6</f>
        <v>216.942148760331</v>
      </c>
      <c r="AE19" s="25" t="n">
        <f aca="false">Supuestos!$F$40*MIN(1,AE$3/Supuestos!$F$42)*Supuestos!$F$36*Supuestos!$F$37/(1+Supuestos!$F$7*Supuestos!$F$8)/Supuestos!$F$6</f>
        <v>216.942148760331</v>
      </c>
      <c r="AF19" s="25" t="n">
        <f aca="false">Supuestos!$F$40*MIN(1,AF$3/Supuestos!$F$42)*Supuestos!$F$36*Supuestos!$F$37/(1+Supuestos!$F$7*Supuestos!$F$8)/Supuestos!$F$6</f>
        <v>216.942148760331</v>
      </c>
      <c r="AG19" s="25" t="n">
        <f aca="false">Supuestos!$F$40*MIN(1,AG$3/Supuestos!$F$42)*Supuestos!$F$36*Supuestos!$F$37/(1+Supuestos!$F$7*Supuestos!$F$8)/Supuestos!$F$6</f>
        <v>216.942148760331</v>
      </c>
      <c r="AH19" s="25" t="n">
        <f aca="false">Supuestos!$F$40*MIN(1,AH$3/Supuestos!$F$42)*Supuestos!$F$36*Supuestos!$F$37/(1+Supuestos!$F$7*Supuestos!$F$8)/Supuestos!$F$6</f>
        <v>216.942148760331</v>
      </c>
      <c r="AI19" s="25" t="n">
        <f aca="false">Supuestos!$F$40*MIN(1,AI$3/Supuestos!$F$42)*Supuestos!$F$36*Supuestos!$F$37/(1+Supuestos!$F$7*Supuestos!$F$8)/Supuestos!$F$6</f>
        <v>216.942148760331</v>
      </c>
      <c r="AJ19" s="25" t="n">
        <f aca="false">Supuestos!$F$40*MIN(1,AJ$3/Supuestos!$F$42)*Supuestos!$F$36*Supuestos!$F$37/(1+Supuestos!$F$7*Supuestos!$F$8)/Supuestos!$F$6</f>
        <v>216.942148760331</v>
      </c>
      <c r="AK19" s="25" t="n">
        <f aca="false">Supuestos!$F$40*MIN(1,AK$3/Supuestos!$F$42)*Supuestos!$F$36*Supuestos!$F$37/(1+Supuestos!$F$7*Supuestos!$F$8)/Supuestos!$F$6</f>
        <v>216.942148760331</v>
      </c>
      <c r="AL19" s="25" t="n">
        <f aca="false">Supuestos!$F$40*MIN(1,AL$3/Supuestos!$F$42)*Supuestos!$F$36*Supuestos!$F$37/(1+Supuestos!$F$7*Supuestos!$F$8)/Supuestos!$F$6</f>
        <v>216.942148760331</v>
      </c>
      <c r="AM19" s="25" t="n">
        <f aca="false">Supuestos!$F$40*MIN(1,AM$3/Supuestos!$F$42)*Supuestos!$F$36*Supuestos!$F$37/(1+Supuestos!$F$7*Supuestos!$F$8)/Supuestos!$F$6</f>
        <v>216.942148760331</v>
      </c>
    </row>
    <row r="20" customFormat="false" ht="15" hidden="false" customHeight="false" outlineLevel="0" collapsed="false">
      <c r="B20" s="4" t="s">
        <v>403</v>
      </c>
      <c r="D20" s="25" t="n">
        <f aca="false">Supuestos!$F$41*MIN(1,D$3/Supuestos!$F$42)</f>
        <v>33.3333333333333</v>
      </c>
      <c r="E20" s="25" t="n">
        <f aca="false">Supuestos!$F$41*MIN(1,E$3/Supuestos!$F$42)</f>
        <v>66.6666666666667</v>
      </c>
      <c r="F20" s="25" t="n">
        <f aca="false">Supuestos!$F$41*MIN(1,F$3/Supuestos!$F$42)</f>
        <v>100</v>
      </c>
      <c r="G20" s="25" t="n">
        <f aca="false">Supuestos!$F$41*MIN(1,G$3/Supuestos!$F$42)</f>
        <v>133.333333333333</v>
      </c>
      <c r="H20" s="25" t="n">
        <f aca="false">Supuestos!$F$41*MIN(1,H$3/Supuestos!$F$42)</f>
        <v>166.666666666667</v>
      </c>
      <c r="I20" s="25" t="n">
        <f aca="false">Supuestos!$F$41*MIN(1,I$3/Supuestos!$F$42)</f>
        <v>200</v>
      </c>
      <c r="J20" s="25" t="n">
        <f aca="false">Supuestos!$F$41*MIN(1,J$3/Supuestos!$F$42)</f>
        <v>200</v>
      </c>
      <c r="K20" s="25" t="n">
        <f aca="false">Supuestos!$F$41*MIN(1,K$3/Supuestos!$F$42)</f>
        <v>200</v>
      </c>
      <c r="L20" s="25" t="n">
        <f aca="false">Supuestos!$F$41*MIN(1,L$3/Supuestos!$F$42)</f>
        <v>200</v>
      </c>
      <c r="M20" s="25" t="n">
        <f aca="false">Supuestos!$F$41*MIN(1,M$3/Supuestos!$F$42)</f>
        <v>200</v>
      </c>
      <c r="N20" s="25" t="n">
        <f aca="false">Supuestos!$F$41*MIN(1,N$3/Supuestos!$F$42)</f>
        <v>200</v>
      </c>
      <c r="O20" s="25" t="n">
        <f aca="false">Supuestos!$F$41*MIN(1,O$3/Supuestos!$F$42)</f>
        <v>200</v>
      </c>
      <c r="P20" s="25" t="n">
        <f aca="false">Supuestos!$F$41*MIN(1,P$3/Supuestos!$F$42)</f>
        <v>200</v>
      </c>
      <c r="Q20" s="25" t="n">
        <f aca="false">Supuestos!$F$41*MIN(1,Q$3/Supuestos!$F$42)</f>
        <v>200</v>
      </c>
      <c r="R20" s="25" t="n">
        <f aca="false">Supuestos!$F$41*MIN(1,R$3/Supuestos!$F$42)</f>
        <v>200</v>
      </c>
      <c r="S20" s="25" t="n">
        <f aca="false">Supuestos!$F$41*MIN(1,S$3/Supuestos!$F$42)</f>
        <v>200</v>
      </c>
      <c r="T20" s="25" t="n">
        <f aca="false">Supuestos!$F$41*MIN(1,T$3/Supuestos!$F$42)</f>
        <v>200</v>
      </c>
      <c r="U20" s="25" t="n">
        <f aca="false">Supuestos!$F$41*MIN(1,U$3/Supuestos!$F$42)</f>
        <v>200</v>
      </c>
      <c r="V20" s="25" t="n">
        <f aca="false">Supuestos!$F$41*MIN(1,V$3/Supuestos!$F$42)</f>
        <v>200</v>
      </c>
      <c r="W20" s="25" t="n">
        <f aca="false">Supuestos!$F$41*MIN(1,W$3/Supuestos!$F$42)</f>
        <v>200</v>
      </c>
      <c r="X20" s="25" t="n">
        <f aca="false">Supuestos!$F$41*MIN(1,X$3/Supuestos!$F$42)</f>
        <v>200</v>
      </c>
      <c r="Y20" s="25" t="n">
        <f aca="false">Supuestos!$F$41*MIN(1,Y$3/Supuestos!$F$42)</f>
        <v>200</v>
      </c>
      <c r="Z20" s="25" t="n">
        <f aca="false">Supuestos!$F$41*MIN(1,Z$3/Supuestos!$F$42)</f>
        <v>200</v>
      </c>
      <c r="AA20" s="25" t="n">
        <f aca="false">Supuestos!$F$41*MIN(1,AA$3/Supuestos!$F$42)</f>
        <v>200</v>
      </c>
      <c r="AB20" s="25" t="n">
        <f aca="false">Supuestos!$F$41*MIN(1,AB$3/Supuestos!$F$42)</f>
        <v>200</v>
      </c>
      <c r="AC20" s="25" t="n">
        <f aca="false">Supuestos!$F$41*MIN(1,AC$3/Supuestos!$F$42)</f>
        <v>200</v>
      </c>
      <c r="AD20" s="25" t="n">
        <f aca="false">Supuestos!$F$41*MIN(1,AD$3/Supuestos!$F$42)</f>
        <v>200</v>
      </c>
      <c r="AE20" s="25" t="n">
        <f aca="false">Supuestos!$F$41*MIN(1,AE$3/Supuestos!$F$42)</f>
        <v>200</v>
      </c>
      <c r="AF20" s="25" t="n">
        <f aca="false">Supuestos!$F$41*MIN(1,AF$3/Supuestos!$F$42)</f>
        <v>200</v>
      </c>
      <c r="AG20" s="25" t="n">
        <f aca="false">Supuestos!$F$41*MIN(1,AG$3/Supuestos!$F$42)</f>
        <v>200</v>
      </c>
      <c r="AH20" s="25" t="n">
        <f aca="false">Supuestos!$F$41*MIN(1,AH$3/Supuestos!$F$42)</f>
        <v>200</v>
      </c>
      <c r="AI20" s="25" t="n">
        <f aca="false">Supuestos!$F$41*MIN(1,AI$3/Supuestos!$F$42)</f>
        <v>200</v>
      </c>
      <c r="AJ20" s="25" t="n">
        <f aca="false">Supuestos!$F$41*MIN(1,AJ$3/Supuestos!$F$42)</f>
        <v>200</v>
      </c>
      <c r="AK20" s="25" t="n">
        <f aca="false">Supuestos!$F$41*MIN(1,AK$3/Supuestos!$F$42)</f>
        <v>200</v>
      </c>
      <c r="AL20" s="25" t="n">
        <f aca="false">Supuestos!$F$41*MIN(1,AL$3/Supuestos!$F$42)</f>
        <v>200</v>
      </c>
      <c r="AM20" s="25" t="n">
        <f aca="false">Supuestos!$F$41*MIN(1,AM$3/Supuestos!$F$42)</f>
        <v>200</v>
      </c>
    </row>
    <row r="21" customFormat="false" ht="15" hidden="false" customHeight="false" outlineLevel="0" collapsed="false">
      <c r="B21" s="11" t="s">
        <v>404</v>
      </c>
      <c r="D21" s="25" t="n">
        <f aca="false">SUM(D15:D20)</f>
        <v>1147.31745337995</v>
      </c>
      <c r="E21" s="25" t="n">
        <f aca="false">SUM(E15:E20)</f>
        <v>1776.66971484954</v>
      </c>
      <c r="F21" s="25" t="n">
        <f aca="false">SUM(F15:F20)</f>
        <v>2392.53087601319</v>
      </c>
      <c r="G21" s="25" t="n">
        <f aca="false">SUM(G15:G20)</f>
        <v>2995.52105425905</v>
      </c>
      <c r="H21" s="25" t="n">
        <f aca="false">SUM(H15:H20)</f>
        <v>3395.98941762945</v>
      </c>
      <c r="I21" s="25" t="n">
        <f aca="false">SUM(I15:I20)</f>
        <v>3762.82811347471</v>
      </c>
      <c r="J21" s="25" t="n">
        <f aca="false">SUM(J15:J20)</f>
        <v>3879.10612928858</v>
      </c>
      <c r="K21" s="25" t="n">
        <f aca="false">SUM(K15:K20)</f>
        <v>3989.57024431175</v>
      </c>
      <c r="L21" s="25" t="n">
        <f aca="false">SUM(L15:L20)</f>
        <v>4094.51115358377</v>
      </c>
      <c r="M21" s="25" t="n">
        <f aca="false">SUM(M15:M20)</f>
        <v>4194.20501739218</v>
      </c>
      <c r="N21" s="25" t="n">
        <f aca="false">SUM(N15:N20)</f>
        <v>4288.91418801018</v>
      </c>
      <c r="O21" s="25" t="n">
        <f aca="false">SUM(O15:O20)</f>
        <v>4378.88790009727</v>
      </c>
      <c r="P21" s="25" t="n">
        <f aca="false">SUM(P15:P20)</f>
        <v>4413.98061570907</v>
      </c>
      <c r="Q21" s="25" t="n">
        <f aca="false">SUM(Q15:Q20)</f>
        <v>4447.31869554027</v>
      </c>
      <c r="R21" s="25" t="n">
        <f aca="false">SUM(R15:R20)</f>
        <v>4478.98987137991</v>
      </c>
      <c r="S21" s="25" t="n">
        <f aca="false">SUM(S15:S20)</f>
        <v>4509.07748842757</v>
      </c>
      <c r="T21" s="25" t="n">
        <f aca="false">SUM(T15:T20)</f>
        <v>4537.66072462285</v>
      </c>
      <c r="U21" s="25" t="n">
        <f aca="false">SUM(U15:U20)</f>
        <v>4564.81479900836</v>
      </c>
      <c r="V21" s="25" t="n">
        <f aca="false">SUM(V15:V20)</f>
        <v>4590.6111696746</v>
      </c>
      <c r="W21" s="25" t="n">
        <f aca="false">SUM(W15:W20)</f>
        <v>4615.11772180752</v>
      </c>
      <c r="X21" s="25" t="n">
        <f aca="false">SUM(X15:X20)</f>
        <v>4638.39894633381</v>
      </c>
      <c r="Y21" s="25" t="n">
        <f aca="false">SUM(Y15:Y20)</f>
        <v>4660.51610963377</v>
      </c>
      <c r="Z21" s="25" t="n">
        <f aca="false">SUM(Z15:Z20)</f>
        <v>4681.52741476874</v>
      </c>
      <c r="AA21" s="25" t="n">
        <f aca="false">SUM(AA15:AA20)</f>
        <v>4701.48815464696</v>
      </c>
      <c r="AB21" s="25" t="n">
        <f aca="false">SUM(AB15:AB20)</f>
        <v>4720.45085753127</v>
      </c>
      <c r="AC21" s="25" t="n">
        <f aca="false">SUM(AC15:AC20)</f>
        <v>4738.46542527136</v>
      </c>
      <c r="AD21" s="25" t="n">
        <f aca="false">SUM(AD15:AD20)</f>
        <v>4755.57926462445</v>
      </c>
      <c r="AE21" s="25" t="n">
        <f aca="false">SUM(AE15:AE20)</f>
        <v>4771.83741200988</v>
      </c>
      <c r="AF21" s="25" t="n">
        <f aca="false">SUM(AF15:AF20)</f>
        <v>4787.28265202604</v>
      </c>
      <c r="AG21" s="25" t="n">
        <f aca="false">SUM(AG15:AG20)</f>
        <v>4801.9556300414</v>
      </c>
      <c r="AH21" s="25" t="n">
        <f aca="false">SUM(AH15:AH20)</f>
        <v>4815.89495915598</v>
      </c>
      <c r="AI21" s="25" t="n">
        <f aca="false">SUM(AI15:AI20)</f>
        <v>4829.13732181484</v>
      </c>
      <c r="AJ21" s="25" t="n">
        <f aca="false">SUM(AJ15:AJ20)</f>
        <v>4841.71756634075</v>
      </c>
      <c r="AK21" s="25" t="n">
        <f aca="false">SUM(AK15:AK20)</f>
        <v>4853.66879864037</v>
      </c>
      <c r="AL21" s="25" t="n">
        <f aca="false">SUM(AL15:AL20)</f>
        <v>4865.02246932501</v>
      </c>
      <c r="AM21" s="25" t="n">
        <f aca="false">SUM(AM15:AM20)</f>
        <v>4875.80845647541</v>
      </c>
    </row>
    <row r="22" customFormat="false" ht="15" hidden="false" customHeight="false" outlineLevel="0" collapsed="false">
      <c r="B22" s="14" t="s">
        <v>205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customFormat="false" ht="15" hidden="false" customHeight="false" outlineLevel="0" collapsed="false">
      <c r="B23" s="4" t="s">
        <v>405</v>
      </c>
      <c r="D23" s="25" t="n">
        <f aca="false">(D11+D9*Supuestos!$F$9*Supuestos!$F$19+(D10*Supuestos!$F$15*Supuestos!$F$9*Supuestos!$F$19)+Supuestos!$F$39*MIN(1,D$3/Supuestos!$F$42))*Supuestos!$F$53</f>
        <v>82.9746041666667</v>
      </c>
      <c r="E23" s="25" t="n">
        <f aca="false">(E11+E9*Supuestos!$F$9*Supuestos!$F$19+(E10*Supuestos!$F$15*Supuestos!$F$9*Supuestos!$F$19)+Supuestos!$F$39*MIN(1,E$3/Supuestos!$F$42))*Supuestos!$F$53</f>
        <v>127.751788958333</v>
      </c>
      <c r="F23" s="25" t="n">
        <f aca="false">(F11+F9*Supuestos!$F$9*Supuestos!$F$19+(F10*Supuestos!$F$15*Supuestos!$F$9*Supuestos!$F$19)+Supuestos!$F$39*MIN(1,F$3/Supuestos!$F$42))*Supuestos!$F$53</f>
        <v>171.43628864375</v>
      </c>
      <c r="G23" s="25" t="n">
        <f aca="false">(G11+G9*Supuestos!$F$9*Supuestos!$F$19+(G10*Supuestos!$F$15*Supuestos!$F$9*Supuestos!$F$19)+Supuestos!$F$39*MIN(1,G$3/Supuestos!$F$42))*Supuestos!$F$53</f>
        <v>214.076724254229</v>
      </c>
      <c r="H23" s="25" t="n">
        <f aca="false">(H11+H9*Supuestos!$F$9*Supuestos!$F$19+(H10*Supuestos!$F$15*Supuestos!$F$9*Supuestos!$F$19)+Supuestos!$F$39*MIN(1,H$3/Supuestos!$F$42))*Supuestos!$F$53</f>
        <v>240.221466166238</v>
      </c>
      <c r="I23" s="25" t="n">
        <f aca="false">(I11+I9*Supuestos!$F$9*Supuestos!$F$19+(I10*Supuestos!$F$15*Supuestos!$F$9*Supuestos!$F$19)+Supuestos!$F$39*MIN(1,I$3/Supuestos!$F$42))*Supuestos!$F$53</f>
        <v>262.992299719785</v>
      </c>
      <c r="J23" s="25" t="n">
        <f aca="false">(J11+J9*Supuestos!$F$9*Supuestos!$F$19+(J10*Supuestos!$F$15*Supuestos!$F$9*Supuestos!$F$19)+Supuestos!$F$39*MIN(1,J$3/Supuestos!$F$42))*Supuestos!$F$53</f>
        <v>271.543984733796</v>
      </c>
      <c r="K23" s="25" t="n">
        <f aca="false">(K11+K9*Supuestos!$F$9*Supuestos!$F$19+(K10*Supuestos!$F$15*Supuestos!$F$9*Supuestos!$F$19)+Supuestos!$F$39*MIN(1,K$3/Supuestos!$F$42))*Supuestos!$F$53</f>
        <v>279.668085497106</v>
      </c>
      <c r="L23" s="25" t="n">
        <f aca="false">(L11+L9*Supuestos!$F$9*Supuestos!$F$19+(L10*Supuestos!$F$15*Supuestos!$F$9*Supuestos!$F$19)+Supuestos!$F$39*MIN(1,L$3/Supuestos!$F$42))*Supuestos!$F$53</f>
        <v>287.385981222251</v>
      </c>
      <c r="M23" s="25" t="n">
        <f aca="false">(M11+M9*Supuestos!$F$9*Supuestos!$F$19+(M10*Supuestos!$F$15*Supuestos!$F$9*Supuestos!$F$19)+Supuestos!$F$39*MIN(1,M$3/Supuestos!$F$42))*Supuestos!$F$53</f>
        <v>294.717982161138</v>
      </c>
      <c r="N23" s="25" t="n">
        <f aca="false">(N11+N9*Supuestos!$F$9*Supuestos!$F$19+(N10*Supuestos!$F$15*Supuestos!$F$9*Supuestos!$F$19)+Supuestos!$F$39*MIN(1,N$3/Supuestos!$F$42))*Supuestos!$F$53</f>
        <v>301.683383053081</v>
      </c>
      <c r="O23" s="25" t="n">
        <f aca="false">(O11+O9*Supuestos!$F$9*Supuestos!$F$19+(O10*Supuestos!$F$15*Supuestos!$F$9*Supuestos!$F$19)+Supuestos!$F$39*MIN(1,O$3/Supuestos!$F$42))*Supuestos!$F$53</f>
        <v>308.300513900427</v>
      </c>
      <c r="P23" s="25" t="n">
        <f aca="false">(P11+P9*Supuestos!$F$9*Supuestos!$F$19+(P10*Supuestos!$F$15*Supuestos!$F$9*Supuestos!$F$19)+Supuestos!$F$39*MIN(1,P$3/Supuestos!$F$42))*Supuestos!$F$53</f>
        <v>310.881413205406</v>
      </c>
      <c r="Q23" s="25" t="n">
        <f aca="false">(Q11+Q9*Supuestos!$F$9*Supuestos!$F$19+(Q10*Supuestos!$F$15*Supuestos!$F$9*Supuestos!$F$19)+Supuestos!$F$39*MIN(1,Q$3/Supuestos!$F$42))*Supuestos!$F$53</f>
        <v>313.333267545136</v>
      </c>
      <c r="R23" s="25" t="n">
        <f aca="false">(R11+R9*Supuestos!$F$9*Supuestos!$F$19+(R10*Supuestos!$F$15*Supuestos!$F$9*Supuestos!$F$19)+Supuestos!$F$39*MIN(1,R$3/Supuestos!$F$42))*Supuestos!$F$53</f>
        <v>315.662529167879</v>
      </c>
      <c r="S23" s="25" t="n">
        <f aca="false">(S11+S9*Supuestos!$F$9*Supuestos!$F$19+(S10*Supuestos!$F$15*Supuestos!$F$9*Supuestos!$F$19)+Supuestos!$F$39*MIN(1,S$3/Supuestos!$F$42))*Supuestos!$F$53</f>
        <v>317.875327709485</v>
      </c>
      <c r="T23" s="25" t="n">
        <f aca="false">(T11+T9*Supuestos!$F$9*Supuestos!$F$19+(T10*Supuestos!$F$15*Supuestos!$F$9*Supuestos!$F$19)+Supuestos!$F$39*MIN(1,T$3/Supuestos!$F$42))*Supuestos!$F$53</f>
        <v>319.977486324011</v>
      </c>
      <c r="U23" s="25" t="n">
        <f aca="false">(U11+U9*Supuestos!$F$9*Supuestos!$F$19+(U10*Supuestos!$F$15*Supuestos!$F$9*Supuestos!$F$19)+Supuestos!$F$39*MIN(1,U$3/Supuestos!$F$42))*Supuestos!$F$53</f>
        <v>321.97453700781</v>
      </c>
      <c r="V23" s="25" t="n">
        <f aca="false">(V11+V9*Supuestos!$F$9*Supuestos!$F$19+(V10*Supuestos!$F$15*Supuestos!$F$9*Supuestos!$F$19)+Supuestos!$F$39*MIN(1,V$3/Supuestos!$F$42))*Supuestos!$F$53</f>
        <v>323.87173515742</v>
      </c>
      <c r="W23" s="25" t="n">
        <f aca="false">(W11+W9*Supuestos!$F$9*Supuestos!$F$19+(W10*Supuestos!$F$15*Supuestos!$F$9*Supuestos!$F$19)+Supuestos!$F$39*MIN(1,W$3/Supuestos!$F$42))*Supuestos!$F$53</f>
        <v>325.674073399549</v>
      </c>
      <c r="X23" s="25" t="n">
        <f aca="false">(X11+X9*Supuestos!$F$9*Supuestos!$F$19+(X10*Supuestos!$F$15*Supuestos!$F$9*Supuestos!$F$19)+Supuestos!$F$39*MIN(1,X$3/Supuestos!$F$42))*Supuestos!$F$53</f>
        <v>327.386294729571</v>
      </c>
      <c r="Y23" s="25" t="n">
        <f aca="false">(Y11+Y9*Supuestos!$F$9*Supuestos!$F$19+(Y10*Supuestos!$F$15*Supuestos!$F$9*Supuestos!$F$19)+Supuestos!$F$39*MIN(1,Y$3/Supuestos!$F$42))*Supuestos!$F$53</f>
        <v>329.012904993093</v>
      </c>
      <c r="Z23" s="25" t="n">
        <f aca="false">(Z11+Z9*Supuestos!$F$9*Supuestos!$F$19+(Z10*Supuestos!$F$15*Supuestos!$F$9*Supuestos!$F$19)+Supuestos!$F$39*MIN(1,Z$3/Supuestos!$F$42))*Supuestos!$F$53</f>
        <v>330.558184743438</v>
      </c>
      <c r="AA23" s="25" t="n">
        <f aca="false">(AA11+AA9*Supuestos!$F$9*Supuestos!$F$19+(AA10*Supuestos!$F$15*Supuestos!$F$9*Supuestos!$F$19)+Supuestos!$F$39*MIN(1,AA$3/Supuestos!$F$42))*Supuestos!$F$53</f>
        <v>332.026200506266</v>
      </c>
      <c r="AB23" s="25" t="n">
        <f aca="false">(AB11+AB9*Supuestos!$F$9*Supuestos!$F$19+(AB10*Supuestos!$F$15*Supuestos!$F$9*Supuestos!$F$19)+Supuestos!$F$39*MIN(1,AB$3/Supuestos!$F$42))*Supuestos!$F$53</f>
        <v>333.420815480953</v>
      </c>
      <c r="AC23" s="25" t="n">
        <f aca="false">(AC11+AC9*Supuestos!$F$9*Supuestos!$F$19+(AC10*Supuestos!$F$15*Supuestos!$F$9*Supuestos!$F$19)+Supuestos!$F$39*MIN(1,AC$3/Supuestos!$F$42))*Supuestos!$F$53</f>
        <v>334.745699706905</v>
      </c>
      <c r="AD23" s="25" t="n">
        <f aca="false">(AD11+AD9*Supuestos!$F$9*Supuestos!$F$19+(AD10*Supuestos!$F$15*Supuestos!$F$9*Supuestos!$F$19)+Supuestos!$F$39*MIN(1,AD$3/Supuestos!$F$42))*Supuestos!$F$53</f>
        <v>336.00433972156</v>
      </c>
      <c r="AE23" s="25" t="n">
        <f aca="false">(AE11+AE9*Supuestos!$F$9*Supuestos!$F$19+(AE10*Supuestos!$F$15*Supuestos!$F$9*Supuestos!$F$19)+Supuestos!$F$39*MIN(1,AE$3/Supuestos!$F$42))*Supuestos!$F$53</f>
        <v>337.200047735482</v>
      </c>
      <c r="AF23" s="25" t="n">
        <f aca="false">(AF11+AF9*Supuestos!$F$9*Supuestos!$F$19+(AF10*Supuestos!$F$15*Supuestos!$F$9*Supuestos!$F$19)+Supuestos!$F$39*MIN(1,AF$3/Supuestos!$F$42))*Supuestos!$F$53</f>
        <v>338.335970348708</v>
      </c>
      <c r="AG23" s="25" t="n">
        <f aca="false">(AG11+AG9*Supuestos!$F$9*Supuestos!$F$19+(AG10*Supuestos!$F$15*Supuestos!$F$9*Supuestos!$F$19)+Supuestos!$F$39*MIN(1,AG$3/Supuestos!$F$42))*Supuestos!$F$53</f>
        <v>339.415096831272</v>
      </c>
      <c r="AH23" s="25" t="n">
        <f aca="false">(AH11+AH9*Supuestos!$F$9*Supuestos!$F$19+(AH10*Supuestos!$F$15*Supuestos!$F$9*Supuestos!$F$19)+Supuestos!$F$39*MIN(1,AH$3/Supuestos!$F$42))*Supuestos!$F$53</f>
        <v>340.440266989709</v>
      </c>
      <c r="AI23" s="25" t="n">
        <f aca="false">(AI11+AI9*Supuestos!$F$9*Supuestos!$F$19+(AI10*Supuestos!$F$15*Supuestos!$F$9*Supuestos!$F$19)+Supuestos!$F$39*MIN(1,AI$3/Supuestos!$F$42))*Supuestos!$F$53</f>
        <v>341.414178640223</v>
      </c>
      <c r="AJ23" s="25" t="n">
        <f aca="false">(AJ11+AJ9*Supuestos!$F$9*Supuestos!$F$19+(AJ10*Supuestos!$F$15*Supuestos!$F$9*Supuestos!$F$19)+Supuestos!$F$39*MIN(1,AJ$3/Supuestos!$F$42))*Supuestos!$F$53</f>
        <v>342.339394708212</v>
      </c>
      <c r="AK23" s="25" t="n">
        <f aca="false">(AK11+AK9*Supuestos!$F$9*Supuestos!$F$19+(AK10*Supuestos!$F$15*Supuestos!$F$9*Supuestos!$F$19)+Supuestos!$F$39*MIN(1,AK$3/Supuestos!$F$42))*Supuestos!$F$53</f>
        <v>343.218349972801</v>
      </c>
      <c r="AL23" s="25" t="n">
        <f aca="false">(AL11+AL9*Supuestos!$F$9*Supuestos!$F$19+(AL10*Supuestos!$F$15*Supuestos!$F$9*Supuestos!$F$19)+Supuestos!$F$39*MIN(1,AL$3/Supuestos!$F$42))*Supuestos!$F$53</f>
        <v>344.053357474161</v>
      </c>
      <c r="AM23" s="25" t="n">
        <f aca="false">(AM11+AM9*Supuestos!$F$9*Supuestos!$F$19+(AM10*Supuestos!$F$15*Supuestos!$F$9*Supuestos!$F$19)+Supuestos!$F$39*MIN(1,AM$3/Supuestos!$F$42))*Supuestos!$F$53</f>
        <v>344.846614600453</v>
      </c>
    </row>
    <row r="24" customFormat="false" ht="15" hidden="false" customHeight="false" outlineLevel="0" collapsed="false">
      <c r="B24" s="4" t="s">
        <v>406</v>
      </c>
      <c r="D24" s="25" t="n">
        <f aca="false">D21*(1+Supuestos!$F$7*Supuestos!$F$8)*Supuestos!$F$54</f>
        <v>8.32952471153846</v>
      </c>
      <c r="E24" s="25" t="n">
        <f aca="false">E21*(1+Supuestos!$F$7*Supuestos!$F$8)*Supuestos!$F$54</f>
        <v>12.8986221298077</v>
      </c>
      <c r="F24" s="25" t="n">
        <f aca="false">F21*(1+Supuestos!$F$7*Supuestos!$F$8)*Supuestos!$F$54</f>
        <v>17.3697741598558</v>
      </c>
      <c r="G24" s="25" t="n">
        <f aca="false">G21*(1+Supuestos!$F$7*Supuestos!$F$8)*Supuestos!$F$54</f>
        <v>21.7474828539207</v>
      </c>
      <c r="H24" s="25" t="n">
        <f aca="false">H21*(1+Supuestos!$F$7*Supuestos!$F$8)*Supuestos!$F$54</f>
        <v>24.6548831719898</v>
      </c>
      <c r="I24" s="25" t="n">
        <f aca="false">I21*(1+Supuestos!$F$7*Supuestos!$F$8)*Supuestos!$F$54</f>
        <v>27.3181321038264</v>
      </c>
      <c r="J24" s="25" t="n">
        <f aca="false">J21*(1+Supuestos!$F$7*Supuestos!$F$8)*Supuestos!$F$54</f>
        <v>28.1623104986351</v>
      </c>
      <c r="K24" s="25" t="n">
        <f aca="false">K21*(1+Supuestos!$F$7*Supuestos!$F$8)*Supuestos!$F$54</f>
        <v>28.9642799737033</v>
      </c>
      <c r="L24" s="25" t="n">
        <f aca="false">L21*(1+Supuestos!$F$7*Supuestos!$F$8)*Supuestos!$F$54</f>
        <v>29.7261509750182</v>
      </c>
      <c r="M24" s="25" t="n">
        <f aca="false">M21*(1+Supuestos!$F$7*Supuestos!$F$8)*Supuestos!$F$54</f>
        <v>30.4499284262673</v>
      </c>
      <c r="N24" s="25" t="n">
        <f aca="false">N21*(1+Supuestos!$F$7*Supuestos!$F$8)*Supuestos!$F$54</f>
        <v>31.1375170049539</v>
      </c>
      <c r="O24" s="25" t="n">
        <f aca="false">O21*(1+Supuestos!$F$7*Supuestos!$F$8)*Supuestos!$F$54</f>
        <v>31.7907261547062</v>
      </c>
      <c r="P24" s="25" t="n">
        <f aca="false">P21*(1+Supuestos!$F$7*Supuestos!$F$8)*Supuestos!$F$54</f>
        <v>32.0454992700478</v>
      </c>
      <c r="Q24" s="25" t="n">
        <f aca="false">Q21*(1+Supuestos!$F$7*Supuestos!$F$8)*Supuestos!$F$54</f>
        <v>32.2875337296223</v>
      </c>
      <c r="R24" s="25" t="n">
        <f aca="false">R21*(1+Supuestos!$F$7*Supuestos!$F$8)*Supuestos!$F$54</f>
        <v>32.5174664662182</v>
      </c>
      <c r="S24" s="25" t="n">
        <f aca="false">S21*(1+Supuestos!$F$7*Supuestos!$F$8)*Supuestos!$F$54</f>
        <v>32.7359025659842</v>
      </c>
      <c r="T24" s="25" t="n">
        <f aca="false">T21*(1+Supuestos!$F$7*Supuestos!$F$8)*Supuestos!$F$54</f>
        <v>32.9434168607619</v>
      </c>
      <c r="U24" s="25" t="n">
        <f aca="false">U21*(1+Supuestos!$F$7*Supuestos!$F$8)*Supuestos!$F$54</f>
        <v>33.1405554408007</v>
      </c>
      <c r="V24" s="25" t="n">
        <f aca="false">V21*(1+Supuestos!$F$7*Supuestos!$F$8)*Supuestos!$F$54</f>
        <v>33.3278370918376</v>
      </c>
      <c r="W24" s="25" t="n">
        <f aca="false">W21*(1+Supuestos!$F$7*Supuestos!$F$8)*Supuestos!$F$54</f>
        <v>33.5057546603226</v>
      </c>
      <c r="X24" s="25" t="n">
        <f aca="false">X21*(1+Supuestos!$F$7*Supuestos!$F$8)*Supuestos!$F$54</f>
        <v>33.6747763503834</v>
      </c>
      <c r="Y24" s="25" t="n">
        <f aca="false">Y21*(1+Supuestos!$F$7*Supuestos!$F$8)*Supuestos!$F$54</f>
        <v>33.8353469559412</v>
      </c>
      <c r="Z24" s="25" t="n">
        <f aca="false">Z21*(1+Supuestos!$F$7*Supuestos!$F$8)*Supuestos!$F$54</f>
        <v>33.987889031221</v>
      </c>
      <c r="AA24" s="25" t="n">
        <f aca="false">AA21*(1+Supuestos!$F$7*Supuestos!$F$8)*Supuestos!$F$54</f>
        <v>34.1328040027369</v>
      </c>
      <c r="AB24" s="25" t="n">
        <f aca="false">AB21*(1+Supuestos!$F$7*Supuestos!$F$8)*Supuestos!$F$54</f>
        <v>34.270473225677</v>
      </c>
      <c r="AC24" s="25" t="n">
        <f aca="false">AC21*(1+Supuestos!$F$7*Supuestos!$F$8)*Supuestos!$F$54</f>
        <v>34.4012589874701</v>
      </c>
      <c r="AD24" s="25" t="n">
        <f aca="false">AD21*(1+Supuestos!$F$7*Supuestos!$F$8)*Supuestos!$F$54</f>
        <v>34.5255054611735</v>
      </c>
      <c r="AE24" s="25" t="n">
        <f aca="false">AE21*(1+Supuestos!$F$7*Supuestos!$F$8)*Supuestos!$F$54</f>
        <v>34.6435396111917</v>
      </c>
      <c r="AF24" s="25" t="n">
        <f aca="false">AF21*(1+Supuestos!$F$7*Supuestos!$F$8)*Supuestos!$F$54</f>
        <v>34.7556720537091</v>
      </c>
      <c r="AG24" s="25" t="n">
        <f aca="false">AG21*(1+Supuestos!$F$7*Supuestos!$F$8)*Supuestos!$F$54</f>
        <v>34.8621978741005</v>
      </c>
      <c r="AH24" s="25" t="n">
        <f aca="false">AH21*(1+Supuestos!$F$7*Supuestos!$F$8)*Supuestos!$F$54</f>
        <v>34.9633974034724</v>
      </c>
      <c r="AI24" s="25" t="n">
        <f aca="false">AI21*(1+Supuestos!$F$7*Supuestos!$F$8)*Supuestos!$F$54</f>
        <v>35.0595369563757</v>
      </c>
      <c r="AJ24" s="25" t="n">
        <f aca="false">AJ21*(1+Supuestos!$F$7*Supuestos!$F$8)*Supuestos!$F$54</f>
        <v>35.1508695316339</v>
      </c>
      <c r="AK24" s="25" t="n">
        <f aca="false">AK21*(1+Supuestos!$F$7*Supuestos!$F$8)*Supuestos!$F$54</f>
        <v>35.2376354781291</v>
      </c>
      <c r="AL24" s="25" t="n">
        <f aca="false">AL21*(1+Supuestos!$F$7*Supuestos!$F$8)*Supuestos!$F$54</f>
        <v>35.3200631272996</v>
      </c>
      <c r="AM24" s="25" t="n">
        <f aca="false">AM21*(1+Supuestos!$F$7*Supuestos!$F$8)*Supuestos!$F$54</f>
        <v>35.3983693940115</v>
      </c>
    </row>
    <row r="25" customFormat="false" ht="15" hidden="false" customHeight="false" outlineLevel="0" collapsed="false">
      <c r="B25" s="4" t="s">
        <v>407</v>
      </c>
      <c r="D25" s="25" t="n">
        <f aca="false">D21*Supuestos!$F$55</f>
        <v>34.4195236013986</v>
      </c>
      <c r="E25" s="25" t="n">
        <f aca="false">E21*Supuestos!$F$55</f>
        <v>53.3000914454863</v>
      </c>
      <c r="F25" s="25" t="n">
        <f aca="false">F21*Supuestos!$F$55</f>
        <v>71.7759262803957</v>
      </c>
      <c r="G25" s="25" t="n">
        <f aca="false">G21*Supuestos!$F$55</f>
        <v>89.8656316277714</v>
      </c>
      <c r="H25" s="25" t="n">
        <f aca="false">H21*Supuestos!$F$55</f>
        <v>101.879682528884</v>
      </c>
      <c r="I25" s="25" t="n">
        <f aca="false">I21*Supuestos!$F$55</f>
        <v>112.884843404241</v>
      </c>
      <c r="J25" s="25" t="n">
        <f aca="false">J21*Supuestos!$F$55</f>
        <v>116.373183878657</v>
      </c>
      <c r="K25" s="25" t="n">
        <f aca="false">K21*Supuestos!$F$55</f>
        <v>119.687107329353</v>
      </c>
      <c r="L25" s="25" t="n">
        <f aca="false">L21*Supuestos!$F$55</f>
        <v>122.835334607513</v>
      </c>
      <c r="M25" s="25" t="n">
        <f aca="false">M21*Supuestos!$F$55</f>
        <v>125.826150521766</v>
      </c>
      <c r="N25" s="25" t="n">
        <f aca="false">N21*Supuestos!$F$55</f>
        <v>128.667425640305</v>
      </c>
      <c r="O25" s="25" t="n">
        <f aca="false">O21*Supuestos!$F$55</f>
        <v>131.366637002918</v>
      </c>
      <c r="P25" s="25" t="n">
        <f aca="false">P21*Supuestos!$F$55</f>
        <v>132.419418471272</v>
      </c>
      <c r="Q25" s="25" t="n">
        <f aca="false">Q21*Supuestos!$F$55</f>
        <v>133.419560866208</v>
      </c>
      <c r="R25" s="25" t="n">
        <f aca="false">R21*Supuestos!$F$55</f>
        <v>134.369696141397</v>
      </c>
      <c r="S25" s="25" t="n">
        <f aca="false">S21*Supuestos!$F$55</f>
        <v>135.272324652827</v>
      </c>
      <c r="T25" s="25" t="n">
        <f aca="false">T21*Supuestos!$F$55</f>
        <v>136.129821738685</v>
      </c>
      <c r="U25" s="25" t="n">
        <f aca="false">U21*Supuestos!$F$55</f>
        <v>136.944443970251</v>
      </c>
      <c r="V25" s="25" t="n">
        <f aca="false">V21*Supuestos!$F$55</f>
        <v>137.718335090238</v>
      </c>
      <c r="W25" s="25" t="n">
        <f aca="false">W21*Supuestos!$F$55</f>
        <v>138.453531654226</v>
      </c>
      <c r="X25" s="25" t="n">
        <f aca="false">X21*Supuestos!$F$55</f>
        <v>139.151968390014</v>
      </c>
      <c r="Y25" s="25" t="n">
        <f aca="false">Y21*Supuestos!$F$55</f>
        <v>139.815483289013</v>
      </c>
      <c r="Z25" s="25" t="n">
        <f aca="false">Z21*Supuestos!$F$55</f>
        <v>140.445822443062</v>
      </c>
      <c r="AA25" s="25" t="n">
        <f aca="false">AA21*Supuestos!$F$55</f>
        <v>141.044644639409</v>
      </c>
      <c r="AB25" s="25" t="n">
        <f aca="false">AB21*Supuestos!$F$55</f>
        <v>141.613525725938</v>
      </c>
      <c r="AC25" s="25" t="n">
        <f aca="false">AC21*Supuestos!$F$55</f>
        <v>142.153962758141</v>
      </c>
      <c r="AD25" s="25" t="n">
        <f aca="false">AD21*Supuestos!$F$55</f>
        <v>142.667377938733</v>
      </c>
      <c r="AE25" s="25" t="n">
        <f aca="false">AE21*Supuestos!$F$55</f>
        <v>143.155122360296</v>
      </c>
      <c r="AF25" s="25" t="n">
        <f aca="false">AF21*Supuestos!$F$55</f>
        <v>143.618479560781</v>
      </c>
      <c r="AG25" s="25" t="n">
        <f aca="false">AG21*Supuestos!$F$55</f>
        <v>144.058668901242</v>
      </c>
      <c r="AH25" s="25" t="n">
        <f aca="false">AH21*Supuestos!$F$55</f>
        <v>144.476848774679</v>
      </c>
      <c r="AI25" s="25" t="n">
        <f aca="false">AI21*Supuestos!$F$55</f>
        <v>144.874119654445</v>
      </c>
      <c r="AJ25" s="25" t="n">
        <f aca="false">AJ21*Supuestos!$F$55</f>
        <v>145.251526990223</v>
      </c>
      <c r="AK25" s="25" t="n">
        <f aca="false">AK21*Supuestos!$F$55</f>
        <v>145.610063959211</v>
      </c>
      <c r="AL25" s="25" t="n">
        <f aca="false">AL21*Supuestos!$F$55</f>
        <v>145.95067407975</v>
      </c>
      <c r="AM25" s="25" t="n">
        <f aca="false">AM21*Supuestos!$F$55</f>
        <v>146.274253694262</v>
      </c>
    </row>
    <row r="26" customFormat="false" ht="15" hidden="false" customHeight="false" outlineLevel="0" collapsed="false">
      <c r="B26" s="4" t="s">
        <v>408</v>
      </c>
      <c r="D26" s="25" t="n">
        <f aca="false">D21*(1+Supuestos!$F$7*Supuestos!$F$8)*Supuestos!$F$56</f>
        <v>16.6590494230769</v>
      </c>
      <c r="E26" s="25" t="n">
        <f aca="false">E21*(1+Supuestos!$F$7*Supuestos!$F$8)*Supuestos!$F$56</f>
        <v>25.7972442596154</v>
      </c>
      <c r="F26" s="25" t="n">
        <f aca="false">F21*(1+Supuestos!$F$7*Supuestos!$F$8)*Supuestos!$F$56</f>
        <v>34.7395483197115</v>
      </c>
      <c r="G26" s="25" t="n">
        <f aca="false">G21*(1+Supuestos!$F$7*Supuestos!$F$8)*Supuestos!$F$56</f>
        <v>43.4949657078413</v>
      </c>
      <c r="H26" s="25" t="n">
        <f aca="false">H21*(1+Supuestos!$F$7*Supuestos!$F$8)*Supuestos!$F$56</f>
        <v>49.3097663439797</v>
      </c>
      <c r="I26" s="25" t="n">
        <f aca="false">I21*(1+Supuestos!$F$7*Supuestos!$F$8)*Supuestos!$F$56</f>
        <v>54.6362642076528</v>
      </c>
      <c r="J26" s="25" t="n">
        <f aca="false">J21*(1+Supuestos!$F$7*Supuestos!$F$8)*Supuestos!$F$56</f>
        <v>56.3246209972702</v>
      </c>
      <c r="K26" s="25" t="n">
        <f aca="false">K21*(1+Supuestos!$F$7*Supuestos!$F$8)*Supuestos!$F$56</f>
        <v>57.9285599474067</v>
      </c>
      <c r="L26" s="25" t="n">
        <f aca="false">L21*(1+Supuestos!$F$7*Supuestos!$F$8)*Supuestos!$F$56</f>
        <v>59.4523019500363</v>
      </c>
      <c r="M26" s="25" t="n">
        <f aca="false">M21*(1+Supuestos!$F$7*Supuestos!$F$8)*Supuestos!$F$56</f>
        <v>60.8998568525345</v>
      </c>
      <c r="N26" s="25" t="n">
        <f aca="false">N21*(1+Supuestos!$F$7*Supuestos!$F$8)*Supuestos!$F$56</f>
        <v>62.2750340099078</v>
      </c>
      <c r="O26" s="25" t="n">
        <f aca="false">O21*(1+Supuestos!$F$7*Supuestos!$F$8)*Supuestos!$F$56</f>
        <v>63.5814523094124</v>
      </c>
      <c r="P26" s="25" t="n">
        <f aca="false">P21*(1+Supuestos!$F$7*Supuestos!$F$8)*Supuestos!$F$56</f>
        <v>64.0909985400956</v>
      </c>
      <c r="Q26" s="25" t="n">
        <f aca="false">Q21*(1+Supuestos!$F$7*Supuestos!$F$8)*Supuestos!$F$56</f>
        <v>64.5750674592447</v>
      </c>
      <c r="R26" s="25" t="n">
        <f aca="false">R21*(1+Supuestos!$F$7*Supuestos!$F$8)*Supuestos!$F$56</f>
        <v>65.0349329324363</v>
      </c>
      <c r="S26" s="25" t="n">
        <f aca="false">S21*(1+Supuestos!$F$7*Supuestos!$F$8)*Supuestos!$F$56</f>
        <v>65.4718051319683</v>
      </c>
      <c r="T26" s="25" t="n">
        <f aca="false">T21*(1+Supuestos!$F$7*Supuestos!$F$8)*Supuestos!$F$56</f>
        <v>65.8868337215237</v>
      </c>
      <c r="U26" s="25" t="n">
        <f aca="false">U21*(1+Supuestos!$F$7*Supuestos!$F$8)*Supuestos!$F$56</f>
        <v>66.2811108816014</v>
      </c>
      <c r="V26" s="25" t="n">
        <f aca="false">V21*(1+Supuestos!$F$7*Supuestos!$F$8)*Supuestos!$F$56</f>
        <v>66.6556741836752</v>
      </c>
      <c r="W26" s="25" t="n">
        <f aca="false">W21*(1+Supuestos!$F$7*Supuestos!$F$8)*Supuestos!$F$56</f>
        <v>67.0115093206453</v>
      </c>
      <c r="X26" s="25" t="n">
        <f aca="false">X21*(1+Supuestos!$F$7*Supuestos!$F$8)*Supuestos!$F$56</f>
        <v>67.3495527007668</v>
      </c>
      <c r="Y26" s="25" t="n">
        <f aca="false">Y21*(1+Supuestos!$F$7*Supuestos!$F$8)*Supuestos!$F$56</f>
        <v>67.6706939118823</v>
      </c>
      <c r="Z26" s="25" t="n">
        <f aca="false">Z21*(1+Supuestos!$F$7*Supuestos!$F$8)*Supuestos!$F$56</f>
        <v>67.9757780624421</v>
      </c>
      <c r="AA26" s="25" t="n">
        <f aca="false">AA21*(1+Supuestos!$F$7*Supuestos!$F$8)*Supuestos!$F$56</f>
        <v>68.2656080054738</v>
      </c>
      <c r="AB26" s="25" t="n">
        <f aca="false">AB21*(1+Supuestos!$F$7*Supuestos!$F$8)*Supuestos!$F$56</f>
        <v>68.540946451354</v>
      </c>
      <c r="AC26" s="25" t="n">
        <f aca="false">AC21*(1+Supuestos!$F$7*Supuestos!$F$8)*Supuestos!$F$56</f>
        <v>68.8025179749401</v>
      </c>
      <c r="AD26" s="25" t="n">
        <f aca="false">AD21*(1+Supuestos!$F$7*Supuestos!$F$8)*Supuestos!$F$56</f>
        <v>69.051010922347</v>
      </c>
      <c r="AE26" s="25" t="n">
        <f aca="false">AE21*(1+Supuestos!$F$7*Supuestos!$F$8)*Supuestos!$F$56</f>
        <v>69.2870792223835</v>
      </c>
      <c r="AF26" s="25" t="n">
        <f aca="false">AF21*(1+Supuestos!$F$7*Supuestos!$F$8)*Supuestos!$F$56</f>
        <v>69.5113441074181</v>
      </c>
      <c r="AG26" s="25" t="n">
        <f aca="false">AG21*(1+Supuestos!$F$7*Supuestos!$F$8)*Supuestos!$F$56</f>
        <v>69.7243957482011</v>
      </c>
      <c r="AH26" s="25" t="n">
        <f aca="false">AH21*(1+Supuestos!$F$7*Supuestos!$F$8)*Supuestos!$F$56</f>
        <v>69.9267948069449</v>
      </c>
      <c r="AI26" s="25" t="n">
        <f aca="false">AI21*(1+Supuestos!$F$7*Supuestos!$F$8)*Supuestos!$F$56</f>
        <v>70.1190739127515</v>
      </c>
      <c r="AJ26" s="25" t="n">
        <f aca="false">AJ21*(1+Supuestos!$F$7*Supuestos!$F$8)*Supuestos!$F$56</f>
        <v>70.3017390632678</v>
      </c>
      <c r="AK26" s="25" t="n">
        <f aca="false">AK21*(1+Supuestos!$F$7*Supuestos!$F$8)*Supuestos!$F$56</f>
        <v>70.4752709562582</v>
      </c>
      <c r="AL26" s="25" t="n">
        <f aca="false">AL21*(1+Supuestos!$F$7*Supuestos!$F$8)*Supuestos!$F$56</f>
        <v>70.6401262545991</v>
      </c>
      <c r="AM26" s="25" t="n">
        <f aca="false">AM21*(1+Supuestos!$F$7*Supuestos!$F$8)*Supuestos!$F$56</f>
        <v>70.796738788023</v>
      </c>
    </row>
    <row r="27" customFormat="false" ht="15" hidden="false" customHeight="false" outlineLevel="0" collapsed="false">
      <c r="B27" s="4" t="s">
        <v>409</v>
      </c>
      <c r="D27" s="25" t="n">
        <f aca="false">SUM(D23:D26)</f>
        <v>142.382701902681</v>
      </c>
      <c r="E27" s="25" t="n">
        <f aca="false">SUM(E23:E26)</f>
        <v>219.747746793243</v>
      </c>
      <c r="F27" s="25" t="n">
        <f aca="false">SUM(F23:F26)</f>
        <v>295.321537403713</v>
      </c>
      <c r="G27" s="25" t="n">
        <f aca="false">SUM(G23:G26)</f>
        <v>369.184804443763</v>
      </c>
      <c r="H27" s="25" t="n">
        <f aca="false">SUM(H23:H26)</f>
        <v>416.065798211091</v>
      </c>
      <c r="I27" s="25" t="n">
        <f aca="false">SUM(I23:I26)</f>
        <v>457.831539435506</v>
      </c>
      <c r="J27" s="25" t="n">
        <f aca="false">SUM(J23:J26)</f>
        <v>472.404100108359</v>
      </c>
      <c r="K27" s="25" t="n">
        <f aca="false">SUM(K23:K26)</f>
        <v>486.248032747569</v>
      </c>
      <c r="L27" s="25" t="n">
        <f aca="false">SUM(L23:L26)</f>
        <v>499.399768754818</v>
      </c>
      <c r="M27" s="25" t="n">
        <f aca="false">SUM(M23:M26)</f>
        <v>511.893917961706</v>
      </c>
      <c r="N27" s="25" t="n">
        <f aca="false">SUM(N23:N26)</f>
        <v>523.763359708248</v>
      </c>
      <c r="O27" s="25" t="n">
        <f aca="false">SUM(O23:O26)</f>
        <v>535.039329367464</v>
      </c>
      <c r="P27" s="25" t="n">
        <f aca="false">SUM(P23:P26)</f>
        <v>539.437329486821</v>
      </c>
      <c r="Q27" s="25" t="n">
        <f aca="false">SUM(Q23:Q26)</f>
        <v>543.615429600211</v>
      </c>
      <c r="R27" s="25" t="n">
        <f aca="false">SUM(R23:R26)</f>
        <v>547.584624707931</v>
      </c>
      <c r="S27" s="25" t="n">
        <f aca="false">SUM(S23:S26)</f>
        <v>551.355360060264</v>
      </c>
      <c r="T27" s="25" t="n">
        <f aca="false">SUM(T23:T26)</f>
        <v>554.937558644982</v>
      </c>
      <c r="U27" s="25" t="n">
        <f aca="false">SUM(U23:U26)</f>
        <v>558.340647300463</v>
      </c>
      <c r="V27" s="25" t="n">
        <f aca="false">SUM(V23:V26)</f>
        <v>561.57358152317</v>
      </c>
      <c r="W27" s="25" t="n">
        <f aca="false">SUM(W23:W26)</f>
        <v>564.644869034742</v>
      </c>
      <c r="X27" s="25" t="n">
        <f aca="false">SUM(X23:X26)</f>
        <v>567.562592170736</v>
      </c>
      <c r="Y27" s="25" t="n">
        <f aca="false">SUM(Y23:Y26)</f>
        <v>570.334429149929</v>
      </c>
      <c r="Z27" s="25" t="n">
        <f aca="false">SUM(Z23:Z26)</f>
        <v>572.967674280163</v>
      </c>
      <c r="AA27" s="25" t="n">
        <f aca="false">SUM(AA23:AA26)</f>
        <v>575.469257153885</v>
      </c>
      <c r="AB27" s="25" t="n">
        <f aca="false">SUM(AB23:AB26)</f>
        <v>577.845760883922</v>
      </c>
      <c r="AC27" s="25" t="n">
        <f aca="false">SUM(AC23:AC26)</f>
        <v>580.103439427456</v>
      </c>
      <c r="AD27" s="25" t="n">
        <f aca="false">SUM(AD23:AD26)</f>
        <v>582.248234043814</v>
      </c>
      <c r="AE27" s="25" t="n">
        <f aca="false">SUM(AE23:AE26)</f>
        <v>584.285788929353</v>
      </c>
      <c r="AF27" s="25" t="n">
        <f aca="false">SUM(AF23:AF26)</f>
        <v>586.221466070616</v>
      </c>
      <c r="AG27" s="25" t="n">
        <f aca="false">SUM(AG23:AG26)</f>
        <v>588.060359354816</v>
      </c>
      <c r="AH27" s="25" t="n">
        <f aca="false">SUM(AH23:AH26)</f>
        <v>589.807307974805</v>
      </c>
      <c r="AI27" s="25" t="n">
        <f aca="false">SUM(AI23:AI26)</f>
        <v>591.466909163796</v>
      </c>
      <c r="AJ27" s="25" t="n">
        <f aca="false">SUM(AJ23:AJ26)</f>
        <v>593.043530293336</v>
      </c>
      <c r="AK27" s="25" t="n">
        <f aca="false">SUM(AK23:AK26)</f>
        <v>594.5413203664</v>
      </c>
      <c r="AL27" s="25" t="n">
        <f aca="false">SUM(AL23:AL26)</f>
        <v>595.96422093581</v>
      </c>
      <c r="AM27" s="25" t="n">
        <f aca="false">SUM(AM23:AM26)</f>
        <v>597.31597647675</v>
      </c>
    </row>
    <row r="28" customFormat="false" ht="15" hidden="false" customHeight="false" outlineLevel="0" collapsed="false">
      <c r="B28" s="11" t="s">
        <v>410</v>
      </c>
      <c r="D28" s="25" t="n">
        <f aca="false">D21-D27</f>
        <v>1004.93475147727</v>
      </c>
      <c r="E28" s="25" t="n">
        <f aca="false">E21-E27</f>
        <v>1556.9219680563</v>
      </c>
      <c r="F28" s="25" t="n">
        <f aca="false">F21-F27</f>
        <v>2097.20933860948</v>
      </c>
      <c r="G28" s="25" t="n">
        <f aca="false">G21-G27</f>
        <v>2626.33624981528</v>
      </c>
      <c r="H28" s="25" t="n">
        <f aca="false">H21-H27</f>
        <v>2979.92361941836</v>
      </c>
      <c r="I28" s="25" t="n">
        <f aca="false">I21-I27</f>
        <v>3304.99657403921</v>
      </c>
      <c r="J28" s="25" t="n">
        <f aca="false">J21-J27</f>
        <v>3406.70202918022</v>
      </c>
      <c r="K28" s="25" t="n">
        <f aca="false">K21-K27</f>
        <v>3503.32221156419</v>
      </c>
      <c r="L28" s="25" t="n">
        <f aca="false">L21-L27</f>
        <v>3595.11138482895</v>
      </c>
      <c r="M28" s="25" t="n">
        <f aca="false">M21-M27</f>
        <v>3682.31109943048</v>
      </c>
      <c r="N28" s="25" t="n">
        <f aca="false">N21-N27</f>
        <v>3765.15082830193</v>
      </c>
      <c r="O28" s="25" t="n">
        <f aca="false">O21-O27</f>
        <v>3843.84857072981</v>
      </c>
      <c r="P28" s="25" t="n">
        <f aca="false">P21-P27</f>
        <v>3874.54328622224</v>
      </c>
      <c r="Q28" s="25" t="n">
        <f aca="false">Q21-Q27</f>
        <v>3903.70326594006</v>
      </c>
      <c r="R28" s="25" t="n">
        <f aca="false">R21-R27</f>
        <v>3931.40524667198</v>
      </c>
      <c r="S28" s="25" t="n">
        <f aca="false">S21-S27</f>
        <v>3957.72212836731</v>
      </c>
      <c r="T28" s="25" t="n">
        <f aca="false">T21-T27</f>
        <v>3982.72316597787</v>
      </c>
      <c r="U28" s="25" t="n">
        <f aca="false">U21-U27</f>
        <v>4006.4741517079</v>
      </c>
      <c r="V28" s="25" t="n">
        <f aca="false">V21-V27</f>
        <v>4029.03758815143</v>
      </c>
      <c r="W28" s="25" t="n">
        <f aca="false">W21-W27</f>
        <v>4050.47285277278</v>
      </c>
      <c r="X28" s="25" t="n">
        <f aca="false">X21-X27</f>
        <v>4070.83635416307</v>
      </c>
      <c r="Y28" s="25" t="n">
        <f aca="false">Y21-Y27</f>
        <v>4090.18168048384</v>
      </c>
      <c r="Z28" s="25" t="n">
        <f aca="false">Z21-Z27</f>
        <v>4108.55974048858</v>
      </c>
      <c r="AA28" s="25" t="n">
        <f aca="false">AA21-AA27</f>
        <v>4126.01889749307</v>
      </c>
      <c r="AB28" s="25" t="n">
        <f aca="false">AB21-AB27</f>
        <v>4142.60509664734</v>
      </c>
      <c r="AC28" s="25" t="n">
        <f aca="false">AC21-AC27</f>
        <v>4158.3619858439</v>
      </c>
      <c r="AD28" s="25" t="n">
        <f aca="false">AD21-AD27</f>
        <v>4173.33103058063</v>
      </c>
      <c r="AE28" s="25" t="n">
        <f aca="false">AE21-AE27</f>
        <v>4187.55162308053</v>
      </c>
      <c r="AF28" s="25" t="n">
        <f aca="false">AF21-AF27</f>
        <v>4201.06118595543</v>
      </c>
      <c r="AG28" s="25" t="n">
        <f aca="false">AG21-AG27</f>
        <v>4213.89527068658</v>
      </c>
      <c r="AH28" s="25" t="n">
        <f aca="false">AH21-AH27</f>
        <v>4226.08765118118</v>
      </c>
      <c r="AI28" s="25" t="n">
        <f aca="false">AI21-AI27</f>
        <v>4237.67041265104</v>
      </c>
      <c r="AJ28" s="25" t="n">
        <f aca="false">AJ21-AJ27</f>
        <v>4248.67403604742</v>
      </c>
      <c r="AK28" s="25" t="n">
        <f aca="false">AK21-AK27</f>
        <v>4259.12747827397</v>
      </c>
      <c r="AL28" s="25" t="n">
        <f aca="false">AL21-AL27</f>
        <v>4269.0582483892</v>
      </c>
      <c r="AM28" s="25" t="n">
        <f aca="false">AM21-AM27</f>
        <v>4278.49247999866</v>
      </c>
    </row>
    <row r="29" customFormat="false" ht="15" hidden="false" customHeight="false" outlineLevel="0" collapsed="false">
      <c r="B29" s="14" t="s">
        <v>411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customFormat="false" ht="15" hidden="false" customHeight="false" outlineLevel="0" collapsed="false">
      <c r="B30" s="4" t="s">
        <v>412</v>
      </c>
      <c r="D30" s="25" t="n">
        <f aca="false">Supuestos!$F$58*Supuestos!$F$59</f>
        <v>1574.85</v>
      </c>
      <c r="E30" s="25" t="n">
        <f aca="false">Supuestos!$F$58*Supuestos!$F$59</f>
        <v>1574.85</v>
      </c>
      <c r="F30" s="25" t="n">
        <f aca="false">Supuestos!$F$58*Supuestos!$F$59</f>
        <v>1574.85</v>
      </c>
      <c r="G30" s="25" t="n">
        <f aca="false">Supuestos!$F$58*Supuestos!$F$59</f>
        <v>1574.85</v>
      </c>
      <c r="H30" s="25" t="n">
        <f aca="false">Supuestos!$F$58*Supuestos!$F$59</f>
        <v>1574.85</v>
      </c>
      <c r="I30" s="25" t="n">
        <f aca="false">Supuestos!$F$58*Supuestos!$F$59</f>
        <v>1574.85</v>
      </c>
      <c r="J30" s="25" t="n">
        <f aca="false">Supuestos!$F$58*Supuestos!$F$59</f>
        <v>1574.85</v>
      </c>
      <c r="K30" s="25" t="n">
        <f aca="false">Supuestos!$F$58*Supuestos!$F$59</f>
        <v>1574.85</v>
      </c>
      <c r="L30" s="25" t="n">
        <f aca="false">Supuestos!$F$58*Supuestos!$F$59</f>
        <v>1574.85</v>
      </c>
      <c r="M30" s="25" t="n">
        <f aca="false">Supuestos!$F$58*Supuestos!$F$59</f>
        <v>1574.85</v>
      </c>
      <c r="N30" s="25" t="n">
        <f aca="false">Supuestos!$F$58*Supuestos!$F$59</f>
        <v>1574.85</v>
      </c>
      <c r="O30" s="25" t="n">
        <f aca="false">Supuestos!$F$58*Supuestos!$F$59</f>
        <v>1574.85</v>
      </c>
      <c r="P30" s="25" t="n">
        <f aca="false">Supuestos!$F$58*Supuestos!$F$59</f>
        <v>1574.85</v>
      </c>
      <c r="Q30" s="25" t="n">
        <f aca="false">Supuestos!$F$58*Supuestos!$F$59</f>
        <v>1574.85</v>
      </c>
      <c r="R30" s="25" t="n">
        <f aca="false">Supuestos!$F$58*Supuestos!$F$59</f>
        <v>1574.85</v>
      </c>
      <c r="S30" s="25" t="n">
        <f aca="false">Supuestos!$F$58*Supuestos!$F$59</f>
        <v>1574.85</v>
      </c>
      <c r="T30" s="25" t="n">
        <f aca="false">Supuestos!$F$58*Supuestos!$F$59</f>
        <v>1574.85</v>
      </c>
      <c r="U30" s="25" t="n">
        <f aca="false">Supuestos!$F$58*Supuestos!$F$59</f>
        <v>1574.85</v>
      </c>
      <c r="V30" s="25" t="n">
        <f aca="false">Supuestos!$F$58*Supuestos!$F$59</f>
        <v>1574.85</v>
      </c>
      <c r="W30" s="25" t="n">
        <f aca="false">Supuestos!$F$58*Supuestos!$F$59</f>
        <v>1574.85</v>
      </c>
      <c r="X30" s="25" t="n">
        <f aca="false">Supuestos!$F$58*Supuestos!$F$59</f>
        <v>1574.85</v>
      </c>
      <c r="Y30" s="25" t="n">
        <f aca="false">Supuestos!$F$58*Supuestos!$F$59</f>
        <v>1574.85</v>
      </c>
      <c r="Z30" s="25" t="n">
        <f aca="false">Supuestos!$F$58*Supuestos!$F$59</f>
        <v>1574.85</v>
      </c>
      <c r="AA30" s="25" t="n">
        <f aca="false">Supuestos!$F$58*Supuestos!$F$59</f>
        <v>1574.85</v>
      </c>
      <c r="AB30" s="25" t="n">
        <f aca="false">Supuestos!$F$58*Supuestos!$F$59</f>
        <v>1574.85</v>
      </c>
      <c r="AC30" s="25" t="n">
        <f aca="false">Supuestos!$F$58*Supuestos!$F$59</f>
        <v>1574.85</v>
      </c>
      <c r="AD30" s="25" t="n">
        <f aca="false">Supuestos!$F$58*Supuestos!$F$59</f>
        <v>1574.85</v>
      </c>
      <c r="AE30" s="25" t="n">
        <f aca="false">Supuestos!$F$58*Supuestos!$F$59</f>
        <v>1574.85</v>
      </c>
      <c r="AF30" s="25" t="n">
        <f aca="false">Supuestos!$F$58*Supuestos!$F$59</f>
        <v>1574.85</v>
      </c>
      <c r="AG30" s="25" t="n">
        <f aca="false">Supuestos!$F$58*Supuestos!$F$59</f>
        <v>1574.85</v>
      </c>
      <c r="AH30" s="25" t="n">
        <f aca="false">Supuestos!$F$58*Supuestos!$F$59</f>
        <v>1574.85</v>
      </c>
      <c r="AI30" s="25" t="n">
        <f aca="false">Supuestos!$F$58*Supuestos!$F$59</f>
        <v>1574.85</v>
      </c>
      <c r="AJ30" s="25" t="n">
        <f aca="false">Supuestos!$F$58*Supuestos!$F$59</f>
        <v>1574.85</v>
      </c>
      <c r="AK30" s="25" t="n">
        <f aca="false">Supuestos!$F$58*Supuestos!$F$59</f>
        <v>1574.85</v>
      </c>
      <c r="AL30" s="25" t="n">
        <f aca="false">Supuestos!$F$58*Supuestos!$F$59</f>
        <v>1574.85</v>
      </c>
      <c r="AM30" s="25" t="n">
        <f aca="false">Supuestos!$F$58*Supuestos!$F$59</f>
        <v>1574.85</v>
      </c>
    </row>
    <row r="31" customFormat="false" ht="15" hidden="false" customHeight="false" outlineLevel="0" collapsed="false">
      <c r="B31" s="4" t="s">
        <v>231</v>
      </c>
      <c r="D31" s="25" t="n">
        <f aca="false">Supuestos!$F$60</f>
        <v>269.2</v>
      </c>
      <c r="E31" s="25" t="n">
        <f aca="false">Supuestos!$F$60</f>
        <v>269.2</v>
      </c>
      <c r="F31" s="25" t="n">
        <f aca="false">Supuestos!$F$60</f>
        <v>269.2</v>
      </c>
      <c r="G31" s="25" t="n">
        <f aca="false">Supuestos!$F$60</f>
        <v>269.2</v>
      </c>
      <c r="H31" s="25" t="n">
        <f aca="false">Supuestos!$F$60</f>
        <v>269.2</v>
      </c>
      <c r="I31" s="25" t="n">
        <f aca="false">Supuestos!$F$60</f>
        <v>269.2</v>
      </c>
      <c r="J31" s="25" t="n">
        <f aca="false">Supuestos!$F$60</f>
        <v>269.2</v>
      </c>
      <c r="K31" s="25" t="n">
        <f aca="false">Supuestos!$F$60</f>
        <v>269.2</v>
      </c>
      <c r="L31" s="25" t="n">
        <f aca="false">Supuestos!$F$60</f>
        <v>269.2</v>
      </c>
      <c r="M31" s="25" t="n">
        <f aca="false">Supuestos!$F$60</f>
        <v>269.2</v>
      </c>
      <c r="N31" s="25" t="n">
        <f aca="false">Supuestos!$F$60</f>
        <v>269.2</v>
      </c>
      <c r="O31" s="25" t="n">
        <f aca="false">Supuestos!$F$60</f>
        <v>269.2</v>
      </c>
      <c r="P31" s="25" t="n">
        <f aca="false">Supuestos!$F$60</f>
        <v>269.2</v>
      </c>
      <c r="Q31" s="25" t="n">
        <f aca="false">Supuestos!$F$60</f>
        <v>269.2</v>
      </c>
      <c r="R31" s="25" t="n">
        <f aca="false">Supuestos!$F$60</f>
        <v>269.2</v>
      </c>
      <c r="S31" s="25" t="n">
        <f aca="false">Supuestos!$F$60</f>
        <v>269.2</v>
      </c>
      <c r="T31" s="25" t="n">
        <f aca="false">Supuestos!$F$60</f>
        <v>269.2</v>
      </c>
      <c r="U31" s="25" t="n">
        <f aca="false">Supuestos!$F$60</f>
        <v>269.2</v>
      </c>
      <c r="V31" s="25" t="n">
        <f aca="false">Supuestos!$F$60</f>
        <v>269.2</v>
      </c>
      <c r="W31" s="25" t="n">
        <f aca="false">Supuestos!$F$60</f>
        <v>269.2</v>
      </c>
      <c r="X31" s="25" t="n">
        <f aca="false">Supuestos!$F$60</f>
        <v>269.2</v>
      </c>
      <c r="Y31" s="25" t="n">
        <f aca="false">Supuestos!$F$60</f>
        <v>269.2</v>
      </c>
      <c r="Z31" s="25" t="n">
        <f aca="false">Supuestos!$F$60</f>
        <v>269.2</v>
      </c>
      <c r="AA31" s="25" t="n">
        <f aca="false">Supuestos!$F$60</f>
        <v>269.2</v>
      </c>
      <c r="AB31" s="25" t="n">
        <f aca="false">Supuestos!$F$60</f>
        <v>269.2</v>
      </c>
      <c r="AC31" s="25" t="n">
        <f aca="false">Supuestos!$F$60</f>
        <v>269.2</v>
      </c>
      <c r="AD31" s="25" t="n">
        <f aca="false">Supuestos!$F$60</f>
        <v>269.2</v>
      </c>
      <c r="AE31" s="25" t="n">
        <f aca="false">Supuestos!$F$60</f>
        <v>269.2</v>
      </c>
      <c r="AF31" s="25" t="n">
        <f aca="false">Supuestos!$F$60</f>
        <v>269.2</v>
      </c>
      <c r="AG31" s="25" t="n">
        <f aca="false">Supuestos!$F$60</f>
        <v>269.2</v>
      </c>
      <c r="AH31" s="25" t="n">
        <f aca="false">Supuestos!$F$60</f>
        <v>269.2</v>
      </c>
      <c r="AI31" s="25" t="n">
        <f aca="false">Supuestos!$F$60</f>
        <v>269.2</v>
      </c>
      <c r="AJ31" s="25" t="n">
        <f aca="false">Supuestos!$F$60</f>
        <v>269.2</v>
      </c>
      <c r="AK31" s="25" t="n">
        <f aca="false">Supuestos!$F$60</f>
        <v>269.2</v>
      </c>
      <c r="AL31" s="25" t="n">
        <f aca="false">Supuestos!$F$60</f>
        <v>269.2</v>
      </c>
      <c r="AM31" s="25" t="n">
        <f aca="false">Supuestos!$F$60</f>
        <v>269.2</v>
      </c>
    </row>
    <row r="32" customFormat="false" ht="15" hidden="false" customHeight="false" outlineLevel="0" collapsed="false">
      <c r="B32" s="4" t="s">
        <v>234</v>
      </c>
      <c r="D32" s="25" t="n">
        <f aca="false">Supuestos!$F$61</f>
        <v>43</v>
      </c>
      <c r="E32" s="25" t="n">
        <f aca="false">Supuestos!$F$61</f>
        <v>43</v>
      </c>
      <c r="F32" s="25" t="n">
        <f aca="false">Supuestos!$F$61</f>
        <v>43</v>
      </c>
      <c r="G32" s="25" t="n">
        <f aca="false">Supuestos!$F$61</f>
        <v>43</v>
      </c>
      <c r="H32" s="25" t="n">
        <f aca="false">Supuestos!$F$61</f>
        <v>43</v>
      </c>
      <c r="I32" s="25" t="n">
        <f aca="false">Supuestos!$F$61</f>
        <v>43</v>
      </c>
      <c r="J32" s="25" t="n">
        <f aca="false">Supuestos!$F$61</f>
        <v>43</v>
      </c>
      <c r="K32" s="25" t="n">
        <f aca="false">Supuestos!$F$61</f>
        <v>43</v>
      </c>
      <c r="L32" s="25" t="n">
        <f aca="false">Supuestos!$F$61</f>
        <v>43</v>
      </c>
      <c r="M32" s="25" t="n">
        <f aca="false">Supuestos!$F$61</f>
        <v>43</v>
      </c>
      <c r="N32" s="25" t="n">
        <f aca="false">Supuestos!$F$61</f>
        <v>43</v>
      </c>
      <c r="O32" s="25" t="n">
        <f aca="false">Supuestos!$F$61</f>
        <v>43</v>
      </c>
      <c r="P32" s="25" t="n">
        <f aca="false">Supuestos!$F$61</f>
        <v>43</v>
      </c>
      <c r="Q32" s="25" t="n">
        <f aca="false">Supuestos!$F$61</f>
        <v>43</v>
      </c>
      <c r="R32" s="25" t="n">
        <f aca="false">Supuestos!$F$61</f>
        <v>43</v>
      </c>
      <c r="S32" s="25" t="n">
        <f aca="false">Supuestos!$F$61</f>
        <v>43</v>
      </c>
      <c r="T32" s="25" t="n">
        <f aca="false">Supuestos!$F$61</f>
        <v>43</v>
      </c>
      <c r="U32" s="25" t="n">
        <f aca="false">Supuestos!$F$61</f>
        <v>43</v>
      </c>
      <c r="V32" s="25" t="n">
        <f aca="false">Supuestos!$F$61</f>
        <v>43</v>
      </c>
      <c r="W32" s="25" t="n">
        <f aca="false">Supuestos!$F$61</f>
        <v>43</v>
      </c>
      <c r="X32" s="25" t="n">
        <f aca="false">Supuestos!$F$61</f>
        <v>43</v>
      </c>
      <c r="Y32" s="25" t="n">
        <f aca="false">Supuestos!$F$61</f>
        <v>43</v>
      </c>
      <c r="Z32" s="25" t="n">
        <f aca="false">Supuestos!$F$61</f>
        <v>43</v>
      </c>
      <c r="AA32" s="25" t="n">
        <f aca="false">Supuestos!$F$61</f>
        <v>43</v>
      </c>
      <c r="AB32" s="25" t="n">
        <f aca="false">Supuestos!$F$61</f>
        <v>43</v>
      </c>
      <c r="AC32" s="25" t="n">
        <f aca="false">Supuestos!$F$61</f>
        <v>43</v>
      </c>
      <c r="AD32" s="25" t="n">
        <f aca="false">Supuestos!$F$61</f>
        <v>43</v>
      </c>
      <c r="AE32" s="25" t="n">
        <f aca="false">Supuestos!$F$61</f>
        <v>43</v>
      </c>
      <c r="AF32" s="25" t="n">
        <f aca="false">Supuestos!$F$61</f>
        <v>43</v>
      </c>
      <c r="AG32" s="25" t="n">
        <f aca="false">Supuestos!$F$61</f>
        <v>43</v>
      </c>
      <c r="AH32" s="25" t="n">
        <f aca="false">Supuestos!$F$61</f>
        <v>43</v>
      </c>
      <c r="AI32" s="25" t="n">
        <f aca="false">Supuestos!$F$61</f>
        <v>43</v>
      </c>
      <c r="AJ32" s="25" t="n">
        <f aca="false">Supuestos!$F$61</f>
        <v>43</v>
      </c>
      <c r="AK32" s="25" t="n">
        <f aca="false">Supuestos!$F$61</f>
        <v>43</v>
      </c>
      <c r="AL32" s="25" t="n">
        <f aca="false">Supuestos!$F$61</f>
        <v>43</v>
      </c>
      <c r="AM32" s="25" t="n">
        <f aca="false">Supuestos!$F$61</f>
        <v>43</v>
      </c>
    </row>
    <row r="33" customFormat="false" ht="15" hidden="false" customHeight="false" outlineLevel="0" collapsed="false">
      <c r="B33" s="4" t="s">
        <v>237</v>
      </c>
      <c r="D33" s="25" t="n">
        <f aca="false">Supuestos!$F$62</f>
        <v>27.1</v>
      </c>
      <c r="E33" s="25" t="n">
        <f aca="false">Supuestos!$F$62</f>
        <v>27.1</v>
      </c>
      <c r="F33" s="25" t="n">
        <f aca="false">Supuestos!$F$62</f>
        <v>27.1</v>
      </c>
      <c r="G33" s="25" t="n">
        <f aca="false">Supuestos!$F$62</f>
        <v>27.1</v>
      </c>
      <c r="H33" s="25" t="n">
        <f aca="false">Supuestos!$F$62</f>
        <v>27.1</v>
      </c>
      <c r="I33" s="25" t="n">
        <f aca="false">Supuestos!$F$62</f>
        <v>27.1</v>
      </c>
      <c r="J33" s="25" t="n">
        <f aca="false">Supuestos!$F$62</f>
        <v>27.1</v>
      </c>
      <c r="K33" s="25" t="n">
        <f aca="false">Supuestos!$F$62</f>
        <v>27.1</v>
      </c>
      <c r="L33" s="25" t="n">
        <f aca="false">Supuestos!$F$62</f>
        <v>27.1</v>
      </c>
      <c r="M33" s="25" t="n">
        <f aca="false">Supuestos!$F$62</f>
        <v>27.1</v>
      </c>
      <c r="N33" s="25" t="n">
        <f aca="false">Supuestos!$F$62</f>
        <v>27.1</v>
      </c>
      <c r="O33" s="25" t="n">
        <f aca="false">Supuestos!$F$62</f>
        <v>27.1</v>
      </c>
      <c r="P33" s="25" t="n">
        <f aca="false">Supuestos!$F$62</f>
        <v>27.1</v>
      </c>
      <c r="Q33" s="25" t="n">
        <f aca="false">Supuestos!$F$62</f>
        <v>27.1</v>
      </c>
      <c r="R33" s="25" t="n">
        <f aca="false">Supuestos!$F$62</f>
        <v>27.1</v>
      </c>
      <c r="S33" s="25" t="n">
        <f aca="false">Supuestos!$F$62</f>
        <v>27.1</v>
      </c>
      <c r="T33" s="25" t="n">
        <f aca="false">Supuestos!$F$62</f>
        <v>27.1</v>
      </c>
      <c r="U33" s="25" t="n">
        <f aca="false">Supuestos!$F$62</f>
        <v>27.1</v>
      </c>
      <c r="V33" s="25" t="n">
        <f aca="false">Supuestos!$F$62</f>
        <v>27.1</v>
      </c>
      <c r="W33" s="25" t="n">
        <f aca="false">Supuestos!$F$62</f>
        <v>27.1</v>
      </c>
      <c r="X33" s="25" t="n">
        <f aca="false">Supuestos!$F$62</f>
        <v>27.1</v>
      </c>
      <c r="Y33" s="25" t="n">
        <f aca="false">Supuestos!$F$62</f>
        <v>27.1</v>
      </c>
      <c r="Z33" s="25" t="n">
        <f aca="false">Supuestos!$F$62</f>
        <v>27.1</v>
      </c>
      <c r="AA33" s="25" t="n">
        <f aca="false">Supuestos!$F$62</f>
        <v>27.1</v>
      </c>
      <c r="AB33" s="25" t="n">
        <f aca="false">Supuestos!$F$62</f>
        <v>27.1</v>
      </c>
      <c r="AC33" s="25" t="n">
        <f aca="false">Supuestos!$F$62</f>
        <v>27.1</v>
      </c>
      <c r="AD33" s="25" t="n">
        <f aca="false">Supuestos!$F$62</f>
        <v>27.1</v>
      </c>
      <c r="AE33" s="25" t="n">
        <f aca="false">Supuestos!$F$62</f>
        <v>27.1</v>
      </c>
      <c r="AF33" s="25" t="n">
        <f aca="false">Supuestos!$F$62</f>
        <v>27.1</v>
      </c>
      <c r="AG33" s="25" t="n">
        <f aca="false">Supuestos!$F$62</f>
        <v>27.1</v>
      </c>
      <c r="AH33" s="25" t="n">
        <f aca="false">Supuestos!$F$62</f>
        <v>27.1</v>
      </c>
      <c r="AI33" s="25" t="n">
        <f aca="false">Supuestos!$F$62</f>
        <v>27.1</v>
      </c>
      <c r="AJ33" s="25" t="n">
        <f aca="false">Supuestos!$F$62</f>
        <v>27.1</v>
      </c>
      <c r="AK33" s="25" t="n">
        <f aca="false">Supuestos!$F$62</f>
        <v>27.1</v>
      </c>
      <c r="AL33" s="25" t="n">
        <f aca="false">Supuestos!$F$62</f>
        <v>27.1</v>
      </c>
      <c r="AM33" s="25" t="n">
        <f aca="false">Supuestos!$F$62</f>
        <v>27.1</v>
      </c>
    </row>
    <row r="34" customFormat="false" ht="15" hidden="false" customHeight="false" outlineLevel="0" collapsed="false">
      <c r="B34" s="4" t="s">
        <v>413</v>
      </c>
      <c r="D34" s="25" t="n">
        <f aca="false">Supuestos!$F$63</f>
        <v>32.1</v>
      </c>
      <c r="E34" s="25" t="n">
        <f aca="false">Supuestos!$F$63</f>
        <v>32.1</v>
      </c>
      <c r="F34" s="25" t="n">
        <f aca="false">Supuestos!$F$63</f>
        <v>32.1</v>
      </c>
      <c r="G34" s="25" t="n">
        <f aca="false">Supuestos!$F$63</f>
        <v>32.1</v>
      </c>
      <c r="H34" s="25" t="n">
        <f aca="false">Supuestos!$F$63</f>
        <v>32.1</v>
      </c>
      <c r="I34" s="25" t="n">
        <f aca="false">Supuestos!$F$63</f>
        <v>32.1</v>
      </c>
      <c r="J34" s="25" t="n">
        <f aca="false">Supuestos!$F$63</f>
        <v>32.1</v>
      </c>
      <c r="K34" s="25" t="n">
        <f aca="false">Supuestos!$F$63</f>
        <v>32.1</v>
      </c>
      <c r="L34" s="25" t="n">
        <f aca="false">Supuestos!$F$63</f>
        <v>32.1</v>
      </c>
      <c r="M34" s="25" t="n">
        <f aca="false">Supuestos!$F$63</f>
        <v>32.1</v>
      </c>
      <c r="N34" s="25" t="n">
        <f aca="false">Supuestos!$F$63</f>
        <v>32.1</v>
      </c>
      <c r="O34" s="25" t="n">
        <f aca="false">Supuestos!$F$63</f>
        <v>32.1</v>
      </c>
      <c r="P34" s="25" t="n">
        <f aca="false">Supuestos!$F$63</f>
        <v>32.1</v>
      </c>
      <c r="Q34" s="25" t="n">
        <f aca="false">Supuestos!$F$63</f>
        <v>32.1</v>
      </c>
      <c r="R34" s="25" t="n">
        <f aca="false">Supuestos!$F$63</f>
        <v>32.1</v>
      </c>
      <c r="S34" s="25" t="n">
        <f aca="false">Supuestos!$F$63</f>
        <v>32.1</v>
      </c>
      <c r="T34" s="25" t="n">
        <f aca="false">Supuestos!$F$63</f>
        <v>32.1</v>
      </c>
      <c r="U34" s="25" t="n">
        <f aca="false">Supuestos!$F$63</f>
        <v>32.1</v>
      </c>
      <c r="V34" s="25" t="n">
        <f aca="false">Supuestos!$F$63</f>
        <v>32.1</v>
      </c>
      <c r="W34" s="25" t="n">
        <f aca="false">Supuestos!$F$63</f>
        <v>32.1</v>
      </c>
      <c r="X34" s="25" t="n">
        <f aca="false">Supuestos!$F$63</f>
        <v>32.1</v>
      </c>
      <c r="Y34" s="25" t="n">
        <f aca="false">Supuestos!$F$63</f>
        <v>32.1</v>
      </c>
      <c r="Z34" s="25" t="n">
        <f aca="false">Supuestos!$F$63</f>
        <v>32.1</v>
      </c>
      <c r="AA34" s="25" t="n">
        <f aca="false">Supuestos!$F$63</f>
        <v>32.1</v>
      </c>
      <c r="AB34" s="25" t="n">
        <f aca="false">Supuestos!$F$63</f>
        <v>32.1</v>
      </c>
      <c r="AC34" s="25" t="n">
        <f aca="false">Supuestos!$F$63</f>
        <v>32.1</v>
      </c>
      <c r="AD34" s="25" t="n">
        <f aca="false">Supuestos!$F$63</f>
        <v>32.1</v>
      </c>
      <c r="AE34" s="25" t="n">
        <f aca="false">Supuestos!$F$63</f>
        <v>32.1</v>
      </c>
      <c r="AF34" s="25" t="n">
        <f aca="false">Supuestos!$F$63</f>
        <v>32.1</v>
      </c>
      <c r="AG34" s="25" t="n">
        <f aca="false">Supuestos!$F$63</f>
        <v>32.1</v>
      </c>
      <c r="AH34" s="25" t="n">
        <f aca="false">Supuestos!$F$63</f>
        <v>32.1</v>
      </c>
      <c r="AI34" s="25" t="n">
        <f aca="false">Supuestos!$F$63</f>
        <v>32.1</v>
      </c>
      <c r="AJ34" s="25" t="n">
        <f aca="false">Supuestos!$F$63</f>
        <v>32.1</v>
      </c>
      <c r="AK34" s="25" t="n">
        <f aca="false">Supuestos!$F$63</f>
        <v>32.1</v>
      </c>
      <c r="AL34" s="25" t="n">
        <f aca="false">Supuestos!$F$63</f>
        <v>32.1</v>
      </c>
      <c r="AM34" s="25" t="n">
        <f aca="false">Supuestos!$F$63</f>
        <v>32.1</v>
      </c>
    </row>
    <row r="35" customFormat="false" ht="15" hidden="false" customHeight="false" outlineLevel="0" collapsed="false">
      <c r="B35" s="4" t="s">
        <v>244</v>
      </c>
      <c r="D35" s="25" t="n">
        <f aca="false">Supuestos!$F$64</f>
        <v>99</v>
      </c>
      <c r="E35" s="25" t="n">
        <f aca="false">Supuestos!$F$64</f>
        <v>99</v>
      </c>
      <c r="F35" s="25" t="n">
        <f aca="false">Supuestos!$F$64</f>
        <v>99</v>
      </c>
      <c r="G35" s="25" t="n">
        <f aca="false">Supuestos!$F$64</f>
        <v>99</v>
      </c>
      <c r="H35" s="25" t="n">
        <f aca="false">Supuestos!$F$64</f>
        <v>99</v>
      </c>
      <c r="I35" s="25" t="n">
        <f aca="false">Supuestos!$F$64</f>
        <v>99</v>
      </c>
      <c r="J35" s="25" t="n">
        <f aca="false">Supuestos!$F$64</f>
        <v>99</v>
      </c>
      <c r="K35" s="25" t="n">
        <f aca="false">Supuestos!$F$64</f>
        <v>99</v>
      </c>
      <c r="L35" s="25" t="n">
        <f aca="false">Supuestos!$F$64</f>
        <v>99</v>
      </c>
      <c r="M35" s="25" t="n">
        <f aca="false">Supuestos!$F$64</f>
        <v>99</v>
      </c>
      <c r="N35" s="25" t="n">
        <f aca="false">Supuestos!$F$64</f>
        <v>99</v>
      </c>
      <c r="O35" s="25" t="n">
        <f aca="false">Supuestos!$F$64</f>
        <v>99</v>
      </c>
      <c r="P35" s="25" t="n">
        <f aca="false">Supuestos!$F$64</f>
        <v>99</v>
      </c>
      <c r="Q35" s="25" t="n">
        <f aca="false">Supuestos!$F$64</f>
        <v>99</v>
      </c>
      <c r="R35" s="25" t="n">
        <f aca="false">Supuestos!$F$64</f>
        <v>99</v>
      </c>
      <c r="S35" s="25" t="n">
        <f aca="false">Supuestos!$F$64</f>
        <v>99</v>
      </c>
      <c r="T35" s="25" t="n">
        <f aca="false">Supuestos!$F$64</f>
        <v>99</v>
      </c>
      <c r="U35" s="25" t="n">
        <f aca="false">Supuestos!$F$64</f>
        <v>99</v>
      </c>
      <c r="V35" s="25" t="n">
        <f aca="false">Supuestos!$F$64</f>
        <v>99</v>
      </c>
      <c r="W35" s="25" t="n">
        <f aca="false">Supuestos!$F$64</f>
        <v>99</v>
      </c>
      <c r="X35" s="25" t="n">
        <f aca="false">Supuestos!$F$64</f>
        <v>99</v>
      </c>
      <c r="Y35" s="25" t="n">
        <f aca="false">Supuestos!$F$64</f>
        <v>99</v>
      </c>
      <c r="Z35" s="25" t="n">
        <f aca="false">Supuestos!$F$64</f>
        <v>99</v>
      </c>
      <c r="AA35" s="25" t="n">
        <f aca="false">Supuestos!$F$64</f>
        <v>99</v>
      </c>
      <c r="AB35" s="25" t="n">
        <f aca="false">Supuestos!$F$64</f>
        <v>99</v>
      </c>
      <c r="AC35" s="25" t="n">
        <f aca="false">Supuestos!$F$64</f>
        <v>99</v>
      </c>
      <c r="AD35" s="25" t="n">
        <f aca="false">Supuestos!$F$64</f>
        <v>99</v>
      </c>
      <c r="AE35" s="25" t="n">
        <f aca="false">Supuestos!$F$64</f>
        <v>99</v>
      </c>
      <c r="AF35" s="25" t="n">
        <f aca="false">Supuestos!$F$64</f>
        <v>99</v>
      </c>
      <c r="AG35" s="25" t="n">
        <f aca="false">Supuestos!$F$64</f>
        <v>99</v>
      </c>
      <c r="AH35" s="25" t="n">
        <f aca="false">Supuestos!$F$64</f>
        <v>99</v>
      </c>
      <c r="AI35" s="25" t="n">
        <f aca="false">Supuestos!$F$64</f>
        <v>99</v>
      </c>
      <c r="AJ35" s="25" t="n">
        <f aca="false">Supuestos!$F$64</f>
        <v>99</v>
      </c>
      <c r="AK35" s="25" t="n">
        <f aca="false">Supuestos!$F$64</f>
        <v>99</v>
      </c>
      <c r="AL35" s="25" t="n">
        <f aca="false">Supuestos!$F$64</f>
        <v>99</v>
      </c>
      <c r="AM35" s="25" t="n">
        <f aca="false">Supuestos!$F$64</f>
        <v>99</v>
      </c>
    </row>
    <row r="36" customFormat="false" ht="15" hidden="false" customHeight="false" outlineLevel="0" collapsed="false">
      <c r="B36" s="4" t="s">
        <v>247</v>
      </c>
      <c r="D36" s="25" t="n">
        <f aca="false">Supuestos!$F$65</f>
        <v>0</v>
      </c>
      <c r="E36" s="25" t="n">
        <f aca="false">Supuestos!$F$65</f>
        <v>0</v>
      </c>
      <c r="F36" s="25" t="n">
        <f aca="false">Supuestos!$F$65</f>
        <v>0</v>
      </c>
      <c r="G36" s="25" t="n">
        <f aca="false">Supuestos!$F$65</f>
        <v>0</v>
      </c>
      <c r="H36" s="25" t="n">
        <f aca="false">Supuestos!$F$65</f>
        <v>0</v>
      </c>
      <c r="I36" s="25" t="n">
        <f aca="false">Supuestos!$F$65</f>
        <v>0</v>
      </c>
      <c r="J36" s="25" t="n">
        <f aca="false">Supuestos!$F$65</f>
        <v>0</v>
      </c>
      <c r="K36" s="25" t="n">
        <f aca="false">Supuestos!$F$65</f>
        <v>0</v>
      </c>
      <c r="L36" s="25" t="n">
        <f aca="false">Supuestos!$F$65</f>
        <v>0</v>
      </c>
      <c r="M36" s="25" t="n">
        <f aca="false">Supuestos!$F$65</f>
        <v>0</v>
      </c>
      <c r="N36" s="25" t="n">
        <f aca="false">Supuestos!$F$65</f>
        <v>0</v>
      </c>
      <c r="O36" s="25" t="n">
        <f aca="false">Supuestos!$F$65</f>
        <v>0</v>
      </c>
      <c r="P36" s="25" t="n">
        <f aca="false">Supuestos!$F$65</f>
        <v>0</v>
      </c>
      <c r="Q36" s="25" t="n">
        <f aca="false">Supuestos!$F$65</f>
        <v>0</v>
      </c>
      <c r="R36" s="25" t="n">
        <f aca="false">Supuestos!$F$65</f>
        <v>0</v>
      </c>
      <c r="S36" s="25" t="n">
        <f aca="false">Supuestos!$F$65</f>
        <v>0</v>
      </c>
      <c r="T36" s="25" t="n">
        <f aca="false">Supuestos!$F$65</f>
        <v>0</v>
      </c>
      <c r="U36" s="25" t="n">
        <f aca="false">Supuestos!$F$65</f>
        <v>0</v>
      </c>
      <c r="V36" s="25" t="n">
        <f aca="false">Supuestos!$F$65</f>
        <v>0</v>
      </c>
      <c r="W36" s="25" t="n">
        <f aca="false">Supuestos!$F$65</f>
        <v>0</v>
      </c>
      <c r="X36" s="25" t="n">
        <f aca="false">Supuestos!$F$65</f>
        <v>0</v>
      </c>
      <c r="Y36" s="25" t="n">
        <f aca="false">Supuestos!$F$65</f>
        <v>0</v>
      </c>
      <c r="Z36" s="25" t="n">
        <f aca="false">Supuestos!$F$65</f>
        <v>0</v>
      </c>
      <c r="AA36" s="25" t="n">
        <f aca="false">Supuestos!$F$65</f>
        <v>0</v>
      </c>
      <c r="AB36" s="25" t="n">
        <f aca="false">Supuestos!$F$65</f>
        <v>0</v>
      </c>
      <c r="AC36" s="25" t="n">
        <f aca="false">Supuestos!$F$65</f>
        <v>0</v>
      </c>
      <c r="AD36" s="25" t="n">
        <f aca="false">Supuestos!$F$65</f>
        <v>0</v>
      </c>
      <c r="AE36" s="25" t="n">
        <f aca="false">Supuestos!$F$65</f>
        <v>0</v>
      </c>
      <c r="AF36" s="25" t="n">
        <f aca="false">Supuestos!$F$65</f>
        <v>0</v>
      </c>
      <c r="AG36" s="25" t="n">
        <f aca="false">Supuestos!$F$65</f>
        <v>0</v>
      </c>
      <c r="AH36" s="25" t="n">
        <f aca="false">Supuestos!$F$65</f>
        <v>0</v>
      </c>
      <c r="AI36" s="25" t="n">
        <f aca="false">Supuestos!$F$65</f>
        <v>0</v>
      </c>
      <c r="AJ36" s="25" t="n">
        <f aca="false">Supuestos!$F$65</f>
        <v>0</v>
      </c>
      <c r="AK36" s="25" t="n">
        <f aca="false">Supuestos!$F$65</f>
        <v>0</v>
      </c>
      <c r="AL36" s="25" t="n">
        <f aca="false">Supuestos!$F$65</f>
        <v>0</v>
      </c>
      <c r="AM36" s="25" t="n">
        <f aca="false">Supuestos!$F$65</f>
        <v>0</v>
      </c>
    </row>
    <row r="37" customFormat="false" ht="15" hidden="false" customHeight="false" outlineLevel="0" collapsed="false">
      <c r="B37" s="4" t="s">
        <v>414</v>
      </c>
      <c r="D37" s="25" t="n">
        <f aca="false">Inversion!F21*Supuestos!$F$66/12</f>
        <v>452.284682666667</v>
      </c>
      <c r="E37" s="25" t="n">
        <f aca="false">Inversion!F21*Supuestos!$F$66/12</f>
        <v>452.284682666667</v>
      </c>
      <c r="F37" s="25" t="n">
        <f aca="false">Inversion!F21*Supuestos!$F$66/12</f>
        <v>452.284682666667</v>
      </c>
      <c r="G37" s="25" t="n">
        <f aca="false">Inversion!F21*Supuestos!$F$66/12</f>
        <v>452.284682666667</v>
      </c>
      <c r="H37" s="25" t="n">
        <f aca="false">Inversion!F21*Supuestos!$F$66/12</f>
        <v>452.284682666667</v>
      </c>
      <c r="I37" s="25" t="n">
        <f aca="false">Inversion!F21*Supuestos!$F$66/12</f>
        <v>452.284682666667</v>
      </c>
      <c r="J37" s="25" t="n">
        <f aca="false">Inversion!F21*Supuestos!$F$66/12</f>
        <v>452.284682666667</v>
      </c>
      <c r="K37" s="25" t="n">
        <f aca="false">Inversion!F21*Supuestos!$F$66/12</f>
        <v>452.284682666667</v>
      </c>
      <c r="L37" s="25" t="n">
        <f aca="false">Inversion!F21*Supuestos!$F$66/12</f>
        <v>452.284682666667</v>
      </c>
      <c r="M37" s="25" t="n">
        <f aca="false">Inversion!F21*Supuestos!$F$66/12</f>
        <v>452.284682666667</v>
      </c>
      <c r="N37" s="25" t="n">
        <f aca="false">Inversion!F21*Supuestos!$F$66/12</f>
        <v>452.284682666667</v>
      </c>
      <c r="O37" s="25" t="n">
        <f aca="false">Inversion!F21*Supuestos!$F$66/12</f>
        <v>452.284682666667</v>
      </c>
      <c r="P37" s="25" t="n">
        <f aca="false">Inversion!F21*Supuestos!$F$66/12</f>
        <v>452.284682666667</v>
      </c>
      <c r="Q37" s="25" t="n">
        <f aca="false">Inversion!F21*Supuestos!$F$66/12</f>
        <v>452.284682666667</v>
      </c>
      <c r="R37" s="25" t="n">
        <f aca="false">Inversion!F21*Supuestos!$F$66/12</f>
        <v>452.284682666667</v>
      </c>
      <c r="S37" s="25" t="n">
        <f aca="false">Inversion!F21*Supuestos!$F$66/12</f>
        <v>452.284682666667</v>
      </c>
      <c r="T37" s="25" t="n">
        <f aca="false">Inversion!F21*Supuestos!$F$66/12</f>
        <v>452.284682666667</v>
      </c>
      <c r="U37" s="25" t="n">
        <f aca="false">Inversion!F21*Supuestos!$F$66/12</f>
        <v>452.284682666667</v>
      </c>
      <c r="V37" s="25" t="n">
        <f aca="false">Inversion!F21*Supuestos!$F$66/12</f>
        <v>452.284682666667</v>
      </c>
      <c r="W37" s="25" t="n">
        <f aca="false">Inversion!F21*Supuestos!$F$66/12</f>
        <v>452.284682666667</v>
      </c>
      <c r="X37" s="25" t="n">
        <f aca="false">Inversion!F21*Supuestos!$F$66/12</f>
        <v>452.284682666667</v>
      </c>
      <c r="Y37" s="25" t="n">
        <f aca="false">Inversion!F21*Supuestos!$F$66/12</f>
        <v>452.284682666667</v>
      </c>
      <c r="Z37" s="25" t="n">
        <f aca="false">Inversion!F21*Supuestos!$F$66/12</f>
        <v>452.284682666667</v>
      </c>
      <c r="AA37" s="25" t="n">
        <f aca="false">Inversion!F21*Supuestos!$F$66/12</f>
        <v>452.284682666667</v>
      </c>
      <c r="AB37" s="25" t="n">
        <f aca="false">Inversion!F21*Supuestos!$F$66/12</f>
        <v>452.284682666667</v>
      </c>
      <c r="AC37" s="25" t="n">
        <f aca="false">Inversion!F21*Supuestos!$F$66/12</f>
        <v>452.284682666667</v>
      </c>
      <c r="AD37" s="25" t="n">
        <f aca="false">Inversion!F21*Supuestos!$F$66/12</f>
        <v>452.284682666667</v>
      </c>
      <c r="AE37" s="25" t="n">
        <f aca="false">Inversion!F21*Supuestos!$F$66/12</f>
        <v>452.284682666667</v>
      </c>
      <c r="AF37" s="25" t="n">
        <f aca="false">Inversion!F21*Supuestos!$F$66/12</f>
        <v>452.284682666667</v>
      </c>
      <c r="AG37" s="25" t="n">
        <f aca="false">Inversion!F21*Supuestos!$F$66/12</f>
        <v>452.284682666667</v>
      </c>
      <c r="AH37" s="25" t="n">
        <f aca="false">Inversion!F21*Supuestos!$F$66/12</f>
        <v>452.284682666667</v>
      </c>
      <c r="AI37" s="25" t="n">
        <f aca="false">Inversion!F21*Supuestos!$F$66/12</f>
        <v>452.284682666667</v>
      </c>
      <c r="AJ37" s="25" t="n">
        <f aca="false">Inversion!F21*Supuestos!$F$66/12</f>
        <v>452.284682666667</v>
      </c>
      <c r="AK37" s="25" t="n">
        <f aca="false">Inversion!F21*Supuestos!$F$66/12</f>
        <v>452.284682666667</v>
      </c>
      <c r="AL37" s="25" t="n">
        <f aca="false">Inversion!F21*Supuestos!$F$66/12</f>
        <v>452.284682666667</v>
      </c>
      <c r="AM37" s="25" t="n">
        <f aca="false">Inversion!F21*Supuestos!$F$66/12</f>
        <v>452.284682666667</v>
      </c>
    </row>
    <row r="38" customFormat="false" ht="15" hidden="false" customHeight="false" outlineLevel="0" collapsed="false">
      <c r="B38" s="4" t="s">
        <v>415</v>
      </c>
      <c r="D38" s="25" t="n">
        <f aca="false">Supuestos!$F$67+Supuestos!$F$68</f>
        <v>550</v>
      </c>
      <c r="E38" s="25" t="n">
        <f aca="false">Supuestos!$F$67+Supuestos!$F$68</f>
        <v>550</v>
      </c>
      <c r="F38" s="25" t="n">
        <f aca="false">Supuestos!$F$67+Supuestos!$F$68</f>
        <v>550</v>
      </c>
      <c r="G38" s="25" t="n">
        <f aca="false">Supuestos!$F$67+Supuestos!$F$68</f>
        <v>550</v>
      </c>
      <c r="H38" s="25" t="n">
        <f aca="false">Supuestos!$F$67+Supuestos!$F$68</f>
        <v>550</v>
      </c>
      <c r="I38" s="25" t="n">
        <f aca="false">Supuestos!$F$67+Supuestos!$F$68</f>
        <v>550</v>
      </c>
      <c r="J38" s="25" t="n">
        <f aca="false">Supuestos!$F$67+Supuestos!$F$68</f>
        <v>550</v>
      </c>
      <c r="K38" s="25" t="n">
        <f aca="false">Supuestos!$F$67+Supuestos!$F$68</f>
        <v>550</v>
      </c>
      <c r="L38" s="25" t="n">
        <f aca="false">Supuestos!$F$67+Supuestos!$F$68</f>
        <v>550</v>
      </c>
      <c r="M38" s="25" t="n">
        <f aca="false">Supuestos!$F$67+Supuestos!$F$68</f>
        <v>550</v>
      </c>
      <c r="N38" s="25" t="n">
        <f aca="false">Supuestos!$F$67+Supuestos!$F$68</f>
        <v>550</v>
      </c>
      <c r="O38" s="25" t="n">
        <f aca="false">Supuestos!$F$67+Supuestos!$F$68</f>
        <v>550</v>
      </c>
      <c r="P38" s="25" t="n">
        <f aca="false">Supuestos!$F$67+Supuestos!$F$68</f>
        <v>550</v>
      </c>
      <c r="Q38" s="25" t="n">
        <f aca="false">Supuestos!$F$67+Supuestos!$F$68</f>
        <v>550</v>
      </c>
      <c r="R38" s="25" t="n">
        <f aca="false">Supuestos!$F$67+Supuestos!$F$68</f>
        <v>550</v>
      </c>
      <c r="S38" s="25" t="n">
        <f aca="false">Supuestos!$F$67+Supuestos!$F$68</f>
        <v>550</v>
      </c>
      <c r="T38" s="25" t="n">
        <f aca="false">Supuestos!$F$67+Supuestos!$F$68</f>
        <v>550</v>
      </c>
      <c r="U38" s="25" t="n">
        <f aca="false">Supuestos!$F$67+Supuestos!$F$68</f>
        <v>550</v>
      </c>
      <c r="V38" s="25" t="n">
        <f aca="false">Supuestos!$F$67+Supuestos!$F$68</f>
        <v>550</v>
      </c>
      <c r="W38" s="25" t="n">
        <f aca="false">Supuestos!$F$67+Supuestos!$F$68</f>
        <v>550</v>
      </c>
      <c r="X38" s="25" t="n">
        <f aca="false">Supuestos!$F$67+Supuestos!$F$68</f>
        <v>550</v>
      </c>
      <c r="Y38" s="25" t="n">
        <f aca="false">Supuestos!$F$67+Supuestos!$F$68</f>
        <v>550</v>
      </c>
      <c r="Z38" s="25" t="n">
        <f aca="false">Supuestos!$F$67+Supuestos!$F$68</f>
        <v>550</v>
      </c>
      <c r="AA38" s="25" t="n">
        <f aca="false">Supuestos!$F$67+Supuestos!$F$68</f>
        <v>550</v>
      </c>
      <c r="AB38" s="25" t="n">
        <f aca="false">Supuestos!$F$67+Supuestos!$F$68</f>
        <v>550</v>
      </c>
      <c r="AC38" s="25" t="n">
        <f aca="false">Supuestos!$F$67+Supuestos!$F$68</f>
        <v>550</v>
      </c>
      <c r="AD38" s="25" t="n">
        <f aca="false">Supuestos!$F$67+Supuestos!$F$68</f>
        <v>550</v>
      </c>
      <c r="AE38" s="25" t="n">
        <f aca="false">Supuestos!$F$67+Supuestos!$F$68</f>
        <v>550</v>
      </c>
      <c r="AF38" s="25" t="n">
        <f aca="false">Supuestos!$F$67+Supuestos!$F$68</f>
        <v>550</v>
      </c>
      <c r="AG38" s="25" t="n">
        <f aca="false">Supuestos!$F$67+Supuestos!$F$68</f>
        <v>550</v>
      </c>
      <c r="AH38" s="25" t="n">
        <f aca="false">Supuestos!$F$67+Supuestos!$F$68</f>
        <v>550</v>
      </c>
      <c r="AI38" s="25" t="n">
        <f aca="false">Supuestos!$F$67+Supuestos!$F$68</f>
        <v>550</v>
      </c>
      <c r="AJ38" s="25" t="n">
        <f aca="false">Supuestos!$F$67+Supuestos!$F$68</f>
        <v>550</v>
      </c>
      <c r="AK38" s="25" t="n">
        <f aca="false">Supuestos!$F$67+Supuestos!$F$68</f>
        <v>550</v>
      </c>
      <c r="AL38" s="25" t="n">
        <f aca="false">Supuestos!$F$67+Supuestos!$F$68</f>
        <v>550</v>
      </c>
      <c r="AM38" s="25" t="n">
        <f aca="false">Supuestos!$F$67+Supuestos!$F$68</f>
        <v>550</v>
      </c>
    </row>
    <row r="39" customFormat="false" ht="15" hidden="false" customHeight="false" outlineLevel="0" collapsed="false">
      <c r="B39" s="4" t="s">
        <v>416</v>
      </c>
      <c r="D39" s="25" t="n">
        <f aca="false">SUM(D30:D38)*Supuestos!$F$69</f>
        <v>152.376734133333</v>
      </c>
      <c r="E39" s="25" t="n">
        <f aca="false">SUM(E30:E38)*Supuestos!$F$69</f>
        <v>152.376734133333</v>
      </c>
      <c r="F39" s="25" t="n">
        <f aca="false">SUM(F30:F38)*Supuestos!$F$69</f>
        <v>152.376734133333</v>
      </c>
      <c r="G39" s="25" t="n">
        <f aca="false">SUM(G30:G38)*Supuestos!$F$69</f>
        <v>152.376734133333</v>
      </c>
      <c r="H39" s="25" t="n">
        <f aca="false">SUM(H30:H38)*Supuestos!$F$69</f>
        <v>152.376734133333</v>
      </c>
      <c r="I39" s="25" t="n">
        <f aca="false">SUM(I30:I38)*Supuestos!$F$69</f>
        <v>152.376734133333</v>
      </c>
      <c r="J39" s="25" t="n">
        <f aca="false">SUM(J30:J38)*Supuestos!$F$69</f>
        <v>152.376734133333</v>
      </c>
      <c r="K39" s="25" t="n">
        <f aca="false">SUM(K30:K38)*Supuestos!$F$69</f>
        <v>152.376734133333</v>
      </c>
      <c r="L39" s="25" t="n">
        <f aca="false">SUM(L30:L38)*Supuestos!$F$69</f>
        <v>152.376734133333</v>
      </c>
      <c r="M39" s="25" t="n">
        <f aca="false">SUM(M30:M38)*Supuestos!$F$69</f>
        <v>152.376734133333</v>
      </c>
      <c r="N39" s="25" t="n">
        <f aca="false">SUM(N30:N38)*Supuestos!$F$69</f>
        <v>152.376734133333</v>
      </c>
      <c r="O39" s="25" t="n">
        <f aca="false">SUM(O30:O38)*Supuestos!$F$69</f>
        <v>152.376734133333</v>
      </c>
      <c r="P39" s="25" t="n">
        <f aca="false">SUM(P30:P38)*Supuestos!$F$69</f>
        <v>152.376734133333</v>
      </c>
      <c r="Q39" s="25" t="n">
        <f aca="false">SUM(Q30:Q38)*Supuestos!$F$69</f>
        <v>152.376734133333</v>
      </c>
      <c r="R39" s="25" t="n">
        <f aca="false">SUM(R30:R38)*Supuestos!$F$69</f>
        <v>152.376734133333</v>
      </c>
      <c r="S39" s="25" t="n">
        <f aca="false">SUM(S30:S38)*Supuestos!$F$69</f>
        <v>152.376734133333</v>
      </c>
      <c r="T39" s="25" t="n">
        <f aca="false">SUM(T30:T38)*Supuestos!$F$69</f>
        <v>152.376734133333</v>
      </c>
      <c r="U39" s="25" t="n">
        <f aca="false">SUM(U30:U38)*Supuestos!$F$69</f>
        <v>152.376734133333</v>
      </c>
      <c r="V39" s="25" t="n">
        <f aca="false">SUM(V30:V38)*Supuestos!$F$69</f>
        <v>152.376734133333</v>
      </c>
      <c r="W39" s="25" t="n">
        <f aca="false">SUM(W30:W38)*Supuestos!$F$69</f>
        <v>152.376734133333</v>
      </c>
      <c r="X39" s="25" t="n">
        <f aca="false">SUM(X30:X38)*Supuestos!$F$69</f>
        <v>152.376734133333</v>
      </c>
      <c r="Y39" s="25" t="n">
        <f aca="false">SUM(Y30:Y38)*Supuestos!$F$69</f>
        <v>152.376734133333</v>
      </c>
      <c r="Z39" s="25" t="n">
        <f aca="false">SUM(Z30:Z38)*Supuestos!$F$69</f>
        <v>152.376734133333</v>
      </c>
      <c r="AA39" s="25" t="n">
        <f aca="false">SUM(AA30:AA38)*Supuestos!$F$69</f>
        <v>152.376734133333</v>
      </c>
      <c r="AB39" s="25" t="n">
        <f aca="false">SUM(AB30:AB38)*Supuestos!$F$69</f>
        <v>152.376734133333</v>
      </c>
      <c r="AC39" s="25" t="n">
        <f aca="false">SUM(AC30:AC38)*Supuestos!$F$69</f>
        <v>152.376734133333</v>
      </c>
      <c r="AD39" s="25" t="n">
        <f aca="false">SUM(AD30:AD38)*Supuestos!$F$69</f>
        <v>152.376734133333</v>
      </c>
      <c r="AE39" s="25" t="n">
        <f aca="false">SUM(AE30:AE38)*Supuestos!$F$69</f>
        <v>152.376734133333</v>
      </c>
      <c r="AF39" s="25" t="n">
        <f aca="false">SUM(AF30:AF38)*Supuestos!$F$69</f>
        <v>152.376734133333</v>
      </c>
      <c r="AG39" s="25" t="n">
        <f aca="false">SUM(AG30:AG38)*Supuestos!$F$69</f>
        <v>152.376734133333</v>
      </c>
      <c r="AH39" s="25" t="n">
        <f aca="false">SUM(AH30:AH38)*Supuestos!$F$69</f>
        <v>152.376734133333</v>
      </c>
      <c r="AI39" s="25" t="n">
        <f aca="false">SUM(AI30:AI38)*Supuestos!$F$69</f>
        <v>152.376734133333</v>
      </c>
      <c r="AJ39" s="25" t="n">
        <f aca="false">SUM(AJ30:AJ38)*Supuestos!$F$69</f>
        <v>152.376734133333</v>
      </c>
      <c r="AK39" s="25" t="n">
        <f aca="false">SUM(AK30:AK38)*Supuestos!$F$69</f>
        <v>152.376734133333</v>
      </c>
      <c r="AL39" s="25" t="n">
        <f aca="false">SUM(AL30:AL38)*Supuestos!$F$69</f>
        <v>152.376734133333</v>
      </c>
      <c r="AM39" s="25" t="n">
        <f aca="false">SUM(AM30:AM38)*Supuestos!$F$69</f>
        <v>152.376734133333</v>
      </c>
    </row>
    <row r="40" customFormat="false" ht="15" hidden="false" customHeight="false" outlineLevel="0" collapsed="false">
      <c r="B40" s="11" t="s">
        <v>417</v>
      </c>
      <c r="D40" s="25" t="n">
        <f aca="false">SUM(D30:D39)</f>
        <v>3199.9114168</v>
      </c>
      <c r="E40" s="25" t="n">
        <f aca="false">SUM(E30:E39)</f>
        <v>3199.9114168</v>
      </c>
      <c r="F40" s="25" t="n">
        <f aca="false">SUM(F30:F39)</f>
        <v>3199.9114168</v>
      </c>
      <c r="G40" s="25" t="n">
        <f aca="false">SUM(G30:G39)</f>
        <v>3199.9114168</v>
      </c>
      <c r="H40" s="25" t="n">
        <f aca="false">SUM(H30:H39)</f>
        <v>3199.9114168</v>
      </c>
      <c r="I40" s="25" t="n">
        <f aca="false">SUM(I30:I39)</f>
        <v>3199.9114168</v>
      </c>
      <c r="J40" s="25" t="n">
        <f aca="false">SUM(J30:J39)</f>
        <v>3199.9114168</v>
      </c>
      <c r="K40" s="25" t="n">
        <f aca="false">SUM(K30:K39)</f>
        <v>3199.9114168</v>
      </c>
      <c r="L40" s="25" t="n">
        <f aca="false">SUM(L30:L39)</f>
        <v>3199.9114168</v>
      </c>
      <c r="M40" s="25" t="n">
        <f aca="false">SUM(M30:M39)</f>
        <v>3199.9114168</v>
      </c>
      <c r="N40" s="25" t="n">
        <f aca="false">SUM(N30:N39)</f>
        <v>3199.9114168</v>
      </c>
      <c r="O40" s="25" t="n">
        <f aca="false">SUM(O30:O39)</f>
        <v>3199.9114168</v>
      </c>
      <c r="P40" s="25" t="n">
        <f aca="false">SUM(P30:P39)</f>
        <v>3199.9114168</v>
      </c>
      <c r="Q40" s="25" t="n">
        <f aca="false">SUM(Q30:Q39)</f>
        <v>3199.9114168</v>
      </c>
      <c r="R40" s="25" t="n">
        <f aca="false">SUM(R30:R39)</f>
        <v>3199.9114168</v>
      </c>
      <c r="S40" s="25" t="n">
        <f aca="false">SUM(S30:S39)</f>
        <v>3199.9114168</v>
      </c>
      <c r="T40" s="25" t="n">
        <f aca="false">SUM(T30:T39)</f>
        <v>3199.9114168</v>
      </c>
      <c r="U40" s="25" t="n">
        <f aca="false">SUM(U30:U39)</f>
        <v>3199.9114168</v>
      </c>
      <c r="V40" s="25" t="n">
        <f aca="false">SUM(V30:V39)</f>
        <v>3199.9114168</v>
      </c>
      <c r="W40" s="25" t="n">
        <f aca="false">SUM(W30:W39)</f>
        <v>3199.9114168</v>
      </c>
      <c r="X40" s="25" t="n">
        <f aca="false">SUM(X30:X39)</f>
        <v>3199.9114168</v>
      </c>
      <c r="Y40" s="25" t="n">
        <f aca="false">SUM(Y30:Y39)</f>
        <v>3199.9114168</v>
      </c>
      <c r="Z40" s="25" t="n">
        <f aca="false">SUM(Z30:Z39)</f>
        <v>3199.9114168</v>
      </c>
      <c r="AA40" s="25" t="n">
        <f aca="false">SUM(AA30:AA39)</f>
        <v>3199.9114168</v>
      </c>
      <c r="AB40" s="25" t="n">
        <f aca="false">SUM(AB30:AB39)</f>
        <v>3199.9114168</v>
      </c>
      <c r="AC40" s="25" t="n">
        <f aca="false">SUM(AC30:AC39)</f>
        <v>3199.9114168</v>
      </c>
      <c r="AD40" s="25" t="n">
        <f aca="false">SUM(AD30:AD39)</f>
        <v>3199.9114168</v>
      </c>
      <c r="AE40" s="25" t="n">
        <f aca="false">SUM(AE30:AE39)</f>
        <v>3199.9114168</v>
      </c>
      <c r="AF40" s="25" t="n">
        <f aca="false">SUM(AF30:AF39)</f>
        <v>3199.9114168</v>
      </c>
      <c r="AG40" s="25" t="n">
        <f aca="false">SUM(AG30:AG39)</f>
        <v>3199.9114168</v>
      </c>
      <c r="AH40" s="25" t="n">
        <f aca="false">SUM(AH30:AH39)</f>
        <v>3199.9114168</v>
      </c>
      <c r="AI40" s="25" t="n">
        <f aca="false">SUM(AI30:AI39)</f>
        <v>3199.9114168</v>
      </c>
      <c r="AJ40" s="25" t="n">
        <f aca="false">SUM(AJ30:AJ39)</f>
        <v>3199.9114168</v>
      </c>
      <c r="AK40" s="25" t="n">
        <f aca="false">SUM(AK30:AK39)</f>
        <v>3199.9114168</v>
      </c>
      <c r="AL40" s="25" t="n">
        <f aca="false">SUM(AL30:AL39)</f>
        <v>3199.9114168</v>
      </c>
      <c r="AM40" s="25" t="n">
        <f aca="false">SUM(AM30:AM39)</f>
        <v>3199.9114168</v>
      </c>
    </row>
    <row r="41" customFormat="false" ht="15" hidden="false" customHeight="false" outlineLevel="0" collapsed="false">
      <c r="B41" s="14" t="s">
        <v>418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customFormat="false" ht="15" hidden="false" customHeight="false" outlineLevel="0" collapsed="false">
      <c r="B42" s="11" t="s">
        <v>419</v>
      </c>
      <c r="D42" s="8" t="n">
        <f aca="false">D28-D40</f>
        <v>-2194.97666532273</v>
      </c>
      <c r="E42" s="8" t="n">
        <f aca="false">E28-E40</f>
        <v>-1642.9894487437</v>
      </c>
      <c r="F42" s="8" t="n">
        <f aca="false">F28-F40</f>
        <v>-1102.70207819052</v>
      </c>
      <c r="G42" s="8" t="n">
        <f aca="false">G28-G40</f>
        <v>-573.575166984717</v>
      </c>
      <c r="H42" s="8" t="n">
        <f aca="false">H28-H40</f>
        <v>-219.987797381637</v>
      </c>
      <c r="I42" s="8" t="n">
        <f aca="false">I28-I40</f>
        <v>105.085157239206</v>
      </c>
      <c r="J42" s="8" t="n">
        <f aca="false">J28-J40</f>
        <v>206.790612380222</v>
      </c>
      <c r="K42" s="8" t="n">
        <f aca="false">K28-K40</f>
        <v>303.410794764185</v>
      </c>
      <c r="L42" s="8" t="n">
        <f aca="false">L28-L40</f>
        <v>395.199968028951</v>
      </c>
      <c r="M42" s="8" t="n">
        <f aca="false">M28-M40</f>
        <v>482.399682630478</v>
      </c>
      <c r="N42" s="8" t="n">
        <f aca="false">N28-N40</f>
        <v>565.239411501929</v>
      </c>
      <c r="O42" s="8" t="n">
        <f aca="false">O28-O40</f>
        <v>643.937153929808</v>
      </c>
      <c r="P42" s="8" t="n">
        <f aca="false">P28-P40</f>
        <v>674.631869422244</v>
      </c>
      <c r="Q42" s="8" t="n">
        <f aca="false">Q28-Q40</f>
        <v>703.791849140057</v>
      </c>
      <c r="R42" s="8" t="n">
        <f aca="false">R28-R40</f>
        <v>731.493829871979</v>
      </c>
      <c r="S42" s="8" t="n">
        <f aca="false">S28-S40</f>
        <v>757.810711567306</v>
      </c>
      <c r="T42" s="8" t="n">
        <f aca="false">T28-T40</f>
        <v>782.811749177866</v>
      </c>
      <c r="U42" s="8" t="n">
        <f aca="false">U28-U40</f>
        <v>806.562734907899</v>
      </c>
      <c r="V42" s="8" t="n">
        <f aca="false">V28-V40</f>
        <v>829.126171351429</v>
      </c>
      <c r="W42" s="8" t="n">
        <f aca="false">W28-W40</f>
        <v>850.561435972782</v>
      </c>
      <c r="X42" s="8" t="n">
        <f aca="false">X28-X40</f>
        <v>870.924937363069</v>
      </c>
      <c r="Y42" s="8" t="n">
        <f aca="false">Y28-Y40</f>
        <v>890.270263683841</v>
      </c>
      <c r="Z42" s="8" t="n">
        <f aca="false">Z28-Z40</f>
        <v>908.648323688576</v>
      </c>
      <c r="AA42" s="8" t="n">
        <f aca="false">AA28-AA40</f>
        <v>926.107480693072</v>
      </c>
      <c r="AB42" s="8" t="n">
        <f aca="false">AB28-AB40</f>
        <v>942.693679847344</v>
      </c>
      <c r="AC42" s="8" t="n">
        <f aca="false">AC28-AC40</f>
        <v>958.450569043902</v>
      </c>
      <c r="AD42" s="8" t="n">
        <f aca="false">AD28-AD40</f>
        <v>973.419613780633</v>
      </c>
      <c r="AE42" s="8" t="n">
        <f aca="false">AE28-AE40</f>
        <v>987.640206280527</v>
      </c>
      <c r="AF42" s="8" t="n">
        <f aca="false">AF28-AF40</f>
        <v>1001.14976915543</v>
      </c>
      <c r="AG42" s="8" t="n">
        <f aca="false">AG28-AG40</f>
        <v>1013.98385388658</v>
      </c>
      <c r="AH42" s="8" t="n">
        <f aca="false">AH28-AH40</f>
        <v>1026.17623438118</v>
      </c>
      <c r="AI42" s="8" t="n">
        <f aca="false">AI28-AI40</f>
        <v>1037.75899585104</v>
      </c>
      <c r="AJ42" s="8" t="n">
        <f aca="false">AJ28-AJ40</f>
        <v>1048.76261924742</v>
      </c>
      <c r="AK42" s="8" t="n">
        <f aca="false">AK28-AK40</f>
        <v>1059.21606147397</v>
      </c>
      <c r="AL42" s="8" t="n">
        <f aca="false">AL28-AL40</f>
        <v>1069.1468315892</v>
      </c>
      <c r="AM42" s="8" t="n">
        <f aca="false">AM28-AM40</f>
        <v>1078.58106319866</v>
      </c>
    </row>
    <row r="43" customFormat="false" ht="15" hidden="false" customHeight="false" outlineLevel="0" collapsed="false">
      <c r="B43" s="4" t="s">
        <v>420</v>
      </c>
      <c r="C43" s="25" t="n">
        <f aca="false">-Inversion!F21</f>
        <v>-135685.4048</v>
      </c>
      <c r="D43" s="25" t="n">
        <v>0</v>
      </c>
      <c r="E43" s="25" t="n">
        <v>0</v>
      </c>
      <c r="F43" s="25" t="n">
        <v>0</v>
      </c>
      <c r="G43" s="25" t="n">
        <v>0</v>
      </c>
      <c r="H43" s="25" t="n">
        <v>0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0</v>
      </c>
      <c r="Q43" s="25" t="n">
        <v>0</v>
      </c>
      <c r="R43" s="25" t="n">
        <v>0</v>
      </c>
      <c r="S43" s="25" t="n">
        <v>0</v>
      </c>
      <c r="T43" s="25" t="n">
        <v>0</v>
      </c>
      <c r="U43" s="25" t="n">
        <v>0</v>
      </c>
      <c r="V43" s="25" t="n">
        <v>0</v>
      </c>
      <c r="W43" s="25" t="n">
        <v>0</v>
      </c>
      <c r="X43" s="25" t="n">
        <v>0</v>
      </c>
      <c r="Y43" s="25" t="n">
        <v>0</v>
      </c>
      <c r="Z43" s="25" t="n">
        <v>0</v>
      </c>
      <c r="AA43" s="25" t="n">
        <v>0</v>
      </c>
      <c r="AB43" s="25" t="n">
        <v>0</v>
      </c>
      <c r="AC43" s="25" t="n">
        <v>0</v>
      </c>
      <c r="AD43" s="25" t="n">
        <v>0</v>
      </c>
      <c r="AE43" s="25" t="n">
        <v>0</v>
      </c>
      <c r="AF43" s="25" t="n">
        <v>0</v>
      </c>
      <c r="AG43" s="25" t="n">
        <v>0</v>
      </c>
      <c r="AH43" s="25" t="n">
        <v>0</v>
      </c>
      <c r="AI43" s="25" t="n">
        <v>0</v>
      </c>
      <c r="AJ43" s="25" t="n">
        <v>0</v>
      </c>
      <c r="AK43" s="25" t="n">
        <v>0</v>
      </c>
      <c r="AL43" s="25" t="n">
        <v>0</v>
      </c>
      <c r="AM43" s="25" t="n">
        <v>0</v>
      </c>
    </row>
    <row r="44" customFormat="false" ht="15" hidden="false" customHeight="false" outlineLevel="0" collapsed="false">
      <c r="B44" s="11" t="s">
        <v>421</v>
      </c>
      <c r="C44" s="25" t="n">
        <f aca="false">C43</f>
        <v>-135685.4048</v>
      </c>
      <c r="D44" s="8" t="n">
        <f aca="false">D42+D43</f>
        <v>-2194.97666532273</v>
      </c>
      <c r="E44" s="8" t="n">
        <f aca="false">E42+E43</f>
        <v>-1642.9894487437</v>
      </c>
      <c r="F44" s="8" t="n">
        <f aca="false">F42+F43</f>
        <v>-1102.70207819052</v>
      </c>
      <c r="G44" s="8" t="n">
        <f aca="false">G42+G43</f>
        <v>-573.575166984717</v>
      </c>
      <c r="H44" s="8" t="n">
        <f aca="false">H42+H43</f>
        <v>-219.987797381637</v>
      </c>
      <c r="I44" s="8" t="n">
        <f aca="false">I42+I43</f>
        <v>105.085157239206</v>
      </c>
      <c r="J44" s="8" t="n">
        <f aca="false">J42+J43</f>
        <v>206.790612380222</v>
      </c>
      <c r="K44" s="8" t="n">
        <f aca="false">K42+K43</f>
        <v>303.410794764185</v>
      </c>
      <c r="L44" s="8" t="n">
        <f aca="false">L42+L43</f>
        <v>395.199968028951</v>
      </c>
      <c r="M44" s="8" t="n">
        <f aca="false">M42+M43</f>
        <v>482.399682630478</v>
      </c>
      <c r="N44" s="8" t="n">
        <f aca="false">N42+N43</f>
        <v>565.239411501929</v>
      </c>
      <c r="O44" s="8" t="n">
        <f aca="false">O42+O43</f>
        <v>643.937153929808</v>
      </c>
      <c r="P44" s="8" t="n">
        <f aca="false">P42+P43</f>
        <v>674.631869422244</v>
      </c>
      <c r="Q44" s="8" t="n">
        <f aca="false">Q42+Q43</f>
        <v>703.791849140057</v>
      </c>
      <c r="R44" s="8" t="n">
        <f aca="false">R42+R43</f>
        <v>731.493829871979</v>
      </c>
      <c r="S44" s="8" t="n">
        <f aca="false">S42+S43</f>
        <v>757.810711567306</v>
      </c>
      <c r="T44" s="8" t="n">
        <f aca="false">T42+T43</f>
        <v>782.811749177866</v>
      </c>
      <c r="U44" s="8" t="n">
        <f aca="false">U42+U43</f>
        <v>806.562734907899</v>
      </c>
      <c r="V44" s="8" t="n">
        <f aca="false">V42+V43</f>
        <v>829.126171351429</v>
      </c>
      <c r="W44" s="8" t="n">
        <f aca="false">W42+W43</f>
        <v>850.561435972782</v>
      </c>
      <c r="X44" s="8" t="n">
        <f aca="false">X42+X43</f>
        <v>870.924937363069</v>
      </c>
      <c r="Y44" s="8" t="n">
        <f aca="false">Y42+Y43</f>
        <v>890.270263683841</v>
      </c>
      <c r="Z44" s="8" t="n">
        <f aca="false">Z42+Z43</f>
        <v>908.648323688576</v>
      </c>
      <c r="AA44" s="8" t="n">
        <f aca="false">AA42+AA43</f>
        <v>926.107480693072</v>
      </c>
      <c r="AB44" s="8" t="n">
        <f aca="false">AB42+AB43</f>
        <v>942.693679847344</v>
      </c>
      <c r="AC44" s="8" t="n">
        <f aca="false">AC42+AC43</f>
        <v>958.450569043902</v>
      </c>
      <c r="AD44" s="8" t="n">
        <f aca="false">AD42+AD43</f>
        <v>973.419613780633</v>
      </c>
      <c r="AE44" s="8" t="n">
        <f aca="false">AE42+AE43</f>
        <v>987.640206280527</v>
      </c>
      <c r="AF44" s="8" t="n">
        <f aca="false">AF42+AF43</f>
        <v>1001.14976915543</v>
      </c>
      <c r="AG44" s="8" t="n">
        <f aca="false">AG42+AG43</f>
        <v>1013.98385388658</v>
      </c>
      <c r="AH44" s="8" t="n">
        <f aca="false">AH42+AH43</f>
        <v>1026.17623438118</v>
      </c>
      <c r="AI44" s="8" t="n">
        <f aca="false">AI42+AI43</f>
        <v>1037.75899585104</v>
      </c>
      <c r="AJ44" s="8" t="n">
        <f aca="false">AJ42+AJ43</f>
        <v>1048.76261924742</v>
      </c>
      <c r="AK44" s="8" t="n">
        <f aca="false">AK42+AK43</f>
        <v>1059.21606147397</v>
      </c>
      <c r="AL44" s="8" t="n">
        <f aca="false">AL42+AL43</f>
        <v>1069.1468315892</v>
      </c>
      <c r="AM44" s="8" t="n">
        <f aca="false">AM42+AM43</f>
        <v>1078.58106319866</v>
      </c>
    </row>
    <row r="45" customFormat="false" ht="15" hidden="false" customHeight="false" outlineLevel="0" collapsed="false">
      <c r="B45" s="4" t="s">
        <v>422</v>
      </c>
      <c r="C45" s="25" t="n">
        <f aca="false">C44</f>
        <v>-135685.4048</v>
      </c>
      <c r="D45" s="25" t="n">
        <f aca="false">C45+D44</f>
        <v>-137880.381465323</v>
      </c>
      <c r="E45" s="25" t="n">
        <f aca="false">D45+E44</f>
        <v>-139523.370914066</v>
      </c>
      <c r="F45" s="25" t="n">
        <f aca="false">E45+F44</f>
        <v>-140626.072992257</v>
      </c>
      <c r="G45" s="25" t="n">
        <f aca="false">F45+G44</f>
        <v>-141199.648159242</v>
      </c>
      <c r="H45" s="25" t="n">
        <f aca="false">G45+H44</f>
        <v>-141419.635956623</v>
      </c>
      <c r="I45" s="25" t="n">
        <f aca="false">H45+I44</f>
        <v>-141314.550799384</v>
      </c>
      <c r="J45" s="25" t="n">
        <f aca="false">I45+J44</f>
        <v>-141107.760187004</v>
      </c>
      <c r="K45" s="25" t="n">
        <f aca="false">J45+K44</f>
        <v>-140804.34939224</v>
      </c>
      <c r="L45" s="25" t="n">
        <f aca="false">K45+L44</f>
        <v>-140409.149424211</v>
      </c>
      <c r="M45" s="25" t="n">
        <f aca="false">L45+M44</f>
        <v>-139926.74974158</v>
      </c>
      <c r="N45" s="25" t="n">
        <f aca="false">M45+N44</f>
        <v>-139361.510330078</v>
      </c>
      <c r="O45" s="25" t="n">
        <f aca="false">N45+O44</f>
        <v>-138717.573176149</v>
      </c>
      <c r="P45" s="25" t="n">
        <f aca="false">O45+P44</f>
        <v>-138042.941306726</v>
      </c>
      <c r="Q45" s="25" t="n">
        <f aca="false">P45+Q44</f>
        <v>-137339.149457586</v>
      </c>
      <c r="R45" s="25" t="n">
        <f aca="false">Q45+R44</f>
        <v>-136607.655627714</v>
      </c>
      <c r="S45" s="25" t="n">
        <f aca="false">R45+S44</f>
        <v>-135849.844916147</v>
      </c>
      <c r="T45" s="25" t="n">
        <f aca="false">S45+T44</f>
        <v>-135067.033166969</v>
      </c>
      <c r="U45" s="25" t="n">
        <f aca="false">T45+U44</f>
        <v>-134260.470432061</v>
      </c>
      <c r="V45" s="25" t="n">
        <f aca="false">U45+V44</f>
        <v>-133431.34426071</v>
      </c>
      <c r="W45" s="25" t="n">
        <f aca="false">V45+W44</f>
        <v>-132580.782824737</v>
      </c>
      <c r="X45" s="25" t="n">
        <f aca="false">W45+X44</f>
        <v>-131709.857887374</v>
      </c>
      <c r="Y45" s="25" t="n">
        <f aca="false">X45+Y44</f>
        <v>-130819.58762369</v>
      </c>
      <c r="Z45" s="25" t="n">
        <f aca="false">Y45+Z44</f>
        <v>-129910.939300001</v>
      </c>
      <c r="AA45" s="25" t="n">
        <f aca="false">Z45+AA44</f>
        <v>-128984.831819308</v>
      </c>
      <c r="AB45" s="25" t="n">
        <f aca="false">AA45+AB44</f>
        <v>-128042.138139461</v>
      </c>
      <c r="AC45" s="25" t="n">
        <f aca="false">AB45+AC44</f>
        <v>-127083.687570417</v>
      </c>
      <c r="AD45" s="25" t="n">
        <f aca="false">AC45+AD44</f>
        <v>-126110.267956637</v>
      </c>
      <c r="AE45" s="25" t="n">
        <f aca="false">AD45+AE44</f>
        <v>-125122.627750356</v>
      </c>
      <c r="AF45" s="25" t="n">
        <f aca="false">AE45+AF44</f>
        <v>-124121.477981201</v>
      </c>
      <c r="AG45" s="25" t="n">
        <f aca="false">AF45+AG44</f>
        <v>-123107.494127314</v>
      </c>
      <c r="AH45" s="25" t="n">
        <f aca="false">AG45+AH44</f>
        <v>-122081.317892933</v>
      </c>
      <c r="AI45" s="25" t="n">
        <f aca="false">AH45+AI44</f>
        <v>-121043.558897082</v>
      </c>
      <c r="AJ45" s="25" t="n">
        <f aca="false">AI45+AJ44</f>
        <v>-119994.796277834</v>
      </c>
      <c r="AK45" s="25" t="n">
        <f aca="false">AJ45+AK44</f>
        <v>-118935.58021636</v>
      </c>
      <c r="AL45" s="25" t="n">
        <f aca="false">AK45+AL44</f>
        <v>-117866.433384771</v>
      </c>
      <c r="AM45" s="25" t="n">
        <f aca="false">AL45+AM44</f>
        <v>-116787.852321573</v>
      </c>
    </row>
    <row r="46" customFormat="false" ht="15" hidden="false" customHeight="false" outlineLevel="0" collapsed="false">
      <c r="B46" s="4" t="s">
        <v>423</v>
      </c>
      <c r="C46" s="25" t="n">
        <f aca="false">-Supuestos!$F$91*Supuestos!$F$10</f>
        <v>-0</v>
      </c>
      <c r="D46" s="25" t="n">
        <f aca="false">-Supuestos!$F$91</f>
        <v>-0</v>
      </c>
      <c r="E46" s="25" t="n">
        <f aca="false">-Supuestos!$F$91</f>
        <v>-0</v>
      </c>
      <c r="F46" s="25" t="n">
        <f aca="false">-Supuestos!$F$91</f>
        <v>-0</v>
      </c>
      <c r="G46" s="25" t="n">
        <f aca="false">-Supuestos!$F$91</f>
        <v>-0</v>
      </c>
      <c r="H46" s="25" t="n">
        <f aca="false">-Supuestos!$F$91</f>
        <v>-0</v>
      </c>
      <c r="I46" s="25" t="n">
        <f aca="false">-Supuestos!$F$91</f>
        <v>-0</v>
      </c>
      <c r="J46" s="25" t="n">
        <f aca="false">-Supuestos!$F$91</f>
        <v>-0</v>
      </c>
      <c r="K46" s="25" t="n">
        <f aca="false">-Supuestos!$F$91</f>
        <v>-0</v>
      </c>
      <c r="L46" s="25" t="n">
        <f aca="false">-Supuestos!$F$91</f>
        <v>-0</v>
      </c>
      <c r="M46" s="25" t="n">
        <f aca="false">-Supuestos!$F$91</f>
        <v>-0</v>
      </c>
      <c r="N46" s="25" t="n">
        <f aca="false">-Supuestos!$F$91</f>
        <v>-0</v>
      </c>
      <c r="O46" s="25" t="n">
        <f aca="false">-Supuestos!$F$91</f>
        <v>-0</v>
      </c>
      <c r="P46" s="25" t="n">
        <f aca="false">-Supuestos!$F$91</f>
        <v>-0</v>
      </c>
      <c r="Q46" s="25" t="n">
        <f aca="false">-Supuestos!$F$91</f>
        <v>-0</v>
      </c>
      <c r="R46" s="25" t="n">
        <f aca="false">-Supuestos!$F$91</f>
        <v>-0</v>
      </c>
      <c r="S46" s="25" t="n">
        <f aca="false">-Supuestos!$F$91</f>
        <v>-0</v>
      </c>
      <c r="T46" s="25" t="n">
        <f aca="false">-Supuestos!$F$91</f>
        <v>-0</v>
      </c>
      <c r="U46" s="25" t="n">
        <f aca="false">-Supuestos!$F$91</f>
        <v>-0</v>
      </c>
      <c r="V46" s="25" t="n">
        <f aca="false">-Supuestos!$F$91</f>
        <v>-0</v>
      </c>
      <c r="W46" s="25" t="n">
        <f aca="false">-Supuestos!$F$91</f>
        <v>-0</v>
      </c>
      <c r="X46" s="25" t="n">
        <f aca="false">-Supuestos!$F$91</f>
        <v>-0</v>
      </c>
      <c r="Y46" s="25" t="n">
        <f aca="false">-Supuestos!$F$91</f>
        <v>-0</v>
      </c>
      <c r="Z46" s="25" t="n">
        <f aca="false">-Supuestos!$F$91</f>
        <v>-0</v>
      </c>
      <c r="AA46" s="25" t="n">
        <f aca="false">-Supuestos!$F$91</f>
        <v>-0</v>
      </c>
      <c r="AB46" s="25" t="n">
        <f aca="false">-Supuestos!$F$91</f>
        <v>-0</v>
      </c>
      <c r="AC46" s="25" t="n">
        <f aca="false">-Supuestos!$F$91</f>
        <v>-0</v>
      </c>
      <c r="AD46" s="25" t="n">
        <f aca="false">-Supuestos!$F$91</f>
        <v>-0</v>
      </c>
      <c r="AE46" s="25" t="n">
        <f aca="false">-Supuestos!$F$91</f>
        <v>-0</v>
      </c>
      <c r="AF46" s="25" t="n">
        <f aca="false">-Supuestos!$F$91</f>
        <v>-0</v>
      </c>
      <c r="AG46" s="25" t="n">
        <f aca="false">-Supuestos!$F$91</f>
        <v>-0</v>
      </c>
      <c r="AH46" s="25" t="n">
        <f aca="false">-Supuestos!$F$91</f>
        <v>-0</v>
      </c>
      <c r="AI46" s="25" t="n">
        <f aca="false">-Supuestos!$F$91</f>
        <v>-0</v>
      </c>
      <c r="AJ46" s="25" t="n">
        <f aca="false">-Supuestos!$F$91</f>
        <v>-0</v>
      </c>
      <c r="AK46" s="25" t="n">
        <f aca="false">-Supuestos!$F$91</f>
        <v>-0</v>
      </c>
      <c r="AL46" s="25" t="n">
        <f aca="false">-Supuestos!$F$91</f>
        <v>-0</v>
      </c>
      <c r="AM46" s="25" t="n">
        <f aca="false">-Supuestos!$F$91</f>
        <v>-0</v>
      </c>
    </row>
    <row r="47" customFormat="false" ht="15" hidden="false" customHeight="false" outlineLevel="0" collapsed="false">
      <c r="B47" s="11" t="s">
        <v>424</v>
      </c>
      <c r="C47" s="25" t="n">
        <f aca="false">C44+C46</f>
        <v>-135685.4048</v>
      </c>
      <c r="D47" s="8" t="n">
        <f aca="false">D44+D46</f>
        <v>-2194.97666532273</v>
      </c>
      <c r="E47" s="8" t="n">
        <f aca="false">E44+E46</f>
        <v>-1642.9894487437</v>
      </c>
      <c r="F47" s="8" t="n">
        <f aca="false">F44+F46</f>
        <v>-1102.70207819052</v>
      </c>
      <c r="G47" s="8" t="n">
        <f aca="false">G44+G46</f>
        <v>-573.575166984717</v>
      </c>
      <c r="H47" s="8" t="n">
        <f aca="false">H44+H46</f>
        <v>-219.987797381637</v>
      </c>
      <c r="I47" s="8" t="n">
        <f aca="false">I44+I46</f>
        <v>105.085157239206</v>
      </c>
      <c r="J47" s="8" t="n">
        <f aca="false">J44+J46</f>
        <v>206.790612380222</v>
      </c>
      <c r="K47" s="8" t="n">
        <f aca="false">K44+K46</f>
        <v>303.410794764185</v>
      </c>
      <c r="L47" s="8" t="n">
        <f aca="false">L44+L46</f>
        <v>395.199968028951</v>
      </c>
      <c r="M47" s="8" t="n">
        <f aca="false">M44+M46</f>
        <v>482.399682630478</v>
      </c>
      <c r="N47" s="8" t="n">
        <f aca="false">N44+N46</f>
        <v>565.239411501929</v>
      </c>
      <c r="O47" s="8" t="n">
        <f aca="false">O44+O46</f>
        <v>643.937153929808</v>
      </c>
      <c r="P47" s="8" t="n">
        <f aca="false">P44+P46</f>
        <v>674.631869422244</v>
      </c>
      <c r="Q47" s="8" t="n">
        <f aca="false">Q44+Q46</f>
        <v>703.791849140057</v>
      </c>
      <c r="R47" s="8" t="n">
        <f aca="false">R44+R46</f>
        <v>731.493829871979</v>
      </c>
      <c r="S47" s="8" t="n">
        <f aca="false">S44+S46</f>
        <v>757.810711567306</v>
      </c>
      <c r="T47" s="8" t="n">
        <f aca="false">T44+T46</f>
        <v>782.811749177866</v>
      </c>
      <c r="U47" s="8" t="n">
        <f aca="false">U44+U46</f>
        <v>806.562734907899</v>
      </c>
      <c r="V47" s="8" t="n">
        <f aca="false">V44+V46</f>
        <v>829.126171351429</v>
      </c>
      <c r="W47" s="8" t="n">
        <f aca="false">W44+W46</f>
        <v>850.561435972782</v>
      </c>
      <c r="X47" s="8" t="n">
        <f aca="false">X44+X46</f>
        <v>870.924937363069</v>
      </c>
      <c r="Y47" s="8" t="n">
        <f aca="false">Y44+Y46</f>
        <v>890.270263683841</v>
      </c>
      <c r="Z47" s="8" t="n">
        <f aca="false">Z44+Z46</f>
        <v>908.648323688576</v>
      </c>
      <c r="AA47" s="8" t="n">
        <f aca="false">AA44+AA46</f>
        <v>926.107480693072</v>
      </c>
      <c r="AB47" s="8" t="n">
        <f aca="false">AB44+AB46</f>
        <v>942.693679847344</v>
      </c>
      <c r="AC47" s="8" t="n">
        <f aca="false">AC44+AC46</f>
        <v>958.450569043902</v>
      </c>
      <c r="AD47" s="8" t="n">
        <f aca="false">AD44+AD46</f>
        <v>973.419613780633</v>
      </c>
      <c r="AE47" s="8" t="n">
        <f aca="false">AE44+AE46</f>
        <v>987.640206280527</v>
      </c>
      <c r="AF47" s="8" t="n">
        <f aca="false">AF44+AF46</f>
        <v>1001.14976915543</v>
      </c>
      <c r="AG47" s="8" t="n">
        <f aca="false">AG44+AG46</f>
        <v>1013.98385388658</v>
      </c>
      <c r="AH47" s="8" t="n">
        <f aca="false">AH44+AH46</f>
        <v>1026.17623438118</v>
      </c>
      <c r="AI47" s="8" t="n">
        <f aca="false">AI44+AI46</f>
        <v>1037.75899585104</v>
      </c>
      <c r="AJ47" s="8" t="n">
        <f aca="false">AJ44+AJ46</f>
        <v>1048.76261924742</v>
      </c>
      <c r="AK47" s="8" t="n">
        <f aca="false">AK44+AK46</f>
        <v>1059.21606147397</v>
      </c>
      <c r="AL47" s="8" t="n">
        <f aca="false">AL44+AL46</f>
        <v>1069.1468315892</v>
      </c>
      <c r="AM47" s="8" t="n">
        <f aca="false">AM44+AM46</f>
        <v>1078.58106319866</v>
      </c>
    </row>
    <row r="48" customFormat="false" ht="15" hidden="false" customHeight="false" outlineLevel="0" collapsed="false">
      <c r="B48" s="4" t="s">
        <v>425</v>
      </c>
      <c r="C48" s="25" t="n">
        <f aca="false">C47</f>
        <v>-135685.4048</v>
      </c>
      <c r="D48" s="25" t="n">
        <f aca="false">C48+D47</f>
        <v>-137880.381465323</v>
      </c>
      <c r="E48" s="25" t="n">
        <f aca="false">D48+E47</f>
        <v>-139523.370914066</v>
      </c>
      <c r="F48" s="25" t="n">
        <f aca="false">E48+F47</f>
        <v>-140626.072992257</v>
      </c>
      <c r="G48" s="25" t="n">
        <f aca="false">F48+G47</f>
        <v>-141199.648159242</v>
      </c>
      <c r="H48" s="25" t="n">
        <f aca="false">G48+H47</f>
        <v>-141419.635956623</v>
      </c>
      <c r="I48" s="25" t="n">
        <f aca="false">H48+I47</f>
        <v>-141314.550799384</v>
      </c>
      <c r="J48" s="25" t="n">
        <f aca="false">I48+J47</f>
        <v>-141107.760187004</v>
      </c>
      <c r="K48" s="25" t="n">
        <f aca="false">J48+K47</f>
        <v>-140804.34939224</v>
      </c>
      <c r="L48" s="25" t="n">
        <f aca="false">K48+L47</f>
        <v>-140409.149424211</v>
      </c>
      <c r="M48" s="25" t="n">
        <f aca="false">L48+M47</f>
        <v>-139926.74974158</v>
      </c>
      <c r="N48" s="25" t="n">
        <f aca="false">M48+N47</f>
        <v>-139361.510330078</v>
      </c>
      <c r="O48" s="25" t="n">
        <f aca="false">N48+O47</f>
        <v>-138717.573176149</v>
      </c>
      <c r="P48" s="25" t="n">
        <f aca="false">O48+P47</f>
        <v>-138042.941306726</v>
      </c>
      <c r="Q48" s="25" t="n">
        <f aca="false">P48+Q47</f>
        <v>-137339.149457586</v>
      </c>
      <c r="R48" s="25" t="n">
        <f aca="false">Q48+R47</f>
        <v>-136607.655627714</v>
      </c>
      <c r="S48" s="25" t="n">
        <f aca="false">R48+S47</f>
        <v>-135849.844916147</v>
      </c>
      <c r="T48" s="25" t="n">
        <f aca="false">S48+T47</f>
        <v>-135067.033166969</v>
      </c>
      <c r="U48" s="25" t="n">
        <f aca="false">T48+U47</f>
        <v>-134260.470432061</v>
      </c>
      <c r="V48" s="25" t="n">
        <f aca="false">U48+V47</f>
        <v>-133431.34426071</v>
      </c>
      <c r="W48" s="25" t="n">
        <f aca="false">V48+W47</f>
        <v>-132580.782824737</v>
      </c>
      <c r="X48" s="25" t="n">
        <f aca="false">W48+X47</f>
        <v>-131709.857887374</v>
      </c>
      <c r="Y48" s="25" t="n">
        <f aca="false">X48+Y47</f>
        <v>-130819.58762369</v>
      </c>
      <c r="Z48" s="25" t="n">
        <f aca="false">Y48+Z47</f>
        <v>-129910.939300001</v>
      </c>
      <c r="AA48" s="25" t="n">
        <f aca="false">Z48+AA47</f>
        <v>-128984.831819308</v>
      </c>
      <c r="AB48" s="25" t="n">
        <f aca="false">AA48+AB47</f>
        <v>-128042.138139461</v>
      </c>
      <c r="AC48" s="25" t="n">
        <f aca="false">AB48+AC47</f>
        <v>-127083.687570417</v>
      </c>
      <c r="AD48" s="25" t="n">
        <f aca="false">AC48+AD47</f>
        <v>-126110.267956637</v>
      </c>
      <c r="AE48" s="25" t="n">
        <f aca="false">AD48+AE47</f>
        <v>-125122.627750356</v>
      </c>
      <c r="AF48" s="25" t="n">
        <f aca="false">AE48+AF47</f>
        <v>-124121.477981201</v>
      </c>
      <c r="AG48" s="25" t="n">
        <f aca="false">AF48+AG47</f>
        <v>-123107.494127314</v>
      </c>
      <c r="AH48" s="25" t="n">
        <f aca="false">AG48+AH47</f>
        <v>-122081.317892933</v>
      </c>
      <c r="AI48" s="25" t="n">
        <f aca="false">AH48+AI47</f>
        <v>-121043.558897082</v>
      </c>
      <c r="AJ48" s="25" t="n">
        <f aca="false">AI48+AJ47</f>
        <v>-119994.796277834</v>
      </c>
      <c r="AK48" s="25" t="n">
        <f aca="false">AJ48+AK47</f>
        <v>-118935.58021636</v>
      </c>
      <c r="AL48" s="25" t="n">
        <f aca="false">AK48+AL47</f>
        <v>-117866.433384771</v>
      </c>
      <c r="AM48" s="25" t="n">
        <f aca="false">AL48+AM47</f>
        <v>-116787.852321573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428</v>
      </c>
    </row>
    <row r="2" customFormat="false" ht="15" hidden="false" customHeight="false" outlineLevel="0" collapsed="false">
      <c r="A2" s="2" t="s">
        <v>429</v>
      </c>
    </row>
    <row r="4" customFormat="false" ht="23.85" hidden="false" customHeight="false" outlineLevel="0" collapsed="false">
      <c r="A4" s="3" t="s">
        <v>430</v>
      </c>
      <c r="B4" s="3" t="s">
        <v>352</v>
      </c>
      <c r="C4" s="3" t="s">
        <v>431</v>
      </c>
      <c r="D4" s="3" t="s">
        <v>432</v>
      </c>
      <c r="E4" s="3" t="s">
        <v>433</v>
      </c>
      <c r="F4" s="3" t="s">
        <v>434</v>
      </c>
      <c r="G4" s="3" t="s">
        <v>435</v>
      </c>
      <c r="H4" s="3" t="s">
        <v>436</v>
      </c>
      <c r="I4" s="3" t="s">
        <v>437</v>
      </c>
      <c r="J4" s="3" t="s">
        <v>438</v>
      </c>
    </row>
    <row r="5" customFormat="false" ht="15" hidden="false" customHeight="false" outlineLevel="0" collapsed="false">
      <c r="A5" s="4" t="s">
        <v>439</v>
      </c>
      <c r="B5" s="4" t="s">
        <v>440</v>
      </c>
      <c r="C5" s="4" t="n">
        <v>1</v>
      </c>
      <c r="D5" s="4" t="s">
        <v>441</v>
      </c>
      <c r="E5" s="36" t="n">
        <v>103000</v>
      </c>
      <c r="F5" s="36" t="n">
        <v>103000</v>
      </c>
      <c r="G5" s="36" t="n">
        <v>103000</v>
      </c>
      <c r="H5" s="4" t="s">
        <v>442</v>
      </c>
      <c r="I5" s="4" t="s">
        <v>443</v>
      </c>
      <c r="J5" s="4" t="s">
        <v>444</v>
      </c>
    </row>
    <row r="6" customFormat="false" ht="15" hidden="false" customHeight="false" outlineLevel="0" collapsed="false">
      <c r="A6" s="4" t="s">
        <v>439</v>
      </c>
      <c r="B6" s="4" t="s">
        <v>445</v>
      </c>
      <c r="C6" s="4" t="n">
        <v>1</v>
      </c>
      <c r="D6" s="4" t="s">
        <v>441</v>
      </c>
      <c r="E6" s="36" t="n">
        <v>89000</v>
      </c>
      <c r="F6" s="36" t="n">
        <v>89000</v>
      </c>
      <c r="G6" s="36" t="n">
        <v>89000</v>
      </c>
      <c r="H6" s="4" t="s">
        <v>442</v>
      </c>
      <c r="I6" s="4" t="s">
        <v>443</v>
      </c>
      <c r="J6" s="4" t="s">
        <v>444</v>
      </c>
    </row>
    <row r="7" customFormat="false" ht="15" hidden="false" customHeight="false" outlineLevel="0" collapsed="false">
      <c r="A7" s="4" t="s">
        <v>439</v>
      </c>
      <c r="B7" s="4" t="s">
        <v>446</v>
      </c>
      <c r="C7" s="4" t="n">
        <v>1</v>
      </c>
      <c r="D7" s="4" t="s">
        <v>441</v>
      </c>
      <c r="E7" s="36" t="n">
        <v>118000</v>
      </c>
      <c r="F7" s="36" t="n">
        <v>118000</v>
      </c>
      <c r="G7" s="36" t="n">
        <v>118000</v>
      </c>
      <c r="H7" s="4" t="s">
        <v>442</v>
      </c>
      <c r="I7" s="4" t="s">
        <v>443</v>
      </c>
      <c r="J7" s="4" t="s">
        <v>444</v>
      </c>
    </row>
    <row r="8" customFormat="false" ht="15" hidden="false" customHeight="false" outlineLevel="0" collapsed="false">
      <c r="A8" s="4" t="s">
        <v>439</v>
      </c>
      <c r="B8" s="4" t="s">
        <v>447</v>
      </c>
      <c r="C8" s="4" t="n">
        <v>2</v>
      </c>
      <c r="D8" s="4" t="s">
        <v>441</v>
      </c>
      <c r="E8" s="36" t="n">
        <v>13000</v>
      </c>
      <c r="F8" s="36" t="n">
        <v>19500</v>
      </c>
      <c r="G8" s="36" t="n">
        <v>26000</v>
      </c>
      <c r="H8" s="4" t="s">
        <v>442</v>
      </c>
      <c r="I8" s="4" t="s">
        <v>443</v>
      </c>
      <c r="J8" s="4" t="s">
        <v>444</v>
      </c>
    </row>
    <row r="9" customFormat="false" ht="15" hidden="false" customHeight="false" outlineLevel="0" collapsed="false">
      <c r="A9" s="4" t="s">
        <v>448</v>
      </c>
      <c r="B9" s="4" t="s">
        <v>440</v>
      </c>
      <c r="C9" s="4" t="n">
        <v>1</v>
      </c>
      <c r="D9" s="4" t="s">
        <v>449</v>
      </c>
      <c r="E9" s="36" t="n">
        <v>302500</v>
      </c>
      <c r="F9" s="36" t="n">
        <v>302500</v>
      </c>
      <c r="G9" s="36" t="n">
        <v>302500</v>
      </c>
      <c r="H9" s="4" t="s">
        <v>450</v>
      </c>
      <c r="I9" s="4" t="s">
        <v>443</v>
      </c>
      <c r="J9" s="4" t="s">
        <v>451</v>
      </c>
    </row>
    <row r="10" customFormat="false" ht="15" hidden="false" customHeight="false" outlineLevel="0" collapsed="false">
      <c r="A10" s="4" t="s">
        <v>448</v>
      </c>
      <c r="B10" s="4" t="s">
        <v>452</v>
      </c>
      <c r="C10" s="4" t="n">
        <v>1</v>
      </c>
      <c r="D10" s="4" t="s">
        <v>449</v>
      </c>
      <c r="E10" s="36" t="n">
        <v>108900</v>
      </c>
      <c r="F10" s="36" t="n">
        <v>108900</v>
      </c>
      <c r="G10" s="36" t="n">
        <v>108900</v>
      </c>
      <c r="H10" s="4" t="s">
        <v>450</v>
      </c>
      <c r="I10" s="4" t="s">
        <v>443</v>
      </c>
      <c r="J10" s="4" t="s">
        <v>451</v>
      </c>
    </row>
    <row r="11" customFormat="false" ht="15" hidden="false" customHeight="false" outlineLevel="0" collapsed="false">
      <c r="A11" s="4" t="s">
        <v>448</v>
      </c>
      <c r="B11" s="4" t="s">
        <v>453</v>
      </c>
      <c r="C11" s="4" t="n">
        <v>7</v>
      </c>
      <c r="D11" s="4" t="s">
        <v>454</v>
      </c>
      <c r="E11" s="36" t="n">
        <v>101400</v>
      </c>
      <c r="F11" s="36" t="n">
        <v>132600</v>
      </c>
      <c r="G11" s="36" t="n">
        <v>163350</v>
      </c>
      <c r="H11" s="4" t="s">
        <v>450</v>
      </c>
      <c r="I11" s="4" t="s">
        <v>455</v>
      </c>
      <c r="J11" s="4" t="s">
        <v>456</v>
      </c>
    </row>
    <row r="12" customFormat="false" ht="15" hidden="false" customHeight="false" outlineLevel="0" collapsed="false">
      <c r="A12" s="4" t="s">
        <v>448</v>
      </c>
      <c r="B12" s="4" t="s">
        <v>445</v>
      </c>
      <c r="C12" s="4" t="n">
        <v>7</v>
      </c>
      <c r="D12" s="4" t="s">
        <v>454</v>
      </c>
      <c r="E12" s="36" t="n">
        <v>154440</v>
      </c>
      <c r="F12" s="36" t="n">
        <v>201240</v>
      </c>
      <c r="G12" s="36" t="n">
        <v>264990</v>
      </c>
      <c r="H12" s="4" t="s">
        <v>450</v>
      </c>
      <c r="I12" s="4" t="s">
        <v>455</v>
      </c>
      <c r="J12" s="4" t="s">
        <v>456</v>
      </c>
    </row>
    <row r="13" customFormat="false" ht="15" hidden="false" customHeight="false" outlineLevel="0" collapsed="false">
      <c r="A13" s="4" t="s">
        <v>448</v>
      </c>
      <c r="B13" s="4" t="s">
        <v>457</v>
      </c>
      <c r="C13" s="4" t="n">
        <v>11</v>
      </c>
      <c r="D13" s="4" t="s">
        <v>458</v>
      </c>
      <c r="E13" s="36" t="n">
        <v>248040</v>
      </c>
      <c r="F13" s="36" t="n">
        <v>341640</v>
      </c>
      <c r="G13" s="36" t="n">
        <v>639896</v>
      </c>
      <c r="H13" s="4" t="s">
        <v>450</v>
      </c>
      <c r="I13" s="4" t="s">
        <v>455</v>
      </c>
      <c r="J13" s="4" t="s">
        <v>456</v>
      </c>
    </row>
    <row r="14" customFormat="false" ht="15" hidden="false" customHeight="false" outlineLevel="0" collapsed="false">
      <c r="A14" s="4" t="s">
        <v>448</v>
      </c>
      <c r="B14" s="4" t="s">
        <v>157</v>
      </c>
      <c r="C14" s="4" t="n">
        <v>2</v>
      </c>
      <c r="D14" s="4" t="s">
        <v>459</v>
      </c>
      <c r="E14" s="36" t="n">
        <v>76440</v>
      </c>
      <c r="F14" s="36" t="n">
        <v>81120</v>
      </c>
      <c r="G14" s="36" t="n">
        <v>85800</v>
      </c>
      <c r="H14" s="4" t="s">
        <v>450</v>
      </c>
      <c r="I14" s="4" t="s">
        <v>208</v>
      </c>
      <c r="J14" s="4" t="s">
        <v>444</v>
      </c>
    </row>
    <row r="15" customFormat="false" ht="15" hidden="false" customHeight="false" outlineLevel="0" collapsed="false">
      <c r="A15" s="4" t="s">
        <v>448</v>
      </c>
      <c r="B15" s="4" t="s">
        <v>446</v>
      </c>
      <c r="C15" s="4" t="n">
        <v>1</v>
      </c>
      <c r="D15" s="4" t="s">
        <v>449</v>
      </c>
      <c r="E15" s="36" t="n">
        <v>387200</v>
      </c>
      <c r="F15" s="36" t="n">
        <v>387200</v>
      </c>
      <c r="G15" s="36" t="n">
        <v>387200</v>
      </c>
      <c r="H15" s="4" t="s">
        <v>450</v>
      </c>
      <c r="I15" s="4" t="s">
        <v>443</v>
      </c>
      <c r="J15" s="4" t="s">
        <v>451</v>
      </c>
    </row>
    <row r="16" customFormat="false" ht="15" hidden="false" customHeight="false" outlineLevel="0" collapsed="false">
      <c r="A16" s="4" t="s">
        <v>448</v>
      </c>
      <c r="B16" s="4" t="s">
        <v>447</v>
      </c>
      <c r="C16" s="4" t="n">
        <v>6</v>
      </c>
      <c r="D16" s="4" t="s">
        <v>454</v>
      </c>
      <c r="E16" s="36" t="n">
        <v>70200</v>
      </c>
      <c r="F16" s="36" t="n">
        <v>103001</v>
      </c>
      <c r="G16" s="36" t="n">
        <v>153065</v>
      </c>
      <c r="H16" s="4" t="s">
        <v>450</v>
      </c>
      <c r="I16" s="4" t="s">
        <v>455</v>
      </c>
      <c r="J16" s="4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460</v>
      </c>
    </row>
    <row r="2" customFormat="false" ht="15" hidden="false" customHeight="false" outlineLevel="0" collapsed="false">
      <c r="A2" s="2" t="s">
        <v>461</v>
      </c>
    </row>
    <row r="4" customFormat="false" ht="23.85" hidden="false" customHeight="false" outlineLevel="0" collapsed="false">
      <c r="A4" s="3" t="s">
        <v>430</v>
      </c>
      <c r="B4" s="3" t="s">
        <v>352</v>
      </c>
      <c r="C4" s="3" t="s">
        <v>431</v>
      </c>
      <c r="D4" s="3" t="s">
        <v>432</v>
      </c>
      <c r="E4" s="3" t="s">
        <v>433</v>
      </c>
      <c r="F4" s="3" t="s">
        <v>434</v>
      </c>
      <c r="G4" s="3" t="s">
        <v>435</v>
      </c>
      <c r="H4" s="3" t="s">
        <v>436</v>
      </c>
      <c r="I4" s="3" t="s">
        <v>437</v>
      </c>
      <c r="J4" s="3" t="s">
        <v>438</v>
      </c>
    </row>
    <row r="5" customFormat="false" ht="15" hidden="false" customHeight="false" outlineLevel="0" collapsed="false">
      <c r="A5" s="4" t="s">
        <v>439</v>
      </c>
      <c r="B5" s="4" t="s">
        <v>446</v>
      </c>
      <c r="C5" s="4" t="n">
        <v>2</v>
      </c>
      <c r="D5" s="4" t="s">
        <v>462</v>
      </c>
      <c r="E5" s="36" t="n">
        <v>257000</v>
      </c>
      <c r="F5" s="36" t="n">
        <v>278500</v>
      </c>
      <c r="G5" s="36" t="n">
        <v>300000</v>
      </c>
      <c r="H5" s="4" t="s">
        <v>442</v>
      </c>
      <c r="I5" s="4" t="s">
        <v>443</v>
      </c>
      <c r="J5" s="4" t="s">
        <v>444</v>
      </c>
    </row>
    <row r="6" customFormat="false" ht="15" hidden="false" customHeight="false" outlineLevel="0" collapsed="false">
      <c r="A6" s="4" t="s">
        <v>448</v>
      </c>
      <c r="B6" s="4" t="s">
        <v>453</v>
      </c>
      <c r="C6" s="4" t="n">
        <v>6</v>
      </c>
      <c r="D6" s="4" t="s">
        <v>463</v>
      </c>
      <c r="E6" s="36" t="n">
        <v>101400</v>
      </c>
      <c r="F6" s="36" t="n">
        <v>124800</v>
      </c>
      <c r="G6" s="36" t="n">
        <v>154440</v>
      </c>
      <c r="H6" s="4" t="s">
        <v>450</v>
      </c>
      <c r="I6" s="4" t="s">
        <v>208</v>
      </c>
      <c r="J6" s="4" t="s">
        <v>444</v>
      </c>
    </row>
    <row r="7" customFormat="false" ht="15" hidden="false" customHeight="false" outlineLevel="0" collapsed="false">
      <c r="A7" s="4" t="s">
        <v>448</v>
      </c>
      <c r="B7" s="4" t="s">
        <v>445</v>
      </c>
      <c r="C7" s="4" t="n">
        <v>6</v>
      </c>
      <c r="D7" s="4" t="s">
        <v>463</v>
      </c>
      <c r="E7" s="36" t="n">
        <v>154440</v>
      </c>
      <c r="F7" s="36" t="n">
        <v>193440</v>
      </c>
      <c r="G7" s="36" t="n">
        <v>248040</v>
      </c>
      <c r="H7" s="4" t="s">
        <v>450</v>
      </c>
      <c r="I7" s="4" t="s">
        <v>208</v>
      </c>
      <c r="J7" s="4" t="s">
        <v>444</v>
      </c>
    </row>
    <row r="8" customFormat="false" ht="15" hidden="false" customHeight="false" outlineLevel="0" collapsed="false">
      <c r="A8" s="4" t="s">
        <v>448</v>
      </c>
      <c r="B8" s="4" t="s">
        <v>457</v>
      </c>
      <c r="C8" s="4" t="n">
        <v>6</v>
      </c>
      <c r="D8" s="4" t="s">
        <v>463</v>
      </c>
      <c r="E8" s="36" t="n">
        <v>248040</v>
      </c>
      <c r="F8" s="36" t="n">
        <v>310440</v>
      </c>
      <c r="G8" s="36" t="n">
        <v>372840</v>
      </c>
      <c r="H8" s="4" t="s">
        <v>450</v>
      </c>
      <c r="I8" s="4" t="s">
        <v>208</v>
      </c>
      <c r="J8" s="4" t="s">
        <v>444</v>
      </c>
    </row>
    <row r="9" customFormat="false" ht="15" hidden="false" customHeight="false" outlineLevel="0" collapsed="false">
      <c r="A9" s="4" t="s">
        <v>448</v>
      </c>
      <c r="B9" s="4" t="s">
        <v>157</v>
      </c>
      <c r="C9" s="4" t="n">
        <v>1</v>
      </c>
      <c r="D9" s="4" t="s">
        <v>463</v>
      </c>
      <c r="E9" s="36" t="n">
        <v>85800</v>
      </c>
      <c r="F9" s="36" t="n">
        <v>85800</v>
      </c>
      <c r="G9" s="36" t="n">
        <v>85800</v>
      </c>
      <c r="H9" s="4" t="s">
        <v>450</v>
      </c>
      <c r="I9" s="4" t="s">
        <v>208</v>
      </c>
      <c r="J9" s="4" t="s">
        <v>444</v>
      </c>
    </row>
    <row r="10" customFormat="false" ht="15" hidden="false" customHeight="false" outlineLevel="0" collapsed="false">
      <c r="A10" s="4" t="s">
        <v>448</v>
      </c>
      <c r="B10" s="4" t="s">
        <v>447</v>
      </c>
      <c r="C10" s="4" t="n">
        <v>1</v>
      </c>
      <c r="D10" s="4" t="s">
        <v>463</v>
      </c>
      <c r="E10" s="36" t="n">
        <v>60840</v>
      </c>
      <c r="F10" s="36" t="n">
        <v>60840</v>
      </c>
      <c r="G10" s="36" t="n">
        <v>60840</v>
      </c>
      <c r="H10" s="4" t="s">
        <v>450</v>
      </c>
      <c r="I10" s="4" t="s">
        <v>208</v>
      </c>
      <c r="J10" s="4" t="s">
        <v>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464</v>
      </c>
    </row>
    <row r="2" customFormat="false" ht="15" hidden="false" customHeight="false" outlineLevel="0" collapsed="false">
      <c r="A2" s="2" t="s">
        <v>465</v>
      </c>
    </row>
    <row r="4" customFormat="false" ht="15" hidden="false" customHeight="false" outlineLevel="0" collapsed="false">
      <c r="A4" s="3" t="s">
        <v>430</v>
      </c>
      <c r="B4" s="3" t="s">
        <v>466</v>
      </c>
      <c r="C4" s="3" t="s">
        <v>467</v>
      </c>
      <c r="D4" s="3" t="s">
        <v>468</v>
      </c>
    </row>
    <row r="5" customFormat="false" ht="15" hidden="false" customHeight="false" outlineLevel="0" collapsed="false">
      <c r="A5" s="4" t="s">
        <v>439</v>
      </c>
      <c r="B5" s="4" t="s">
        <v>469</v>
      </c>
      <c r="C5" s="4" t="s">
        <v>470</v>
      </c>
      <c r="D5" s="4" t="n">
        <v>2</v>
      </c>
    </row>
    <row r="6" customFormat="false" ht="15" hidden="false" customHeight="false" outlineLevel="0" collapsed="false">
      <c r="A6" s="4" t="s">
        <v>439</v>
      </c>
      <c r="B6" s="4" t="s">
        <v>471</v>
      </c>
      <c r="C6" s="4" t="s">
        <v>472</v>
      </c>
      <c r="D6" s="4" t="n">
        <v>10</v>
      </c>
    </row>
    <row r="7" customFormat="false" ht="15" hidden="false" customHeight="false" outlineLevel="0" collapsed="false">
      <c r="A7" s="4" t="s">
        <v>439</v>
      </c>
      <c r="B7" s="4" t="s">
        <v>471</v>
      </c>
      <c r="C7" s="4" t="s">
        <v>470</v>
      </c>
      <c r="D7" s="4" t="n">
        <v>1</v>
      </c>
    </row>
    <row r="8" customFormat="false" ht="15" hidden="false" customHeight="false" outlineLevel="0" collapsed="false">
      <c r="A8" s="4" t="s">
        <v>439</v>
      </c>
      <c r="B8" s="4" t="s">
        <v>471</v>
      </c>
      <c r="C8" s="4" t="s">
        <v>473</v>
      </c>
      <c r="D8" s="4" t="n">
        <v>1</v>
      </c>
    </row>
    <row r="9" customFormat="false" ht="15" hidden="false" customHeight="false" outlineLevel="0" collapsed="false">
      <c r="A9" s="4" t="s">
        <v>439</v>
      </c>
      <c r="B9" s="4" t="s">
        <v>474</v>
      </c>
      <c r="C9" s="4" t="s">
        <v>472</v>
      </c>
      <c r="D9" s="4" t="n">
        <v>10</v>
      </c>
    </row>
    <row r="10" customFormat="false" ht="15" hidden="false" customHeight="false" outlineLevel="0" collapsed="false">
      <c r="A10" s="4" t="s">
        <v>439</v>
      </c>
      <c r="B10" s="4" t="s">
        <v>474</v>
      </c>
      <c r="C10" s="4" t="s">
        <v>470</v>
      </c>
      <c r="D10" s="4" t="n">
        <v>1</v>
      </c>
    </row>
    <row r="11" customFormat="false" ht="15" hidden="false" customHeight="false" outlineLevel="0" collapsed="false">
      <c r="A11" s="4" t="s">
        <v>439</v>
      </c>
      <c r="B11" s="4" t="s">
        <v>474</v>
      </c>
      <c r="C11" s="4" t="s">
        <v>475</v>
      </c>
      <c r="D11" s="4" t="n">
        <v>1</v>
      </c>
    </row>
    <row r="12" customFormat="false" ht="15" hidden="false" customHeight="false" outlineLevel="0" collapsed="false">
      <c r="A12" s="4" t="s">
        <v>439</v>
      </c>
      <c r="B12" s="4" t="s">
        <v>474</v>
      </c>
      <c r="C12" s="4" t="s">
        <v>476</v>
      </c>
      <c r="D12" s="4" t="n">
        <v>4</v>
      </c>
    </row>
    <row r="13" customFormat="false" ht="15" hidden="false" customHeight="false" outlineLevel="0" collapsed="false">
      <c r="A13" s="4" t="s">
        <v>439</v>
      </c>
      <c r="B13" s="4" t="s">
        <v>477</v>
      </c>
      <c r="C13" s="4" t="s">
        <v>475</v>
      </c>
      <c r="D13" s="4" t="n">
        <v>2</v>
      </c>
    </row>
    <row r="14" customFormat="false" ht="15" hidden="false" customHeight="false" outlineLevel="0" collapsed="false">
      <c r="A14" s="4" t="s">
        <v>478</v>
      </c>
      <c r="B14" s="4" t="s">
        <v>474</v>
      </c>
      <c r="C14" s="4" t="s">
        <v>472</v>
      </c>
      <c r="D14" s="4" t="n">
        <v>12</v>
      </c>
    </row>
    <row r="15" customFormat="false" ht="15" hidden="false" customHeight="false" outlineLevel="0" collapsed="false">
      <c r="A15" s="4" t="s">
        <v>478</v>
      </c>
      <c r="B15" s="4" t="s">
        <v>474</v>
      </c>
      <c r="C15" s="4" t="s">
        <v>475</v>
      </c>
      <c r="D15" s="4" t="n">
        <v>4</v>
      </c>
    </row>
    <row r="16" customFormat="false" ht="15" hidden="false" customHeight="false" outlineLevel="0" collapsed="false">
      <c r="A16" s="4" t="s">
        <v>478</v>
      </c>
      <c r="B16" s="4" t="s">
        <v>479</v>
      </c>
      <c r="C16" s="4" t="s">
        <v>470</v>
      </c>
      <c r="D16" s="4" t="n">
        <v>2</v>
      </c>
    </row>
    <row r="17" customFormat="false" ht="15" hidden="false" customHeight="false" outlineLevel="0" collapsed="false">
      <c r="A17" s="4" t="s">
        <v>478</v>
      </c>
      <c r="B17" s="4" t="s">
        <v>477</v>
      </c>
      <c r="C17" s="4" t="s">
        <v>472</v>
      </c>
      <c r="D17" s="4" t="n">
        <v>4</v>
      </c>
    </row>
    <row r="18" customFormat="false" ht="15" hidden="false" customHeight="false" outlineLevel="0" collapsed="false">
      <c r="A18" s="4" t="s">
        <v>478</v>
      </c>
      <c r="B18" s="4" t="s">
        <v>477</v>
      </c>
      <c r="C18" s="4" t="s">
        <v>475</v>
      </c>
      <c r="D18" s="4" t="n">
        <v>1</v>
      </c>
    </row>
    <row r="19" customFormat="false" ht="15" hidden="false" customHeight="false" outlineLevel="0" collapsed="false">
      <c r="A19" s="4" t="s">
        <v>448</v>
      </c>
      <c r="B19" s="4" t="s">
        <v>469</v>
      </c>
      <c r="C19" s="4" t="s">
        <v>470</v>
      </c>
      <c r="D19" s="4" t="n">
        <v>1</v>
      </c>
    </row>
    <row r="20" customFormat="false" ht="15" hidden="false" customHeight="false" outlineLevel="0" collapsed="false">
      <c r="A20" s="4" t="s">
        <v>448</v>
      </c>
      <c r="B20" s="4" t="s">
        <v>471</v>
      </c>
      <c r="C20" s="4" t="s">
        <v>470</v>
      </c>
      <c r="D20" s="4" t="n">
        <v>1</v>
      </c>
    </row>
    <row r="21" customFormat="false" ht="15" hidden="false" customHeight="false" outlineLevel="0" collapsed="false">
      <c r="A21" s="4" t="s">
        <v>448</v>
      </c>
      <c r="B21" s="4" t="s">
        <v>474</v>
      </c>
      <c r="C21" s="4" t="s">
        <v>472</v>
      </c>
      <c r="D21" s="4" t="n">
        <v>4</v>
      </c>
    </row>
    <row r="22" customFormat="false" ht="15" hidden="false" customHeight="false" outlineLevel="0" collapsed="false">
      <c r="A22" s="4" t="s">
        <v>448</v>
      </c>
      <c r="B22" s="4" t="s">
        <v>474</v>
      </c>
      <c r="C22" s="4" t="s">
        <v>475</v>
      </c>
      <c r="D22" s="4" t="n">
        <v>1</v>
      </c>
    </row>
    <row r="23" customFormat="false" ht="15" hidden="false" customHeight="false" outlineLevel="0" collapsed="false">
      <c r="A23" s="4" t="s">
        <v>448</v>
      </c>
      <c r="B23" s="4" t="s">
        <v>479</v>
      </c>
      <c r="C23" s="4" t="s">
        <v>470</v>
      </c>
      <c r="D23" s="4" t="n">
        <v>1</v>
      </c>
    </row>
    <row r="24" customFormat="false" ht="15" hidden="false" customHeight="false" outlineLevel="0" collapsed="false">
      <c r="A24" s="4" t="s">
        <v>448</v>
      </c>
      <c r="B24" s="4" t="s">
        <v>477</v>
      </c>
      <c r="C24" s="4" t="s">
        <v>472</v>
      </c>
      <c r="D24" s="4" t="n">
        <v>4</v>
      </c>
    </row>
    <row r="25" customFormat="false" ht="15" hidden="false" customHeight="false" outlineLevel="0" collapsed="false">
      <c r="A25" s="4" t="s">
        <v>448</v>
      </c>
      <c r="B25" s="4" t="s">
        <v>477</v>
      </c>
      <c r="C25" s="4" t="s">
        <v>475</v>
      </c>
      <c r="D25" s="4" t="n">
        <v>12</v>
      </c>
    </row>
    <row r="26" customFormat="false" ht="15" hidden="false" customHeight="false" outlineLevel="0" collapsed="false">
      <c r="A26" s="4" t="s">
        <v>448</v>
      </c>
      <c r="B26" s="4" t="s">
        <v>477</v>
      </c>
      <c r="C26" s="4" t="s">
        <v>476</v>
      </c>
      <c r="D26" s="4" t="n">
        <v>1</v>
      </c>
    </row>
    <row r="27" customFormat="false" ht="15" hidden="false" customHeight="false" outlineLevel="0" collapsed="false">
      <c r="A27" s="4" t="s">
        <v>480</v>
      </c>
      <c r="B27" s="4" t="s">
        <v>471</v>
      </c>
      <c r="C27" s="4" t="s">
        <v>472</v>
      </c>
      <c r="D27" s="4" t="n">
        <v>5</v>
      </c>
    </row>
    <row r="28" customFormat="false" ht="15" hidden="false" customHeight="false" outlineLevel="0" collapsed="false">
      <c r="A28" s="4" t="s">
        <v>480</v>
      </c>
      <c r="B28" s="4" t="s">
        <v>471</v>
      </c>
      <c r="C28" s="4" t="s">
        <v>470</v>
      </c>
      <c r="D28" s="4" t="n">
        <v>1</v>
      </c>
    </row>
    <row r="29" customFormat="false" ht="15" hidden="false" customHeight="false" outlineLevel="0" collapsed="false">
      <c r="A29" s="4" t="s">
        <v>480</v>
      </c>
      <c r="B29" s="4" t="s">
        <v>474</v>
      </c>
      <c r="C29" s="4" t="s">
        <v>470</v>
      </c>
      <c r="D29" s="4" t="n">
        <v>3</v>
      </c>
    </row>
    <row r="30" customFormat="false" ht="15" hidden="false" customHeight="false" outlineLevel="0" collapsed="false">
      <c r="A30" s="4" t="s">
        <v>480</v>
      </c>
      <c r="B30" s="4" t="s">
        <v>479</v>
      </c>
      <c r="C30" s="4" t="s">
        <v>470</v>
      </c>
      <c r="D30" s="4" t="n">
        <v>1</v>
      </c>
    </row>
    <row r="31" customFormat="false" ht="15" hidden="false" customHeight="false" outlineLevel="0" collapsed="false">
      <c r="A31" s="4" t="s">
        <v>480</v>
      </c>
      <c r="B31" s="4" t="s">
        <v>477</v>
      </c>
      <c r="C31" s="4" t="s">
        <v>470</v>
      </c>
      <c r="D31" s="4" t="n">
        <v>8</v>
      </c>
    </row>
    <row r="32" customFormat="false" ht="15" hidden="false" customHeight="false" outlineLevel="0" collapsed="false">
      <c r="A32" s="11" t="s">
        <v>481</v>
      </c>
      <c r="D32" s="11" t="n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60"/>
    <col collapsed="false" customWidth="true" hidden="false" outlineLevel="0" max="5" min="5" style="0" width="44"/>
  </cols>
  <sheetData>
    <row r="1" customFormat="false" ht="17.35" hidden="false" customHeight="false" outlineLevel="0" collapsed="false">
      <c r="A1" s="1" t="s">
        <v>482</v>
      </c>
    </row>
    <row r="2" customFormat="false" ht="15" hidden="false" customHeight="false" outlineLevel="0" collapsed="false">
      <c r="A2" s="2" t="s">
        <v>483</v>
      </c>
    </row>
    <row r="4" customFormat="false" ht="15" hidden="false" customHeight="false" outlineLevel="0" collapsed="false">
      <c r="A4" s="3" t="s">
        <v>484</v>
      </c>
      <c r="B4" s="3" t="s">
        <v>485</v>
      </c>
      <c r="C4" s="3" t="s">
        <v>486</v>
      </c>
      <c r="D4" s="3" t="s">
        <v>487</v>
      </c>
      <c r="E4" s="3" t="s">
        <v>488</v>
      </c>
    </row>
    <row r="5" customFormat="false" ht="23.85" hidden="false" customHeight="false" outlineLevel="0" collapsed="false">
      <c r="A5" s="4" t="n">
        <v>1</v>
      </c>
      <c r="B5" s="37" t="s">
        <v>489</v>
      </c>
      <c r="C5" s="37" t="s">
        <v>490</v>
      </c>
      <c r="D5" s="37" t="s">
        <v>491</v>
      </c>
      <c r="E5" s="37" t="s">
        <v>492</v>
      </c>
    </row>
    <row r="6" customFormat="false" ht="23.85" hidden="false" customHeight="false" outlineLevel="0" collapsed="false">
      <c r="A6" s="4" t="n">
        <v>2</v>
      </c>
      <c r="B6" s="37" t="s">
        <v>493</v>
      </c>
      <c r="C6" s="37" t="s">
        <v>494</v>
      </c>
      <c r="D6" s="37" t="s">
        <v>495</v>
      </c>
      <c r="E6" s="37" t="s">
        <v>496</v>
      </c>
    </row>
    <row r="7" customFormat="false" ht="15" hidden="false" customHeight="false" outlineLevel="0" collapsed="false">
      <c r="A7" s="4" t="n">
        <v>3</v>
      </c>
      <c r="B7" s="37" t="s">
        <v>497</v>
      </c>
      <c r="C7" s="37" t="s">
        <v>498</v>
      </c>
      <c r="D7" s="37" t="s">
        <v>499</v>
      </c>
      <c r="E7" s="37" t="s">
        <v>500</v>
      </c>
    </row>
    <row r="8" customFormat="false" ht="23.85" hidden="false" customHeight="false" outlineLevel="0" collapsed="false">
      <c r="A8" s="4" t="n">
        <v>4</v>
      </c>
      <c r="B8" s="37" t="s">
        <v>501</v>
      </c>
      <c r="C8" s="37" t="s">
        <v>502</v>
      </c>
      <c r="D8" s="37" t="s">
        <v>503</v>
      </c>
      <c r="E8" s="37" t="s">
        <v>504</v>
      </c>
    </row>
    <row r="9" customFormat="false" ht="23.85" hidden="false" customHeight="false" outlineLevel="0" collapsed="false">
      <c r="A9" s="4" t="n">
        <v>5</v>
      </c>
      <c r="B9" s="37" t="s">
        <v>505</v>
      </c>
      <c r="C9" s="37" t="s">
        <v>506</v>
      </c>
      <c r="D9" s="37" t="s">
        <v>507</v>
      </c>
      <c r="E9" s="37" t="s">
        <v>508</v>
      </c>
    </row>
    <row r="10" customFormat="false" ht="15" hidden="false" customHeight="false" outlineLevel="0" collapsed="false">
      <c r="A10" s="4" t="n">
        <v>6</v>
      </c>
      <c r="B10" s="37" t="s">
        <v>509</v>
      </c>
      <c r="C10" s="37" t="s">
        <v>510</v>
      </c>
      <c r="D10" s="37" t="s">
        <v>511</v>
      </c>
      <c r="E10" s="37" t="s">
        <v>512</v>
      </c>
    </row>
    <row r="11" customFormat="false" ht="15" hidden="false" customHeight="false" outlineLevel="0" collapsed="false">
      <c r="A11" s="4" t="n">
        <v>7</v>
      </c>
      <c r="B11" s="37" t="s">
        <v>513</v>
      </c>
      <c r="C11" s="37" t="s">
        <v>514</v>
      </c>
      <c r="D11" s="37" t="s">
        <v>515</v>
      </c>
      <c r="E11" s="37" t="s">
        <v>516</v>
      </c>
    </row>
    <row r="12" customFormat="false" ht="15" hidden="false" customHeight="false" outlineLevel="0" collapsed="false">
      <c r="A12" s="4" t="n">
        <v>8</v>
      </c>
      <c r="B12" s="37" t="s">
        <v>517</v>
      </c>
      <c r="C12" s="37" t="s">
        <v>518</v>
      </c>
      <c r="D12" s="37" t="s">
        <v>519</v>
      </c>
      <c r="E12" s="37" t="s">
        <v>520</v>
      </c>
    </row>
    <row r="13" customFormat="false" ht="23.85" hidden="false" customHeight="false" outlineLevel="0" collapsed="false">
      <c r="A13" s="4" t="n">
        <v>9</v>
      </c>
      <c r="B13" s="37" t="s">
        <v>521</v>
      </c>
      <c r="C13" s="37" t="s">
        <v>522</v>
      </c>
      <c r="D13" s="37" t="s">
        <v>523</v>
      </c>
      <c r="E13" s="37" t="s">
        <v>524</v>
      </c>
    </row>
    <row r="14" customFormat="false" ht="15" hidden="false" customHeight="false" outlineLevel="0" collapsed="false">
      <c r="A14" s="4" t="n">
        <v>10</v>
      </c>
      <c r="B14" s="37" t="s">
        <v>525</v>
      </c>
      <c r="C14" s="37" t="s">
        <v>526</v>
      </c>
      <c r="D14" s="37" t="s">
        <v>527</v>
      </c>
      <c r="E14" s="37" t="s">
        <v>528</v>
      </c>
    </row>
    <row r="15" customFormat="false" ht="23.85" hidden="false" customHeight="false" outlineLevel="0" collapsed="false">
      <c r="A15" s="4" t="n">
        <v>11</v>
      </c>
      <c r="B15" s="37" t="s">
        <v>529</v>
      </c>
      <c r="C15" s="37" t="s">
        <v>530</v>
      </c>
      <c r="D15" s="37" t="s">
        <v>531</v>
      </c>
      <c r="E15" s="37" t="s">
        <v>532</v>
      </c>
    </row>
    <row r="16" customFormat="false" ht="23.85" hidden="false" customHeight="false" outlineLevel="0" collapsed="false">
      <c r="A16" s="4" t="n">
        <v>12</v>
      </c>
      <c r="B16" s="37" t="s">
        <v>533</v>
      </c>
      <c r="C16" s="37" t="s">
        <v>534</v>
      </c>
      <c r="D16" s="37" t="s">
        <v>535</v>
      </c>
      <c r="E16" s="37" t="s">
        <v>536</v>
      </c>
    </row>
    <row r="17" customFormat="false" ht="23.85" hidden="false" customHeight="false" outlineLevel="0" collapsed="false">
      <c r="A17" s="4" t="n">
        <v>13</v>
      </c>
      <c r="B17" s="37" t="s">
        <v>537</v>
      </c>
      <c r="C17" s="37" t="s">
        <v>538</v>
      </c>
      <c r="D17" s="37" t="s">
        <v>539</v>
      </c>
      <c r="E17" s="37" t="s">
        <v>540</v>
      </c>
    </row>
    <row r="18" customFormat="false" ht="23.85" hidden="false" customHeight="false" outlineLevel="0" collapsed="false">
      <c r="A18" s="4" t="n">
        <v>14</v>
      </c>
      <c r="B18" s="37" t="s">
        <v>541</v>
      </c>
      <c r="C18" s="37" t="s">
        <v>542</v>
      </c>
      <c r="D18" s="37" t="s">
        <v>543</v>
      </c>
      <c r="E18" s="37" t="s">
        <v>544</v>
      </c>
    </row>
    <row r="19" customFormat="false" ht="23.85" hidden="false" customHeight="false" outlineLevel="0" collapsed="false">
      <c r="A19" s="4" t="n">
        <v>15</v>
      </c>
      <c r="B19" s="37" t="s">
        <v>545</v>
      </c>
      <c r="C19" s="37" t="s">
        <v>546</v>
      </c>
      <c r="D19" s="37" t="s">
        <v>547</v>
      </c>
      <c r="E19" s="37" t="s">
        <v>548</v>
      </c>
    </row>
    <row r="20" customFormat="false" ht="23.85" hidden="false" customHeight="false" outlineLevel="0" collapsed="false">
      <c r="A20" s="4" t="n">
        <v>16</v>
      </c>
      <c r="B20" s="37" t="s">
        <v>549</v>
      </c>
      <c r="C20" s="37" t="s">
        <v>550</v>
      </c>
      <c r="D20" s="37" t="s">
        <v>551</v>
      </c>
      <c r="E20" s="37" t="s">
        <v>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2026-10-28T06:33:10Z</dcterms:created>
  <dc:creator>openpyxl</dc:creator>
  <dc:description/>
  <dc:language>en-US</dc:language>
  <cp:lastModifiedBy/>
  <dcterms:modified xsi:type="dcterms:W3CDTF">2026-10-28T06:33:10Z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